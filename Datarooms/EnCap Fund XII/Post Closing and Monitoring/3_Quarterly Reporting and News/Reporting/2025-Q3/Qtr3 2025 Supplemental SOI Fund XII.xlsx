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Fund Administration\Financial Reporting - Accounting\2025\Fund XII\"/>
    </mc:Choice>
  </mc:AlternateContent>
  <xr:revisionPtr revIDLastSave="0" documentId="8_{F6774732-BDFB-4B3C-9832-6A7B52BF6F89}" xr6:coauthVersionLast="47" xr6:coauthVersionMax="47" xr10:uidLastSave="{00000000-0000-0000-0000-000000000000}"/>
  <bookViews>
    <workbookView xWindow="-16395" yWindow="-16320" windowWidth="29040" windowHeight="15720" xr2:uid="{ADBE48B6-4023-4FAF-BF89-5C9F7DA41D54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SOI'!$H$29</definedName>
    <definedName name="FN_FH_T1">#REF!</definedName>
    <definedName name="Inv_Level3_PY">#REF!</definedName>
    <definedName name="Outstanding_Commits_MF">#REF!</definedName>
    <definedName name="Period_05">#REF!</definedName>
    <definedName name="_xlnm.Print_Area" localSheetId="0">'Supp SOI'!$A$1:$T$48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P28" i="1"/>
  <c r="O28" i="1"/>
  <c r="N28" i="1"/>
  <c r="L28" i="1"/>
  <c r="K28" i="1"/>
  <c r="J28" i="1"/>
  <c r="I28" i="1"/>
  <c r="H28" i="1"/>
  <c r="E24" i="1"/>
  <c r="R23" i="1"/>
  <c r="P23" i="1"/>
  <c r="E23" i="1"/>
  <c r="R22" i="1"/>
  <c r="E22" i="1"/>
  <c r="R21" i="1"/>
  <c r="P21" i="1"/>
  <c r="E21" i="1"/>
  <c r="P20" i="1"/>
  <c r="R20" i="1"/>
  <c r="E20" i="1"/>
  <c r="R19" i="1"/>
  <c r="P19" i="1"/>
  <c r="E19" i="1"/>
  <c r="R18" i="1"/>
  <c r="E18" i="1"/>
  <c r="R17" i="1"/>
  <c r="P17" i="1"/>
  <c r="E17" i="1"/>
  <c r="P16" i="1"/>
  <c r="R16" i="1"/>
  <c r="E16" i="1"/>
  <c r="R15" i="1"/>
  <c r="P15" i="1"/>
  <c r="E15" i="1"/>
  <c r="R14" i="1"/>
  <c r="E14" i="1"/>
  <c r="R13" i="1"/>
  <c r="P13" i="1"/>
  <c r="I13" i="1"/>
  <c r="E13" i="1"/>
  <c r="R12" i="1"/>
  <c r="E12" i="1"/>
  <c r="P11" i="1"/>
  <c r="R11" i="1"/>
  <c r="H11" i="1"/>
  <c r="H26" i="1" s="1"/>
  <c r="H29" i="1" s="1"/>
  <c r="E11" i="1"/>
  <c r="P10" i="1"/>
  <c r="K26" i="1"/>
  <c r="K29" i="1" s="1"/>
  <c r="E10" i="1"/>
  <c r="P12" i="1" l="1"/>
  <c r="P26" i="1" s="1"/>
  <c r="P29" i="1" s="1"/>
  <c r="J26" i="1"/>
  <c r="J29" i="1" s="1"/>
  <c r="L26" i="1"/>
  <c r="R10" i="1"/>
  <c r="I26" i="1"/>
  <c r="I29" i="1" s="1"/>
  <c r="O26" i="1"/>
  <c r="O29" i="1" s="1"/>
  <c r="J12" i="1"/>
  <c r="P14" i="1"/>
  <c r="P18" i="1"/>
  <c r="P22" i="1"/>
  <c r="R26" i="1" l="1"/>
  <c r="L29" i="1"/>
  <c r="R29" i="1" s="1"/>
  <c r="N26" i="1"/>
  <c r="N29" i="1" s="1"/>
</calcChain>
</file>

<file path=xl/sharedStrings.xml><?xml version="1.0" encoding="utf-8"?>
<sst xmlns="http://schemas.openxmlformats.org/spreadsheetml/2006/main" count="122" uniqueCount="82">
  <si>
    <t>PARTNERSHIP NAME:</t>
  </si>
  <si>
    <t>Fund XII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</si>
  <si>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</si>
  <si>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</si>
  <si>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</si>
  <si>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</si>
  <si>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</si>
  <si>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</si>
  <si>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</si>
  <si>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</si>
  <si>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</si>
  <si>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</si>
  <si>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</si>
  <si>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</si>
  <si>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</si>
  <si>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</si>
  <si>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</si>
  <si>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</si>
  <si>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</si>
  <si>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</si>
  <si>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</si>
  <si>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</si>
  <si>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</si>
  <si>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</si>
  <si>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</si>
  <si>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</si>
  <si>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</si>
  <si>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</si>
  <si>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</si>
  <si>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</si>
  <si>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</si>
  <si>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</si>
  <si>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Q</t>
  </si>
  <si>
    <t>A</t>
  </si>
  <si>
    <t>Pegasus Resource Holdings III, LLC</t>
  </si>
  <si>
    <t>4,5</t>
  </si>
  <si>
    <t>Paloma Permian Holdings, LLC</t>
  </si>
  <si>
    <t>Novo Oil &amp; Gas Holdings II, LLC</t>
  </si>
  <si>
    <t>Verdun Oil Company III, LLC</t>
  </si>
  <si>
    <t>Double Eagle Energy Holdings V, LLC</t>
  </si>
  <si>
    <t>Dunamis Energy, LLC</t>
  </si>
  <si>
    <t>Tumbleweed Royalty V, LLC</t>
  </si>
  <si>
    <t>EnCap XCL II Holdco XII, LLC</t>
  </si>
  <si>
    <t>EnCap GM IV HoldCo, LP</t>
  </si>
  <si>
    <t>Pegasus Appalachia, LLC</t>
  </si>
  <si>
    <t>EnCap Energy Capital Fund VIII, L.P. - (Continuation Vehicle)</t>
  </si>
  <si>
    <t>Sub Total  Active: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</si>
  <si>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</si>
  <si>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</si>
  <si>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</si>
  <si>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</si>
  <si>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</si>
  <si>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</si>
  <si>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</si>
  <si>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</si>
  <si>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</si>
  <si>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</si>
  <si>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</si>
  <si>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</si>
  <si>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</si>
  <si>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</si>
  <si>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</si>
  <si>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</si>
  <si>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</si>
  <si>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</si>
  <si>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</si>
  <si>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</si>
  <si>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</si>
  <si>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</si>
  <si>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</si>
  <si>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</si>
  <si>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</si>
  <si>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</si>
  <si>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</si>
  <si>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</si>
  <si>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</si>
  <si>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</si>
  <si>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September 30, 2025</t>
  </si>
  <si>
    <t>EnCap DE IV Co-Invest, LLC</t>
  </si>
  <si>
    <t>EnCap GM III Co-Invest, LLC</t>
  </si>
  <si>
    <t>Ridge Runner Resources II, LLC</t>
  </si>
  <si>
    <t>Black Swan Oil &amp; Gas II Holdings,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</si>
</sst>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1" fillId="0" borderId="0" applyFont="0" applyFill="0" applyBorder="0" applyAlignment="0" applyProtection="0"/>
    <xf numFmtId="0" fontId="1" fillId="0" borderId="0"/>
    <xf numFmtId="0" fontId="11" fillId="0" borderId="0" applyBorder="0"/>
  </cellStyleXfs>
  <cellXfs count="142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8" fillId="0" borderId="0" xfId="0" applyFont="1" applyBorder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65" fontId="8" fillId="2" borderId="0" xfId="1" applyNumberFormat="1" applyFont="1" applyFill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0" xfId="3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26" xfId="0" applyFont="1" applyBorder="1"/>
    <xf numFmtId="0" fontId="9" fillId="0" borderId="27" xfId="0" applyFont="1" applyBorder="1"/>
    <xf numFmtId="166" fontId="8" fillId="0" borderId="28" xfId="0" applyNumberFormat="1" applyFont="1" applyBorder="1"/>
    <xf numFmtId="9" fontId="8" fillId="0" borderId="28" xfId="0" applyNumberFormat="1" applyFont="1" applyBorder="1"/>
    <xf numFmtId="10" fontId="8" fillId="0" borderId="3" xfId="0" applyNumberFormat="1" applyFont="1" applyBorder="1"/>
    <xf numFmtId="164" fontId="9" fillId="0" borderId="27" xfId="0" applyNumberFormat="1" applyFont="1" applyBorder="1"/>
    <xf numFmtId="164" fontId="9" fillId="0" borderId="29" xfId="0" applyNumberFormat="1" applyFont="1" applyBorder="1"/>
    <xf numFmtId="3" fontId="9" fillId="0" borderId="30" xfId="0" applyNumberFormat="1" applyFont="1" applyBorder="1"/>
    <xf numFmtId="3" fontId="9" fillId="0" borderId="28" xfId="0" applyNumberFormat="1" applyFont="1" applyBorder="1"/>
    <xf numFmtId="3" fontId="9" fillId="0" borderId="3" xfId="0" applyNumberFormat="1" applyFont="1" applyBorder="1"/>
    <xf numFmtId="3" fontId="9" fillId="0" borderId="31" xfId="0" applyNumberFormat="1" applyFont="1" applyBorder="1"/>
    <xf numFmtId="0" fontId="9" fillId="0" borderId="32" xfId="0" applyFont="1" applyBorder="1" applyAlignment="1">
      <alignment horizontal="center"/>
    </xf>
    <xf numFmtId="3" fontId="9" fillId="0" borderId="33" xfId="0" applyNumberFormat="1" applyFont="1" applyBorder="1"/>
    <xf numFmtId="167" fontId="9" fillId="0" borderId="33" xfId="0" applyNumberFormat="1" applyFont="1" applyBorder="1"/>
    <xf numFmtId="0" fontId="9" fillId="0" borderId="29" xfId="0" applyFont="1" applyBorder="1" applyAlignment="1">
      <alignment horizontal="center" vertical="top"/>
    </xf>
    <xf numFmtId="2" fontId="9" fillId="0" borderId="34" xfId="0" applyNumberFormat="1" applyFont="1" applyBorder="1"/>
    <xf numFmtId="2" fontId="9" fillId="0" borderId="35" xfId="0" applyNumberFormat="1" applyFont="1" applyBorder="1"/>
    <xf numFmtId="9" fontId="9" fillId="0" borderId="33" xfId="0" applyNumberFormat="1" applyFont="1" applyBorder="1" applyAlignment="1">
      <alignment horizontal="right"/>
    </xf>
    <xf numFmtId="0" fontId="12" fillId="0" borderId="0" xfId="0" applyFont="1"/>
    <xf numFmtId="3" fontId="9" fillId="0" borderId="0" xfId="0" applyNumberFormat="1" applyFont="1"/>
    <xf numFmtId="3" fontId="9" fillId="0" borderId="0" xfId="0" applyNumberFormat="1" applyFont="1" applyBorder="1"/>
    <xf numFmtId="2" fontId="9" fillId="0" borderId="26" xfId="0" applyNumberFormat="1" applyFont="1" applyBorder="1"/>
    <xf numFmtId="3" fontId="9" fillId="0" borderId="27" xfId="0" applyNumberFormat="1" applyFont="1" applyBorder="1"/>
    <xf numFmtId="3" fontId="9" fillId="0" borderId="36" xfId="0" applyNumberFormat="1" applyFont="1" applyBorder="1"/>
    <xf numFmtId="0" fontId="9" fillId="0" borderId="30" xfId="0" applyFont="1" applyBorder="1"/>
    <xf numFmtId="166" fontId="8" fillId="0" borderId="27" xfId="0" applyNumberFormat="1" applyFont="1" applyBorder="1"/>
    <xf numFmtId="9" fontId="8" fillId="0" borderId="27" xfId="0" applyNumberFormat="1" applyFont="1" applyBorder="1"/>
    <xf numFmtId="3" fontId="9" fillId="0" borderId="37" xfId="0" applyNumberFormat="1" applyFont="1" applyBorder="1"/>
    <xf numFmtId="2" fontId="9" fillId="0" borderId="29" xfId="0" applyNumberFormat="1" applyFont="1" applyBorder="1"/>
    <xf numFmtId="9" fontId="9" fillId="0" borderId="37" xfId="0" applyNumberFormat="1" applyFont="1" applyBorder="1" applyAlignment="1">
      <alignment horizontal="right"/>
    </xf>
    <xf numFmtId="3" fontId="9" fillId="0" borderId="29" xfId="0" applyNumberFormat="1" applyFont="1" applyBorder="1"/>
    <xf numFmtId="167" fontId="9" fillId="0" borderId="37" xfId="0" applyNumberFormat="1" applyFont="1" applyBorder="1"/>
    <xf numFmtId="2" fontId="9" fillId="0" borderId="30" xfId="0" applyNumberFormat="1" applyFont="1" applyBorder="1"/>
    <xf numFmtId="0" fontId="8" fillId="0" borderId="27" xfId="0" applyFont="1" applyBorder="1"/>
    <xf numFmtId="10" fontId="8" fillId="0" borderId="36" xfId="0" applyNumberFormat="1" applyFont="1" applyBorder="1"/>
    <xf numFmtId="9" fontId="9" fillId="0" borderId="37" xfId="0" applyNumberFormat="1" applyFont="1" applyBorder="1"/>
    <xf numFmtId="0" fontId="13" fillId="4" borderId="38" xfId="0" applyFont="1" applyFill="1" applyBorder="1"/>
    <xf numFmtId="0" fontId="14" fillId="4" borderId="27" xfId="0" applyFont="1" applyFill="1" applyBorder="1"/>
    <xf numFmtId="9" fontId="14" fillId="4" borderId="27" xfId="0" applyNumberFormat="1" applyFont="1" applyFill="1" applyBorder="1"/>
    <xf numFmtId="10" fontId="14" fillId="4" borderId="36" xfId="0" applyNumberFormat="1" applyFont="1" applyFill="1" applyBorder="1"/>
    <xf numFmtId="164" fontId="14" fillId="4" borderId="27" xfId="0" applyNumberFormat="1" applyFont="1" applyFill="1" applyBorder="1"/>
    <xf numFmtId="164" fontId="14" fillId="4" borderId="29" xfId="0" applyNumberFormat="1" applyFont="1" applyFill="1" applyBorder="1"/>
    <xf numFmtId="3" fontId="13" fillId="4" borderId="26" xfId="0" applyNumberFormat="1" applyFont="1" applyFill="1" applyBorder="1"/>
    <xf numFmtId="3" fontId="13" fillId="4" borderId="28" xfId="0" applyNumberFormat="1" applyFont="1" applyFill="1" applyBorder="1"/>
    <xf numFmtId="3" fontId="13" fillId="4" borderId="3" xfId="0" applyNumberFormat="1" applyFont="1" applyFill="1" applyBorder="1"/>
    <xf numFmtId="3" fontId="13" fillId="4" borderId="31" xfId="0" applyNumberFormat="1" applyFont="1" applyFill="1" applyBorder="1"/>
    <xf numFmtId="3" fontId="13" fillId="4" borderId="2" xfId="0" applyNumberFormat="1" applyFont="1" applyFill="1" applyBorder="1"/>
    <xf numFmtId="3" fontId="13" fillId="4" borderId="33" xfId="0" applyNumberFormat="1" applyFont="1" applyFill="1" applyBorder="1"/>
    <xf numFmtId="2" fontId="13" fillId="4" borderId="26" xfId="0" applyNumberFormat="1" applyFont="1" applyFill="1" applyBorder="1"/>
    <xf numFmtId="2" fontId="13" fillId="4" borderId="39" xfId="0" applyNumberFormat="1" applyFont="1" applyFill="1" applyBorder="1"/>
    <xf numFmtId="9" fontId="7" fillId="5" borderId="33" xfId="0" applyNumberFormat="1" applyFont="1" applyFill="1" applyBorder="1" applyAlignment="1">
      <alignment horizontal="right"/>
    </xf>
    <xf numFmtId="0" fontId="15" fillId="0" borderId="0" xfId="0" applyFont="1"/>
    <xf numFmtId="0" fontId="9" fillId="0" borderId="34" xfId="0" applyFont="1" applyBorder="1"/>
    <xf numFmtId="3" fontId="9" fillId="0" borderId="2" xfId="0" applyNumberFormat="1" applyFont="1" applyBorder="1"/>
    <xf numFmtId="37" fontId="9" fillId="0" borderId="33" xfId="0" applyNumberFormat="1" applyFont="1" applyBorder="1"/>
    <xf numFmtId="0" fontId="9" fillId="0" borderId="31" xfId="0" applyFont="1" applyBorder="1" applyAlignment="1">
      <alignment horizontal="center" vertical="top"/>
    </xf>
    <xf numFmtId="2" fontId="9" fillId="0" borderId="31" xfId="0" applyNumberFormat="1" applyFont="1" applyBorder="1"/>
    <xf numFmtId="9" fontId="9" fillId="0" borderId="33" xfId="0" applyNumberFormat="1" applyFont="1" applyBorder="1"/>
    <xf numFmtId="0" fontId="15" fillId="4" borderId="40" xfId="0" applyFont="1" applyFill="1" applyBorder="1"/>
    <xf numFmtId="0" fontId="9" fillId="4" borderId="27" xfId="0" applyFont="1" applyFill="1" applyBorder="1"/>
    <xf numFmtId="0" fontId="8" fillId="4" borderId="27" xfId="0" applyFont="1" applyFill="1" applyBorder="1"/>
    <xf numFmtId="9" fontId="8" fillId="4" borderId="27" xfId="0" applyNumberFormat="1" applyFont="1" applyFill="1" applyBorder="1"/>
    <xf numFmtId="10" fontId="8" fillId="4" borderId="36" xfId="0" applyNumberFormat="1" applyFont="1" applyFill="1" applyBorder="1"/>
    <xf numFmtId="14" fontId="9" fillId="4" borderId="27" xfId="0" applyNumberFormat="1" applyFont="1" applyFill="1" applyBorder="1"/>
    <xf numFmtId="0" fontId="9" fillId="4" borderId="29" xfId="0" applyFont="1" applyFill="1" applyBorder="1"/>
    <xf numFmtId="3" fontId="15" fillId="4" borderId="41" xfId="0" applyNumberFormat="1" applyFont="1" applyFill="1" applyBorder="1"/>
    <xf numFmtId="3" fontId="15" fillId="4" borderId="42" xfId="0" applyNumberFormat="1" applyFont="1" applyFill="1" applyBorder="1"/>
    <xf numFmtId="3" fontId="15" fillId="4" borderId="43" xfId="0" applyNumberFormat="1" applyFont="1" applyFill="1" applyBorder="1"/>
    <xf numFmtId="3" fontId="15" fillId="4" borderId="44" xfId="0" applyNumberFormat="1" applyFont="1" applyFill="1" applyBorder="1"/>
    <xf numFmtId="3" fontId="15" fillId="4" borderId="45" xfId="0" applyNumberFormat="1" applyFont="1" applyFill="1" applyBorder="1"/>
    <xf numFmtId="3" fontId="15" fillId="4" borderId="46" xfId="0" applyNumberFormat="1" applyFont="1" applyFill="1" applyBorder="1"/>
    <xf numFmtId="2" fontId="15" fillId="4" borderId="46" xfId="0" applyNumberFormat="1" applyFont="1" applyFill="1" applyBorder="1"/>
    <xf numFmtId="2" fontId="15" fillId="4" borderId="43" xfId="0" applyNumberFormat="1" applyFont="1" applyFill="1" applyBorder="1"/>
    <xf numFmtId="9" fontId="7" fillId="5" borderId="47" xfId="0" applyNumberFormat="1" applyFont="1" applyFill="1" applyBorder="1" applyAlignment="1">
      <alignment horizontal="right"/>
    </xf>
    <xf numFmtId="0" fontId="15" fillId="6" borderId="48" xfId="0" applyFont="1" applyFill="1" applyBorder="1"/>
    <xf numFmtId="0" fontId="15" fillId="6" borderId="4" xfId="0" applyFont="1" applyFill="1" applyBorder="1"/>
    <xf numFmtId="0" fontId="15" fillId="6" borderId="20" xfId="0" applyFont="1" applyFill="1" applyBorder="1"/>
    <xf numFmtId="3" fontId="7" fillId="6" borderId="17" xfId="0" applyNumberFormat="1" applyFont="1" applyFill="1" applyBorder="1" applyAlignment="1">
      <alignment horizontal="right"/>
    </xf>
    <xf numFmtId="3" fontId="7" fillId="6" borderId="18" xfId="0" applyNumberFormat="1" applyFont="1" applyFill="1" applyBorder="1" applyAlignment="1">
      <alignment horizontal="right"/>
    </xf>
    <xf numFmtId="3" fontId="7" fillId="6" borderId="19" xfId="0" applyNumberFormat="1" applyFont="1" applyFill="1" applyBorder="1" applyAlignment="1">
      <alignment horizontal="right"/>
    </xf>
    <xf numFmtId="3" fontId="7" fillId="6" borderId="20" xfId="0" applyNumberFormat="1" applyFont="1" applyFill="1" applyBorder="1" applyAlignment="1">
      <alignment horizontal="right"/>
    </xf>
    <xf numFmtId="3" fontId="7" fillId="6" borderId="4" xfId="0" applyNumberFormat="1" applyFont="1" applyFill="1" applyBorder="1" applyAlignment="1">
      <alignment horizontal="right"/>
    </xf>
    <xf numFmtId="3" fontId="7" fillId="6" borderId="49" xfId="0" applyNumberFormat="1" applyFont="1" applyFill="1" applyBorder="1" applyAlignment="1">
      <alignment horizontal="right"/>
    </xf>
    <xf numFmtId="2" fontId="7" fillId="6" borderId="17" xfId="0" applyNumberFormat="1" applyFont="1" applyFill="1" applyBorder="1"/>
    <xf numFmtId="9" fontId="7" fillId="6" borderId="50" xfId="0" applyNumberFormat="1" applyFont="1" applyFill="1" applyBorder="1" applyAlignment="1">
      <alignment horizontal="right"/>
    </xf>
    <xf numFmtId="3" fontId="7" fillId="0" borderId="0" xfId="0" applyNumberFormat="1" applyFont="1"/>
    <xf numFmtId="168" fontId="9" fillId="0" borderId="0" xfId="0" applyNumberFormat="1" applyFont="1"/>
    <xf numFmtId="3" fontId="8" fillId="0" borderId="0" xfId="0" applyNumberFormat="1" applyFont="1"/>
  </cellXfs>
  <cellStyles count="4">
    <cellStyle name="Normal" xfId="0" builtinId="0"/>
    <cellStyle name="Normal 2" xfId="2" xr:uid="{9D588A38-71AD-49C5-A0DF-9F794C0043E0}"/>
    <cellStyle name="Normal 3" xfId="3" xr:uid="{B7925CEA-DB74-4341-82A3-5699146F75A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6FB1-1BEB-4ACD-A562-B4B992ADCC04}">
  <sheetPr>
    <tabColor rgb="FF92D050"/>
    <pageSetUpPr fitToPage="1"/>
  </sheetPr>
  <dimension ref="A1:Y52"/>
  <sheetViews>
    <sheetView tabSelected="1" zoomScale="80" zoomScaleNormal="80" workbookViewId="0">
      <selection activeCell="V22" sqref="V22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76</v>
      </c>
      <c r="C2" s="3"/>
      <c r="D2" s="3"/>
      <c r="E2" s="3"/>
      <c r="F2" s="3"/>
      <c r="G2" s="3"/>
      <c r="H2" s="4" t="s">
        <v>1</v>
      </c>
      <c r="I2" s="5"/>
      <c r="J2" s="6" t="s">
        <v>2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3</v>
      </c>
      <c r="B4" s="9" t="s">
        <v>77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4</v>
      </c>
      <c r="E5" s="17"/>
    </row>
    <row r="6" spans="1:25" ht="15.75" thickBo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6</v>
      </c>
      <c r="B8" s="23" t="s">
        <v>7</v>
      </c>
      <c r="C8" s="24" t="s">
        <v>8</v>
      </c>
      <c r="D8" s="24" t="s">
        <v>9</v>
      </c>
      <c r="E8" s="25" t="s">
        <v>10</v>
      </c>
      <c r="F8" s="26" t="s">
        <v>11</v>
      </c>
      <c r="G8" s="27" t="s">
        <v>12</v>
      </c>
      <c r="H8" s="28" t="s">
        <v>13</v>
      </c>
      <c r="I8" s="29"/>
      <c r="J8" s="29"/>
      <c r="K8" s="29"/>
      <c r="L8" s="30"/>
      <c r="M8" s="31" t="s">
        <v>14</v>
      </c>
      <c r="N8" s="32" t="s">
        <v>15</v>
      </c>
      <c r="O8" s="33" t="s">
        <v>16</v>
      </c>
      <c r="P8" s="33" t="s">
        <v>17</v>
      </c>
      <c r="Q8" s="34" t="s">
        <v>18</v>
      </c>
      <c r="R8" s="35" t="s">
        <v>19</v>
      </c>
      <c r="S8" s="36"/>
      <c r="T8" s="27" t="s">
        <v>20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21</v>
      </c>
      <c r="I9" s="45" t="s">
        <v>22</v>
      </c>
      <c r="J9" s="45" t="s">
        <v>23</v>
      </c>
      <c r="K9" s="45" t="s">
        <v>24</v>
      </c>
      <c r="L9" s="46" t="s">
        <v>25</v>
      </c>
      <c r="M9" s="47"/>
      <c r="N9" s="48"/>
      <c r="O9" s="49"/>
      <c r="P9" s="49"/>
      <c r="Q9" s="50"/>
      <c r="R9" s="51" t="s">
        <v>26</v>
      </c>
      <c r="S9" s="52" t="s">
        <v>27</v>
      </c>
      <c r="T9" s="43"/>
      <c r="X9" s="53"/>
      <c r="Y9" s="53"/>
    </row>
    <row r="10" spans="1:25" x14ac:dyDescent="0.25">
      <c r="A10" s="54" t="s">
        <v>78</v>
      </c>
      <c r="B10" s="55" t="s">
        <v>28</v>
      </c>
      <c r="C10" s="56" t="s">
        <v>29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v>180797337</v>
      </c>
      <c r="K10" s="63">
        <v>367496000</v>
      </c>
      <c r="L10" s="64">
        <v>478733486.74000001</v>
      </c>
      <c r="M10" s="65" t="s">
        <v>30</v>
      </c>
      <c r="N10" s="66">
        <v>47109000</v>
      </c>
      <c r="O10" s="66">
        <v>0</v>
      </c>
      <c r="P10" s="67">
        <f>K10-J10</f>
        <v>186698663</v>
      </c>
      <c r="Q10" s="68" t="s">
        <v>31</v>
      </c>
      <c r="R10" s="69">
        <f>(L10+K10)/I10</f>
        <v>3.0917789857826161</v>
      </c>
      <c r="S10" s="70">
        <v>2.8384600370873407</v>
      </c>
      <c r="T10" s="71">
        <v>0.74871703386306776</v>
      </c>
      <c r="V10" s="72"/>
      <c r="W10" s="73"/>
      <c r="X10" s="74"/>
      <c r="Y10" s="74"/>
    </row>
    <row r="11" spans="1:25" x14ac:dyDescent="0.25">
      <c r="A11" s="54" t="s">
        <v>79</v>
      </c>
      <c r="B11" s="55" t="s">
        <v>28</v>
      </c>
      <c r="C11" s="56" t="s">
        <v>29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152219000</v>
      </c>
      <c r="L11" s="64">
        <v>277565137.72000003</v>
      </c>
      <c r="M11" s="65" t="s">
        <v>30</v>
      </c>
      <c r="N11" s="66">
        <v>24757000</v>
      </c>
      <c r="O11" s="66">
        <v>0</v>
      </c>
      <c r="P11" s="67">
        <f t="shared" ref="P11:P23" si="0">K11-J11</f>
        <v>66272904</v>
      </c>
      <c r="Q11" s="68" t="s">
        <v>31</v>
      </c>
      <c r="R11" s="69">
        <f>(L11+K11)/I11</f>
        <v>2.0771106730147859</v>
      </c>
      <c r="S11" s="70">
        <v>1.9574621694552417</v>
      </c>
      <c r="T11" s="71">
        <v>0.59309324622154225</v>
      </c>
      <c r="V11" s="72"/>
      <c r="W11" s="73"/>
      <c r="X11" s="74"/>
      <c r="Y11" s="74"/>
    </row>
    <row r="12" spans="1:25" x14ac:dyDescent="0.25">
      <c r="A12" s="54" t="s">
        <v>80</v>
      </c>
      <c r="B12" s="55" t="s">
        <v>28</v>
      </c>
      <c r="C12" s="56" t="s">
        <v>29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566835833.34000003</v>
      </c>
      <c r="I12" s="62">
        <v>501772938</v>
      </c>
      <c r="J12" s="62">
        <f t="shared" ref="J12" si="1">I12</f>
        <v>501772938</v>
      </c>
      <c r="K12" s="63">
        <v>548483000</v>
      </c>
      <c r="L12" s="64">
        <v>0</v>
      </c>
      <c r="M12" s="65" t="s">
        <v>32</v>
      </c>
      <c r="N12" s="66">
        <v>25297000</v>
      </c>
      <c r="O12" s="66">
        <v>0</v>
      </c>
      <c r="P12" s="67">
        <f t="shared" si="0"/>
        <v>46710062</v>
      </c>
      <c r="Q12" s="68">
        <v>4</v>
      </c>
      <c r="R12" s="75">
        <f>(L12+K12)/I12</f>
        <v>1.0930900382674682</v>
      </c>
      <c r="S12" s="70">
        <v>1.0426748044351488</v>
      </c>
      <c r="T12" s="71">
        <v>0.13082031607627861</v>
      </c>
      <c r="V12" s="72"/>
      <c r="W12" s="73"/>
      <c r="X12" s="74"/>
      <c r="Y12" s="74"/>
    </row>
    <row r="13" spans="1:25" x14ac:dyDescent="0.25">
      <c r="A13" s="54" t="s">
        <v>81</v>
      </c>
      <c r="B13" s="55" t="s">
        <v>28</v>
      </c>
      <c r="C13" s="56" t="s">
        <v>29</v>
      </c>
      <c r="D13" s="57">
        <v>0.97</v>
      </c>
      <c r="E13" s="58">
        <f>D13*E$5</f>
        <v>0</v>
      </c>
      <c r="F13" s="59">
        <v>45226</v>
      </c>
      <c r="G13" s="60"/>
      <c r="H13" s="61">
        <v>290925000</v>
      </c>
      <c r="I13" s="76">
        <f>J13</f>
        <v>193950000</v>
      </c>
      <c r="J13" s="76">
        <v>193950000</v>
      </c>
      <c r="K13" s="77">
        <v>193950000</v>
      </c>
      <c r="L13" s="64">
        <v>0</v>
      </c>
      <c r="M13" s="65" t="s">
        <v>33</v>
      </c>
      <c r="N13" s="66">
        <v>0</v>
      </c>
      <c r="O13" s="66">
        <v>0</v>
      </c>
      <c r="P13" s="67">
        <f t="shared" si="0"/>
        <v>0</v>
      </c>
      <c r="Q13" s="68">
        <v>1</v>
      </c>
      <c r="R13" s="75">
        <f>(L13+K13)/I13</f>
        <v>1</v>
      </c>
      <c r="S13" s="70">
        <v>1</v>
      </c>
      <c r="T13" s="71">
        <v>-1.8626451492309571E-10</v>
      </c>
      <c r="V13" s="72"/>
      <c r="W13" s="73"/>
      <c r="X13" s="74"/>
      <c r="Y13" s="74"/>
    </row>
    <row r="14" spans="1:25" x14ac:dyDescent="0.25">
      <c r="A14" s="78" t="s">
        <v>34</v>
      </c>
      <c r="B14" s="55" t="s">
        <v>28</v>
      </c>
      <c r="C14" s="56" t="s">
        <v>29</v>
      </c>
      <c r="D14" s="57">
        <v>0.97699999999999998</v>
      </c>
      <c r="E14" s="58">
        <f t="shared" ref="E14:E24" si="2">D14*E$5</f>
        <v>0</v>
      </c>
      <c r="F14" s="59">
        <v>45314</v>
      </c>
      <c r="G14" s="60"/>
      <c r="H14" s="61">
        <v>341973332.75</v>
      </c>
      <c r="I14" s="76">
        <v>210069333</v>
      </c>
      <c r="J14" s="76">
        <v>210069333</v>
      </c>
      <c r="K14" s="77">
        <v>236832000</v>
      </c>
      <c r="L14" s="64">
        <v>0</v>
      </c>
      <c r="M14" s="65" t="s">
        <v>32</v>
      </c>
      <c r="N14" s="66">
        <v>16700000</v>
      </c>
      <c r="O14" s="66">
        <v>14656000</v>
      </c>
      <c r="P14" s="67">
        <f t="shared" si="0"/>
        <v>26762667</v>
      </c>
      <c r="Q14" s="68" t="s">
        <v>35</v>
      </c>
      <c r="R14" s="75">
        <f t="shared" ref="R14:R23" si="3">(L14+K14)/I14</f>
        <v>1.1273992096695047</v>
      </c>
      <c r="S14" s="70">
        <v>1.1264942704805101</v>
      </c>
      <c r="T14" s="71">
        <v>0.13330255150794981</v>
      </c>
      <c r="V14" s="72"/>
      <c r="W14" s="73"/>
      <c r="X14" s="74"/>
      <c r="Y14" s="74"/>
    </row>
    <row r="15" spans="1:25" x14ac:dyDescent="0.25">
      <c r="A15" s="78" t="s">
        <v>36</v>
      </c>
      <c r="B15" s="55" t="s">
        <v>28</v>
      </c>
      <c r="C15" s="56" t="s">
        <v>29</v>
      </c>
      <c r="D15" s="57">
        <v>0.95</v>
      </c>
      <c r="E15" s="58">
        <f t="shared" si="2"/>
        <v>0</v>
      </c>
      <c r="F15" s="59">
        <v>45315</v>
      </c>
      <c r="G15" s="60"/>
      <c r="H15" s="61">
        <v>380000000</v>
      </c>
      <c r="I15" s="76">
        <v>308750000</v>
      </c>
      <c r="J15" s="76">
        <v>308750000</v>
      </c>
      <c r="K15" s="77">
        <v>308750000</v>
      </c>
      <c r="L15" s="64">
        <v>0</v>
      </c>
      <c r="M15" s="65" t="s">
        <v>33</v>
      </c>
      <c r="N15" s="66">
        <v>118750000</v>
      </c>
      <c r="O15" s="66">
        <v>118750000</v>
      </c>
      <c r="P15" s="67">
        <f t="shared" si="0"/>
        <v>0</v>
      </c>
      <c r="Q15" s="68">
        <v>5</v>
      </c>
      <c r="R15" s="75">
        <f t="shared" si="3"/>
        <v>1</v>
      </c>
      <c r="S15" s="70">
        <v>1</v>
      </c>
      <c r="T15" s="71">
        <v>2.9802322387695314E-9</v>
      </c>
      <c r="V15" s="72"/>
      <c r="W15" s="73"/>
      <c r="X15" s="74"/>
      <c r="Y15" s="74"/>
    </row>
    <row r="16" spans="1:25" x14ac:dyDescent="0.25">
      <c r="A16" s="78" t="s">
        <v>37</v>
      </c>
      <c r="B16" s="55" t="s">
        <v>28</v>
      </c>
      <c r="C16" s="56" t="s">
        <v>29</v>
      </c>
      <c r="D16" s="57">
        <v>0.95</v>
      </c>
      <c r="E16" s="58">
        <f t="shared" si="2"/>
        <v>0</v>
      </c>
      <c r="F16" s="59">
        <v>45320</v>
      </c>
      <c r="G16" s="60"/>
      <c r="H16" s="61">
        <v>285000000</v>
      </c>
      <c r="I16" s="76">
        <v>38950000</v>
      </c>
      <c r="J16" s="76">
        <v>38950000</v>
      </c>
      <c r="K16" s="77">
        <v>38950000</v>
      </c>
      <c r="L16" s="64">
        <v>0</v>
      </c>
      <c r="M16" s="65" t="s">
        <v>33</v>
      </c>
      <c r="N16" s="66">
        <v>12350000</v>
      </c>
      <c r="O16" s="66">
        <v>12350000</v>
      </c>
      <c r="P16" s="67">
        <f t="shared" si="0"/>
        <v>0</v>
      </c>
      <c r="Q16" s="68">
        <v>5</v>
      </c>
      <c r="R16" s="75">
        <f t="shared" si="3"/>
        <v>1</v>
      </c>
      <c r="S16" s="70">
        <v>1</v>
      </c>
      <c r="T16" s="71">
        <v>2.9802322387695314E-9</v>
      </c>
      <c r="V16" s="72"/>
      <c r="W16" s="73"/>
      <c r="X16" s="74"/>
      <c r="Y16" s="74"/>
    </row>
    <row r="17" spans="1:25" x14ac:dyDescent="0.25">
      <c r="A17" s="78" t="s">
        <v>38</v>
      </c>
      <c r="B17" s="55" t="s">
        <v>28</v>
      </c>
      <c r="C17" s="56" t="s">
        <v>29</v>
      </c>
      <c r="D17" s="57">
        <v>0.94989999999999997</v>
      </c>
      <c r="E17" s="58">
        <f t="shared" si="2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281787000</v>
      </c>
      <c r="L17" s="64">
        <v>0</v>
      </c>
      <c r="M17" s="65" t="s">
        <v>32</v>
      </c>
      <c r="N17" s="66">
        <v>12438000</v>
      </c>
      <c r="O17" s="66">
        <v>0</v>
      </c>
      <c r="P17" s="67">
        <f t="shared" si="0"/>
        <v>117787000</v>
      </c>
      <c r="Q17" s="68">
        <v>4</v>
      </c>
      <c r="R17" s="75">
        <f t="shared" si="3"/>
        <v>1.7182134146341463</v>
      </c>
      <c r="S17" s="70">
        <v>1.6423719512195123</v>
      </c>
      <c r="T17" s="71">
        <v>0.49394192099571221</v>
      </c>
      <c r="V17" s="72"/>
      <c r="W17" s="73"/>
      <c r="X17" s="74"/>
      <c r="Y17" s="74"/>
    </row>
    <row r="18" spans="1:25" x14ac:dyDescent="0.25">
      <c r="A18" s="78" t="s">
        <v>39</v>
      </c>
      <c r="B18" s="55" t="s">
        <v>28</v>
      </c>
      <c r="C18" s="79" t="s">
        <v>29</v>
      </c>
      <c r="D18" s="57">
        <v>0.64700000000000002</v>
      </c>
      <c r="E18" s="58">
        <f t="shared" si="2"/>
        <v>0</v>
      </c>
      <c r="F18" s="59">
        <v>45548</v>
      </c>
      <c r="G18" s="60"/>
      <c r="H18" s="61">
        <v>788250000</v>
      </c>
      <c r="I18" s="76">
        <v>336948215</v>
      </c>
      <c r="J18" s="76">
        <v>336948215</v>
      </c>
      <c r="K18" s="77">
        <v>336948215</v>
      </c>
      <c r="L18" s="64">
        <v>0</v>
      </c>
      <c r="M18" s="65" t="s">
        <v>33</v>
      </c>
      <c r="N18" s="66">
        <v>105494933</v>
      </c>
      <c r="O18" s="66">
        <v>105494933</v>
      </c>
      <c r="P18" s="67">
        <f t="shared" si="0"/>
        <v>0</v>
      </c>
      <c r="Q18" s="68">
        <v>5</v>
      </c>
      <c r="R18" s="75">
        <f t="shared" si="3"/>
        <v>1</v>
      </c>
      <c r="S18" s="70">
        <v>1</v>
      </c>
      <c r="T18" s="71">
        <v>-2.9802322387695314E-9</v>
      </c>
      <c r="V18" s="72"/>
      <c r="W18" s="73"/>
      <c r="X18" s="74"/>
      <c r="Y18" s="74"/>
    </row>
    <row r="19" spans="1:25" x14ac:dyDescent="0.25">
      <c r="A19" s="78" t="s">
        <v>40</v>
      </c>
      <c r="B19" s="55" t="s">
        <v>28</v>
      </c>
      <c r="C19" s="79" t="s">
        <v>29</v>
      </c>
      <c r="D19" s="57">
        <v>0.96</v>
      </c>
      <c r="E19" s="58">
        <f t="shared" si="2"/>
        <v>0</v>
      </c>
      <c r="F19" s="59">
        <v>45555</v>
      </c>
      <c r="G19" s="60"/>
      <c r="H19" s="61">
        <v>389500000</v>
      </c>
      <c r="I19" s="76">
        <v>191341875</v>
      </c>
      <c r="J19" s="76">
        <v>191341875</v>
      </c>
      <c r="K19" s="77">
        <v>191341875</v>
      </c>
      <c r="L19" s="64">
        <v>0</v>
      </c>
      <c r="M19" s="65" t="s">
        <v>33</v>
      </c>
      <c r="N19" s="66">
        <v>136621875</v>
      </c>
      <c r="O19" s="66">
        <v>136621875</v>
      </c>
      <c r="P19" s="67">
        <f t="shared" si="0"/>
        <v>0</v>
      </c>
      <c r="Q19" s="68">
        <v>5</v>
      </c>
      <c r="R19" s="75">
        <f t="shared" si="3"/>
        <v>1</v>
      </c>
      <c r="S19" s="70">
        <v>1</v>
      </c>
      <c r="T19" s="71">
        <v>2.9802322387695314E-9</v>
      </c>
      <c r="V19" s="72"/>
      <c r="W19" s="73"/>
      <c r="X19" s="74"/>
      <c r="Y19" s="74"/>
    </row>
    <row r="20" spans="1:25" x14ac:dyDescent="0.25">
      <c r="A20" s="78" t="s">
        <v>41</v>
      </c>
      <c r="B20" s="55" t="s">
        <v>28</v>
      </c>
      <c r="C20" s="79" t="s">
        <v>29</v>
      </c>
      <c r="D20" s="57">
        <v>0.8256</v>
      </c>
      <c r="E20" s="58">
        <f t="shared" si="2"/>
        <v>0</v>
      </c>
      <c r="F20" s="59">
        <v>45548</v>
      </c>
      <c r="G20" s="60"/>
      <c r="H20" s="61">
        <v>300000000</v>
      </c>
      <c r="I20" s="76">
        <v>61750000</v>
      </c>
      <c r="J20" s="76">
        <v>61750000</v>
      </c>
      <c r="K20" s="77">
        <v>61750000</v>
      </c>
      <c r="L20" s="64">
        <v>0</v>
      </c>
      <c r="M20" s="65" t="s">
        <v>33</v>
      </c>
      <c r="N20" s="66">
        <v>26000000</v>
      </c>
      <c r="O20" s="66">
        <v>26000000</v>
      </c>
      <c r="P20" s="67">
        <f t="shared" si="0"/>
        <v>0</v>
      </c>
      <c r="Q20" s="68">
        <v>5</v>
      </c>
      <c r="R20" s="75">
        <f t="shared" si="3"/>
        <v>1</v>
      </c>
      <c r="S20" s="70">
        <v>1</v>
      </c>
      <c r="T20" s="71">
        <v>-2.9802322387695314E-9</v>
      </c>
      <c r="V20" s="72"/>
      <c r="W20" s="73"/>
      <c r="X20" s="74"/>
      <c r="Y20" s="74"/>
    </row>
    <row r="21" spans="1:25" x14ac:dyDescent="0.25">
      <c r="A21" s="78" t="s">
        <v>42</v>
      </c>
      <c r="B21" s="55" t="s">
        <v>28</v>
      </c>
      <c r="C21" s="79" t="s">
        <v>29</v>
      </c>
      <c r="D21" s="57">
        <v>1</v>
      </c>
      <c r="E21" s="58">
        <f t="shared" si="2"/>
        <v>0</v>
      </c>
      <c r="F21" s="59">
        <v>45729</v>
      </c>
      <c r="G21" s="60"/>
      <c r="H21" s="61">
        <v>455000000</v>
      </c>
      <c r="I21" s="76">
        <v>8089320</v>
      </c>
      <c r="J21" s="76">
        <v>8089320</v>
      </c>
      <c r="K21" s="77">
        <v>8089320</v>
      </c>
      <c r="L21" s="64">
        <v>0</v>
      </c>
      <c r="M21" s="65" t="s">
        <v>33</v>
      </c>
      <c r="N21" s="66">
        <v>2887556</v>
      </c>
      <c r="O21" s="66">
        <v>2887556</v>
      </c>
      <c r="P21" s="67">
        <f t="shared" si="0"/>
        <v>0</v>
      </c>
      <c r="Q21" s="68">
        <v>5</v>
      </c>
      <c r="R21" s="75">
        <f t="shared" si="3"/>
        <v>1</v>
      </c>
      <c r="S21" s="70">
        <v>1</v>
      </c>
      <c r="T21" s="71">
        <v>2.9802322387695314E-9</v>
      </c>
      <c r="V21" s="72"/>
      <c r="W21" s="73"/>
      <c r="X21" s="74"/>
      <c r="Y21" s="74"/>
    </row>
    <row r="22" spans="1:25" x14ac:dyDescent="0.25">
      <c r="A22" s="78" t="s">
        <v>43</v>
      </c>
      <c r="B22" s="55" t="s">
        <v>28</v>
      </c>
      <c r="C22" s="79" t="s">
        <v>29</v>
      </c>
      <c r="D22" s="57">
        <v>1</v>
      </c>
      <c r="E22" s="58">
        <f t="shared" si="2"/>
        <v>0</v>
      </c>
      <c r="F22" s="59">
        <v>45793</v>
      </c>
      <c r="G22" s="60"/>
      <c r="H22" s="61">
        <v>242800000</v>
      </c>
      <c r="I22" s="76">
        <v>4381793</v>
      </c>
      <c r="J22" s="76">
        <v>4381793</v>
      </c>
      <c r="K22" s="77">
        <v>4381793</v>
      </c>
      <c r="L22" s="64">
        <v>0</v>
      </c>
      <c r="M22" s="65" t="s">
        <v>33</v>
      </c>
      <c r="N22" s="66">
        <v>0</v>
      </c>
      <c r="O22" s="66">
        <v>0</v>
      </c>
      <c r="P22" s="67">
        <f t="shared" si="0"/>
        <v>0</v>
      </c>
      <c r="Q22" s="68">
        <v>1</v>
      </c>
      <c r="R22" s="75">
        <f t="shared" si="3"/>
        <v>1</v>
      </c>
      <c r="S22" s="70">
        <v>1</v>
      </c>
      <c r="T22" s="71">
        <v>2.9802322387695314E-9</v>
      </c>
      <c r="V22" s="72"/>
      <c r="W22" s="73"/>
      <c r="X22" s="74"/>
      <c r="Y22" s="74"/>
    </row>
    <row r="23" spans="1:25" x14ac:dyDescent="0.25">
      <c r="A23" s="78" t="s">
        <v>44</v>
      </c>
      <c r="B23" s="55" t="s">
        <v>28</v>
      </c>
      <c r="C23" s="79" t="s">
        <v>29</v>
      </c>
      <c r="D23" s="80">
        <v>0.99</v>
      </c>
      <c r="E23" s="58">
        <f t="shared" si="2"/>
        <v>0</v>
      </c>
      <c r="F23" s="59">
        <v>45922</v>
      </c>
      <c r="G23" s="60"/>
      <c r="H23" s="61">
        <v>396000000</v>
      </c>
      <c r="I23" s="76">
        <v>45000000</v>
      </c>
      <c r="J23" s="76">
        <v>45000000</v>
      </c>
      <c r="K23" s="77">
        <v>45000000</v>
      </c>
      <c r="L23" s="64">
        <v>0</v>
      </c>
      <c r="M23" s="65" t="s">
        <v>33</v>
      </c>
      <c r="N23" s="81">
        <v>0</v>
      </c>
      <c r="O23" s="81">
        <v>0</v>
      </c>
      <c r="P23" s="67">
        <f t="shared" si="0"/>
        <v>0</v>
      </c>
      <c r="Q23" s="68">
        <v>5</v>
      </c>
      <c r="R23" s="75">
        <f t="shared" si="3"/>
        <v>1</v>
      </c>
      <c r="S23" s="82">
        <v>0</v>
      </c>
      <c r="T23" s="83">
        <v>2.9802322387695314E-9</v>
      </c>
      <c r="V23" s="72"/>
      <c r="W23" s="73"/>
      <c r="X23" s="74"/>
      <c r="Y23" s="74"/>
    </row>
    <row r="24" spans="1:25" x14ac:dyDescent="0.25">
      <c r="A24" s="78" t="s">
        <v>45</v>
      </c>
      <c r="B24" s="55" t="s">
        <v>28</v>
      </c>
      <c r="C24" s="79" t="s">
        <v>29</v>
      </c>
      <c r="D24" s="80"/>
      <c r="E24" s="58">
        <f t="shared" si="2"/>
        <v>0</v>
      </c>
      <c r="F24" s="59"/>
      <c r="G24" s="60"/>
      <c r="H24" s="61">
        <v>354000000</v>
      </c>
      <c r="I24" s="76"/>
      <c r="J24" s="76"/>
      <c r="K24" s="77"/>
      <c r="L24" s="84"/>
      <c r="M24" s="65"/>
      <c r="N24" s="81"/>
      <c r="O24" s="81"/>
      <c r="P24" s="85"/>
      <c r="Q24" s="68"/>
      <c r="R24" s="86"/>
      <c r="S24" s="82"/>
      <c r="T24" s="83"/>
      <c r="V24" s="72"/>
      <c r="W24" s="73"/>
      <c r="X24" s="74"/>
      <c r="Y24" s="74"/>
    </row>
    <row r="25" spans="1:25" x14ac:dyDescent="0.25">
      <c r="A25" s="78"/>
      <c r="B25" s="55"/>
      <c r="C25" s="87"/>
      <c r="D25" s="80"/>
      <c r="E25" s="88"/>
      <c r="F25" s="59"/>
      <c r="G25" s="60"/>
      <c r="H25" s="61"/>
      <c r="I25" s="76"/>
      <c r="J25" s="76"/>
      <c r="K25" s="77"/>
      <c r="L25" s="84"/>
      <c r="M25" s="65"/>
      <c r="N25" s="81"/>
      <c r="O25" s="81"/>
      <c r="P25" s="85"/>
      <c r="Q25" s="68"/>
      <c r="R25" s="86"/>
      <c r="S25" s="82"/>
      <c r="T25" s="89"/>
      <c r="X25" s="74"/>
      <c r="Y25" s="74"/>
    </row>
    <row r="26" spans="1:25" s="105" customFormat="1" x14ac:dyDescent="0.25">
      <c r="A26" s="90" t="s">
        <v>46</v>
      </c>
      <c r="B26" s="91"/>
      <c r="C26" s="91"/>
      <c r="D26" s="92"/>
      <c r="E26" s="93"/>
      <c r="F26" s="94"/>
      <c r="G26" s="95"/>
      <c r="H26" s="96">
        <f>SUM(H10:H25)</f>
        <v>5632198580.0900002</v>
      </c>
      <c r="I26" s="97">
        <f>SUM(I10:I25)</f>
        <v>2545620986</v>
      </c>
      <c r="J26" s="97">
        <f>SUM(J10:J25)</f>
        <v>2331746907</v>
      </c>
      <c r="K26" s="98">
        <f>SUM(K10:K25)</f>
        <v>2775978203</v>
      </c>
      <c r="L26" s="99">
        <f>SUM(L10:L25)</f>
        <v>756298624.46000004</v>
      </c>
      <c r="M26" s="100"/>
      <c r="N26" s="101">
        <f>SUM(N10:N25)</f>
        <v>528405364</v>
      </c>
      <c r="O26" s="101">
        <f>SUM(O10:O25)</f>
        <v>416760364</v>
      </c>
      <c r="P26" s="99">
        <f>SUM(P10:P25)</f>
        <v>444231296</v>
      </c>
      <c r="Q26" s="99"/>
      <c r="R26" s="102">
        <f t="shared" ref="R26" si="4">(L26+K26)/I26</f>
        <v>1.3875894514094016</v>
      </c>
      <c r="S26" s="103">
        <v>1.4092335405817751</v>
      </c>
      <c r="T26" s="104"/>
      <c r="V26" s="72"/>
      <c r="X26" s="74"/>
      <c r="Y26" s="74"/>
    </row>
    <row r="27" spans="1:25" x14ac:dyDescent="0.25">
      <c r="A27" s="106"/>
      <c r="B27" s="55"/>
      <c r="C27" s="87"/>
      <c r="D27" s="80"/>
      <c r="E27" s="88"/>
      <c r="F27" s="59"/>
      <c r="G27" s="60"/>
      <c r="H27" s="61"/>
      <c r="I27" s="76"/>
      <c r="J27" s="76"/>
      <c r="K27" s="77"/>
      <c r="L27" s="84"/>
      <c r="M27" s="107"/>
      <c r="N27" s="66"/>
      <c r="O27" s="108"/>
      <c r="P27" s="66"/>
      <c r="Q27" s="109"/>
      <c r="R27" s="75"/>
      <c r="S27" s="110"/>
      <c r="T27" s="111"/>
    </row>
    <row r="28" spans="1:25" s="105" customFormat="1" ht="15.75" thickBot="1" x14ac:dyDescent="0.3">
      <c r="A28" s="112" t="s">
        <v>47</v>
      </c>
      <c r="B28" s="113"/>
      <c r="C28" s="114"/>
      <c r="D28" s="115"/>
      <c r="E28" s="116"/>
      <c r="F28" s="117"/>
      <c r="G28" s="118"/>
      <c r="H28" s="119">
        <f>SUM(H27:H27)</f>
        <v>0</v>
      </c>
      <c r="I28" s="120">
        <f>SUM(I27:I27)</f>
        <v>0</v>
      </c>
      <c r="J28" s="120">
        <f>SUM(J27:J27)</f>
        <v>0</v>
      </c>
      <c r="K28" s="120">
        <f>SUM(K27:K27)</f>
        <v>0</v>
      </c>
      <c r="L28" s="121">
        <f>SUM(L27:L27)</f>
        <v>0</v>
      </c>
      <c r="M28" s="122"/>
      <c r="N28" s="123">
        <f>SUM(N27:N27)</f>
        <v>0</v>
      </c>
      <c r="O28" s="124">
        <f>SUM(O27:O27)</f>
        <v>0</v>
      </c>
      <c r="P28" s="124">
        <f>SUM(P27:P27)</f>
        <v>0</v>
      </c>
      <c r="Q28" s="124"/>
      <c r="R28" s="125" t="e">
        <f>(L28+K28)/I28</f>
        <v>#DIV/0!</v>
      </c>
      <c r="S28" s="126"/>
      <c r="T28" s="127"/>
    </row>
    <row r="29" spans="1:25" s="7" customFormat="1" ht="16.5" thickTop="1" thickBot="1" x14ac:dyDescent="0.3">
      <c r="A29" s="128" t="s">
        <v>48</v>
      </c>
      <c r="B29" s="129"/>
      <c r="C29" s="129"/>
      <c r="D29" s="129"/>
      <c r="E29" s="129"/>
      <c r="F29" s="129"/>
      <c r="G29" s="130"/>
      <c r="H29" s="131">
        <f>H26+H28</f>
        <v>5632198580.0900002</v>
      </c>
      <c r="I29" s="132">
        <f>I26+I28</f>
        <v>2545620986</v>
      </c>
      <c r="J29" s="132">
        <f>J26+J28</f>
        <v>2331746907</v>
      </c>
      <c r="K29" s="133">
        <f>K26+K28</f>
        <v>2775978203</v>
      </c>
      <c r="L29" s="134">
        <f>L26+L28</f>
        <v>756298624.46000004</v>
      </c>
      <c r="M29" s="135"/>
      <c r="N29" s="136">
        <f>N26+N28</f>
        <v>528405364</v>
      </c>
      <c r="O29" s="134">
        <f>O26+O28</f>
        <v>416760364</v>
      </c>
      <c r="P29" s="134">
        <f>P26+P28</f>
        <v>444231296</v>
      </c>
      <c r="Q29" s="134"/>
      <c r="R29" s="137">
        <f>(L29+K29)/I29</f>
        <v>1.3875894514094016</v>
      </c>
      <c r="S29" s="137">
        <v>1.4092335405817751</v>
      </c>
      <c r="T29" s="138">
        <v>0.41870947480201726</v>
      </c>
      <c r="Y29" s="139"/>
    </row>
    <row r="30" spans="1:25" x14ac:dyDescent="0.25">
      <c r="I30" s="73"/>
      <c r="J30" s="73"/>
      <c r="K30" s="73"/>
      <c r="L30" s="73"/>
      <c r="M30" s="73"/>
      <c r="N30" s="73"/>
      <c r="O30" s="73"/>
      <c r="P30" s="73"/>
      <c r="Q30" s="73"/>
    </row>
    <row r="31" spans="1:25" x14ac:dyDescent="0.25">
      <c r="A31" s="7" t="s">
        <v>49</v>
      </c>
      <c r="C31" s="13"/>
      <c r="D31" s="13"/>
      <c r="E31" s="13"/>
      <c r="H31" s="140"/>
      <c r="I31" s="141"/>
      <c r="J31" s="139" t="s">
        <v>50</v>
      </c>
    </row>
    <row r="32" spans="1:25" x14ac:dyDescent="0.25">
      <c r="A32" s="15" t="s">
        <v>51</v>
      </c>
      <c r="B32" s="15"/>
      <c r="F32" s="15"/>
      <c r="G32" s="15"/>
      <c r="H32" s="73"/>
      <c r="I32" s="15"/>
      <c r="J32" s="15" t="s">
        <v>52</v>
      </c>
    </row>
    <row r="33" spans="1:10" x14ac:dyDescent="0.25">
      <c r="A33" s="15" t="s">
        <v>53</v>
      </c>
      <c r="B33" s="15"/>
      <c r="F33" s="15"/>
      <c r="G33" s="15"/>
      <c r="I33" s="141"/>
      <c r="J33" s="15" t="s">
        <v>54</v>
      </c>
    </row>
    <row r="34" spans="1:10" x14ac:dyDescent="0.25">
      <c r="A34" s="15" t="s">
        <v>55</v>
      </c>
      <c r="B34" s="15"/>
      <c r="F34" s="15"/>
      <c r="G34" s="15"/>
      <c r="I34" s="141"/>
      <c r="J34" s="15" t="s">
        <v>56</v>
      </c>
    </row>
    <row r="35" spans="1:10" x14ac:dyDescent="0.25">
      <c r="A35" s="15" t="s">
        <v>57</v>
      </c>
      <c r="B35" s="15"/>
      <c r="F35" s="15"/>
      <c r="G35" s="15"/>
      <c r="I35" s="141"/>
      <c r="J35" s="15" t="s">
        <v>58</v>
      </c>
    </row>
    <row r="36" spans="1:10" x14ac:dyDescent="0.25">
      <c r="A36" s="15" t="s">
        <v>59</v>
      </c>
      <c r="B36" s="15"/>
      <c r="F36" s="15"/>
      <c r="G36" s="15"/>
      <c r="I36" s="141"/>
      <c r="J36" s="15" t="s">
        <v>60</v>
      </c>
    </row>
    <row r="37" spans="1:10" x14ac:dyDescent="0.25">
      <c r="A37" s="15" t="s">
        <v>61</v>
      </c>
      <c r="B37" s="15"/>
      <c r="F37" s="15"/>
      <c r="G37" s="15"/>
      <c r="I37" s="141"/>
      <c r="J37" s="15" t="s">
        <v>62</v>
      </c>
    </row>
    <row r="38" spans="1:10" x14ac:dyDescent="0.25">
      <c r="A38" s="15" t="s">
        <v>63</v>
      </c>
      <c r="B38" s="15"/>
      <c r="F38" s="15"/>
      <c r="G38" s="15"/>
      <c r="I38" s="141"/>
      <c r="J38" s="15" t="s">
        <v>64</v>
      </c>
    </row>
    <row r="39" spans="1:10" x14ac:dyDescent="0.25">
      <c r="A39" s="15" t="s">
        <v>65</v>
      </c>
      <c r="B39" s="15"/>
      <c r="F39" s="15"/>
      <c r="G39" s="15"/>
      <c r="I39" s="141"/>
      <c r="J39" s="15" t="s">
        <v>66</v>
      </c>
    </row>
    <row r="40" spans="1:10" x14ac:dyDescent="0.25">
      <c r="A40" s="15" t="s">
        <v>67</v>
      </c>
      <c r="C40" s="13"/>
      <c r="D40" s="13"/>
      <c r="E40" s="13"/>
      <c r="I40" s="141"/>
    </row>
    <row r="41" spans="1:10" x14ac:dyDescent="0.25">
      <c r="A41" s="15" t="s">
        <v>68</v>
      </c>
      <c r="C41" s="13"/>
      <c r="D41" s="13"/>
      <c r="E41" s="13"/>
      <c r="I41" s="141"/>
    </row>
    <row r="42" spans="1:10" x14ac:dyDescent="0.25">
      <c r="A42" s="15" t="s">
        <v>69</v>
      </c>
      <c r="C42" s="13"/>
      <c r="D42" s="13"/>
      <c r="E42" s="13"/>
      <c r="I42" s="141"/>
    </row>
    <row r="43" spans="1:10" x14ac:dyDescent="0.25">
      <c r="A43" s="15" t="s">
        <v>70</v>
      </c>
      <c r="C43" s="13"/>
      <c r="D43" s="13"/>
      <c r="E43" s="13"/>
      <c r="I43" s="141"/>
    </row>
    <row r="44" spans="1:10" x14ac:dyDescent="0.25">
      <c r="A44" s="15" t="s">
        <v>71</v>
      </c>
      <c r="C44" s="13"/>
      <c r="D44" s="13"/>
      <c r="E44" s="13"/>
      <c r="I44" s="141"/>
    </row>
    <row r="45" spans="1:10" x14ac:dyDescent="0.25">
      <c r="A45" s="15" t="s">
        <v>72</v>
      </c>
      <c r="C45" s="13"/>
      <c r="D45" s="13"/>
      <c r="E45" s="13"/>
      <c r="I45" s="141"/>
    </row>
    <row r="46" spans="1:10" x14ac:dyDescent="0.25">
      <c r="A46" s="15" t="s">
        <v>73</v>
      </c>
      <c r="C46" s="13"/>
      <c r="D46" s="13"/>
      <c r="E46" s="13"/>
      <c r="I46" s="141"/>
    </row>
    <row r="47" spans="1:10" x14ac:dyDescent="0.25">
      <c r="A47" s="15" t="s">
        <v>74</v>
      </c>
      <c r="C47" s="13"/>
      <c r="D47" s="13"/>
      <c r="E47" s="13"/>
      <c r="I47" s="141"/>
    </row>
    <row r="48" spans="1:10" x14ac:dyDescent="0.25">
      <c r="A48" s="13" t="s">
        <v>75</v>
      </c>
      <c r="I48" s="141"/>
    </row>
    <row r="49" spans="9:9" x14ac:dyDescent="0.25">
      <c r="I49" s="141"/>
    </row>
    <row r="50" spans="9:9" x14ac:dyDescent="0.25">
      <c r="I50" s="141"/>
    </row>
    <row r="51" spans="9:9" x14ac:dyDescent="0.25">
      <c r="I51" s="141"/>
    </row>
    <row r="52" spans="9:9" x14ac:dyDescent="0.25">
      <c r="I52" s="141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ea303004ca8b5dbbcdb569ff50970c28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25e8f2f8966ee4cc2f25bc8f135c686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479EB-F0BC-42D1-BE49-4B1E79CF4744}"/>
</file>

<file path=customXml/itemProps2.xml><?xml version="1.0" encoding="utf-8"?>
<ds:datastoreItem xmlns:ds="http://schemas.openxmlformats.org/officeDocument/2006/customXml" ds:itemID="{70BFB51B-CE91-4F19-B132-7FBE1BC0D582}"/>
</file>

<file path=customXml/itemProps3.xml><?xml version="1.0" encoding="utf-8"?>
<ds:datastoreItem xmlns:ds="http://schemas.openxmlformats.org/officeDocument/2006/customXml" ds:itemID="{DB892F2C-254C-4656-BC25-A37EAC0FF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Bryson</dc:creator>
  <cp:lastModifiedBy>Ben Bryson</cp:lastModifiedBy>
  <dcterms:created xsi:type="dcterms:W3CDTF">2025-10-31T14:40:30Z</dcterms:created>
  <dcterms:modified xsi:type="dcterms:W3CDTF">2025-10-31T14:41:12Z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