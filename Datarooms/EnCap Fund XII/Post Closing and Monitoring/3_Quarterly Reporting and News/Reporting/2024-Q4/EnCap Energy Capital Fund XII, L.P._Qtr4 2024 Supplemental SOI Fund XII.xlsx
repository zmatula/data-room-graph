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encap.biz\dfs\Common\Fund Administration\Financial Reporting - Accounting\2024\Fund XII\"/>
    </mc:Choice>
  </mc:AlternateContent>
  <xr:revisionPtr revIDLastSave="0" documentId="8_{513BC7FD-92AA-4F76-BCE2-A88C83DA628C}" xr6:coauthVersionLast="47" xr6:coauthVersionMax="47" xr10:uidLastSave="{00000000-0000-0000-0000-000000000000}"/>
  <bookViews>
    <workbookView xWindow="-120" yWindow="-120" windowWidth="29040" windowHeight="15720" xr2:uid="{D6911D16-CE89-4F6E-972E-5E0AB160A91F}"/>
  </bookViews>
  <sheets>
    <sheet name="Supp SOI" sheetId="1" r:id="rId1"/>
  </sheets>
  <definedNames>
    <definedName name="CQ">#REF!</definedName>
    <definedName name="CQ_and_PY_Date">#REF!</definedName>
    <definedName name="CQ_CAPS">#REF!</definedName>
    <definedName name="CQ_Comparative">#REF!</definedName>
    <definedName name="CY_Advances">#REF!</definedName>
    <definedName name="CY_Advances_Qtr">#REF!</definedName>
    <definedName name="CY_GP_IncomeLoss">#REF!</definedName>
    <definedName name="CY_Level3_Purchases">#REF!</definedName>
    <definedName name="CY_Level3_Purchases_Qtr">#REF!</definedName>
    <definedName name="CY_LP_IncomeLoss">#REF!</definedName>
    <definedName name="CY_MgmtFees">#REF!</definedName>
    <definedName name="CY_MgmtFees_Qtr">#REF!</definedName>
    <definedName name="CY_RLP_IncomeLoss">#REF!</definedName>
    <definedName name="CYTD">#REF!</definedName>
    <definedName name="CYTD_and_YE_PY_Date">#REF!</definedName>
    <definedName name="Deal_Commits">'Supp SOI'!$H$25</definedName>
    <definedName name="FN_FH_T1">#REF!</definedName>
    <definedName name="Inv_Level3_CQ">#REF!</definedName>
    <definedName name="Inv_Level3_PY">#REF!</definedName>
    <definedName name="Outstanding_Commits_MF">#REF!</definedName>
    <definedName name="Period_05">#REF!</definedName>
    <definedName name="_xlnm.Print_Area" localSheetId="0">'Supp SOI'!$A$1:$T$44</definedName>
    <definedName name="PY">#REF!</definedName>
    <definedName name="PY_AccruedCarry">#REF!</definedName>
    <definedName name="PY_Advances">#REF!</definedName>
    <definedName name="PY_Date">#REF!</definedName>
    <definedName name="PY_GP_IncomeLoss">#REF!</definedName>
    <definedName name="PY_Level3_Purchases">#REF!</definedName>
    <definedName name="PY_LP_IncomeLoss">#REF!</definedName>
    <definedName name="PY_MgmtFees">#REF!</definedName>
    <definedName name="SCH_T2">#REF!</definedName>
    <definedName name="Unfunded_DealCommits">'Supp SOI'!$Y$25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1" l="1"/>
  <c r="O24" i="1"/>
  <c r="N24" i="1"/>
  <c r="L24" i="1"/>
  <c r="R24" i="1" s="1"/>
  <c r="K24" i="1"/>
  <c r="J24" i="1"/>
  <c r="I24" i="1"/>
  <c r="H24" i="1"/>
  <c r="R20" i="1"/>
  <c r="P20" i="1"/>
  <c r="E20" i="1"/>
  <c r="R19" i="1"/>
  <c r="P19" i="1"/>
  <c r="E19" i="1"/>
  <c r="P18" i="1"/>
  <c r="R18" i="1"/>
  <c r="E18" i="1"/>
  <c r="R17" i="1"/>
  <c r="P17" i="1"/>
  <c r="E17" i="1"/>
  <c r="P16" i="1"/>
  <c r="R16" i="1"/>
  <c r="E16" i="1"/>
  <c r="R15" i="1"/>
  <c r="P15" i="1"/>
  <c r="E15" i="1"/>
  <c r="P14" i="1"/>
  <c r="R14" i="1"/>
  <c r="E14" i="1"/>
  <c r="R13" i="1"/>
  <c r="P13" i="1"/>
  <c r="I13" i="1"/>
  <c r="E13" i="1"/>
  <c r="R12" i="1"/>
  <c r="P12" i="1"/>
  <c r="J12" i="1"/>
  <c r="E12" i="1"/>
  <c r="P11" i="1"/>
  <c r="H11" i="1"/>
  <c r="H22" i="1" s="1"/>
  <c r="H25" i="1" s="1"/>
  <c r="E11" i="1"/>
  <c r="L22" i="1"/>
  <c r="K22" i="1"/>
  <c r="K25" i="1" s="1"/>
  <c r="J10" i="1"/>
  <c r="E10" i="1"/>
  <c r="R22" i="1" l="1"/>
  <c r="L25" i="1"/>
  <c r="R25" i="1" s="1"/>
  <c r="J22" i="1"/>
  <c r="J25" i="1" s="1"/>
  <c r="R11" i="1"/>
  <c r="P10" i="1"/>
  <c r="P22" i="1" s="1"/>
  <c r="P25" i="1" s="1"/>
  <c r="I22" i="1"/>
  <c r="I25" i="1" s="1"/>
  <c r="R10" i="1"/>
  <c r="N22" i="1" l="1"/>
  <c r="N25" i="1" s="1"/>
  <c r="O22" i="1"/>
  <c r="O25" i="1" s="1"/>
</calcChain>
</file>

<file path=xl/sharedStrings.xml><?xml version="1.0" encoding="utf-8"?>
<sst xmlns="http://schemas.openxmlformats.org/spreadsheetml/2006/main" count="118" uniqueCount="89">
  <si>
    <t>PARTNERSHIP NAME:</t>
  </si>
  <si>
    <t>Note:  Unaudited</t>
  </si>
  <si>
    <t>QUARTER ENDED:</t>
  </si>
  <si>
    <t>LP Ownership %</t>
  </si>
  <si>
    <t>SUPPLEMENTAL SCHEDULE OF INVESTMENTS</t>
  </si>
  <si>
    <t>Company Name</t>
  </si>
  <si>
    <t>Security Type</t>
  </si>
  <si>
    <t>Number of Shares</t>
  </si>
  <si>
    <t>Fund Ownership % (Fully Diluted)</t>
  </si>
  <si>
    <t>LP Ownership % (Fully Diluted)</t>
  </si>
  <si>
    <t>Initial Investment Date</t>
  </si>
  <si>
    <t>Final
Exit 
Date</t>
  </si>
  <si>
    <t>Fund Level Investment Data (Expressed in $)</t>
  </si>
  <si>
    <t>Valuation Driver*</t>
  </si>
  <si>
    <t xml:space="preserve">Period Change in Valuation </t>
  </si>
  <si>
    <t xml:space="preserve">Period Change in Cost </t>
  </si>
  <si>
    <t>Unrealized gains/(losses) &amp; accrued interest</t>
  </si>
  <si>
    <t>Movement Summary**</t>
  </si>
  <si>
    <t>Inv. Multiple: (C+D)/A</t>
  </si>
  <si>
    <t>Security Type IRR (SI)</t>
  </si>
  <si>
    <t>Fund Commitment</t>
  </si>
  <si>
    <t>Total Invested (A)</t>
  </si>
  <si>
    <t>Current Cost (B)</t>
  </si>
  <si>
    <t>Reported Value (C)</t>
  </si>
  <si>
    <t>Realized Proceeds (D)</t>
  </si>
  <si>
    <t>Current Quarter</t>
  </si>
  <si>
    <t>Prior Quarter</t>
  </si>
  <si>
    <t>Equity</t>
  </si>
  <si>
    <t>N/A</t>
  </si>
  <si>
    <t>H, J</t>
  </si>
  <si>
    <t>8,4</t>
  </si>
  <si>
    <t>Double Eagle IV</t>
  </si>
  <si>
    <t>Grayson Mill III</t>
  </si>
  <si>
    <t>Q</t>
  </si>
  <si>
    <t>Ridge Runner</t>
  </si>
  <si>
    <t>A</t>
  </si>
  <si>
    <t>Black Swan II</t>
  </si>
  <si>
    <t>Pegasus Resource Holdings III, LLC</t>
  </si>
  <si>
    <t>Pegasus III</t>
  </si>
  <si>
    <t>Paloma Permian Holdings, LLC</t>
  </si>
  <si>
    <t>Paloma VII</t>
  </si>
  <si>
    <t>Novo Oil &amp; Gas Holdings II, LLC</t>
  </si>
  <si>
    <t>Novo II</t>
  </si>
  <si>
    <t>Verdun Oil Company III, LLC</t>
  </si>
  <si>
    <t>Verdun III</t>
  </si>
  <si>
    <t>Double Eagle Energy Holdings V, LLC</t>
  </si>
  <si>
    <t>Double Eagle V</t>
  </si>
  <si>
    <t>Dunamis Energy, LLC</t>
  </si>
  <si>
    <t>Dunamis</t>
  </si>
  <si>
    <t>Tumbleweed Royalty V, LLC</t>
  </si>
  <si>
    <t>Tumbleweed V</t>
  </si>
  <si>
    <t>Sub Total  Active:</t>
  </si>
  <si>
    <t>unrealized</t>
  </si>
  <si>
    <t>Sub Total Liquidated:</t>
  </si>
  <si>
    <t>Grand Total:</t>
  </si>
  <si>
    <t>*Valuation Driver:</t>
  </si>
  <si>
    <t>**Movement Summary:</t>
  </si>
  <si>
    <t>A- Investment held at cost</t>
  </si>
  <si>
    <t>1 - No Change</t>
  </si>
  <si>
    <t>B - Valuation has been reduced due to significant deterioration in the company's performance and potential</t>
  </si>
  <si>
    <t>2 - Change in public market value</t>
  </si>
  <si>
    <t>C - Valuation has been adjusted to the value paid by a sophisticated unrelated new investor</t>
  </si>
  <si>
    <t>3 - Deterioration in performance and potential</t>
  </si>
  <si>
    <t>D - Valuation at a later round of financing (no new unrelated investor)</t>
  </si>
  <si>
    <t>4 - Future realization proceeds</t>
  </si>
  <si>
    <t>E - Valuation based on the closing quoted price</t>
  </si>
  <si>
    <t>5 - Follow-on financing</t>
  </si>
  <si>
    <t>F - Valuation based on the closing quoted price with a discount for lock up restrictions</t>
  </si>
  <si>
    <t>6 - New investment</t>
  </si>
  <si>
    <t>G - Follow-on costs of a written down investment</t>
  </si>
  <si>
    <t>7 - Investment write-off</t>
  </si>
  <si>
    <t>H - Future realization proceeds</t>
  </si>
  <si>
    <t>8 - Realized investment</t>
  </si>
  <si>
    <t>I - Valuation based on fairness option in relation to proposed merger</t>
  </si>
  <si>
    <t>J - Realization</t>
  </si>
  <si>
    <t>K - Valuation based on recent transaction multiples</t>
  </si>
  <si>
    <t>L - Valuation based on recent market multiples</t>
  </si>
  <si>
    <t>M - Valuation based on recent market and transaction multiples</t>
  </si>
  <si>
    <t>N - Valuation based on expert third party opinion</t>
  </si>
  <si>
    <t>O - Valuation based on closing quoted price plus valuation of warrants</t>
  </si>
  <si>
    <t>P - Revised company prospects</t>
  </si>
  <si>
    <t>Q - Valuation is based on the PV10 of the future cash flow stream on a risk adjusted basis</t>
  </si>
  <si>
    <t>ENCAP ENERGY CAPITAL FUND XII, L.P.</t>
  </si>
  <si>
    <t>December 31, 2024</t>
  </si>
  <si>
    <t>EnCap DE IV Co-Invest, LLC</t>
  </si>
  <si>
    <t>EnCap GM III Co-Invest, LLC</t>
  </si>
  <si>
    <t>Ridge Runner Resources II, LLC</t>
  </si>
  <si>
    <t>Black Swan Oil &amp; Gas II Holdings, LLC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</si>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</sst>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;@"/>
    <numFmt numFmtId="165" formatCode="0.0000%"/>
    <numFmt numFmtId="166" formatCode="_(* #,##0_);_(* \(#,##0\);_(* &quot;-&quot;??_);_(@_)"/>
    <numFmt numFmtId="167" formatCode="&quot;$&quot;#,##0"/>
    <numFmt numFmtId="168" formatCode="#,##0.0"/>
  </numFmts>
  <fonts count="15" x14ac:knownFonts="1">
    <font>
      <sz val="10"/>
      <name val="Arial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0"/>
      <name val="Arial"/>
      <family val="2"/>
    </font>
    <font>
      <sz val="11"/>
      <color theme="0"/>
      <name val="Times New Roman"/>
      <family val="1"/>
    </font>
    <font>
      <b/>
      <i/>
      <sz val="11"/>
      <name val="Times New Roman"/>
      <family val="1"/>
    </font>
    <font>
      <b/>
      <sz val="11"/>
      <name val="Times New Roman"/>
      <family val="1"/>
    </font>
    <font>
      <b/>
      <i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4">
    <xf numFmtId="0" fontId="0" fillId="0" borderId="0" applyBorder="0"/>
    <xf numFmtId="9" fontId="10" fillId="0" borderId="0" applyFont="0" applyFill="0" applyBorder="0" applyAlignment="0" applyProtection="0"/>
    <xf numFmtId="0" fontId="1" fillId="0" borderId="0"/>
    <xf numFmtId="0" fontId="10" fillId="0" borderId="0" applyBorder="0"/>
  </cellStyleXfs>
  <cellXfs count="141">
    <xf numFmtId="0" fontId="0" fillId="0" borderId="0" xfId="0"/>
    <xf numFmtId="0" fontId="2" fillId="0" borderId="0" xfId="0" applyFont="1"/>
    <xf numFmtId="0" fontId="3" fillId="0" borderId="1" xfId="2" quotePrefix="1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7" fillId="0" borderId="0" xfId="0" applyFont="1" applyBorder="1"/>
    <xf numFmtId="0" fontId="8" fillId="0" borderId="0" xfId="0" applyFont="1"/>
    <xf numFmtId="0" fontId="9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165" fontId="7" fillId="2" borderId="0" xfId="1" applyNumberFormat="1" applyFont="1" applyFill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8" fillId="0" borderId="0" xfId="3" applyFont="1" applyBorder="1" applyAlignment="1">
      <alignment horizontal="center"/>
    </xf>
    <xf numFmtId="0" fontId="8" fillId="3" borderId="1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wrapText="1"/>
    </xf>
    <xf numFmtId="0" fontId="8" fillId="0" borderId="23" xfId="0" applyFont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wrapText="1"/>
    </xf>
    <xf numFmtId="0" fontId="8" fillId="3" borderId="20" xfId="0" applyFont="1" applyFill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8" fillId="0" borderId="26" xfId="0" applyFont="1" applyBorder="1"/>
    <xf numFmtId="0" fontId="8" fillId="0" borderId="27" xfId="0" applyFont="1" applyBorder="1"/>
    <xf numFmtId="166" fontId="7" fillId="0" borderId="28" xfId="0" applyNumberFormat="1" applyFont="1" applyBorder="1"/>
    <xf numFmtId="9" fontId="7" fillId="0" borderId="28" xfId="0" applyNumberFormat="1" applyFont="1" applyBorder="1"/>
    <xf numFmtId="10" fontId="7" fillId="0" borderId="3" xfId="0" applyNumberFormat="1" applyFont="1" applyBorder="1"/>
    <xf numFmtId="164" fontId="8" fillId="0" borderId="27" xfId="0" applyNumberFormat="1" applyFont="1" applyBorder="1"/>
    <xf numFmtId="164" fontId="8" fillId="0" borderId="29" xfId="0" applyNumberFormat="1" applyFont="1" applyBorder="1"/>
    <xf numFmtId="3" fontId="8" fillId="0" borderId="30" xfId="0" applyNumberFormat="1" applyFont="1" applyBorder="1"/>
    <xf numFmtId="3" fontId="8" fillId="0" borderId="28" xfId="0" applyNumberFormat="1" applyFont="1" applyBorder="1"/>
    <xf numFmtId="3" fontId="8" fillId="0" borderId="3" xfId="0" applyNumberFormat="1" applyFont="1" applyBorder="1"/>
    <xf numFmtId="3" fontId="8" fillId="0" borderId="31" xfId="0" applyNumberFormat="1" applyFont="1" applyBorder="1"/>
    <xf numFmtId="0" fontId="8" fillId="0" borderId="32" xfId="0" applyFont="1" applyBorder="1" applyAlignment="1">
      <alignment horizontal="center"/>
    </xf>
    <xf numFmtId="3" fontId="8" fillId="0" borderId="33" xfId="0" applyNumberFormat="1" applyFont="1" applyBorder="1"/>
    <xf numFmtId="167" fontId="8" fillId="0" borderId="33" xfId="0" applyNumberFormat="1" applyFont="1" applyBorder="1"/>
    <xf numFmtId="0" fontId="8" fillId="0" borderId="29" xfId="0" applyFont="1" applyBorder="1" applyAlignment="1">
      <alignment horizontal="center" vertical="top"/>
    </xf>
    <xf numFmtId="2" fontId="8" fillId="0" borderId="34" xfId="0" applyNumberFormat="1" applyFont="1" applyBorder="1"/>
    <xf numFmtId="2" fontId="8" fillId="0" borderId="35" xfId="0" applyNumberFormat="1" applyFont="1" applyBorder="1"/>
    <xf numFmtId="9" fontId="8" fillId="0" borderId="33" xfId="0" applyNumberFormat="1" applyFont="1" applyBorder="1" applyAlignment="1">
      <alignment horizontal="right"/>
    </xf>
    <xf numFmtId="0" fontId="11" fillId="0" borderId="0" xfId="0" applyFont="1"/>
    <xf numFmtId="3" fontId="8" fillId="0" borderId="0" xfId="0" applyNumberFormat="1" applyFont="1"/>
    <xf numFmtId="3" fontId="8" fillId="0" borderId="0" xfId="0" applyNumberFormat="1" applyFont="1" applyBorder="1"/>
    <xf numFmtId="2" fontId="8" fillId="0" borderId="26" xfId="0" applyNumberFormat="1" applyFont="1" applyBorder="1"/>
    <xf numFmtId="3" fontId="8" fillId="0" borderId="27" xfId="0" applyNumberFormat="1" applyFont="1" applyBorder="1"/>
    <xf numFmtId="3" fontId="8" fillId="0" borderId="36" xfId="0" applyNumberFormat="1" applyFont="1" applyBorder="1"/>
    <xf numFmtId="0" fontId="8" fillId="0" borderId="30" xfId="0" applyFont="1" applyBorder="1"/>
    <xf numFmtId="166" fontId="7" fillId="0" borderId="27" xfId="0" applyNumberFormat="1" applyFont="1" applyBorder="1"/>
    <xf numFmtId="0" fontId="7" fillId="0" borderId="27" xfId="0" applyFont="1" applyBorder="1"/>
    <xf numFmtId="9" fontId="7" fillId="0" borderId="27" xfId="0" applyNumberFormat="1" applyFont="1" applyBorder="1"/>
    <xf numFmtId="10" fontId="7" fillId="0" borderId="36" xfId="0" applyNumberFormat="1" applyFont="1" applyBorder="1"/>
    <xf numFmtId="3" fontId="8" fillId="0" borderId="29" xfId="0" applyNumberFormat="1" applyFont="1" applyBorder="1"/>
    <xf numFmtId="3" fontId="8" fillId="0" borderId="37" xfId="0" applyNumberFormat="1" applyFont="1" applyBorder="1"/>
    <xf numFmtId="167" fontId="8" fillId="0" borderId="37" xfId="0" applyNumberFormat="1" applyFont="1" applyBorder="1"/>
    <xf numFmtId="2" fontId="8" fillId="0" borderId="30" xfId="0" applyNumberFormat="1" applyFont="1" applyBorder="1"/>
    <xf numFmtId="2" fontId="8" fillId="0" borderId="29" xfId="0" applyNumberFormat="1" applyFont="1" applyBorder="1"/>
    <xf numFmtId="9" fontId="8" fillId="0" borderId="37" xfId="0" applyNumberFormat="1" applyFont="1" applyBorder="1"/>
    <xf numFmtId="0" fontId="12" fillId="4" borderId="38" xfId="0" applyFont="1" applyFill="1" applyBorder="1"/>
    <xf numFmtId="0" fontId="13" fillId="4" borderId="27" xfId="0" applyFont="1" applyFill="1" applyBorder="1"/>
    <xf numFmtId="9" fontId="13" fillId="4" borderId="27" xfId="0" applyNumberFormat="1" applyFont="1" applyFill="1" applyBorder="1"/>
    <xf numFmtId="10" fontId="13" fillId="4" borderId="36" xfId="0" applyNumberFormat="1" applyFont="1" applyFill="1" applyBorder="1"/>
    <xf numFmtId="164" fontId="13" fillId="4" borderId="27" xfId="0" applyNumberFormat="1" applyFont="1" applyFill="1" applyBorder="1"/>
    <xf numFmtId="164" fontId="13" fillId="4" borderId="29" xfId="0" applyNumberFormat="1" applyFont="1" applyFill="1" applyBorder="1"/>
    <xf numFmtId="3" fontId="12" fillId="4" borderId="26" xfId="0" applyNumberFormat="1" applyFont="1" applyFill="1" applyBorder="1"/>
    <xf numFmtId="3" fontId="12" fillId="4" borderId="28" xfId="0" applyNumberFormat="1" applyFont="1" applyFill="1" applyBorder="1"/>
    <xf numFmtId="3" fontId="12" fillId="4" borderId="3" xfId="0" applyNumberFormat="1" applyFont="1" applyFill="1" applyBorder="1"/>
    <xf numFmtId="3" fontId="12" fillId="4" borderId="31" xfId="0" applyNumberFormat="1" applyFont="1" applyFill="1" applyBorder="1"/>
    <xf numFmtId="3" fontId="12" fillId="4" borderId="2" xfId="0" applyNumberFormat="1" applyFont="1" applyFill="1" applyBorder="1"/>
    <xf numFmtId="3" fontId="12" fillId="4" borderId="33" xfId="0" applyNumberFormat="1" applyFont="1" applyFill="1" applyBorder="1"/>
    <xf numFmtId="2" fontId="12" fillId="4" borderId="26" xfId="0" applyNumberFormat="1" applyFont="1" applyFill="1" applyBorder="1"/>
    <xf numFmtId="2" fontId="12" fillId="4" borderId="39" xfId="0" applyNumberFormat="1" applyFont="1" applyFill="1" applyBorder="1"/>
    <xf numFmtId="9" fontId="6" fillId="5" borderId="33" xfId="0" applyNumberFormat="1" applyFont="1" applyFill="1" applyBorder="1" applyAlignment="1">
      <alignment horizontal="right"/>
    </xf>
    <xf numFmtId="0" fontId="14" fillId="0" borderId="0" xfId="0" applyFont="1"/>
    <xf numFmtId="0" fontId="8" fillId="0" borderId="34" xfId="0" applyFont="1" applyBorder="1"/>
    <xf numFmtId="3" fontId="8" fillId="0" borderId="2" xfId="0" applyNumberFormat="1" applyFont="1" applyBorder="1"/>
    <xf numFmtId="37" fontId="8" fillId="0" borderId="33" xfId="0" applyNumberFormat="1" applyFont="1" applyBorder="1"/>
    <xf numFmtId="0" fontId="8" fillId="0" borderId="31" xfId="0" applyFont="1" applyBorder="1" applyAlignment="1">
      <alignment horizontal="center" vertical="top"/>
    </xf>
    <xf numFmtId="2" fontId="8" fillId="0" borderId="31" xfId="0" applyNumberFormat="1" applyFont="1" applyBorder="1"/>
    <xf numFmtId="9" fontId="8" fillId="0" borderId="33" xfId="0" applyNumberFormat="1" applyFont="1" applyBorder="1"/>
    <xf numFmtId="0" fontId="14" fillId="4" borderId="40" xfId="0" applyFont="1" applyFill="1" applyBorder="1"/>
    <xf numFmtId="0" fontId="8" fillId="4" borderId="27" xfId="0" applyFont="1" applyFill="1" applyBorder="1"/>
    <xf numFmtId="0" fontId="7" fillId="4" borderId="27" xfId="0" applyFont="1" applyFill="1" applyBorder="1"/>
    <xf numFmtId="9" fontId="7" fillId="4" borderId="27" xfId="0" applyNumberFormat="1" applyFont="1" applyFill="1" applyBorder="1"/>
    <xf numFmtId="10" fontId="7" fillId="4" borderId="36" xfId="0" applyNumberFormat="1" applyFont="1" applyFill="1" applyBorder="1"/>
    <xf numFmtId="14" fontId="8" fillId="4" borderId="27" xfId="0" applyNumberFormat="1" applyFont="1" applyFill="1" applyBorder="1"/>
    <xf numFmtId="0" fontId="8" fillId="4" borderId="29" xfId="0" applyFont="1" applyFill="1" applyBorder="1"/>
    <xf numFmtId="3" fontId="14" fillId="4" borderId="41" xfId="0" applyNumberFormat="1" applyFont="1" applyFill="1" applyBorder="1"/>
    <xf numFmtId="3" fontId="14" fillId="4" borderId="42" xfId="0" applyNumberFormat="1" applyFont="1" applyFill="1" applyBorder="1"/>
    <xf numFmtId="3" fontId="14" fillId="4" borderId="43" xfId="0" applyNumberFormat="1" applyFont="1" applyFill="1" applyBorder="1"/>
    <xf numFmtId="3" fontId="14" fillId="4" borderId="44" xfId="0" applyNumberFormat="1" applyFont="1" applyFill="1" applyBorder="1"/>
    <xf numFmtId="3" fontId="14" fillId="4" borderId="45" xfId="0" applyNumberFormat="1" applyFont="1" applyFill="1" applyBorder="1"/>
    <xf numFmtId="3" fontId="14" fillId="4" borderId="46" xfId="0" applyNumberFormat="1" applyFont="1" applyFill="1" applyBorder="1"/>
    <xf numFmtId="2" fontId="14" fillId="4" borderId="46" xfId="0" applyNumberFormat="1" applyFont="1" applyFill="1" applyBorder="1"/>
    <xf numFmtId="2" fontId="14" fillId="4" borderId="43" xfId="0" applyNumberFormat="1" applyFont="1" applyFill="1" applyBorder="1"/>
    <xf numFmtId="9" fontId="6" fillId="5" borderId="47" xfId="0" applyNumberFormat="1" applyFont="1" applyFill="1" applyBorder="1" applyAlignment="1">
      <alignment horizontal="right"/>
    </xf>
    <xf numFmtId="0" fontId="14" fillId="6" borderId="48" xfId="0" applyFont="1" applyFill="1" applyBorder="1"/>
    <xf numFmtId="0" fontId="14" fillId="6" borderId="4" xfId="0" applyFont="1" applyFill="1" applyBorder="1"/>
    <xf numFmtId="0" fontId="14" fillId="6" borderId="20" xfId="0" applyFont="1" applyFill="1" applyBorder="1"/>
    <xf numFmtId="3" fontId="6" fillId="6" borderId="17" xfId="0" applyNumberFormat="1" applyFont="1" applyFill="1" applyBorder="1" applyAlignment="1">
      <alignment horizontal="right"/>
    </xf>
    <xf numFmtId="3" fontId="6" fillId="6" borderId="18" xfId="0" applyNumberFormat="1" applyFont="1" applyFill="1" applyBorder="1" applyAlignment="1">
      <alignment horizontal="right"/>
    </xf>
    <xf numFmtId="3" fontId="6" fillId="6" borderId="19" xfId="0" applyNumberFormat="1" applyFont="1" applyFill="1" applyBorder="1" applyAlignment="1">
      <alignment horizontal="right"/>
    </xf>
    <xf numFmtId="3" fontId="6" fillId="6" borderId="20" xfId="0" applyNumberFormat="1" applyFont="1" applyFill="1" applyBorder="1" applyAlignment="1">
      <alignment horizontal="right"/>
    </xf>
    <xf numFmtId="3" fontId="6" fillId="6" borderId="4" xfId="0" applyNumberFormat="1" applyFont="1" applyFill="1" applyBorder="1" applyAlignment="1">
      <alignment horizontal="right"/>
    </xf>
    <xf numFmtId="3" fontId="6" fillId="6" borderId="49" xfId="0" applyNumberFormat="1" applyFont="1" applyFill="1" applyBorder="1" applyAlignment="1">
      <alignment horizontal="right"/>
    </xf>
    <xf numFmtId="2" fontId="6" fillId="6" borderId="17" xfId="0" applyNumberFormat="1" applyFont="1" applyFill="1" applyBorder="1"/>
    <xf numFmtId="9" fontId="6" fillId="6" borderId="50" xfId="0" applyNumberFormat="1" applyFont="1" applyFill="1" applyBorder="1" applyAlignment="1">
      <alignment horizontal="right"/>
    </xf>
    <xf numFmtId="3" fontId="6" fillId="0" borderId="0" xfId="0" applyNumberFormat="1" applyFont="1"/>
    <xf numFmtId="168" fontId="8" fillId="0" borderId="0" xfId="0" applyNumberFormat="1" applyFont="1"/>
    <xf numFmtId="3" fontId="7" fillId="0" borderId="0" xfId="0" applyNumberFormat="1" applyFont="1"/>
  </cellXfs>
  <cellStyles count="4">
    <cellStyle name="Normal" xfId="0" builtinId="0"/>
    <cellStyle name="Normal 2" xfId="2" xr:uid="{9AE3BB63-158A-4AB0-AEED-DB78C507C890}"/>
    <cellStyle name="Normal 3" xfId="3" xr:uid="{DD464492-7FE9-488D-A513-239BF818ADC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1CB2-0C45-4329-832E-6B423E3BCE92}">
  <sheetPr>
    <tabColor rgb="FF92D050"/>
    <pageSetUpPr fitToPage="1"/>
  </sheetPr>
  <dimension ref="A1:Y48"/>
  <sheetViews>
    <sheetView tabSelected="1" zoomScale="80" zoomScaleNormal="80" workbookViewId="0">
      <selection activeCell="Y25" sqref="Y25:AA25"/>
    </sheetView>
  </sheetViews>
  <sheetFormatPr defaultColWidth="9.28515625" defaultRowHeight="15" x14ac:dyDescent="0.25"/>
  <cols>
    <col min="1" max="1" width="51.28515625" style="13" customWidth="1"/>
    <col min="2" max="2" width="15.7109375" style="13" customWidth="1"/>
    <col min="3" max="3" width="12.28515625" style="15" bestFit="1" customWidth="1"/>
    <col min="4" max="4" width="11.5703125" style="15" customWidth="1"/>
    <col min="5" max="5" width="11.42578125" style="15" customWidth="1"/>
    <col min="6" max="6" width="12.42578125" style="13" customWidth="1"/>
    <col min="7" max="7" width="10.7109375" style="13" bestFit="1" customWidth="1"/>
    <col min="8" max="9" width="14.7109375" style="13" bestFit="1" customWidth="1"/>
    <col min="10" max="10" width="15.28515625" style="13" customWidth="1"/>
    <col min="11" max="11" width="14.28515625" style="13" customWidth="1"/>
    <col min="12" max="12" width="14.28515625" style="13" bestFit="1" customWidth="1"/>
    <col min="13" max="13" width="9.42578125" style="13" bestFit="1" customWidth="1"/>
    <col min="14" max="15" width="15.7109375" style="13" bestFit="1" customWidth="1"/>
    <col min="16" max="16" width="14.7109375" style="13" customWidth="1"/>
    <col min="17" max="17" width="10.7109375" style="13" customWidth="1"/>
    <col min="18" max="18" width="8.5703125" style="13" customWidth="1"/>
    <col min="19" max="19" width="8.7109375" style="13" customWidth="1"/>
    <col min="20" max="20" width="8.42578125" style="13" customWidth="1"/>
    <col min="21" max="21" width="9.28515625" style="13"/>
    <col min="22" max="22" width="12" style="13" bestFit="1" customWidth="1"/>
    <col min="23" max="23" width="10.5703125" style="13" bestFit="1" customWidth="1"/>
    <col min="24" max="24" width="9.7109375" style="13" bestFit="1" customWidth="1"/>
    <col min="25" max="25" width="14.28515625" style="13" bestFit="1" customWidth="1"/>
    <col min="26" max="16384" width="9.28515625" style="13"/>
  </cols>
  <sheetData>
    <row r="1" spans="1:25" customFormat="1" ht="12.75" x14ac:dyDescent="0.2"/>
    <row r="2" spans="1:25" customFormat="1" ht="25.15" customHeight="1" x14ac:dyDescent="0.3">
      <c r="A2" s="1" t="s">
        <v>0</v>
      </c>
      <c r="B2" s="2" t="s">
        <v>82</v>
      </c>
      <c r="C2" s="3"/>
      <c r="D2" s="3"/>
      <c r="E2" s="3"/>
      <c r="F2" s="3"/>
      <c r="G2" s="3"/>
      <c r="H2" s="4"/>
      <c r="I2" s="5"/>
      <c r="J2" s="6" t="s">
        <v>1</v>
      </c>
    </row>
    <row r="3" spans="1:25" customFormat="1" ht="25.15" customHeight="1" x14ac:dyDescent="0.2">
      <c r="A3" s="7"/>
      <c r="D3" s="8"/>
      <c r="E3" s="8"/>
      <c r="F3" s="8"/>
      <c r="G3" s="8"/>
      <c r="H3" s="8"/>
    </row>
    <row r="4" spans="1:25" ht="25.15" customHeight="1" x14ac:dyDescent="0.25">
      <c r="A4" s="1" t="s">
        <v>2</v>
      </c>
      <c r="B4" s="9" t="s">
        <v>83</v>
      </c>
      <c r="C4" s="10"/>
      <c r="D4" s="11"/>
      <c r="E4" s="12"/>
      <c r="F4" s="12"/>
      <c r="G4" s="12"/>
      <c r="H4" s="12"/>
    </row>
    <row r="5" spans="1:25" ht="20.25" customHeight="1" x14ac:dyDescent="0.25">
      <c r="A5" s="14"/>
      <c r="D5" s="16" t="s">
        <v>3</v>
      </c>
      <c r="E5" s="17"/>
    </row>
    <row r="6" spans="1:25" ht="15.75" thickBot="1" x14ac:dyDescent="0.3">
      <c r="A6" s="18" t="s">
        <v>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5" ht="15.75" thickBot="1" x14ac:dyDescent="0.3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1"/>
    </row>
    <row r="8" spans="1:25" ht="34.5" customHeight="1" thickBot="1" x14ac:dyDescent="0.3">
      <c r="A8" s="22" t="s">
        <v>5</v>
      </c>
      <c r="B8" s="23" t="s">
        <v>6</v>
      </c>
      <c r="C8" s="24" t="s">
        <v>7</v>
      </c>
      <c r="D8" s="24" t="s">
        <v>8</v>
      </c>
      <c r="E8" s="25" t="s">
        <v>9</v>
      </c>
      <c r="F8" s="26" t="s">
        <v>10</v>
      </c>
      <c r="G8" s="27" t="s">
        <v>11</v>
      </c>
      <c r="H8" s="28" t="s">
        <v>12</v>
      </c>
      <c r="I8" s="29"/>
      <c r="J8" s="29"/>
      <c r="K8" s="29"/>
      <c r="L8" s="30"/>
      <c r="M8" s="31" t="s">
        <v>13</v>
      </c>
      <c r="N8" s="32" t="s">
        <v>14</v>
      </c>
      <c r="O8" s="33" t="s">
        <v>15</v>
      </c>
      <c r="P8" s="33" t="s">
        <v>16</v>
      </c>
      <c r="Q8" s="34" t="s">
        <v>17</v>
      </c>
      <c r="R8" s="35" t="s">
        <v>18</v>
      </c>
      <c r="S8" s="36"/>
      <c r="T8" s="27" t="s">
        <v>19</v>
      </c>
      <c r="X8" s="37"/>
      <c r="Y8" s="37"/>
    </row>
    <row r="9" spans="1:25" ht="30.75" thickBot="1" x14ac:dyDescent="0.3">
      <c r="A9" s="38"/>
      <c r="B9" s="39"/>
      <c r="C9" s="40"/>
      <c r="D9" s="40"/>
      <c r="E9" s="41"/>
      <c r="F9" s="42"/>
      <c r="G9" s="43"/>
      <c r="H9" s="44" t="s">
        <v>20</v>
      </c>
      <c r="I9" s="45" t="s">
        <v>21</v>
      </c>
      <c r="J9" s="45" t="s">
        <v>22</v>
      </c>
      <c r="K9" s="45" t="s">
        <v>23</v>
      </c>
      <c r="L9" s="46" t="s">
        <v>24</v>
      </c>
      <c r="M9" s="47"/>
      <c r="N9" s="48"/>
      <c r="O9" s="49"/>
      <c r="P9" s="49"/>
      <c r="Q9" s="50"/>
      <c r="R9" s="51" t="s">
        <v>25</v>
      </c>
      <c r="S9" s="52" t="s">
        <v>26</v>
      </c>
      <c r="T9" s="43"/>
      <c r="X9" s="53"/>
      <c r="Y9" s="53"/>
    </row>
    <row r="10" spans="1:25" x14ac:dyDescent="0.25">
      <c r="A10" s="54" t="s">
        <v>84</v>
      </c>
      <c r="B10" s="55" t="s">
        <v>27</v>
      </c>
      <c r="C10" s="56" t="s">
        <v>28</v>
      </c>
      <c r="D10" s="57">
        <v>0.77800000000000002</v>
      </c>
      <c r="E10" s="58">
        <f>D10*E$5</f>
        <v>0</v>
      </c>
      <c r="F10" s="59">
        <v>45085</v>
      </c>
      <c r="G10" s="60"/>
      <c r="H10" s="61">
        <v>350000000</v>
      </c>
      <c r="I10" s="62">
        <v>273703098</v>
      </c>
      <c r="J10" s="62">
        <f t="shared" ref="J10" si="0">I10</f>
        <v>273703098</v>
      </c>
      <c r="K10" s="63">
        <v>827716050</v>
      </c>
      <c r="L10" s="64">
        <v>0</v>
      </c>
      <c r="M10" s="65" t="s">
        <v>29</v>
      </c>
      <c r="N10" s="66">
        <v>211515623</v>
      </c>
      <c r="O10" s="66">
        <v>0</v>
      </c>
      <c r="P10" s="67">
        <f>K10-J10</f>
        <v>554012952</v>
      </c>
      <c r="Q10" s="68" t="s">
        <v>30</v>
      </c>
      <c r="R10" s="69">
        <f>(L10+K10)/I10</f>
        <v>3.0241384041623087</v>
      </c>
      <c r="S10" s="70">
        <v>2.2513461904621921</v>
      </c>
      <c r="T10" s="71">
        <v>1.0014797806739808</v>
      </c>
      <c r="V10" s="72" t="s">
        <v>31</v>
      </c>
      <c r="W10" s="73"/>
      <c r="X10" s="74"/>
      <c r="Y10" s="74"/>
    </row>
    <row r="11" spans="1:25" x14ac:dyDescent="0.25">
      <c r="A11" s="54" t="s">
        <v>85</v>
      </c>
      <c r="B11" s="55" t="s">
        <v>27</v>
      </c>
      <c r="C11" s="56" t="s">
        <v>28</v>
      </c>
      <c r="D11" s="57">
        <v>0.57099999999999995</v>
      </c>
      <c r="E11" s="58">
        <f>D11*E$5</f>
        <v>0</v>
      </c>
      <c r="F11" s="59">
        <v>45086</v>
      </c>
      <c r="G11" s="60"/>
      <c r="H11" s="61">
        <f>I11</f>
        <v>206914414</v>
      </c>
      <c r="I11" s="62">
        <v>206914414</v>
      </c>
      <c r="J11" s="62">
        <v>85946096</v>
      </c>
      <c r="K11" s="63">
        <v>137398386</v>
      </c>
      <c r="L11" s="64">
        <v>276749847.48999995</v>
      </c>
      <c r="M11" s="65" t="s">
        <v>29</v>
      </c>
      <c r="N11" s="66">
        <v>-22888219</v>
      </c>
      <c r="O11" s="66">
        <v>0</v>
      </c>
      <c r="P11" s="67">
        <f t="shared" ref="P11:P20" si="1">K11-J11</f>
        <v>51452290</v>
      </c>
      <c r="Q11" s="68" t="s">
        <v>30</v>
      </c>
      <c r="R11" s="69">
        <f>(L11+K11)/I11</f>
        <v>2.0015436599308156</v>
      </c>
      <c r="S11" s="70">
        <v>2.1121605017328564</v>
      </c>
      <c r="T11" s="71">
        <v>0.65895071625709534</v>
      </c>
      <c r="V11" s="72" t="s">
        <v>32</v>
      </c>
      <c r="W11" s="73"/>
      <c r="X11" s="74"/>
      <c r="Y11" s="74"/>
    </row>
    <row r="12" spans="1:25" x14ac:dyDescent="0.25">
      <c r="A12" s="54" t="s">
        <v>86</v>
      </c>
      <c r="B12" s="55" t="s">
        <v>27</v>
      </c>
      <c r="C12" s="56" t="s">
        <v>28</v>
      </c>
      <c r="D12" s="57">
        <v>0.97499999999999998</v>
      </c>
      <c r="E12" s="58">
        <f>D12*E$5</f>
        <v>0</v>
      </c>
      <c r="F12" s="59">
        <v>45156</v>
      </c>
      <c r="G12" s="60"/>
      <c r="H12" s="61">
        <v>343058333.33999997</v>
      </c>
      <c r="I12" s="62">
        <v>231319333</v>
      </c>
      <c r="J12" s="62">
        <f t="shared" ref="J12" si="2">I12</f>
        <v>231319333</v>
      </c>
      <c r="K12" s="63">
        <v>250499000</v>
      </c>
      <c r="L12" s="64">
        <v>0</v>
      </c>
      <c r="M12" s="65" t="s">
        <v>33</v>
      </c>
      <c r="N12" s="66">
        <v>19179667</v>
      </c>
      <c r="O12" s="66">
        <v>0</v>
      </c>
      <c r="P12" s="67">
        <f t="shared" si="1"/>
        <v>19179667</v>
      </c>
      <c r="Q12" s="68">
        <v>4</v>
      </c>
      <c r="R12" s="75">
        <f>(L12+K12)/I12</f>
        <v>1.0829142413271613</v>
      </c>
      <c r="S12" s="70">
        <v>1</v>
      </c>
      <c r="T12" s="71">
        <v>0.18206555247306827</v>
      </c>
      <c r="V12" s="72" t="s">
        <v>34</v>
      </c>
      <c r="W12" s="73"/>
      <c r="X12" s="74"/>
      <c r="Y12" s="74"/>
    </row>
    <row r="13" spans="1:25" x14ac:dyDescent="0.25">
      <c r="A13" s="54" t="s">
        <v>87</v>
      </c>
      <c r="B13" s="55" t="s">
        <v>27</v>
      </c>
      <c r="C13" s="56" t="s">
        <v>28</v>
      </c>
      <c r="D13" s="57">
        <v>0.97</v>
      </c>
      <c r="E13" s="58">
        <f>D13*E$5</f>
        <v>0</v>
      </c>
      <c r="F13" s="59">
        <v>45226</v>
      </c>
      <c r="G13" s="60"/>
      <c r="H13" s="61">
        <v>194000000</v>
      </c>
      <c r="I13" s="76">
        <f>J13</f>
        <v>114672938</v>
      </c>
      <c r="J13" s="76">
        <v>114672938</v>
      </c>
      <c r="K13" s="77">
        <v>114672938</v>
      </c>
      <c r="L13" s="64">
        <v>0</v>
      </c>
      <c r="M13" s="65" t="s">
        <v>35</v>
      </c>
      <c r="N13" s="66">
        <v>72731250</v>
      </c>
      <c r="O13" s="66">
        <v>72731250</v>
      </c>
      <c r="P13" s="67">
        <f t="shared" si="1"/>
        <v>0</v>
      </c>
      <c r="Q13" s="68">
        <v>5</v>
      </c>
      <c r="R13" s="75">
        <f>(L13+K13)/I13</f>
        <v>1</v>
      </c>
      <c r="S13" s="70">
        <v>1</v>
      </c>
      <c r="T13" s="71">
        <v>2.9802322387695314E-9</v>
      </c>
      <c r="V13" s="72" t="s">
        <v>36</v>
      </c>
      <c r="W13" s="73"/>
      <c r="X13" s="74"/>
      <c r="Y13" s="74"/>
    </row>
    <row r="14" spans="1:25" x14ac:dyDescent="0.25">
      <c r="A14" s="78" t="s">
        <v>37</v>
      </c>
      <c r="B14" s="55" t="s">
        <v>27</v>
      </c>
      <c r="C14" s="56" t="s">
        <v>28</v>
      </c>
      <c r="D14" s="57">
        <v>0.97699999999999998</v>
      </c>
      <c r="E14" s="58">
        <f t="shared" ref="E14:E20" si="3">D14*E$5</f>
        <v>0</v>
      </c>
      <c r="F14" s="59">
        <v>45314</v>
      </c>
      <c r="G14" s="60"/>
      <c r="H14" s="61">
        <v>195400000</v>
      </c>
      <c r="I14" s="76">
        <v>127018666</v>
      </c>
      <c r="J14" s="76">
        <v>127018666</v>
      </c>
      <c r="K14" s="77">
        <v>153491000</v>
      </c>
      <c r="L14" s="64">
        <v>0</v>
      </c>
      <c r="M14" s="65" t="s">
        <v>33</v>
      </c>
      <c r="N14" s="66">
        <v>26472334</v>
      </c>
      <c r="O14" s="66">
        <v>0</v>
      </c>
      <c r="P14" s="67">
        <f t="shared" si="1"/>
        <v>26472334</v>
      </c>
      <c r="Q14" s="68">
        <v>4</v>
      </c>
      <c r="R14" s="75">
        <f t="shared" ref="R14:R20" si="4">(L14+K14)/I14</f>
        <v>1.2084129430236654</v>
      </c>
      <c r="S14" s="70">
        <v>1</v>
      </c>
      <c r="T14" s="71">
        <v>0.34927857518196115</v>
      </c>
      <c r="V14" s="72" t="s">
        <v>38</v>
      </c>
      <c r="W14" s="73"/>
      <c r="X14" s="74"/>
      <c r="Y14" s="74"/>
    </row>
    <row r="15" spans="1:25" x14ac:dyDescent="0.25">
      <c r="A15" s="78" t="s">
        <v>39</v>
      </c>
      <c r="B15" s="55" t="s">
        <v>27</v>
      </c>
      <c r="C15" s="56" t="s">
        <v>28</v>
      </c>
      <c r="D15" s="57">
        <v>0.95</v>
      </c>
      <c r="E15" s="58">
        <f t="shared" si="3"/>
        <v>0</v>
      </c>
      <c r="F15" s="59">
        <v>45315</v>
      </c>
      <c r="G15" s="60"/>
      <c r="H15" s="61">
        <v>190000000</v>
      </c>
      <c r="I15" s="76">
        <v>82175000</v>
      </c>
      <c r="J15" s="76">
        <v>82175000</v>
      </c>
      <c r="K15" s="77">
        <v>82175000</v>
      </c>
      <c r="L15" s="64">
        <v>0</v>
      </c>
      <c r="M15" s="65" t="s">
        <v>35</v>
      </c>
      <c r="N15" s="66">
        <v>33250000</v>
      </c>
      <c r="O15" s="66">
        <v>33250000</v>
      </c>
      <c r="P15" s="67">
        <f t="shared" si="1"/>
        <v>0</v>
      </c>
      <c r="Q15" s="68">
        <v>5</v>
      </c>
      <c r="R15" s="75">
        <f t="shared" si="4"/>
        <v>1</v>
      </c>
      <c r="S15" s="70">
        <v>1</v>
      </c>
      <c r="T15" s="71">
        <v>2.9802322387695314E-9</v>
      </c>
      <c r="V15" s="72" t="s">
        <v>40</v>
      </c>
      <c r="W15" s="73"/>
      <c r="X15" s="74"/>
      <c r="Y15" s="74"/>
    </row>
    <row r="16" spans="1:25" x14ac:dyDescent="0.25">
      <c r="A16" s="78" t="s">
        <v>41</v>
      </c>
      <c r="B16" s="55" t="s">
        <v>27</v>
      </c>
      <c r="C16" s="56" t="s">
        <v>28</v>
      </c>
      <c r="D16" s="57">
        <v>0.95</v>
      </c>
      <c r="E16" s="58">
        <f t="shared" si="3"/>
        <v>0</v>
      </c>
      <c r="F16" s="59">
        <v>45320</v>
      </c>
      <c r="G16" s="60"/>
      <c r="H16" s="61">
        <v>285000000</v>
      </c>
      <c r="I16" s="76">
        <v>14725000</v>
      </c>
      <c r="J16" s="76">
        <v>14725000</v>
      </c>
      <c r="K16" s="77">
        <v>14725000</v>
      </c>
      <c r="L16" s="64">
        <v>0</v>
      </c>
      <c r="M16" s="65" t="s">
        <v>35</v>
      </c>
      <c r="N16" s="66">
        <v>0</v>
      </c>
      <c r="O16" s="66">
        <v>0</v>
      </c>
      <c r="P16" s="67">
        <f t="shared" si="1"/>
        <v>0</v>
      </c>
      <c r="Q16" s="68">
        <v>1</v>
      </c>
      <c r="R16" s="75">
        <f t="shared" si="4"/>
        <v>1</v>
      </c>
      <c r="S16" s="70">
        <v>1</v>
      </c>
      <c r="T16" s="71">
        <v>2.9802322387695314E-9</v>
      </c>
      <c r="V16" s="72" t="s">
        <v>42</v>
      </c>
      <c r="W16" s="73"/>
      <c r="X16" s="74"/>
      <c r="Y16" s="74"/>
    </row>
    <row r="17" spans="1:25" x14ac:dyDescent="0.25">
      <c r="A17" s="78" t="s">
        <v>43</v>
      </c>
      <c r="B17" s="55" t="s">
        <v>27</v>
      </c>
      <c r="C17" s="56" t="s">
        <v>28</v>
      </c>
      <c r="D17" s="57">
        <v>0.94989999999999997</v>
      </c>
      <c r="E17" s="58">
        <f t="shared" si="3"/>
        <v>0</v>
      </c>
      <c r="F17" s="59">
        <v>45407</v>
      </c>
      <c r="G17" s="60"/>
      <c r="H17" s="61">
        <v>285000000</v>
      </c>
      <c r="I17" s="76">
        <v>164000000</v>
      </c>
      <c r="J17" s="76">
        <v>164000000</v>
      </c>
      <c r="K17" s="77">
        <v>202172000</v>
      </c>
      <c r="L17" s="64">
        <v>0</v>
      </c>
      <c r="M17" s="65" t="s">
        <v>33</v>
      </c>
      <c r="N17" s="66">
        <v>38172000</v>
      </c>
      <c r="O17" s="66">
        <v>0</v>
      </c>
      <c r="P17" s="67">
        <f t="shared" si="1"/>
        <v>38172000</v>
      </c>
      <c r="Q17" s="68">
        <v>4</v>
      </c>
      <c r="R17" s="75">
        <f t="shared" si="4"/>
        <v>1.2327560975609757</v>
      </c>
      <c r="S17" s="70">
        <v>1</v>
      </c>
      <c r="T17" s="71">
        <v>0.35705031752586369</v>
      </c>
      <c r="V17" s="72" t="s">
        <v>44</v>
      </c>
      <c r="W17" s="73"/>
      <c r="X17" s="74"/>
      <c r="Y17" s="74"/>
    </row>
    <row r="18" spans="1:25" x14ac:dyDescent="0.25">
      <c r="A18" s="78" t="s">
        <v>45</v>
      </c>
      <c r="B18" s="55" t="s">
        <v>27</v>
      </c>
      <c r="C18" s="79" t="s">
        <v>28</v>
      </c>
      <c r="D18" s="57">
        <v>0.88890000000000002</v>
      </c>
      <c r="E18" s="58">
        <f t="shared" si="3"/>
        <v>0</v>
      </c>
      <c r="F18" s="59">
        <v>45548</v>
      </c>
      <c r="G18" s="60"/>
      <c r="H18" s="61">
        <v>800000000</v>
      </c>
      <c r="I18" s="76">
        <v>256880734</v>
      </c>
      <c r="J18" s="76">
        <v>256880734</v>
      </c>
      <c r="K18" s="77">
        <v>256880734</v>
      </c>
      <c r="L18" s="64">
        <v>0</v>
      </c>
      <c r="M18" s="65" t="s">
        <v>35</v>
      </c>
      <c r="N18" s="66">
        <v>110091743</v>
      </c>
      <c r="O18" s="66">
        <v>110091743</v>
      </c>
      <c r="P18" s="67">
        <f t="shared" si="1"/>
        <v>0</v>
      </c>
      <c r="Q18" s="68">
        <v>5</v>
      </c>
      <c r="R18" s="75">
        <f t="shared" si="4"/>
        <v>1</v>
      </c>
      <c r="S18" s="70">
        <v>1</v>
      </c>
      <c r="T18" s="71" t="s">
        <v>88</v>
      </c>
      <c r="V18" s="72" t="s">
        <v>46</v>
      </c>
      <c r="W18" s="73"/>
      <c r="X18" s="74"/>
      <c r="Y18" s="74"/>
    </row>
    <row r="19" spans="1:25" x14ac:dyDescent="0.25">
      <c r="A19" s="78" t="s">
        <v>47</v>
      </c>
      <c r="B19" s="55" t="s">
        <v>27</v>
      </c>
      <c r="C19" s="79" t="s">
        <v>28</v>
      </c>
      <c r="D19" s="57">
        <v>0.96</v>
      </c>
      <c r="E19" s="58">
        <f t="shared" si="3"/>
        <v>0</v>
      </c>
      <c r="F19" s="59">
        <v>45555</v>
      </c>
      <c r="G19" s="60"/>
      <c r="H19" s="61">
        <v>144000000</v>
      </c>
      <c r="I19" s="76">
        <v>30720000</v>
      </c>
      <c r="J19" s="76">
        <v>30720000</v>
      </c>
      <c r="K19" s="77">
        <v>30720000</v>
      </c>
      <c r="L19" s="64">
        <v>0</v>
      </c>
      <c r="M19" s="65" t="s">
        <v>35</v>
      </c>
      <c r="N19" s="66">
        <v>25920000</v>
      </c>
      <c r="O19" s="66">
        <v>25920000</v>
      </c>
      <c r="P19" s="67">
        <f t="shared" si="1"/>
        <v>0</v>
      </c>
      <c r="Q19" s="68">
        <v>5</v>
      </c>
      <c r="R19" s="75">
        <f t="shared" si="4"/>
        <v>1</v>
      </c>
      <c r="S19" s="70">
        <v>1</v>
      </c>
      <c r="T19" s="71">
        <v>2.9802322387695314E-9</v>
      </c>
      <c r="V19" s="72" t="s">
        <v>48</v>
      </c>
      <c r="W19" s="73"/>
      <c r="X19" s="74"/>
      <c r="Y19" s="74"/>
    </row>
    <row r="20" spans="1:25" x14ac:dyDescent="0.25">
      <c r="A20" s="78" t="s">
        <v>49</v>
      </c>
      <c r="B20" s="55" t="s">
        <v>27</v>
      </c>
      <c r="C20" s="79" t="s">
        <v>28</v>
      </c>
      <c r="D20" s="57">
        <v>0.8256</v>
      </c>
      <c r="E20" s="58">
        <f t="shared" si="3"/>
        <v>0</v>
      </c>
      <c r="F20" s="59">
        <v>45548</v>
      </c>
      <c r="G20" s="60"/>
      <c r="H20" s="61">
        <v>300000000</v>
      </c>
      <c r="I20" s="76">
        <v>8256881</v>
      </c>
      <c r="J20" s="76">
        <v>8256881</v>
      </c>
      <c r="K20" s="77">
        <v>8256881</v>
      </c>
      <c r="L20" s="64">
        <v>0</v>
      </c>
      <c r="M20" s="65" t="s">
        <v>35</v>
      </c>
      <c r="N20" s="66">
        <v>0</v>
      </c>
      <c r="O20" s="66">
        <v>0</v>
      </c>
      <c r="P20" s="67">
        <f t="shared" si="1"/>
        <v>0</v>
      </c>
      <c r="Q20" s="68">
        <v>1</v>
      </c>
      <c r="R20" s="75">
        <f t="shared" si="4"/>
        <v>1</v>
      </c>
      <c r="S20" s="70">
        <v>1</v>
      </c>
      <c r="T20" s="71">
        <v>2.9802322387695314E-9</v>
      </c>
      <c r="V20" s="72" t="s">
        <v>50</v>
      </c>
      <c r="W20" s="73"/>
      <c r="X20" s="74"/>
      <c r="Y20" s="74"/>
    </row>
    <row r="21" spans="1:25" x14ac:dyDescent="0.25">
      <c r="A21" s="78"/>
      <c r="B21" s="55"/>
      <c r="C21" s="80"/>
      <c r="D21" s="81"/>
      <c r="E21" s="82"/>
      <c r="F21" s="59"/>
      <c r="G21" s="60"/>
      <c r="H21" s="61"/>
      <c r="I21" s="76"/>
      <c r="J21" s="76"/>
      <c r="K21" s="77"/>
      <c r="L21" s="83"/>
      <c r="M21" s="65"/>
      <c r="N21" s="84"/>
      <c r="O21" s="84"/>
      <c r="P21" s="85"/>
      <c r="Q21" s="68"/>
      <c r="R21" s="86"/>
      <c r="S21" s="87"/>
      <c r="T21" s="88"/>
      <c r="X21" s="74"/>
      <c r="Y21" s="74"/>
    </row>
    <row r="22" spans="1:25" s="104" customFormat="1" x14ac:dyDescent="0.25">
      <c r="A22" s="89" t="s">
        <v>51</v>
      </c>
      <c r="B22" s="90"/>
      <c r="C22" s="90"/>
      <c r="D22" s="91"/>
      <c r="E22" s="92"/>
      <c r="F22" s="93"/>
      <c r="G22" s="94"/>
      <c r="H22" s="95">
        <f>SUM(H10:H21)</f>
        <v>3293372747.3400002</v>
      </c>
      <c r="I22" s="96">
        <f>SUM(I10:I21)</f>
        <v>1510386064</v>
      </c>
      <c r="J22" s="96">
        <f>SUM(J10:J21)</f>
        <v>1389417746</v>
      </c>
      <c r="K22" s="97">
        <f>SUM(K10:K21)</f>
        <v>2078706989</v>
      </c>
      <c r="L22" s="98">
        <f>SUM(L10:L21)</f>
        <v>276749847.48999995</v>
      </c>
      <c r="M22" s="99"/>
      <c r="N22" s="100">
        <f>SUM(N10:N21)</f>
        <v>514444398</v>
      </c>
      <c r="O22" s="100">
        <f>SUM(O10:O21)</f>
        <v>241992993</v>
      </c>
      <c r="P22" s="98">
        <f>SUM(P10:P21)</f>
        <v>689289243</v>
      </c>
      <c r="Q22" s="98"/>
      <c r="R22" s="101">
        <f t="shared" ref="R22" si="5">(L22+K22)/I22</f>
        <v>1.5595064683343105</v>
      </c>
      <c r="S22" s="102">
        <v>1.4514526140059623</v>
      </c>
      <c r="T22" s="103"/>
      <c r="V22" s="72" t="s">
        <v>52</v>
      </c>
      <c r="X22" s="74"/>
      <c r="Y22" s="74"/>
    </row>
    <row r="23" spans="1:25" x14ac:dyDescent="0.25">
      <c r="A23" s="105"/>
      <c r="B23" s="55"/>
      <c r="C23" s="80"/>
      <c r="D23" s="81"/>
      <c r="E23" s="82"/>
      <c r="F23" s="59"/>
      <c r="G23" s="60"/>
      <c r="H23" s="61"/>
      <c r="I23" s="76"/>
      <c r="J23" s="76"/>
      <c r="K23" s="77"/>
      <c r="L23" s="83"/>
      <c r="M23" s="106"/>
      <c r="N23" s="66"/>
      <c r="O23" s="107"/>
      <c r="P23" s="66"/>
      <c r="Q23" s="108"/>
      <c r="R23" s="75"/>
      <c r="S23" s="109"/>
      <c r="T23" s="110"/>
    </row>
    <row r="24" spans="1:25" s="104" customFormat="1" ht="15.75" thickBot="1" x14ac:dyDescent="0.3">
      <c r="A24" s="111" t="s">
        <v>53</v>
      </c>
      <c r="B24" s="112"/>
      <c r="C24" s="113"/>
      <c r="D24" s="114"/>
      <c r="E24" s="115"/>
      <c r="F24" s="116"/>
      <c r="G24" s="117"/>
      <c r="H24" s="118">
        <f>SUM(H23:H23)</f>
        <v>0</v>
      </c>
      <c r="I24" s="119">
        <f>SUM(I23:I23)</f>
        <v>0</v>
      </c>
      <c r="J24" s="119">
        <f>SUM(J23:J23)</f>
        <v>0</v>
      </c>
      <c r="K24" s="119">
        <f>SUM(K23:K23)</f>
        <v>0</v>
      </c>
      <c r="L24" s="120">
        <f>SUM(L23:L23)</f>
        <v>0</v>
      </c>
      <c r="M24" s="121"/>
      <c r="N24" s="122">
        <f>SUM(N23:N23)</f>
        <v>0</v>
      </c>
      <c r="O24" s="123">
        <f>SUM(O23:O23)</f>
        <v>0</v>
      </c>
      <c r="P24" s="123">
        <f>SUM(P23:P23)</f>
        <v>0</v>
      </c>
      <c r="Q24" s="123"/>
      <c r="R24" s="124" t="e">
        <f>(L24+K24)/I24</f>
        <v>#DIV/0!</v>
      </c>
      <c r="S24" s="125"/>
      <c r="T24" s="126"/>
    </row>
    <row r="25" spans="1:25" s="7" customFormat="1" ht="16.5" thickTop="1" thickBot="1" x14ac:dyDescent="0.3">
      <c r="A25" s="127" t="s">
        <v>54</v>
      </c>
      <c r="B25" s="128"/>
      <c r="C25" s="128"/>
      <c r="D25" s="128"/>
      <c r="E25" s="128"/>
      <c r="F25" s="128"/>
      <c r="G25" s="129"/>
      <c r="H25" s="130">
        <f>H22+H24</f>
        <v>3293372747.3400002</v>
      </c>
      <c r="I25" s="131">
        <f>I22+I24</f>
        <v>1510386064</v>
      </c>
      <c r="J25" s="131">
        <f>J22+J24</f>
        <v>1389417746</v>
      </c>
      <c r="K25" s="132">
        <f>K22+K24</f>
        <v>2078706989</v>
      </c>
      <c r="L25" s="133">
        <f>L22+L24</f>
        <v>276749847.48999995</v>
      </c>
      <c r="M25" s="134"/>
      <c r="N25" s="135">
        <f>N22+N24</f>
        <v>514444398</v>
      </c>
      <c r="O25" s="133">
        <f>O22+O24</f>
        <v>241992993</v>
      </c>
      <c r="P25" s="133">
        <f>P22+P24</f>
        <v>689289243</v>
      </c>
      <c r="Q25" s="133"/>
      <c r="R25" s="136">
        <f>(L25+K25)/I25</f>
        <v>1.5595064683343105</v>
      </c>
      <c r="S25" s="136">
        <v>1.4514526140059623</v>
      </c>
      <c r="T25" s="137">
        <v>0.1897141635417938</v>
      </c>
      <c r="Y25" s="138"/>
    </row>
    <row r="26" spans="1:25" x14ac:dyDescent="0.25">
      <c r="I26" s="73"/>
      <c r="J26" s="73"/>
      <c r="K26" s="73"/>
      <c r="L26" s="73"/>
      <c r="M26" s="73"/>
      <c r="N26" s="73"/>
      <c r="O26" s="73"/>
      <c r="P26" s="73"/>
      <c r="Q26" s="73"/>
    </row>
    <row r="27" spans="1:25" x14ac:dyDescent="0.25">
      <c r="A27" s="7" t="s">
        <v>55</v>
      </c>
      <c r="C27" s="13"/>
      <c r="D27" s="13"/>
      <c r="E27" s="13"/>
      <c r="H27" s="139"/>
      <c r="I27" s="140"/>
      <c r="J27" s="138" t="s">
        <v>56</v>
      </c>
    </row>
    <row r="28" spans="1:25" x14ac:dyDescent="0.25">
      <c r="A28" s="15" t="s">
        <v>57</v>
      </c>
      <c r="B28" s="15"/>
      <c r="F28" s="15"/>
      <c r="G28" s="15"/>
      <c r="H28" s="73"/>
      <c r="I28" s="15"/>
      <c r="J28" s="15" t="s">
        <v>58</v>
      </c>
    </row>
    <row r="29" spans="1:25" x14ac:dyDescent="0.25">
      <c r="A29" s="15" t="s">
        <v>59</v>
      </c>
      <c r="B29" s="15"/>
      <c r="F29" s="15"/>
      <c r="G29" s="15"/>
      <c r="I29" s="140"/>
      <c r="J29" s="15" t="s">
        <v>60</v>
      </c>
    </row>
    <row r="30" spans="1:25" x14ac:dyDescent="0.25">
      <c r="A30" s="15" t="s">
        <v>61</v>
      </c>
      <c r="B30" s="15"/>
      <c r="F30" s="15"/>
      <c r="G30" s="15"/>
      <c r="I30" s="140"/>
      <c r="J30" s="15" t="s">
        <v>62</v>
      </c>
    </row>
    <row r="31" spans="1:25" x14ac:dyDescent="0.25">
      <c r="A31" s="15" t="s">
        <v>63</v>
      </c>
      <c r="B31" s="15"/>
      <c r="F31" s="15"/>
      <c r="G31" s="15"/>
      <c r="I31" s="140"/>
      <c r="J31" s="15" t="s">
        <v>64</v>
      </c>
    </row>
    <row r="32" spans="1:25" x14ac:dyDescent="0.25">
      <c r="A32" s="15" t="s">
        <v>65</v>
      </c>
      <c r="B32" s="15"/>
      <c r="F32" s="15"/>
      <c r="G32" s="15"/>
      <c r="I32" s="140"/>
      <c r="J32" s="15" t="s">
        <v>66</v>
      </c>
    </row>
    <row r="33" spans="1:10" x14ac:dyDescent="0.25">
      <c r="A33" s="15" t="s">
        <v>67</v>
      </c>
      <c r="B33" s="15"/>
      <c r="F33" s="15"/>
      <c r="G33" s="15"/>
      <c r="I33" s="140"/>
      <c r="J33" s="15" t="s">
        <v>68</v>
      </c>
    </row>
    <row r="34" spans="1:10" x14ac:dyDescent="0.25">
      <c r="A34" s="15" t="s">
        <v>69</v>
      </c>
      <c r="B34" s="15"/>
      <c r="F34" s="15"/>
      <c r="G34" s="15"/>
      <c r="I34" s="140"/>
      <c r="J34" s="15" t="s">
        <v>70</v>
      </c>
    </row>
    <row r="35" spans="1:10" x14ac:dyDescent="0.25">
      <c r="A35" s="15" t="s">
        <v>71</v>
      </c>
      <c r="B35" s="15"/>
      <c r="F35" s="15"/>
      <c r="G35" s="15"/>
      <c r="I35" s="140"/>
      <c r="J35" s="15" t="s">
        <v>72</v>
      </c>
    </row>
    <row r="36" spans="1:10" x14ac:dyDescent="0.25">
      <c r="A36" s="15" t="s">
        <v>73</v>
      </c>
      <c r="C36" s="13"/>
      <c r="D36" s="13"/>
      <c r="E36" s="13"/>
      <c r="I36" s="140"/>
    </row>
    <row r="37" spans="1:10" x14ac:dyDescent="0.25">
      <c r="A37" s="15" t="s">
        <v>74</v>
      </c>
      <c r="C37" s="13"/>
      <c r="D37" s="13"/>
      <c r="E37" s="13"/>
      <c r="I37" s="140"/>
    </row>
    <row r="38" spans="1:10" x14ac:dyDescent="0.25">
      <c r="A38" s="15" t="s">
        <v>75</v>
      </c>
      <c r="C38" s="13"/>
      <c r="D38" s="13"/>
      <c r="E38" s="13"/>
      <c r="I38" s="140"/>
    </row>
    <row r="39" spans="1:10" x14ac:dyDescent="0.25">
      <c r="A39" s="15" t="s">
        <v>76</v>
      </c>
      <c r="C39" s="13"/>
      <c r="D39" s="13"/>
      <c r="E39" s="13"/>
      <c r="I39" s="140"/>
    </row>
    <row r="40" spans="1:10" x14ac:dyDescent="0.25">
      <c r="A40" s="15" t="s">
        <v>77</v>
      </c>
      <c r="C40" s="13"/>
      <c r="D40" s="13"/>
      <c r="E40" s="13"/>
      <c r="I40" s="140"/>
    </row>
    <row r="41" spans="1:10" x14ac:dyDescent="0.25">
      <c r="A41" s="15" t="s">
        <v>78</v>
      </c>
      <c r="C41" s="13"/>
      <c r="D41" s="13"/>
      <c r="E41" s="13"/>
      <c r="I41" s="140"/>
    </row>
    <row r="42" spans="1:10" x14ac:dyDescent="0.25">
      <c r="A42" s="15" t="s">
        <v>79</v>
      </c>
      <c r="C42" s="13"/>
      <c r="D42" s="13"/>
      <c r="E42" s="13"/>
      <c r="I42" s="140"/>
    </row>
    <row r="43" spans="1:10" x14ac:dyDescent="0.25">
      <c r="A43" s="15" t="s">
        <v>80</v>
      </c>
      <c r="C43" s="13"/>
      <c r="D43" s="13"/>
      <c r="E43" s="13"/>
      <c r="I43" s="140"/>
    </row>
    <row r="44" spans="1:10" x14ac:dyDescent="0.25">
      <c r="A44" s="13" t="s">
        <v>81</v>
      </c>
      <c r="I44" s="140"/>
    </row>
    <row r="45" spans="1:10" x14ac:dyDescent="0.25">
      <c r="I45" s="140"/>
    </row>
    <row r="46" spans="1:10" x14ac:dyDescent="0.25">
      <c r="I46" s="140"/>
    </row>
    <row r="47" spans="1:10" x14ac:dyDescent="0.25">
      <c r="I47" s="140"/>
    </row>
    <row r="48" spans="1:10" x14ac:dyDescent="0.25">
      <c r="I48" s="140"/>
    </row>
  </sheetData>
  <mergeCells count="19">
    <mergeCell ref="R8:S8"/>
    <mergeCell ref="T8:T9"/>
    <mergeCell ref="X8:Y8"/>
    <mergeCell ref="H8:L8"/>
    <mergeCell ref="M8:M9"/>
    <mergeCell ref="N8:N9"/>
    <mergeCell ref="O8:O9"/>
    <mergeCell ref="P8:P9"/>
    <mergeCell ref="Q8:Q9"/>
    <mergeCell ref="B4:D4"/>
    <mergeCell ref="A6:T6"/>
    <mergeCell ref="A7:T7"/>
    <mergeCell ref="A8:A9"/>
    <mergeCell ref="B8:B9"/>
    <mergeCell ref="C8:C9"/>
    <mergeCell ref="D8:D9"/>
    <mergeCell ref="E8:E9"/>
    <mergeCell ref="F8:F9"/>
    <mergeCell ref="G8:G9"/>
  </mergeCells>
  <pageMargins left="0.7" right="0.7" top="0.75" bottom="0.75" header="0.3" footer="0.3"/>
  <pageSetup scale="4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5" ma:contentTypeDescription="Create a new document." ma:contentTypeScope="" ma:versionID="5fd757364596f060a1903f42fde8f82d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b87ef157a0d97f1b7ffb6df243d068e0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CE4D12-7165-4B78-AFD9-DF8610786669}"/>
</file>

<file path=customXml/itemProps2.xml><?xml version="1.0" encoding="utf-8"?>
<ds:datastoreItem xmlns:ds="http://schemas.openxmlformats.org/officeDocument/2006/customXml" ds:itemID="{91EE78CD-F890-412A-8709-309B61AB50CF}"/>
</file>

<file path=customXml/itemProps3.xml><?xml version="1.0" encoding="utf-8"?>
<ds:datastoreItem xmlns:ds="http://schemas.openxmlformats.org/officeDocument/2006/customXml" ds:itemID="{C879EB8F-5801-4EBB-8ED2-3D193A2E90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Supp SOI</vt:lpstr>
      <vt:lpstr>Deal_Commits</vt:lpstr>
      <vt:lpstr>'Supp SOI'!Print_Area</vt:lpstr>
      <vt:lpstr>Unfunded_DealCommits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Freeman</dc:creator>
  <cp:lastModifiedBy>Sarah Freeman</cp:lastModifiedBy>
  <dcterms:created xsi:type="dcterms:W3CDTF">2025-03-28T14:26:33Z</dcterms:created>
  <dcterms:modified xsi:type="dcterms:W3CDTF">2025-03-28T14:27:19Z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