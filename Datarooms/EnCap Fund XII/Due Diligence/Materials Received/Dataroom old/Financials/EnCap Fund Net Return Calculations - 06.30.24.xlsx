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Dataroom/Financials/"/>
    </mc:Choice>
  </mc:AlternateContent>
  <xr:revisionPtr revIDLastSave="1" documentId="11_B320BEEEFE3FB079DD1BE1F0FB9AC65839C8E952" xr6:coauthVersionLast="47" xr6:coauthVersionMax="47" xr10:uidLastSave="{EE7FEA8C-B9A4-4F47-AD08-22CAA0B311A3}"/>
  <bookViews>
    <workbookView xWindow="28680" yWindow="-120" windowWidth="29040" windowHeight="15720" tabRatio="935" firstSheet="6" activeTab="25" xr2:uid="{00000000-000D-0000-FFFF-FFFF00000000}"/>
  </bookViews>
  <sheets>
    <sheet name="VIII" sheetId="1" r:id="rId1"/>
    <sheet name="VIII-B" sheetId="2" r:id="rId2"/>
    <sheet name="VIII-C" sheetId="3" r:id="rId3"/>
    <sheet name="VIII-D" sheetId="4" r:id="rId4"/>
    <sheet name="Fund IX" sheetId="5" r:id="rId5"/>
    <sheet name="Fund IX-C" sheetId="6" r:id="rId6"/>
    <sheet name="Fund IX-D" sheetId="7" r:id="rId7"/>
    <sheet name="Fund X" sheetId="8" r:id="rId8"/>
    <sheet name="Fund X-C" sheetId="9" r:id="rId9"/>
    <sheet name="Fund X-D" sheetId="10" r:id="rId10"/>
    <sheet name="Fund XI" sheetId="11" r:id="rId11"/>
    <sheet name="Fund XI-C" sheetId="12" r:id="rId12"/>
    <sheet name="Fund XI-D" sheetId="14" r:id="rId13"/>
    <sheet name="Fund XII" sheetId="15" r:id="rId14"/>
    <sheet name="EETF I-A" sheetId="18" r:id="rId15"/>
    <sheet name="EFM II" sheetId="19" r:id="rId16"/>
    <sheet name="Sheet1" sheetId="29" r:id="rId17"/>
    <sheet name="EFM II-C" sheetId="20" r:id="rId18"/>
    <sheet name="EFM II-D" sheetId="21" r:id="rId19"/>
    <sheet name="EFM III" sheetId="22" r:id="rId20"/>
    <sheet name="EFM III-C" sheetId="23" r:id="rId21"/>
    <sheet name="EFM III-D" sheetId="24" r:id="rId22"/>
    <sheet name="EFM IV" sheetId="25" r:id="rId23"/>
    <sheet name="EFM IV-C" sheetId="26" r:id="rId24"/>
    <sheet name="EFM IV-D" sheetId="27" r:id="rId25"/>
    <sheet name="EFM V" sheetId="28" r:id="rId26"/>
  </sheets>
  <externalReferences>
    <externalReference r:id="rId27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FF1">'VIII-B'!$C$149:$E$160</definedName>
    <definedName name="CY_FiHis_FF2">'VIII-C'!$C$148:$E$159</definedName>
    <definedName name="CY_FiHis_FF3">'VIII-D'!$C$148:$E$159</definedName>
    <definedName name="CY_FiHis_MF" localSheetId="25">'EFM V'!$C$50:$E$61</definedName>
    <definedName name="CY_FiHis_MF">VIII!$C$149:$E$160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15">'EFM II'!$A$1:$J$115</definedName>
    <definedName name="_xlnm.Print_Area" localSheetId="19">'EFM III'!$A$1:$O$142</definedName>
    <definedName name="_xlnm.Print_Area" localSheetId="22">'EFM IV'!$A$1:$O$94</definedName>
    <definedName name="_xlnm.Print_Area" localSheetId="25">'EFM V'!$A$1:$O$57</definedName>
    <definedName name="_xlnm.Print_Area" localSheetId="7">'Fund X'!$A$1:$J$185</definedName>
    <definedName name="_xlnm.Print_Area" localSheetId="10">'Fund XI'!$A$1:$J$152</definedName>
    <definedName name="_xlnm.Print_Area" localSheetId="11">'Fund XI-C'!$A$1:$J$152</definedName>
    <definedName name="_xlnm.Print_Area" localSheetId="12">'Fund XI-D'!$A$1:$J$152</definedName>
    <definedName name="_xlnm.Print_Area" localSheetId="13">'Fund XII'!$A$1:$J$54</definedName>
    <definedName name="PY">'[1]Roll-Forward Dates'!$C$122</definedName>
    <definedName name="PY_Date">'[1]Roll-Forward Dates'!$C$140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G41" i="28"/>
  <c r="I40" i="28"/>
  <c r="I39" i="28"/>
  <c r="G39" i="28"/>
  <c r="E39" i="28"/>
  <c r="G29" i="28"/>
  <c r="E19" i="28"/>
  <c r="E18" i="28"/>
  <c r="G79" i="27"/>
  <c r="I78" i="27"/>
  <c r="I77" i="27"/>
  <c r="G77" i="27"/>
  <c r="E77" i="27"/>
  <c r="E19" i="27"/>
  <c r="E18" i="27"/>
  <c r="E8" i="27"/>
  <c r="G80" i="26"/>
  <c r="I79" i="26"/>
  <c r="I78" i="26"/>
  <c r="G78" i="26"/>
  <c r="E78" i="26"/>
  <c r="E19" i="26"/>
  <c r="E18" i="26"/>
  <c r="E8" i="26"/>
  <c r="G78" i="25"/>
  <c r="I77" i="25"/>
  <c r="I76" i="25"/>
  <c r="G76" i="25"/>
  <c r="E76" i="25"/>
  <c r="E19" i="25"/>
  <c r="E18" i="25"/>
  <c r="G128" i="24"/>
  <c r="I127" i="24"/>
  <c r="I126" i="24"/>
  <c r="G126" i="24"/>
  <c r="E126" i="24"/>
  <c r="E19" i="24"/>
  <c r="E18" i="24"/>
  <c r="E8" i="24"/>
  <c r="G129" i="23"/>
  <c r="I128" i="23"/>
  <c r="I127" i="23"/>
  <c r="G127" i="23"/>
  <c r="E127" i="23"/>
  <c r="E19" i="23"/>
  <c r="E18" i="23"/>
  <c r="E8" i="23"/>
  <c r="G129" i="22"/>
  <c r="I128" i="22"/>
  <c r="I127" i="22"/>
  <c r="G127" i="22"/>
  <c r="E127" i="22"/>
  <c r="E19" i="22"/>
  <c r="E18" i="22"/>
  <c r="J100" i="21"/>
  <c r="J99" i="21"/>
  <c r="G99" i="21"/>
  <c r="G97" i="21"/>
  <c r="E97" i="21"/>
  <c r="E19" i="21"/>
  <c r="E18" i="21"/>
  <c r="E8" i="21"/>
  <c r="J100" i="20"/>
  <c r="J99" i="20"/>
  <c r="G99" i="20"/>
  <c r="G97" i="20"/>
  <c r="E97" i="20"/>
  <c r="G87" i="20"/>
  <c r="E19" i="20"/>
  <c r="E18" i="20"/>
  <c r="E8" i="20"/>
  <c r="J100" i="19"/>
  <c r="J99" i="19"/>
  <c r="G99" i="19"/>
  <c r="G97" i="19"/>
  <c r="E97" i="19"/>
  <c r="E19" i="19"/>
  <c r="E18" i="19"/>
  <c r="G83" i="18"/>
  <c r="I82" i="18"/>
  <c r="I81" i="18"/>
  <c r="E8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E19" i="18"/>
  <c r="E18" i="18"/>
  <c r="J39" i="15"/>
  <c r="J38" i="15"/>
  <c r="G38" i="15"/>
  <c r="E36" i="15"/>
  <c r="G28" i="15"/>
  <c r="G26" i="15"/>
  <c r="E19" i="15"/>
  <c r="E18" i="15"/>
  <c r="J137" i="14"/>
  <c r="J136" i="14"/>
  <c r="G136" i="14"/>
  <c r="G134" i="14"/>
  <c r="E134" i="14"/>
  <c r="E19" i="14"/>
  <c r="E18" i="14"/>
  <c r="E8" i="14"/>
  <c r="J137" i="12"/>
  <c r="J136" i="12"/>
  <c r="G136" i="12"/>
  <c r="G134" i="12"/>
  <c r="E134" i="12"/>
  <c r="E19" i="12"/>
  <c r="E18" i="12"/>
  <c r="E8" i="12"/>
  <c r="J137" i="11"/>
  <c r="J136" i="11"/>
  <c r="G136" i="11"/>
  <c r="G134" i="11"/>
  <c r="E134" i="11"/>
  <c r="C22" i="11"/>
  <c r="E19" i="11"/>
  <c r="E18" i="11"/>
  <c r="J170" i="10"/>
  <c r="J169" i="10"/>
  <c r="G169" i="10"/>
  <c r="G167" i="10"/>
  <c r="E167" i="10"/>
  <c r="E19" i="10"/>
  <c r="E18" i="10"/>
  <c r="E8" i="10"/>
  <c r="J170" i="9"/>
  <c r="J169" i="9"/>
  <c r="G169" i="9"/>
  <c r="G167" i="9"/>
  <c r="E167" i="9"/>
  <c r="E19" i="9"/>
  <c r="E18" i="9"/>
  <c r="E8" i="9"/>
  <c r="J170" i="8"/>
  <c r="J169" i="8"/>
  <c r="G169" i="8"/>
  <c r="G167" i="8"/>
  <c r="E167" i="8"/>
  <c r="E19" i="8"/>
  <c r="E18" i="8"/>
  <c r="G175" i="7"/>
  <c r="I174" i="7"/>
  <c r="I173" i="7"/>
  <c r="G173" i="7"/>
  <c r="E173" i="7"/>
  <c r="E19" i="7"/>
  <c r="E18" i="7"/>
  <c r="E8" i="7"/>
  <c r="G175" i="6"/>
  <c r="I174" i="6"/>
  <c r="I173" i="6"/>
  <c r="G173" i="6"/>
  <c r="E173" i="6"/>
  <c r="E19" i="6"/>
  <c r="E18" i="6"/>
  <c r="E8" i="6"/>
  <c r="G174" i="5"/>
  <c r="I173" i="5"/>
  <c r="I172" i="5"/>
  <c r="G172" i="5"/>
  <c r="E172" i="5"/>
  <c r="E19" i="5"/>
  <c r="E18" i="5"/>
  <c r="G139" i="4"/>
  <c r="I138" i="4"/>
  <c r="I137" i="4"/>
  <c r="G137" i="4"/>
  <c r="E137" i="4"/>
  <c r="G130" i="4"/>
  <c r="E19" i="4"/>
  <c r="E18" i="4"/>
  <c r="E8" i="4"/>
  <c r="G139" i="3"/>
  <c r="I138" i="3"/>
  <c r="I137" i="3"/>
  <c r="G137" i="3"/>
  <c r="E137" i="3"/>
  <c r="E19" i="3"/>
  <c r="E18" i="3"/>
  <c r="E8" i="3"/>
  <c r="G140" i="2"/>
  <c r="I139" i="2"/>
  <c r="I138" i="2"/>
  <c r="G138" i="2"/>
  <c r="E138" i="2"/>
  <c r="E19" i="2"/>
  <c r="E18" i="2"/>
  <c r="E8" i="2"/>
  <c r="G140" i="1"/>
  <c r="I139" i="1"/>
  <c r="I138" i="1"/>
  <c r="G138" i="1"/>
  <c r="E138" i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36" authorId="0" shapeId="0" xr:uid="{B5C0372C-A740-400A-8C35-5DEC8D8C13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81" authorId="0" shapeId="0" xr:uid="{592DB1BC-2498-4BCB-AC44-A4854B01C1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<sst xmlns="http://schemas.openxmlformats.org/spreadsheetml/2006/main" count="612" uniqueCount="37">
  <si>
    <t>Internal rate of return</t>
  </si>
  <si>
    <t>Internal rate of return after incentive allocation</t>
  </si>
  <si>
    <t>ROI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</si>
  <si>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</si>
  <si>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</si>
  <si>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</si>
  <si>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</si>
  <si>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</si>
  <si>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</si>
  <si>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</si>
  <si>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</si>
  <si>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Contributions 2015</t>
  </si>
  <si>
    <t>Distributions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</si>
  <si>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</si>
  <si>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</si>
  <si>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</si>
  <si>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</si>
  <si>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</si>
  <si>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</si>
  <si>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</si>
  <si>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</si>
  <si>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</si>
  <si>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2021</t>
  </si>
  <si>
    <t>Distributions 2022</t>
  </si>
  <si>
    <t>Distributions 2023</t>
  </si>
  <si>
    <t>Net assets</t>
  </si>
  <si>
    <t>check figure-Contributions</t>
  </si>
  <si>
    <t>check figure-Distributions</t>
  </si>
  <si>
    <t>Total return</t>
  </si>
  <si>
    <t>Sample Investor Ownership Percentage (Pro-rata share of commitments - to calculate fund level amounts divide the cash flows in column G by the ownership % below)</t>
  </si>
  <si>
    <t>Distributions 2020</t>
  </si>
  <si>
    <t>Contributions 2021</t>
  </si>
  <si>
    <t>Contributions 2022</t>
  </si>
  <si>
    <t>Contributions 2023</t>
  </si>
  <si>
    <t>Financial Highlights Fund XI-C</t>
  </si>
  <si>
    <t>Distributions 2024</t>
  </si>
  <si>
    <t>Contributions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</si>
</sst>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.000000%"/>
    <numFmt numFmtId="168" formatCode="_(&quot;$&quot;* #,##0_);_(&quot;$&quot;* \(#,##0\);_(&quot;$&quot;* &quot;-&quot;??_);_(@_)"/>
    <numFmt numFmtId="169" formatCode="0.00%_);\(0.00%\)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_(* #,##0_);_(* \(#,##0\);_(* &quot;—&quot;_);_(@_)"/>
    <numFmt numFmtId="175" formatCode="m/d;@"/>
    <numFmt numFmtId="176" formatCode="_(* #,##0_);_(* \(#,##0\);_(* &quot;-&quot;??????_);_(@_)"/>
    <numFmt numFmtId="177" formatCode="0.0000%"/>
  </numFmts>
  <fonts count="32">
    <font>
      <sz val="10"/>
      <name val="Arial"/>
      <family val="2"/>
    </font>
    <font>
      <b/>
      <sz val="14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b/>
      <sz val="9"/>
      <color indexed="8"/>
      <name val="Helv"/>
      <family val="2"/>
    </font>
    <font>
      <b/>
      <sz val="12"/>
      <name val="Times New Roman"/>
      <family val="1"/>
    </font>
    <font>
      <u val="double"/>
      <sz val="10"/>
      <color indexed="8"/>
      <name val="Helv"/>
      <family val="2"/>
    </font>
    <font>
      <sz val="9"/>
      <color indexed="8"/>
      <name val="Helv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8"/>
      <name val="Helv"/>
      <family val="2"/>
    </font>
    <font>
      <sz val="10"/>
      <name val="Helv"/>
      <family val="2"/>
    </font>
    <font>
      <sz val="8"/>
      <name val="CG Times (W1)"/>
      <family val="1"/>
    </font>
    <font>
      <sz val="12"/>
      <color indexed="8"/>
      <name val="Helv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i/>
      <sz val="10"/>
      <color rgb="FFFF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5" fontId="3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 vertical="top" wrapText="1"/>
    </xf>
    <xf numFmtId="14" fontId="5" fillId="0" borderId="0" xfId="0" applyNumberFormat="1" applyFont="1" applyAlignment="1">
      <alignment vertical="top" wrapText="1"/>
    </xf>
    <xf numFmtId="0" fontId="6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  <xf numFmtId="164" fontId="7" fillId="0" borderId="0" xfId="0" applyNumberFormat="1" applyFont="1" applyAlignment="1">
      <alignment horizontal="right" vertical="top" wrapText="1"/>
    </xf>
    <xf numFmtId="10" fontId="7" fillId="0" borderId="0" xfId="0" applyNumberFormat="1" applyFont="1" applyAlignment="1">
      <alignment horizontal="right" vertical="top" wrapText="1"/>
    </xf>
    <xf numFmtId="43" fontId="9" fillId="0" borderId="0" xfId="0" applyNumberFormat="1" applyFont="1"/>
    <xf numFmtId="0" fontId="9" fillId="0" borderId="0" xfId="0" applyFont="1"/>
    <xf numFmtId="0" fontId="10" fillId="0" borderId="0" xfId="0" applyFont="1"/>
    <xf numFmtId="164" fontId="4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164" fontId="11" fillId="0" borderId="0" xfId="0" applyNumberFormat="1" applyFont="1" applyAlignment="1">
      <alignment horizontal="right" vertical="top" wrapText="1"/>
    </xf>
    <xf numFmtId="10" fontId="11" fillId="0" borderId="0" xfId="0" applyNumberFormat="1" applyFont="1" applyAlignment="1">
      <alignment horizontal="right" vertical="top" wrapText="1"/>
    </xf>
    <xf numFmtId="165" fontId="0" fillId="0" borderId="0" xfId="3" applyNumberFormat="1" applyFont="1"/>
    <xf numFmtId="43" fontId="12" fillId="0" borderId="0" xfId="0" applyNumberFormat="1" applyFont="1"/>
    <xf numFmtId="0" fontId="13" fillId="0" borderId="0" xfId="0" applyFont="1"/>
    <xf numFmtId="0" fontId="14" fillId="0" borderId="0" xfId="0" applyFont="1"/>
    <xf numFmtId="166" fontId="9" fillId="0" borderId="0" xfId="0" applyNumberFormat="1" applyFont="1"/>
    <xf numFmtId="43" fontId="15" fillId="0" borderId="0" xfId="0" applyNumberFormat="1" applyFont="1"/>
    <xf numFmtId="167" fontId="15" fillId="0" borderId="0" xfId="0" applyNumberFormat="1" applyFont="1"/>
    <xf numFmtId="0" fontId="9" fillId="0" borderId="0" xfId="0" applyFont="1" applyAlignment="1">
      <alignment horizontal="center"/>
    </xf>
    <xf numFmtId="43" fontId="9" fillId="0" borderId="0" xfId="3" applyFont="1" applyBorder="1"/>
    <xf numFmtId="168" fontId="0" fillId="0" borderId="0" xfId="2" applyNumberFormat="1" applyFont="1"/>
    <xf numFmtId="43" fontId="9" fillId="0" borderId="0" xfId="3" applyFont="1" applyFill="1" applyBorder="1"/>
    <xf numFmtId="43" fontId="9" fillId="0" borderId="0" xfId="3" applyFont="1" applyFill="1"/>
    <xf numFmtId="43" fontId="0" fillId="0" borderId="0" xfId="3" applyFont="1" applyFill="1"/>
    <xf numFmtId="43" fontId="0" fillId="0" borderId="0" xfId="0" applyNumberFormat="1"/>
    <xf numFmtId="169" fontId="9" fillId="0" borderId="0" xfId="4" applyNumberFormat="1" applyFont="1" applyFill="1" applyAlignment="1">
      <alignment horizontal="right" wrapText="1"/>
    </xf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1" applyNumberFormat="1" applyFont="1" applyFill="1"/>
    <xf numFmtId="164" fontId="16" fillId="0" borderId="0" xfId="1" applyNumberFormat="1" applyFont="1" applyFill="1" applyBorder="1"/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4" fontId="0" fillId="0" borderId="0" xfId="1" applyNumberFormat="1" applyFont="1" applyFill="1"/>
    <xf numFmtId="9" fontId="0" fillId="0" borderId="0" xfId="1" applyFont="1" applyFill="1"/>
    <xf numFmtId="9" fontId="9" fillId="0" borderId="0" xfId="1" applyFont="1"/>
    <xf numFmtId="9" fontId="9" fillId="0" borderId="0" xfId="1" applyFont="1" applyFill="1"/>
    <xf numFmtId="170" fontId="9" fillId="0" borderId="0" xfId="0" applyNumberFormat="1" applyFont="1"/>
    <xf numFmtId="165" fontId="0" fillId="0" borderId="0" xfId="3" applyNumberFormat="1" applyFont="1" applyFill="1"/>
    <xf numFmtId="165" fontId="9" fillId="0" borderId="0" xfId="3" applyNumberFormat="1" applyFont="1" applyFill="1"/>
    <xf numFmtId="167" fontId="18" fillId="0" borderId="0" xfId="0" applyNumberFormat="1" applyFont="1" applyAlignment="1">
      <alignment horizontal="right"/>
    </xf>
    <xf numFmtId="43" fontId="9" fillId="2" borderId="0" xfId="0" applyNumberFormat="1" applyFont="1" applyFill="1"/>
    <xf numFmtId="0" fontId="9" fillId="2" borderId="0" xfId="0" applyFont="1" applyFill="1"/>
    <xf numFmtId="0" fontId="0" fillId="2" borderId="0" xfId="0" applyFill="1"/>
    <xf numFmtId="10" fontId="0" fillId="0" borderId="0" xfId="0" applyNumberFormat="1"/>
    <xf numFmtId="43" fontId="19" fillId="0" borderId="0" xfId="3" applyFont="1"/>
    <xf numFmtId="169" fontId="9" fillId="0" borderId="0" xfId="4" applyNumberFormat="1" applyFont="1" applyAlignment="1">
      <alignment horizontal="right" wrapText="1"/>
    </xf>
    <xf numFmtId="165" fontId="2" fillId="0" borderId="0" xfId="3" applyNumberFormat="1" applyFont="1" applyFill="1" applyBorder="1" applyAlignment="1">
      <alignment horizontal="right" vertical="top" wrapText="1"/>
    </xf>
    <xf numFmtId="164" fontId="17" fillId="0" borderId="0" xfId="0" applyNumberFormat="1" applyFont="1" applyAlignment="1">
      <alignment horizontal="right" vertical="top" wrapText="1"/>
    </xf>
    <xf numFmtId="165" fontId="8" fillId="0" borderId="0" xfId="3" applyNumberFormat="1" applyFont="1" applyFill="1" applyBorder="1" applyAlignment="1">
      <alignment horizontal="right" vertical="top" wrapText="1"/>
    </xf>
    <xf numFmtId="14" fontId="5" fillId="0" borderId="0" xfId="0" applyNumberFormat="1" applyFont="1" applyAlignment="1">
      <alignment horizontal="center" vertical="top" wrapText="1"/>
    </xf>
    <xf numFmtId="3" fontId="0" fillId="0" borderId="0" xfId="0" applyNumberFormat="1"/>
    <xf numFmtId="165" fontId="0" fillId="0" borderId="0" xfId="3" applyNumberFormat="1" applyFont="1" applyBorder="1"/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3" fillId="2" borderId="0" xfId="0" applyFont="1" applyFill="1" applyAlignment="1">
      <alignment horizontal="center" vertical="top" wrapText="1"/>
    </xf>
    <xf numFmtId="10" fontId="7" fillId="2" borderId="0" xfId="0" applyNumberFormat="1" applyFont="1" applyFill="1" applyAlignment="1">
      <alignment horizontal="right" vertical="top" wrapText="1"/>
    </xf>
    <xf numFmtId="0" fontId="4" fillId="2" borderId="0" xfId="0" applyFont="1" applyFill="1" applyAlignment="1">
      <alignment horizontal="right" vertical="top" wrapText="1"/>
    </xf>
    <xf numFmtId="10" fontId="2" fillId="2" borderId="0" xfId="0" applyNumberFormat="1" applyFont="1" applyFill="1" applyAlignment="1">
      <alignment horizontal="right" vertical="top" wrapText="1"/>
    </xf>
    <xf numFmtId="10" fontId="11" fillId="2" borderId="0" xfId="0" applyNumberFormat="1" applyFont="1" applyFill="1" applyAlignment="1">
      <alignment horizontal="right" vertical="top"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4" fontId="5" fillId="2" borderId="0" xfId="0" applyNumberFormat="1" applyFont="1" applyFill="1" applyAlignment="1">
      <alignment horizontal="center" vertical="top" wrapText="1"/>
    </xf>
    <xf numFmtId="0" fontId="10" fillId="2" borderId="0" xfId="0" applyFont="1" applyFill="1"/>
    <xf numFmtId="0" fontId="2" fillId="2" borderId="0" xfId="0" applyFont="1" applyFill="1" applyAlignment="1">
      <alignment vertical="top" wrapText="1"/>
    </xf>
    <xf numFmtId="0" fontId="14" fillId="2" borderId="0" xfId="0" applyFont="1" applyFill="1"/>
    <xf numFmtId="165" fontId="20" fillId="0" borderId="0" xfId="3" applyNumberFormat="1" applyFont="1" applyFill="1" applyBorder="1" applyAlignment="1">
      <alignment horizontal="right" vertical="top" wrapText="1"/>
    </xf>
    <xf numFmtId="164" fontId="21" fillId="0" borderId="0" xfId="0" applyNumberFormat="1" applyFont="1" applyAlignment="1">
      <alignment horizontal="right" vertical="top" wrapText="1"/>
    </xf>
    <xf numFmtId="164" fontId="22" fillId="0" borderId="0" xfId="0" applyNumberFormat="1" applyFont="1" applyAlignment="1">
      <alignment horizontal="right" vertical="top" wrapText="1"/>
    </xf>
    <xf numFmtId="165" fontId="23" fillId="0" borderId="0" xfId="3" applyNumberFormat="1" applyFont="1" applyFill="1" applyBorder="1" applyAlignment="1">
      <alignment horizontal="right" wrapText="1"/>
    </xf>
    <xf numFmtId="164" fontId="24" fillId="0" borderId="0" xfId="0" applyNumberFormat="1" applyFont="1" applyAlignment="1">
      <alignment horizontal="right" wrapText="1"/>
    </xf>
    <xf numFmtId="164" fontId="9" fillId="0" borderId="0" xfId="0" applyNumberFormat="1" applyFont="1" applyAlignment="1">
      <alignment horizontal="right" wrapText="1"/>
    </xf>
    <xf numFmtId="164" fontId="0" fillId="0" borderId="0" xfId="1" applyNumberFormat="1" applyFont="1"/>
    <xf numFmtId="9" fontId="0" fillId="0" borderId="0" xfId="1" applyFont="1"/>
    <xf numFmtId="14" fontId="3" fillId="0" borderId="0" xfId="0" applyNumberFormat="1" applyFont="1" applyAlignment="1">
      <alignment horizontal="center" vertical="top" wrapText="1"/>
    </xf>
    <xf numFmtId="164" fontId="0" fillId="2" borderId="0" xfId="1" applyNumberFormat="1" applyFont="1" applyFill="1"/>
    <xf numFmtId="171" fontId="15" fillId="0" borderId="0" xfId="0" applyNumberFormat="1" applyFont="1"/>
    <xf numFmtId="165" fontId="2" fillId="0" borderId="0" xfId="3" applyNumberFormat="1" applyFont="1" applyBorder="1" applyAlignment="1">
      <alignment horizontal="right" vertical="top" wrapText="1"/>
    </xf>
    <xf numFmtId="4" fontId="0" fillId="0" borderId="0" xfId="0" applyNumberFormat="1"/>
    <xf numFmtId="165" fontId="0" fillId="0" borderId="0" xfId="0" applyNumberFormat="1"/>
    <xf numFmtId="0" fontId="25" fillId="0" borderId="0" xfId="0" applyFont="1" applyAlignment="1">
      <alignment horizontal="center"/>
    </xf>
    <xf numFmtId="171" fontId="25" fillId="0" borderId="0" xfId="1" applyNumberFormat="1" applyFont="1" applyFill="1" applyBorder="1" applyAlignment="1">
      <alignment horizontal="center"/>
    </xf>
    <xf numFmtId="0" fontId="26" fillId="0" borderId="0" xfId="0" applyFont="1"/>
    <xf numFmtId="165" fontId="0" fillId="0" borderId="0" xfId="3" applyNumberFormat="1" applyFont="1" applyFill="1" applyBorder="1"/>
    <xf numFmtId="14" fontId="0" fillId="0" borderId="0" xfId="0" applyNumberFormat="1"/>
    <xf numFmtId="0" fontId="27" fillId="0" borderId="0" xfId="0" applyFont="1" applyAlignment="1">
      <alignment horizontal="center"/>
    </xf>
    <xf numFmtId="0" fontId="27" fillId="0" borderId="0" xfId="0" applyFont="1"/>
    <xf numFmtId="0" fontId="25" fillId="0" borderId="0" xfId="0" applyFont="1"/>
    <xf numFmtId="171" fontId="0" fillId="0" borderId="0" xfId="1" applyNumberFormat="1" applyFont="1" applyFill="1"/>
    <xf numFmtId="0" fontId="0" fillId="0" borderId="0" xfId="0" applyAlignment="1">
      <alignment horizontal="right"/>
    </xf>
    <xf numFmtId="43" fontId="9" fillId="2" borderId="0" xfId="3" applyFont="1" applyFill="1"/>
    <xf numFmtId="43" fontId="15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2" fontId="9" fillId="0" borderId="0" xfId="0" applyNumberFormat="1" applyFont="1"/>
    <xf numFmtId="173" fontId="9" fillId="0" borderId="0" xfId="0" applyNumberFormat="1" applyFont="1"/>
    <xf numFmtId="174" fontId="0" fillId="0" borderId="0" xfId="0" applyNumberFormat="1"/>
    <xf numFmtId="0" fontId="30" fillId="0" borderId="0" xfId="0" applyFont="1"/>
    <xf numFmtId="14" fontId="9" fillId="0" borderId="0" xfId="0" applyNumberFormat="1" applyFont="1"/>
    <xf numFmtId="164" fontId="0" fillId="0" borderId="0" xfId="1" applyNumberFormat="1" applyFont="1" applyFill="1" applyBorder="1"/>
    <xf numFmtId="164" fontId="0" fillId="0" borderId="0" xfId="0" applyNumberFormat="1"/>
    <xf numFmtId="0" fontId="30" fillId="0" borderId="0" xfId="0" applyFont="1" applyAlignment="1">
      <alignment horizontal="right"/>
    </xf>
    <xf numFmtId="165" fontId="2" fillId="0" borderId="0" xfId="3" applyNumberFormat="1" applyFont="1" applyFill="1" applyBorder="1" applyAlignment="1">
      <alignment horizontal="right" vertical="top"/>
    </xf>
    <xf numFmtId="175" fontId="9" fillId="0" borderId="0" xfId="0" applyNumberFormat="1" applyFont="1" applyAlignment="1">
      <alignment horizontal="left"/>
    </xf>
    <xf numFmtId="41" fontId="2" fillId="0" borderId="0" xfId="3" applyNumberFormat="1" applyFont="1" applyFill="1" applyBorder="1" applyAlignment="1">
      <alignment horizontal="right" vertical="top" wrapText="1"/>
    </xf>
    <xf numFmtId="176" fontId="0" fillId="0" borderId="0" xfId="0" applyNumberFormat="1"/>
    <xf numFmtId="165" fontId="2" fillId="3" borderId="0" xfId="3" applyNumberFormat="1" applyFont="1" applyFill="1" applyBorder="1" applyAlignment="1">
      <alignment horizontal="right" vertical="top" wrapText="1"/>
    </xf>
    <xf numFmtId="177" fontId="0" fillId="0" borderId="0" xfId="1" applyNumberFormat="1" applyFont="1" applyFill="1"/>
  </cellXfs>
  <cellStyles count="5">
    <cellStyle name="Comma" xfId="3" builtinId="3"/>
    <cellStyle name="Currency" xfId="2" builtinId="4"/>
    <cellStyle name="Normal" xfId="0" builtinId="0"/>
    <cellStyle name="Percent" xfId="1" builtinId="5"/>
    <cellStyle name="Percent_2006 WPEOF 2006 Deloitte IRR calculation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 refreshError="1"/>
      <sheetData sheetId="2" refreshError="1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Interest</v>
          </cell>
          <cell r="C16">
            <v>0</v>
          </cell>
        </row>
        <row r="17">
          <cell r="A17" t="str">
            <v>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CC9E-1D0C-4C19-8FA5-10632EED7D74}">
  <sheetPr>
    <tabColor rgb="FF92D050"/>
    <pageSetUpPr fitToPage="1"/>
  </sheetPr>
  <dimension ref="B4:P176"/>
  <sheetViews>
    <sheetView showGridLines="0" view="pageLayout" topLeftCell="A20" zoomScaleNormal="100" workbookViewId="0">
      <selection activeCell="C48" sqref="C48"/>
    </sheetView>
  </sheetViews>
  <sheetFormatPr defaultRowHeight="12.5"/>
  <cols>
    <col min="2" max="2" width="4.81640625" customWidth="1"/>
    <col min="3" max="3" width="46.453125" customWidth="1"/>
    <col min="4" max="4" width="1.453125" customWidth="1"/>
    <col min="5" max="5" width="10.54296875" customWidth="1"/>
    <col min="6" max="6" width="1.453125" customWidth="1"/>
    <col min="7" max="7" width="11.7265625" bestFit="1" customWidth="1"/>
    <col min="8" max="8" width="2.453125" customWidth="1"/>
    <col min="9" max="9" width="12.81640625" bestFit="1" customWidth="1"/>
    <col min="10" max="10" width="11.7265625" customWidth="1"/>
    <col min="11" max="11" width="11" bestFit="1" customWidth="1"/>
    <col min="12" max="12" width="17.54296875" customWidth="1"/>
    <col min="13" max="13" width="16.54296875" bestFit="1" customWidth="1"/>
    <col min="14" max="14" width="14" bestFit="1" customWidth="1"/>
    <col min="16" max="16" width="16.54296875" bestFit="1" customWidth="1"/>
  </cols>
  <sheetData>
    <row r="4" spans="2:10" ht="18">
      <c r="B4" s="3"/>
      <c r="C4" s="3"/>
      <c r="D4" s="3"/>
      <c r="E4" s="3"/>
      <c r="F4" s="3"/>
    </row>
    <row r="6" spans="2:10">
      <c r="C6" s="4"/>
      <c r="D6" s="4"/>
      <c r="E6" s="4"/>
      <c r="F6" s="4"/>
    </row>
    <row r="7" spans="2:10" ht="13">
      <c r="B7" s="5"/>
      <c r="C7" s="6"/>
      <c r="D7" s="6"/>
      <c r="E7" s="6"/>
      <c r="F7" s="6"/>
    </row>
    <row r="8" spans="2:10" ht="15.5">
      <c r="C8" s="7"/>
      <c r="D8" s="7"/>
      <c r="E8" s="8">
        <v>45473</v>
      </c>
      <c r="F8" s="9"/>
      <c r="G8" s="10"/>
      <c r="H8" s="10"/>
      <c r="I8" s="11"/>
    </row>
    <row r="9" spans="2:10" ht="15.5">
      <c r="C9" s="7"/>
      <c r="D9" s="7"/>
      <c r="E9" s="7"/>
      <c r="F9" s="7"/>
      <c r="G9" s="12"/>
    </row>
    <row r="10" spans="2:10">
      <c r="C10" s="13"/>
      <c r="D10" s="13"/>
      <c r="E10" s="14"/>
      <c r="F10" s="13"/>
      <c r="G10" s="61"/>
      <c r="H10" s="15"/>
      <c r="I10" s="16"/>
      <c r="J10" s="17"/>
    </row>
    <row r="11" spans="2:10">
      <c r="C11" s="13"/>
      <c r="D11" s="13"/>
      <c r="E11" s="14"/>
      <c r="F11" s="13"/>
      <c r="G11" s="14"/>
      <c r="H11" s="15"/>
      <c r="I11" s="16"/>
      <c r="J11" s="17"/>
    </row>
    <row r="12" spans="2:10" ht="15.5">
      <c r="C12" s="18"/>
      <c r="D12" s="18"/>
      <c r="E12" s="19"/>
      <c r="F12" s="18"/>
      <c r="G12" s="19"/>
      <c r="H12" s="7"/>
      <c r="I12" s="16"/>
      <c r="J12" s="17"/>
    </row>
    <row r="13" spans="2:10">
      <c r="C13" s="13"/>
      <c r="D13" s="13"/>
      <c r="E13" s="20"/>
      <c r="F13" s="13"/>
      <c r="G13" s="59"/>
      <c r="H13" s="21"/>
      <c r="I13" s="16"/>
      <c r="J13" s="17"/>
    </row>
    <row r="14" spans="2:10">
      <c r="C14" s="13"/>
      <c r="D14" s="13"/>
      <c r="E14" s="22"/>
      <c r="F14" s="13"/>
      <c r="G14" s="59"/>
      <c r="H14" s="23"/>
      <c r="I14" s="16"/>
      <c r="J14" s="17"/>
    </row>
    <row r="15" spans="2:10">
      <c r="C15" s="13"/>
      <c r="D15" s="13"/>
      <c r="E15" s="14"/>
      <c r="F15" s="13"/>
      <c r="G15" s="14"/>
      <c r="H15" s="15"/>
      <c r="I15" s="16"/>
      <c r="J15" s="17"/>
    </row>
    <row r="16" spans="2:10" ht="15.5">
      <c r="C16" s="7"/>
      <c r="D16" s="7"/>
      <c r="E16" s="19"/>
      <c r="F16" s="7"/>
      <c r="G16" s="19"/>
      <c r="H16" s="7"/>
      <c r="I16" s="16"/>
      <c r="J16" s="17"/>
    </row>
    <row r="17" spans="3:16" ht="15.5">
      <c r="C17" s="18" t="s">
        <v>0</v>
      </c>
      <c r="D17" s="18"/>
      <c r="E17" s="19"/>
      <c r="F17" s="18"/>
      <c r="G17" s="19"/>
      <c r="H17" s="7"/>
      <c r="I17" s="24"/>
    </row>
    <row r="18" spans="3:16" ht="12.75" customHeight="1">
      <c r="C18" s="13" t="s">
        <v>1</v>
      </c>
      <c r="D18" s="13"/>
      <c r="E18" s="21">
        <f>G140</f>
        <v>6.303539872169495E-3</v>
      </c>
      <c r="F18" s="13"/>
      <c r="G18" s="20"/>
      <c r="H18" s="21"/>
      <c r="I18" s="24"/>
    </row>
    <row r="19" spans="3:16">
      <c r="C19" s="13" t="s">
        <v>2</v>
      </c>
      <c r="D19" s="13"/>
      <c r="E19" s="25">
        <f>(G138+I139)/-I138</f>
        <v>1.0330538852538584</v>
      </c>
      <c r="F19" s="13"/>
      <c r="G19" s="14"/>
      <c r="H19" s="15"/>
    </row>
    <row r="20" spans="3:16">
      <c r="C20" s="13"/>
      <c r="D20" s="13"/>
      <c r="E20" s="13"/>
      <c r="F20" s="13"/>
      <c r="G20" s="15"/>
    </row>
    <row r="21" spans="3:16" ht="15.5">
      <c r="C21" s="26" t="s">
        <v>29</v>
      </c>
      <c r="D21" s="27"/>
      <c r="E21" s="27"/>
      <c r="F21" s="27"/>
      <c r="I21" s="28"/>
      <c r="J21" s="17"/>
      <c r="L21" s="29"/>
    </row>
    <row r="22" spans="3:16">
      <c r="C22" s="30">
        <v>8.3142899999999996E-4</v>
      </c>
      <c r="D22" s="17"/>
      <c r="E22" s="17"/>
      <c r="F22" s="17"/>
      <c r="G22" s="31"/>
      <c r="H22" s="17"/>
      <c r="I22" s="17"/>
      <c r="J22" s="17"/>
    </row>
    <row r="23" spans="3:16">
      <c r="C23" s="17" t="s">
        <v>3</v>
      </c>
      <c r="D23" s="17"/>
      <c r="E23" s="28">
        <v>40512</v>
      </c>
      <c r="F23" s="17"/>
      <c r="G23" s="32">
        <v>-63000</v>
      </c>
      <c r="H23" s="17"/>
      <c r="I23" s="16"/>
      <c r="J23" s="16"/>
      <c r="P23" s="33"/>
    </row>
    <row r="24" spans="3:16">
      <c r="C24" s="17" t="s">
        <v>4</v>
      </c>
      <c r="D24" s="17"/>
      <c r="E24" s="28">
        <v>40570</v>
      </c>
      <c r="F24" s="34"/>
      <c r="G24" s="32">
        <v>-31500</v>
      </c>
      <c r="H24" s="17"/>
      <c r="I24" s="16"/>
      <c r="J24" s="16"/>
      <c r="P24" s="33"/>
    </row>
    <row r="25" spans="3:16">
      <c r="C25" s="17"/>
      <c r="D25" s="17"/>
      <c r="E25" s="28">
        <v>40661</v>
      </c>
      <c r="F25" s="34"/>
      <c r="G25" s="32">
        <v>-24194.61</v>
      </c>
      <c r="H25" s="17"/>
      <c r="I25" s="16"/>
      <c r="J25" s="16"/>
      <c r="P25" s="33"/>
    </row>
    <row r="26" spans="3:16">
      <c r="C26" s="17"/>
      <c r="D26" s="17"/>
      <c r="E26" s="28">
        <v>40704</v>
      </c>
      <c r="F26" s="34"/>
      <c r="G26" s="32">
        <v>-38162.639999999999</v>
      </c>
      <c r="H26" s="17"/>
      <c r="I26" s="16"/>
      <c r="J26" s="16"/>
      <c r="P26" s="33"/>
    </row>
    <row r="27" spans="3:16">
      <c r="C27" s="17"/>
      <c r="D27" s="17"/>
      <c r="E27" s="28">
        <v>40751</v>
      </c>
      <c r="F27" s="34"/>
      <c r="G27" s="32">
        <v>-36499.78</v>
      </c>
      <c r="H27" s="17"/>
      <c r="I27" s="16"/>
      <c r="J27" s="16"/>
      <c r="P27" s="33"/>
    </row>
    <row r="28" spans="3:16">
      <c r="C28" s="17"/>
      <c r="D28" s="17"/>
      <c r="E28" s="28">
        <v>40765</v>
      </c>
      <c r="F28" s="34"/>
      <c r="G28" s="32">
        <v>-60694.39</v>
      </c>
      <c r="H28" s="17"/>
      <c r="I28" s="16"/>
      <c r="J28" s="16"/>
      <c r="P28" s="33"/>
    </row>
    <row r="29" spans="3:16">
      <c r="C29" s="17"/>
      <c r="D29" s="17"/>
      <c r="E29" s="28">
        <v>40813</v>
      </c>
      <c r="F29" s="34"/>
      <c r="G29" s="32">
        <v>-53460.95</v>
      </c>
      <c r="H29" s="17"/>
      <c r="I29" s="16"/>
      <c r="J29" s="16"/>
      <c r="P29" s="33"/>
    </row>
    <row r="30" spans="3:16">
      <c r="C30" s="17"/>
      <c r="D30" s="17"/>
      <c r="E30" s="28">
        <v>40879</v>
      </c>
      <c r="F30" s="34"/>
      <c r="G30" s="32">
        <v>-25691.19</v>
      </c>
      <c r="H30" s="17"/>
      <c r="I30" s="16"/>
      <c r="J30" s="16"/>
      <c r="P30" s="33"/>
    </row>
    <row r="31" spans="3:16">
      <c r="C31" s="17"/>
      <c r="D31" s="17"/>
      <c r="E31" s="28">
        <v>40886</v>
      </c>
      <c r="F31" s="34"/>
      <c r="G31" s="32">
        <v>-35003.199999999997</v>
      </c>
      <c r="H31" s="17"/>
      <c r="I31" s="16"/>
      <c r="J31" s="16"/>
      <c r="P31" s="33"/>
    </row>
    <row r="32" spans="3:16">
      <c r="C32" s="17" t="s">
        <v>5</v>
      </c>
      <c r="D32" s="17"/>
      <c r="E32" s="28">
        <v>40927</v>
      </c>
      <c r="F32" s="34"/>
      <c r="G32" s="32">
        <v>-58532.67</v>
      </c>
      <c r="H32" s="17"/>
      <c r="I32" s="16"/>
      <c r="J32" s="16"/>
      <c r="P32" s="33"/>
    </row>
    <row r="33" spans="3:16">
      <c r="C33" s="17"/>
      <c r="D33" s="17"/>
      <c r="E33" s="28">
        <v>40942</v>
      </c>
      <c r="F33" s="34"/>
      <c r="G33" s="32">
        <v>-274371.90000000002</v>
      </c>
      <c r="H33" s="17"/>
      <c r="I33" s="16"/>
      <c r="J33" s="16"/>
      <c r="P33" s="33"/>
    </row>
    <row r="34" spans="3:16">
      <c r="C34" s="17"/>
      <c r="D34" s="17"/>
      <c r="E34" s="28">
        <v>40970</v>
      </c>
      <c r="F34" s="34"/>
      <c r="G34" s="32">
        <v>-43650.080000000002</v>
      </c>
      <c r="H34" s="17"/>
      <c r="I34" s="16"/>
      <c r="J34" s="16"/>
      <c r="P34" s="33"/>
    </row>
    <row r="35" spans="3:16">
      <c r="C35" s="17"/>
      <c r="D35" s="17"/>
      <c r="E35" s="28">
        <v>41001</v>
      </c>
      <c r="F35" s="34"/>
      <c r="G35" s="32">
        <v>-25524.9</v>
      </c>
      <c r="H35" s="17"/>
      <c r="I35" s="16"/>
      <c r="J35" s="16"/>
      <c r="P35" s="33"/>
    </row>
    <row r="36" spans="3:16">
      <c r="C36" s="17"/>
      <c r="D36" s="17"/>
      <c r="E36" s="28">
        <v>41024</v>
      </c>
      <c r="F36" s="34"/>
      <c r="G36" s="32">
        <v>-30264.05</v>
      </c>
      <c r="H36" s="17"/>
      <c r="I36" s="16"/>
      <c r="J36" s="16"/>
      <c r="P36" s="33"/>
    </row>
    <row r="37" spans="3:16">
      <c r="C37" s="17"/>
      <c r="D37" s="17"/>
      <c r="E37" s="28">
        <v>41054</v>
      </c>
      <c r="F37" s="34"/>
      <c r="G37" s="32">
        <v>-39409.78</v>
      </c>
      <c r="H37" s="17"/>
      <c r="I37" s="16"/>
      <c r="J37" s="16"/>
      <c r="P37" s="33"/>
    </row>
    <row r="38" spans="3:16">
      <c r="C38" s="17"/>
      <c r="D38" s="17"/>
      <c r="E38" s="28">
        <v>41080</v>
      </c>
      <c r="F38" s="34"/>
      <c r="G38" s="32">
        <v>-73082.7</v>
      </c>
      <c r="H38" s="17"/>
      <c r="I38" s="16"/>
      <c r="J38" s="16"/>
      <c r="P38" s="33"/>
    </row>
    <row r="39" spans="3:16">
      <c r="C39" s="17"/>
      <c r="D39" s="17"/>
      <c r="E39" s="28">
        <v>41103</v>
      </c>
      <c r="F39" s="34"/>
      <c r="G39" s="32">
        <v>-23695.759999999998</v>
      </c>
      <c r="H39" s="17"/>
      <c r="I39" s="16"/>
      <c r="J39" s="16"/>
      <c r="P39" s="33"/>
    </row>
    <row r="40" spans="3:16">
      <c r="C40" s="17"/>
      <c r="D40" s="17"/>
      <c r="E40" s="28">
        <v>41121</v>
      </c>
      <c r="F40" s="34"/>
      <c r="G40" s="32">
        <v>-22864.33</v>
      </c>
      <c r="H40" s="17"/>
      <c r="I40" s="16"/>
      <c r="J40" s="16"/>
      <c r="P40" s="33"/>
    </row>
    <row r="41" spans="3:16">
      <c r="C41" s="17"/>
      <c r="D41" s="17"/>
      <c r="E41" s="28">
        <v>41152</v>
      </c>
      <c r="F41" s="34"/>
      <c r="G41" s="32">
        <v>-30264</v>
      </c>
      <c r="H41" s="17"/>
      <c r="I41" s="16"/>
      <c r="J41" s="16"/>
      <c r="P41" s="33"/>
    </row>
    <row r="42" spans="3:16">
      <c r="C42" s="17"/>
      <c r="D42" s="17"/>
      <c r="E42" s="28">
        <v>41180</v>
      </c>
      <c r="F42" s="34"/>
      <c r="G42" s="32">
        <v>-57368.58</v>
      </c>
      <c r="H42" s="17"/>
      <c r="I42" s="16"/>
      <c r="J42" s="16"/>
      <c r="P42" s="33"/>
    </row>
    <row r="43" spans="3:16">
      <c r="C43" s="17"/>
      <c r="D43" s="17"/>
      <c r="E43" s="28">
        <v>41194</v>
      </c>
      <c r="F43" s="34"/>
      <c r="G43" s="32">
        <v>-28185.43</v>
      </c>
      <c r="H43" s="17"/>
      <c r="I43" s="16"/>
      <c r="J43" s="16"/>
      <c r="P43" s="33"/>
    </row>
    <row r="44" spans="3:16">
      <c r="C44" s="17"/>
      <c r="D44" s="17"/>
      <c r="E44" s="28">
        <v>41250</v>
      </c>
      <c r="F44" s="34"/>
      <c r="G44" s="32">
        <v>-127125.41</v>
      </c>
      <c r="H44" s="17"/>
      <c r="I44" s="16"/>
      <c r="J44" s="16"/>
      <c r="P44" s="33"/>
    </row>
    <row r="45" spans="3:16">
      <c r="C45" s="17"/>
      <c r="D45" s="17"/>
      <c r="E45" s="28">
        <v>41264</v>
      </c>
      <c r="F45" s="34"/>
      <c r="G45" s="32">
        <v>-112908</v>
      </c>
      <c r="H45" s="17"/>
      <c r="I45" s="16"/>
      <c r="J45" s="16"/>
      <c r="P45" s="33"/>
    </row>
    <row r="46" spans="3:16">
      <c r="C46" s="17" t="s">
        <v>6</v>
      </c>
      <c r="D46" s="17"/>
      <c r="E46" s="28">
        <v>41030</v>
      </c>
      <c r="F46" s="34"/>
      <c r="G46" s="32">
        <v>112056.47</v>
      </c>
      <c r="H46" s="17"/>
      <c r="I46" s="16"/>
      <c r="J46" s="16"/>
      <c r="P46" s="33"/>
    </row>
    <row r="47" spans="3:16">
      <c r="C47" s="17"/>
      <c r="D47" s="17"/>
      <c r="E47" s="28">
        <v>41108</v>
      </c>
      <c r="F47" s="34"/>
      <c r="G47" s="32">
        <v>24215.98</v>
      </c>
      <c r="H47" s="17"/>
      <c r="I47" s="16"/>
      <c r="J47" s="16"/>
      <c r="P47" s="33"/>
    </row>
    <row r="48" spans="3:16">
      <c r="C48" s="17"/>
      <c r="D48" s="17"/>
      <c r="E48" s="28">
        <v>41137</v>
      </c>
      <c r="F48" s="34"/>
      <c r="G48" s="32">
        <v>10363.64</v>
      </c>
      <c r="H48" s="17"/>
      <c r="I48" s="16"/>
      <c r="J48" s="16"/>
      <c r="P48" s="33"/>
    </row>
    <row r="49" spans="3:16">
      <c r="C49" s="17"/>
      <c r="D49" s="17"/>
      <c r="E49" s="28">
        <v>41173</v>
      </c>
      <c r="F49" s="34"/>
      <c r="G49" s="32">
        <v>223637.66</v>
      </c>
      <c r="H49" s="17"/>
      <c r="I49" s="16"/>
      <c r="J49" s="16"/>
      <c r="P49" s="33"/>
    </row>
    <row r="50" spans="3:16">
      <c r="C50" s="17" t="s">
        <v>7</v>
      </c>
      <c r="D50" s="17"/>
      <c r="E50" s="28">
        <v>41284</v>
      </c>
      <c r="F50" s="34"/>
      <c r="G50" s="32">
        <v>-33340.28</v>
      </c>
      <c r="H50" s="17"/>
      <c r="I50" s="16"/>
      <c r="J50" s="16"/>
      <c r="P50" s="33"/>
    </row>
    <row r="51" spans="3:16">
      <c r="C51" s="17"/>
      <c r="D51" s="17"/>
      <c r="E51" s="28">
        <v>41298</v>
      </c>
      <c r="F51" s="34"/>
      <c r="G51" s="32">
        <v>-42652.29</v>
      </c>
      <c r="H51" s="17"/>
      <c r="I51" s="16"/>
      <c r="J51" s="16"/>
      <c r="P51" s="33"/>
    </row>
    <row r="52" spans="3:16">
      <c r="C52" s="17"/>
      <c r="D52" s="17"/>
      <c r="E52" s="28">
        <v>41345</v>
      </c>
      <c r="F52" s="34"/>
      <c r="G52" s="32">
        <v>-43733.14</v>
      </c>
      <c r="H52" s="17"/>
      <c r="I52" s="16"/>
      <c r="J52" s="16"/>
      <c r="P52" s="33"/>
    </row>
    <row r="53" spans="3:16">
      <c r="C53" s="17"/>
      <c r="D53" s="17"/>
      <c r="E53" s="28">
        <v>41360</v>
      </c>
      <c r="F53" s="34"/>
      <c r="G53" s="32">
        <v>-39160.28</v>
      </c>
      <c r="H53" s="17"/>
      <c r="I53" s="16"/>
      <c r="J53" s="16"/>
      <c r="P53" s="33"/>
    </row>
    <row r="54" spans="3:16">
      <c r="C54" s="17"/>
      <c r="D54" s="17"/>
      <c r="E54" s="28">
        <v>41393</v>
      </c>
      <c r="F54" s="34"/>
      <c r="G54" s="32">
        <v>-31511.15</v>
      </c>
      <c r="H54" s="17"/>
      <c r="I54" s="16"/>
      <c r="J54" s="16"/>
      <c r="P54" s="33"/>
    </row>
    <row r="55" spans="3:16">
      <c r="C55" s="17"/>
      <c r="D55" s="17"/>
      <c r="E55" s="28">
        <v>41404</v>
      </c>
      <c r="F55" s="34"/>
      <c r="G55" s="32">
        <v>-42901.72</v>
      </c>
      <c r="H55" s="17"/>
      <c r="I55" s="16"/>
      <c r="J55" s="16"/>
      <c r="P55" s="33"/>
    </row>
    <row r="56" spans="3:16">
      <c r="C56" s="17"/>
      <c r="D56" s="17"/>
      <c r="E56" s="28">
        <v>41423</v>
      </c>
      <c r="F56" s="34"/>
      <c r="G56" s="32">
        <v>-37164.86</v>
      </c>
      <c r="H56" s="17"/>
      <c r="I56" s="16"/>
      <c r="J56" s="16"/>
      <c r="P56" s="33"/>
    </row>
    <row r="57" spans="3:16">
      <c r="C57" s="17"/>
      <c r="D57" s="17"/>
      <c r="E57" s="28">
        <v>41446</v>
      </c>
      <c r="F57" s="34"/>
      <c r="G57" s="32">
        <v>-113573.14</v>
      </c>
      <c r="H57" s="17"/>
      <c r="I57" s="16"/>
      <c r="J57" s="16"/>
      <c r="P57" s="33"/>
    </row>
    <row r="58" spans="3:16">
      <c r="C58" s="17"/>
      <c r="D58" s="17"/>
      <c r="E58" s="28">
        <v>41481</v>
      </c>
      <c r="F58" s="34"/>
      <c r="G58" s="32">
        <v>-35502</v>
      </c>
      <c r="H58" s="17"/>
      <c r="I58" s="16"/>
      <c r="J58" s="16"/>
      <c r="P58" s="33"/>
    </row>
    <row r="59" spans="3:16">
      <c r="C59" s="17"/>
      <c r="D59" s="17"/>
      <c r="E59" s="28">
        <v>41501</v>
      </c>
      <c r="F59" s="34"/>
      <c r="G59" s="32">
        <v>-33423.42</v>
      </c>
      <c r="H59" s="17"/>
      <c r="I59" s="16"/>
      <c r="J59" s="16"/>
      <c r="P59" s="33"/>
    </row>
    <row r="60" spans="3:16">
      <c r="C60" s="17"/>
      <c r="D60" s="17"/>
      <c r="E60" s="28">
        <v>41514</v>
      </c>
      <c r="F60" s="34"/>
      <c r="G60" s="32">
        <v>-48472.28</v>
      </c>
      <c r="H60" s="17"/>
      <c r="I60" s="16"/>
      <c r="J60" s="16"/>
      <c r="P60" s="33"/>
    </row>
    <row r="61" spans="3:16">
      <c r="C61" s="17"/>
      <c r="D61" s="17"/>
      <c r="E61" s="28">
        <v>41551</v>
      </c>
      <c r="F61" s="34"/>
      <c r="G61" s="32">
        <v>-28933.72</v>
      </c>
      <c r="H61" s="17"/>
      <c r="I61" s="16"/>
      <c r="J61" s="16"/>
      <c r="P61" s="33"/>
    </row>
    <row r="62" spans="3:16">
      <c r="C62" s="17"/>
      <c r="D62" s="17"/>
      <c r="E62" s="28">
        <v>41577</v>
      </c>
      <c r="F62" s="34"/>
      <c r="G62" s="32">
        <v>-46310.57</v>
      </c>
      <c r="H62" s="17"/>
      <c r="P62" s="33"/>
    </row>
    <row r="63" spans="3:16">
      <c r="C63" s="17"/>
      <c r="D63" s="17"/>
      <c r="E63" s="28">
        <v>41599</v>
      </c>
      <c r="F63" s="34"/>
      <c r="G63" s="32">
        <v>-29266.29</v>
      </c>
      <c r="H63" s="17"/>
      <c r="P63" s="33"/>
    </row>
    <row r="64" spans="3:16">
      <c r="C64" s="17"/>
      <c r="D64" s="17"/>
      <c r="E64" s="28">
        <v>41624</v>
      </c>
      <c r="F64" s="34"/>
      <c r="G64" s="32">
        <v>-58532.56</v>
      </c>
      <c r="H64" s="17"/>
      <c r="P64" s="33"/>
    </row>
    <row r="65" spans="3:16">
      <c r="C65" s="17" t="s">
        <v>8</v>
      </c>
      <c r="D65" s="17"/>
      <c r="E65" s="28">
        <v>41418</v>
      </c>
      <c r="F65" s="34"/>
      <c r="G65" s="32">
        <v>13529.21</v>
      </c>
      <c r="H65" s="17"/>
      <c r="P65" s="33"/>
    </row>
    <row r="66" spans="3:16">
      <c r="C66" s="17"/>
      <c r="D66" s="17"/>
      <c r="E66" s="28">
        <v>41618</v>
      </c>
      <c r="F66" s="34"/>
      <c r="G66" s="32">
        <v>32263.89</v>
      </c>
      <c r="H66" s="17"/>
      <c r="P66" s="33"/>
    </row>
    <row r="67" spans="3:16">
      <c r="C67" s="17" t="s">
        <v>9</v>
      </c>
      <c r="D67" s="17"/>
      <c r="E67" s="28">
        <v>41646</v>
      </c>
      <c r="F67" s="34"/>
      <c r="G67" s="34">
        <v>-41322</v>
      </c>
      <c r="H67" s="17"/>
      <c r="I67" s="16"/>
      <c r="J67" s="17"/>
      <c r="P67" s="33"/>
    </row>
    <row r="68" spans="3:16">
      <c r="C68" s="17"/>
      <c r="D68" s="17"/>
      <c r="E68" s="28">
        <v>41670</v>
      </c>
      <c r="F68" s="34"/>
      <c r="G68" s="34">
        <v>-30679.72</v>
      </c>
      <c r="H68" s="17"/>
      <c r="I68" s="16"/>
      <c r="J68" s="17"/>
      <c r="P68" s="33"/>
    </row>
    <row r="69" spans="3:16">
      <c r="C69" s="17"/>
      <c r="D69" s="17"/>
      <c r="E69" s="28">
        <v>41697</v>
      </c>
      <c r="F69" s="34"/>
      <c r="G69" s="34">
        <v>-54624.85</v>
      </c>
      <c r="H69" s="17"/>
      <c r="I69" s="16"/>
      <c r="J69" s="17"/>
      <c r="P69" s="33"/>
    </row>
    <row r="70" spans="3:16">
      <c r="C70" s="17"/>
      <c r="D70" s="17"/>
      <c r="E70" s="28">
        <v>41704</v>
      </c>
      <c r="F70" s="34"/>
      <c r="G70" s="34">
        <v>-39576</v>
      </c>
      <c r="H70" s="17"/>
      <c r="I70" s="16"/>
      <c r="J70" s="17"/>
      <c r="P70" s="33"/>
    </row>
    <row r="71" spans="3:16">
      <c r="C71" s="17"/>
      <c r="D71" s="17"/>
      <c r="E71" s="28">
        <v>41718</v>
      </c>
      <c r="F71" s="34"/>
      <c r="G71" s="34">
        <v>-34587.43</v>
      </c>
      <c r="H71" s="17"/>
      <c r="I71" s="16"/>
      <c r="J71" s="17"/>
      <c r="P71" s="33"/>
    </row>
    <row r="72" spans="3:16">
      <c r="C72" s="17"/>
      <c r="D72" s="17"/>
      <c r="E72" s="28">
        <v>41750</v>
      </c>
      <c r="F72" s="34"/>
      <c r="G72" s="34">
        <v>-54957.43</v>
      </c>
      <c r="H72" s="17"/>
      <c r="I72" s="16"/>
      <c r="J72" s="17"/>
      <c r="P72" s="33"/>
    </row>
    <row r="73" spans="3:16">
      <c r="C73" s="17"/>
      <c r="D73" s="17"/>
      <c r="E73" s="28">
        <v>41779</v>
      </c>
      <c r="F73" s="34"/>
      <c r="G73" s="34">
        <v>-54874.28</v>
      </c>
      <c r="H73" s="17"/>
      <c r="P73" s="33"/>
    </row>
    <row r="74" spans="3:16">
      <c r="C74" s="17"/>
      <c r="D74" s="17"/>
      <c r="E74" s="28">
        <v>41814</v>
      </c>
      <c r="F74" s="34"/>
      <c r="G74" s="34">
        <v>-40490.57</v>
      </c>
      <c r="H74" s="17"/>
      <c r="P74" s="33"/>
    </row>
    <row r="75" spans="3:16">
      <c r="C75" s="17"/>
      <c r="D75" s="17"/>
      <c r="E75" s="28">
        <v>41877</v>
      </c>
      <c r="F75" s="34"/>
      <c r="G75" s="34">
        <v>-63770.57</v>
      </c>
      <c r="H75" s="17"/>
      <c r="P75" s="33"/>
    </row>
    <row r="76" spans="3:16">
      <c r="C76" s="17"/>
      <c r="D76" s="17"/>
      <c r="E76" s="28">
        <v>41913</v>
      </c>
      <c r="F76" s="34"/>
      <c r="G76" s="34">
        <v>-26439.43</v>
      </c>
      <c r="H76" s="17"/>
      <c r="P76" s="33"/>
    </row>
    <row r="77" spans="3:16">
      <c r="C77" s="17"/>
      <c r="D77" s="17"/>
      <c r="E77" s="28">
        <v>41943</v>
      </c>
      <c r="F77" s="34"/>
      <c r="G77" s="34">
        <v>-33755.99</v>
      </c>
      <c r="H77" s="17"/>
      <c r="P77" s="33"/>
    </row>
    <row r="78" spans="3:16">
      <c r="C78" s="17"/>
      <c r="D78" s="17"/>
      <c r="E78" s="28">
        <v>41990</v>
      </c>
      <c r="F78" s="34"/>
      <c r="G78" s="34">
        <v>-35335.71</v>
      </c>
      <c r="H78" s="17"/>
      <c r="P78" s="33"/>
    </row>
    <row r="79" spans="3:16">
      <c r="C79" s="17" t="s">
        <v>10</v>
      </c>
      <c r="D79" s="17"/>
      <c r="E79" s="28">
        <v>41816</v>
      </c>
      <c r="F79" s="34"/>
      <c r="G79" s="34">
        <v>87804.85</v>
      </c>
      <c r="H79" s="17"/>
      <c r="P79" s="33"/>
    </row>
    <row r="80" spans="3:16">
      <c r="C80" s="17"/>
      <c r="D80" s="17"/>
      <c r="E80" s="28">
        <v>41857</v>
      </c>
      <c r="F80" s="34"/>
      <c r="G80" s="34">
        <v>358214.75</v>
      </c>
      <c r="H80" s="17"/>
      <c r="P80" s="33"/>
    </row>
    <row r="81" spans="3:16">
      <c r="C81" s="17" t="s">
        <v>11</v>
      </c>
      <c r="D81" s="17"/>
      <c r="E81" s="28">
        <v>42011</v>
      </c>
      <c r="F81" s="34"/>
      <c r="G81" s="34">
        <v>-27769.71</v>
      </c>
      <c r="H81" s="17"/>
      <c r="P81" s="33"/>
    </row>
    <row r="82" spans="3:16">
      <c r="C82" s="17"/>
      <c r="D82" s="17"/>
      <c r="E82" s="28">
        <v>42027</v>
      </c>
      <c r="F82" s="34"/>
      <c r="G82" s="34">
        <v>-35834.57</v>
      </c>
      <c r="H82" s="17"/>
      <c r="P82" s="33"/>
    </row>
    <row r="83" spans="3:16">
      <c r="C83" s="17"/>
      <c r="D83" s="17"/>
      <c r="E83" s="28">
        <v>42075</v>
      </c>
      <c r="F83" s="34"/>
      <c r="G83" s="34">
        <v>-35917.71</v>
      </c>
      <c r="H83" s="17"/>
      <c r="P83" s="33"/>
    </row>
    <row r="84" spans="3:16">
      <c r="C84" s="17"/>
      <c r="D84" s="17"/>
      <c r="E84" s="28">
        <v>42138</v>
      </c>
      <c r="F84" s="34"/>
      <c r="G84" s="34">
        <v>-53211.43</v>
      </c>
      <c r="H84" s="17"/>
      <c r="P84" s="33"/>
    </row>
    <row r="85" spans="3:16">
      <c r="C85" s="17"/>
      <c r="D85" s="17"/>
      <c r="E85" s="28">
        <v>42265</v>
      </c>
      <c r="F85" s="34"/>
      <c r="G85" s="34">
        <v>-24028.29</v>
      </c>
      <c r="H85" s="17"/>
      <c r="P85" s="33"/>
    </row>
    <row r="86" spans="3:16">
      <c r="C86" s="17"/>
      <c r="D86" s="17"/>
      <c r="E86" s="28">
        <v>42297</v>
      </c>
      <c r="F86" s="34"/>
      <c r="G86" s="34">
        <v>-41987.13</v>
      </c>
      <c r="H86" s="17"/>
      <c r="P86" s="33"/>
    </row>
    <row r="87" spans="3:16">
      <c r="C87" s="17"/>
      <c r="D87" s="17"/>
      <c r="E87" s="28">
        <v>42352</v>
      </c>
      <c r="F87" s="34"/>
      <c r="G87" s="34">
        <v>-37663.71</v>
      </c>
      <c r="H87" s="17"/>
      <c r="P87" s="33"/>
    </row>
    <row r="88" spans="3:16">
      <c r="C88" s="17" t="s">
        <v>12</v>
      </c>
      <c r="D88" s="17"/>
      <c r="E88" s="28">
        <v>42055</v>
      </c>
      <c r="F88" s="34"/>
      <c r="G88" s="34">
        <v>27318.78</v>
      </c>
      <c r="H88" s="17"/>
      <c r="P88" s="33"/>
    </row>
    <row r="89" spans="3:16">
      <c r="C89" s="17"/>
      <c r="D89" s="17"/>
      <c r="E89" s="28">
        <v>42150</v>
      </c>
      <c r="F89" s="34"/>
      <c r="G89" s="34">
        <v>28614.74</v>
      </c>
      <c r="H89" s="17"/>
      <c r="I89" s="16"/>
      <c r="J89" s="17"/>
      <c r="P89" s="33"/>
    </row>
    <row r="90" spans="3:16">
      <c r="C90" s="17"/>
      <c r="D90" s="17"/>
      <c r="E90" s="28">
        <v>42251</v>
      </c>
      <c r="F90" s="34"/>
      <c r="G90" s="34">
        <v>85826.47</v>
      </c>
      <c r="H90" s="17"/>
      <c r="I90" s="16"/>
      <c r="J90" s="17"/>
      <c r="P90" s="33"/>
    </row>
    <row r="91" spans="3:16">
      <c r="C91" s="17" t="s">
        <v>13</v>
      </c>
      <c r="D91" s="17"/>
      <c r="E91" s="28">
        <v>42424</v>
      </c>
      <c r="F91" s="34"/>
      <c r="G91" s="34">
        <v>-37746.86</v>
      </c>
      <c r="H91" s="17"/>
      <c r="I91" s="16"/>
      <c r="J91" s="17"/>
      <c r="P91" s="33"/>
    </row>
    <row r="92" spans="3:16">
      <c r="C92" s="17"/>
      <c r="D92" s="17"/>
      <c r="E92" s="28">
        <v>42452</v>
      </c>
      <c r="F92" s="34"/>
      <c r="G92" s="34">
        <v>-28185.43</v>
      </c>
      <c r="H92" s="17"/>
      <c r="I92" s="16"/>
      <c r="J92" s="17"/>
      <c r="P92" s="33"/>
    </row>
    <row r="93" spans="3:16">
      <c r="C93" s="17"/>
      <c r="D93" s="17"/>
      <c r="E93" s="28">
        <v>42485</v>
      </c>
      <c r="F93" s="34"/>
      <c r="G93" s="34">
        <v>-35003.14</v>
      </c>
      <c r="H93" s="17"/>
      <c r="I93" s="16"/>
      <c r="J93" s="17"/>
      <c r="P93" s="33"/>
    </row>
    <row r="94" spans="3:16">
      <c r="C94" s="17"/>
      <c r="D94" s="17"/>
      <c r="E94" s="28">
        <v>42558</v>
      </c>
      <c r="F94" s="34"/>
      <c r="G94" s="34">
        <v>-21783.439999999999</v>
      </c>
      <c r="H94" s="17"/>
      <c r="I94" s="16"/>
      <c r="J94" s="17"/>
      <c r="P94" s="33"/>
    </row>
    <row r="95" spans="3:16">
      <c r="C95" s="17"/>
      <c r="D95" s="17"/>
      <c r="E95" s="28">
        <v>42578</v>
      </c>
      <c r="F95" s="34"/>
      <c r="G95" s="34">
        <v>-21617.15</v>
      </c>
      <c r="H95" s="17"/>
      <c r="P95" s="33"/>
    </row>
    <row r="96" spans="3:16">
      <c r="C96" s="17"/>
      <c r="D96" s="17"/>
      <c r="E96" s="28">
        <v>42636</v>
      </c>
      <c r="F96" s="34"/>
      <c r="G96" s="34">
        <v>-28351.72</v>
      </c>
      <c r="H96" s="17"/>
      <c r="P96" s="33"/>
    </row>
    <row r="97" spans="3:16">
      <c r="C97" s="17"/>
      <c r="D97" s="17"/>
      <c r="E97" s="28">
        <v>42664</v>
      </c>
      <c r="F97" s="34"/>
      <c r="G97" s="34">
        <v>-27270.85</v>
      </c>
      <c r="H97" s="17"/>
      <c r="P97" s="33"/>
    </row>
    <row r="98" spans="3:16">
      <c r="C98" s="17"/>
      <c r="D98" s="17"/>
      <c r="E98" s="28">
        <v>42697</v>
      </c>
      <c r="F98" s="34"/>
      <c r="G98" s="34">
        <v>-16628.57</v>
      </c>
      <c r="H98" s="17"/>
      <c r="P98" s="33"/>
    </row>
    <row r="99" spans="3:16">
      <c r="C99" s="17"/>
      <c r="D99" s="17"/>
      <c r="E99" s="28">
        <v>42727</v>
      </c>
      <c r="F99" s="34"/>
      <c r="G99" s="34">
        <v>-48056.58</v>
      </c>
      <c r="H99" s="17"/>
      <c r="P99" s="33"/>
    </row>
    <row r="100" spans="3:16">
      <c r="C100" s="17" t="s">
        <v>14</v>
      </c>
      <c r="D100" s="17"/>
      <c r="E100" s="28">
        <v>42404</v>
      </c>
      <c r="F100" s="34"/>
      <c r="G100" s="34">
        <v>17201.939999999999</v>
      </c>
      <c r="H100" s="17"/>
      <c r="P100" s="33"/>
    </row>
    <row r="101" spans="3:16">
      <c r="C101" s="17"/>
      <c r="D101" s="17"/>
      <c r="E101" s="28">
        <v>42451</v>
      </c>
      <c r="F101" s="34"/>
      <c r="G101" s="34">
        <v>16945.080000000002</v>
      </c>
      <c r="H101" s="17"/>
      <c r="P101" s="33"/>
    </row>
    <row r="102" spans="3:16">
      <c r="C102" s="17"/>
      <c r="D102" s="17"/>
      <c r="E102" s="28">
        <v>42549</v>
      </c>
      <c r="F102" s="34"/>
      <c r="G102" s="34">
        <v>9603.11</v>
      </c>
      <c r="H102" s="17"/>
      <c r="P102" s="33"/>
    </row>
    <row r="103" spans="3:16">
      <c r="C103" s="17"/>
      <c r="D103" s="17"/>
      <c r="E103" s="28">
        <v>42584</v>
      </c>
      <c r="F103" s="34"/>
      <c r="G103" s="34">
        <v>235463.57</v>
      </c>
      <c r="H103" s="17"/>
      <c r="P103" s="33"/>
    </row>
    <row r="104" spans="3:16">
      <c r="C104" s="17"/>
      <c r="D104" s="17"/>
      <c r="E104" s="28">
        <v>42632</v>
      </c>
      <c r="F104" s="34"/>
      <c r="G104" s="34">
        <v>15345.25</v>
      </c>
      <c r="H104" s="17"/>
      <c r="I104" s="16"/>
      <c r="J104" s="17"/>
      <c r="P104" s="33"/>
    </row>
    <row r="105" spans="3:16">
      <c r="C105" s="17"/>
      <c r="D105" s="17"/>
      <c r="E105" s="28">
        <v>42656</v>
      </c>
      <c r="F105" s="34"/>
      <c r="G105" s="34">
        <v>60038.879999999997</v>
      </c>
      <c r="H105" s="17"/>
      <c r="I105" s="16"/>
      <c r="J105" s="17"/>
      <c r="P105" s="33"/>
    </row>
    <row r="106" spans="3:16" ht="15.5">
      <c r="C106" s="17"/>
      <c r="D106" s="17"/>
      <c r="E106" s="28">
        <v>42723</v>
      </c>
      <c r="F106" s="34"/>
      <c r="G106" s="34">
        <v>57485.25</v>
      </c>
      <c r="H106" s="17"/>
      <c r="I106" s="16"/>
      <c r="J106" s="17"/>
      <c r="L106" s="12"/>
      <c r="P106" s="33"/>
    </row>
    <row r="107" spans="3:16">
      <c r="C107" s="17" t="s">
        <v>15</v>
      </c>
      <c r="D107" s="17"/>
      <c r="E107" s="28">
        <v>42795</v>
      </c>
      <c r="G107" s="34">
        <v>-22531.71</v>
      </c>
      <c r="H107" s="17"/>
      <c r="I107" s="16"/>
      <c r="J107" s="17"/>
      <c r="L107" s="59"/>
      <c r="P107" s="33"/>
    </row>
    <row r="108" spans="3:16">
      <c r="C108" s="17"/>
      <c r="D108" s="17"/>
      <c r="E108" s="28">
        <v>42822</v>
      </c>
      <c r="F108" s="34"/>
      <c r="G108" s="34">
        <v>-12471.43</v>
      </c>
      <c r="H108" s="17"/>
      <c r="I108" s="16"/>
      <c r="J108" s="17"/>
      <c r="L108" s="59"/>
      <c r="P108" s="33"/>
    </row>
    <row r="109" spans="3:16">
      <c r="C109" s="17"/>
      <c r="D109" s="17"/>
      <c r="E109" s="28">
        <v>42843</v>
      </c>
      <c r="F109" s="34"/>
      <c r="G109" s="34">
        <v>-22116</v>
      </c>
      <c r="H109" s="17"/>
      <c r="I109" s="16"/>
      <c r="J109" s="17"/>
      <c r="L109" s="59"/>
      <c r="P109" s="33"/>
    </row>
    <row r="110" spans="3:16">
      <c r="C110" s="17"/>
      <c r="D110" s="17"/>
      <c r="E110" s="28">
        <v>42909</v>
      </c>
      <c r="F110" s="34"/>
      <c r="G110" s="34">
        <v>-32342.57</v>
      </c>
      <c r="H110" s="17"/>
      <c r="I110" s="16"/>
      <c r="J110" s="17"/>
      <c r="L110" s="59"/>
      <c r="P110" s="33"/>
    </row>
    <row r="111" spans="3:16">
      <c r="C111" s="17"/>
      <c r="D111" s="17"/>
      <c r="E111" s="28">
        <v>43054</v>
      </c>
      <c r="F111" s="34"/>
      <c r="G111" s="34">
        <v>-21783.43</v>
      </c>
      <c r="H111" s="17"/>
      <c r="I111" s="16"/>
      <c r="J111" s="17"/>
      <c r="P111" s="33"/>
    </row>
    <row r="112" spans="3:16">
      <c r="C112" s="17"/>
      <c r="D112" s="17"/>
      <c r="E112" s="28">
        <v>43090</v>
      </c>
      <c r="F112" s="34"/>
      <c r="G112" s="34">
        <v>-27187.72</v>
      </c>
      <c r="H112" s="17"/>
      <c r="I112" s="16"/>
      <c r="J112" s="17"/>
      <c r="P112" s="33"/>
    </row>
    <row r="113" spans="3:16">
      <c r="C113" s="17" t="s">
        <v>16</v>
      </c>
      <c r="D113" s="17"/>
      <c r="E113" s="28">
        <v>42823</v>
      </c>
      <c r="F113" s="34"/>
      <c r="G113" s="34">
        <v>87512.22</v>
      </c>
      <c r="H113" s="17"/>
      <c r="I113" s="16"/>
      <c r="J113" s="17"/>
      <c r="P113" s="33"/>
    </row>
    <row r="114" spans="3:16">
      <c r="C114" s="17"/>
      <c r="D114" s="17"/>
      <c r="E114" s="28">
        <v>42859</v>
      </c>
      <c r="F114" s="34"/>
      <c r="G114" s="34">
        <v>13701.77</v>
      </c>
      <c r="H114" s="17"/>
      <c r="I114" s="16"/>
      <c r="J114" s="17"/>
      <c r="P114" s="33"/>
    </row>
    <row r="115" spans="3:16">
      <c r="C115" s="17"/>
      <c r="D115" s="17"/>
      <c r="E115" s="28">
        <v>43020</v>
      </c>
      <c r="F115" s="34"/>
      <c r="G115" s="34">
        <v>34363.08</v>
      </c>
      <c r="H115" s="17"/>
      <c r="P115" s="33"/>
    </row>
    <row r="116" spans="3:16">
      <c r="C116" s="17" t="s">
        <v>17</v>
      </c>
      <c r="D116" s="17"/>
      <c r="E116" s="28">
        <v>43364</v>
      </c>
      <c r="F116" s="34"/>
      <c r="G116" s="34">
        <v>-68177.149999999994</v>
      </c>
      <c r="H116" s="17"/>
      <c r="I116" s="16"/>
      <c r="J116" s="17"/>
      <c r="P116" s="33"/>
    </row>
    <row r="117" spans="3:16">
      <c r="C117" s="17"/>
      <c r="D117" s="17"/>
      <c r="E117" s="28">
        <v>43454</v>
      </c>
      <c r="F117" s="34"/>
      <c r="G117" s="34">
        <v>-69258</v>
      </c>
      <c r="H117" s="17"/>
      <c r="I117" s="16"/>
      <c r="J117" s="17"/>
      <c r="P117" s="33"/>
    </row>
    <row r="118" spans="3:16">
      <c r="C118" s="17" t="s">
        <v>18</v>
      </c>
      <c r="D118" s="17"/>
      <c r="E118" s="28">
        <v>43152</v>
      </c>
      <c r="F118" s="34"/>
      <c r="G118" s="34">
        <v>203797.46</v>
      </c>
      <c r="H118" s="17"/>
      <c r="I118" s="16"/>
      <c r="J118" s="17"/>
      <c r="P118" s="33"/>
    </row>
    <row r="119" spans="3:16">
      <c r="C119" s="17"/>
      <c r="D119" s="17"/>
      <c r="E119" s="28">
        <v>43186</v>
      </c>
      <c r="F119" s="34"/>
      <c r="G119" s="34">
        <v>123331.38</v>
      </c>
      <c r="H119" s="17"/>
      <c r="I119" s="16"/>
      <c r="J119" s="17"/>
      <c r="P119" s="33"/>
    </row>
    <row r="120" spans="3:16">
      <c r="C120" s="17"/>
      <c r="D120" s="17"/>
      <c r="E120" s="28">
        <v>43262</v>
      </c>
      <c r="F120" s="34"/>
      <c r="G120" s="34">
        <v>17974.490000000002</v>
      </c>
      <c r="H120" s="17"/>
      <c r="I120" s="16"/>
      <c r="J120" s="17"/>
      <c r="P120" s="33"/>
    </row>
    <row r="121" spans="3:16">
      <c r="C121" s="17"/>
      <c r="D121" s="17"/>
      <c r="E121" s="28">
        <v>43404</v>
      </c>
      <c r="F121" s="34"/>
      <c r="G121" s="34">
        <v>16825.97</v>
      </c>
      <c r="H121" s="17"/>
      <c r="I121" s="16"/>
      <c r="J121" s="17"/>
      <c r="P121" s="33"/>
    </row>
    <row r="122" spans="3:16">
      <c r="C122" s="17" t="s">
        <v>19</v>
      </c>
      <c r="D122" s="17"/>
      <c r="E122" s="28">
        <v>43649</v>
      </c>
      <c r="F122" s="34"/>
      <c r="G122" s="34">
        <v>-12222</v>
      </c>
      <c r="H122" s="17"/>
      <c r="I122" s="16"/>
      <c r="J122" s="17"/>
      <c r="P122" s="33"/>
    </row>
    <row r="123" spans="3:16">
      <c r="C123" s="17" t="s">
        <v>20</v>
      </c>
      <c r="D123" s="17"/>
      <c r="E123" s="28">
        <v>43593</v>
      </c>
      <c r="F123" s="34"/>
      <c r="G123" s="34">
        <v>17577.72</v>
      </c>
      <c r="H123" s="17"/>
      <c r="I123" s="16"/>
      <c r="J123" s="17"/>
      <c r="P123" s="33"/>
    </row>
    <row r="124" spans="3:16">
      <c r="C124" s="17"/>
      <c r="D124" s="17"/>
      <c r="E124" s="28">
        <v>43655</v>
      </c>
      <c r="F124" s="34"/>
      <c r="G124" s="34">
        <v>28892.81</v>
      </c>
      <c r="H124" s="17"/>
      <c r="I124" s="16"/>
      <c r="J124" s="17"/>
      <c r="P124" s="33"/>
    </row>
    <row r="125" spans="3:16">
      <c r="C125" s="17" t="s">
        <v>21</v>
      </c>
      <c r="D125" s="17"/>
      <c r="E125" s="28">
        <v>43928</v>
      </c>
      <c r="F125" s="34"/>
      <c r="G125" s="34">
        <v>-10559.14</v>
      </c>
      <c r="H125" s="17"/>
      <c r="I125" s="16"/>
      <c r="J125" s="17"/>
      <c r="P125" s="33"/>
    </row>
    <row r="126" spans="3:16" ht="15.5">
      <c r="C126" s="17"/>
      <c r="D126" s="17"/>
      <c r="E126" s="28">
        <v>44070</v>
      </c>
      <c r="F126" s="34"/>
      <c r="G126" s="34">
        <v>-107186.5</v>
      </c>
      <c r="H126" s="17"/>
      <c r="I126" s="16"/>
      <c r="J126" s="17"/>
      <c r="L126" s="12"/>
      <c r="P126" s="33"/>
    </row>
    <row r="127" spans="3:16" ht="15.5">
      <c r="C127" s="17" t="s">
        <v>22</v>
      </c>
      <c r="D127" s="17"/>
      <c r="E127" s="28">
        <v>44302</v>
      </c>
      <c r="F127" s="34"/>
      <c r="G127" s="34">
        <v>54835.09</v>
      </c>
      <c r="H127" s="17"/>
      <c r="I127" s="16"/>
      <c r="J127" s="17"/>
      <c r="L127" s="12"/>
      <c r="P127" s="33"/>
    </row>
    <row r="128" spans="3:16" ht="15.5">
      <c r="C128" s="17" t="s">
        <v>23</v>
      </c>
      <c r="D128" s="17"/>
      <c r="E128" s="28">
        <v>44673</v>
      </c>
      <c r="F128" s="34"/>
      <c r="G128" s="34">
        <v>112375.78</v>
      </c>
      <c r="H128" s="17"/>
      <c r="I128" s="16"/>
      <c r="J128" s="17"/>
      <c r="L128" s="12"/>
      <c r="P128" s="33"/>
    </row>
    <row r="129" spans="3:16" ht="15.5">
      <c r="C129" s="17"/>
      <c r="D129" s="17"/>
      <c r="E129" s="28">
        <v>44727</v>
      </c>
      <c r="F129" s="34"/>
      <c r="G129" s="34">
        <v>17297.8</v>
      </c>
      <c r="H129" s="17"/>
      <c r="I129" s="16"/>
      <c r="J129" s="17"/>
      <c r="L129" s="12"/>
      <c r="P129" s="33"/>
    </row>
    <row r="130" spans="3:16" ht="15.5">
      <c r="C130" s="17"/>
      <c r="D130" s="17"/>
      <c r="E130" s="28">
        <v>44796</v>
      </c>
      <c r="F130" s="34"/>
      <c r="G130" s="34">
        <v>15289.03</v>
      </c>
      <c r="H130" s="17"/>
      <c r="I130" s="16"/>
      <c r="J130" s="17"/>
      <c r="L130" s="12"/>
      <c r="P130" s="33"/>
    </row>
    <row r="131" spans="3:16" ht="15.5">
      <c r="C131" s="17"/>
      <c r="D131" s="17"/>
      <c r="E131" s="28">
        <v>44868</v>
      </c>
      <c r="F131" s="34"/>
      <c r="G131" s="34">
        <v>52310.32</v>
      </c>
      <c r="H131" s="17"/>
      <c r="I131" s="16"/>
      <c r="J131" s="17"/>
      <c r="L131" s="12"/>
      <c r="P131" s="33"/>
    </row>
    <row r="132" spans="3:16" ht="15.5">
      <c r="C132" s="17"/>
      <c r="D132" s="17"/>
      <c r="E132" s="28">
        <v>44911</v>
      </c>
      <c r="F132" s="34"/>
      <c r="G132" s="34">
        <v>40951.56</v>
      </c>
      <c r="H132" s="17"/>
      <c r="I132" s="16"/>
      <c r="J132" s="17"/>
      <c r="L132" s="12"/>
      <c r="P132" s="33"/>
    </row>
    <row r="133" spans="3:16" ht="15.5">
      <c r="C133" s="17" t="s">
        <v>24</v>
      </c>
      <c r="D133" s="17"/>
      <c r="E133" s="28">
        <v>44973</v>
      </c>
      <c r="F133" s="34"/>
      <c r="G133" s="34">
        <v>49219.58</v>
      </c>
      <c r="H133" s="17"/>
      <c r="I133" s="16"/>
      <c r="J133" s="17"/>
      <c r="L133" s="12"/>
      <c r="P133" s="33"/>
    </row>
    <row r="134" spans="3:16" ht="15.5">
      <c r="C134" s="17"/>
      <c r="D134" s="17"/>
      <c r="E134" s="28">
        <v>45079</v>
      </c>
      <c r="F134" s="34"/>
      <c r="G134" s="34">
        <v>33551.629999999997</v>
      </c>
      <c r="H134" s="17"/>
      <c r="I134" s="16"/>
      <c r="J134" s="17"/>
      <c r="L134" s="12"/>
      <c r="P134" s="33"/>
    </row>
    <row r="135" spans="3:16" ht="15.5">
      <c r="C135" s="17"/>
      <c r="D135" s="17"/>
      <c r="E135" s="28">
        <v>45182</v>
      </c>
      <c r="F135" s="34"/>
      <c r="G135" s="34">
        <v>19666.11</v>
      </c>
      <c r="H135" s="17"/>
      <c r="I135" s="16"/>
      <c r="J135" s="17"/>
      <c r="L135" s="12"/>
      <c r="P135" s="33"/>
    </row>
    <row r="136" spans="3:16" ht="15.5">
      <c r="C136" s="17"/>
      <c r="D136" s="17"/>
      <c r="E136" s="28">
        <v>45261</v>
      </c>
      <c r="F136" s="34"/>
      <c r="G136" s="34">
        <v>20149.330000000002</v>
      </c>
      <c r="H136" s="17"/>
      <c r="I136" s="16"/>
      <c r="J136" s="17"/>
      <c r="L136" s="12"/>
      <c r="P136" s="33"/>
    </row>
    <row r="137" spans="3:16">
      <c r="C137" s="17"/>
      <c r="D137" s="17"/>
      <c r="E137" s="28"/>
      <c r="F137" s="17"/>
      <c r="G137" s="34"/>
      <c r="H137" s="17"/>
      <c r="I137" s="16"/>
      <c r="P137" s="33"/>
    </row>
    <row r="138" spans="3:16">
      <c r="C138" s="17" t="s">
        <v>25</v>
      </c>
      <c r="D138" s="17"/>
      <c r="E138" s="28">
        <f>+E8</f>
        <v>45473</v>
      </c>
      <c r="F138" s="17"/>
      <c r="G138" s="35">
        <f>L138/0.97*C22</f>
        <v>1154638.3117455093</v>
      </c>
      <c r="H138" s="17"/>
      <c r="I138" s="34">
        <f>+SUMIF($G$23:$G$137,"&lt;0",$G$23:$G$137)</f>
        <v>-3417237.97</v>
      </c>
      <c r="J138" s="17" t="s">
        <v>26</v>
      </c>
      <c r="L138" s="59">
        <v>1347077336</v>
      </c>
      <c r="M138" s="36"/>
      <c r="P138" s="33"/>
    </row>
    <row r="139" spans="3:16">
      <c r="C139" s="17"/>
      <c r="D139" s="17"/>
      <c r="E139" s="17"/>
      <c r="F139" s="17"/>
      <c r="G139" s="17"/>
      <c r="H139" s="17"/>
      <c r="I139" s="34">
        <f>+SUMIF($G$23:$G$137,"&gt;0",$G$23:$G$137)</f>
        <v>2375552.649999999</v>
      </c>
      <c r="J139" s="17" t="s">
        <v>27</v>
      </c>
      <c r="L139" s="37"/>
      <c r="M139" s="36"/>
      <c r="N139" s="37"/>
    </row>
    <row r="140" spans="3:16">
      <c r="C140" t="s">
        <v>28</v>
      </c>
      <c r="G140" s="38">
        <f>XIRR(G23:G138,E23:E138,0.1)</f>
        <v>6.303539872169495E-3</v>
      </c>
      <c r="H140" s="17"/>
      <c r="M140" s="37"/>
    </row>
    <row r="141" spans="3:16">
      <c r="C141" s="17"/>
      <c r="D141" s="17"/>
      <c r="E141" s="17"/>
      <c r="F141" s="17"/>
      <c r="G141" s="17"/>
      <c r="H141" s="17"/>
    </row>
    <row r="142" spans="3:16">
      <c r="C142" s="17"/>
      <c r="D142" s="17"/>
      <c r="E142" s="17"/>
      <c r="F142" s="17"/>
      <c r="G142" s="16"/>
      <c r="H142" s="17"/>
    </row>
    <row r="143" spans="3:16">
      <c r="C143" s="17"/>
      <c r="D143" s="17"/>
      <c r="E143" s="17"/>
      <c r="F143" s="17"/>
      <c r="G143" s="39"/>
      <c r="H143" s="17"/>
    </row>
    <row r="144" spans="3:16">
      <c r="C144" s="40"/>
      <c r="D144" s="40"/>
      <c r="E144" s="39"/>
      <c r="F144" s="40"/>
      <c r="G144" s="39"/>
      <c r="H144" s="17"/>
      <c r="I144" s="37"/>
    </row>
    <row r="145" spans="3:8">
      <c r="C145" s="40"/>
      <c r="D145" s="40"/>
      <c r="E145" s="39"/>
      <c r="F145" s="40"/>
      <c r="G145" s="39"/>
      <c r="H145" s="17"/>
    </row>
    <row r="146" spans="3:8">
      <c r="C146" s="40"/>
      <c r="D146" s="40"/>
      <c r="E146" s="2"/>
      <c r="F146" s="2"/>
      <c r="G146" s="2"/>
    </row>
    <row r="147" spans="3:8">
      <c r="C147" s="40"/>
      <c r="D147" s="40"/>
      <c r="E147" s="39"/>
      <c r="F147" s="39"/>
      <c r="G147" s="39"/>
    </row>
    <row r="148" spans="3:8">
      <c r="C148" s="40"/>
      <c r="D148" s="40"/>
      <c r="E148" s="40"/>
      <c r="F148" s="40"/>
      <c r="G148" s="40"/>
    </row>
    <row r="149" spans="3:8">
      <c r="C149" s="40"/>
      <c r="D149" s="40"/>
      <c r="E149" s="60"/>
      <c r="F149" s="41"/>
      <c r="G149" s="42"/>
    </row>
    <row r="150" spans="3:8">
      <c r="C150" s="40"/>
      <c r="D150" s="40"/>
      <c r="E150" s="42"/>
      <c r="F150" s="41"/>
      <c r="G150" s="42"/>
    </row>
    <row r="151" spans="3:8">
      <c r="C151" s="40"/>
      <c r="D151" s="40"/>
      <c r="E151" s="42"/>
      <c r="F151" s="41"/>
      <c r="G151" s="42"/>
    </row>
    <row r="152" spans="3:8">
      <c r="C152" s="43"/>
      <c r="D152" s="40"/>
      <c r="E152" s="42"/>
      <c r="F152" s="41"/>
      <c r="G152" s="42"/>
    </row>
    <row r="153" spans="3:8">
      <c r="C153" s="43"/>
      <c r="D153" s="40"/>
      <c r="E153" s="42"/>
      <c r="F153" s="41"/>
      <c r="G153" s="42"/>
    </row>
    <row r="154" spans="3:8">
      <c r="C154" s="44"/>
      <c r="D154" s="40"/>
      <c r="E154" s="42"/>
      <c r="F154" s="41"/>
      <c r="G154" s="42"/>
    </row>
    <row r="155" spans="3:8">
      <c r="C155" s="40"/>
      <c r="D155" s="40"/>
      <c r="E155" s="42"/>
      <c r="F155" s="41"/>
      <c r="G155" s="42"/>
    </row>
    <row r="156" spans="3:8">
      <c r="C156" s="40"/>
      <c r="D156" s="40"/>
      <c r="E156" s="42"/>
      <c r="F156" s="41"/>
      <c r="G156" s="42"/>
    </row>
    <row r="157" spans="3:8">
      <c r="C157" s="40"/>
      <c r="D157" s="40"/>
      <c r="E157" s="42"/>
      <c r="F157" s="41"/>
      <c r="G157" s="42"/>
    </row>
    <row r="158" spans="3:8">
      <c r="C158" s="40"/>
      <c r="D158" s="40"/>
      <c r="E158" s="42"/>
      <c r="F158" s="41"/>
      <c r="G158" s="42"/>
    </row>
    <row r="159" spans="3:8">
      <c r="C159" s="40"/>
      <c r="D159" s="40"/>
      <c r="E159" s="42"/>
      <c r="F159" s="41"/>
      <c r="G159" s="42"/>
    </row>
    <row r="160" spans="3:8">
      <c r="C160" s="40"/>
      <c r="D160" s="40"/>
      <c r="E160" s="42"/>
      <c r="F160" s="41"/>
      <c r="G160" s="42"/>
    </row>
    <row r="161" spans="3:8" ht="5.15" customHeight="1">
      <c r="E161" s="45"/>
      <c r="F161" s="45"/>
      <c r="G161" s="45"/>
    </row>
    <row r="162" spans="3:8">
      <c r="E162" s="46"/>
      <c r="F162" s="46"/>
      <c r="G162" s="46"/>
    </row>
    <row r="163" spans="3:8">
      <c r="C163" s="17"/>
      <c r="D163" s="17"/>
      <c r="E163" s="47"/>
      <c r="F163" s="48"/>
      <c r="G163" s="47"/>
      <c r="H163" s="17"/>
    </row>
    <row r="164" spans="3:8">
      <c r="C164" s="17"/>
      <c r="D164" s="17"/>
      <c r="E164" s="47"/>
      <c r="F164" s="48"/>
      <c r="G164" s="47"/>
      <c r="H164" s="17"/>
    </row>
    <row r="165" spans="3:8">
      <c r="C165" s="17"/>
      <c r="D165" s="17"/>
      <c r="E165" s="47"/>
      <c r="F165" s="48"/>
      <c r="G165" s="47"/>
      <c r="H165" s="17"/>
    </row>
    <row r="166" spans="3:8">
      <c r="C166" s="17"/>
      <c r="D166" s="17"/>
      <c r="E166" s="49"/>
      <c r="F166" s="49"/>
      <c r="G166" s="49"/>
      <c r="H166" s="17"/>
    </row>
    <row r="167" spans="3:8">
      <c r="C167" s="17"/>
      <c r="D167" s="17"/>
      <c r="E167" s="17"/>
      <c r="F167" s="17"/>
      <c r="G167" s="17"/>
      <c r="H167" s="17"/>
    </row>
    <row r="168" spans="3:8">
      <c r="C168" s="17"/>
      <c r="D168" s="17"/>
      <c r="E168" s="17"/>
      <c r="F168" s="17"/>
      <c r="G168" s="17"/>
      <c r="H168" s="17"/>
    </row>
    <row r="169" spans="3:8">
      <c r="C169" s="17"/>
      <c r="D169" s="17"/>
      <c r="E169" s="17"/>
      <c r="F169" s="17"/>
      <c r="G169" s="17"/>
      <c r="H169" s="17"/>
    </row>
    <row r="170" spans="3:8">
      <c r="C170" s="17"/>
      <c r="D170" s="17"/>
      <c r="E170" s="17"/>
      <c r="F170" s="17"/>
      <c r="G170" s="17"/>
      <c r="H170" s="17"/>
    </row>
    <row r="171" spans="3:8">
      <c r="C171" s="17"/>
      <c r="D171" s="17"/>
      <c r="E171" s="17"/>
      <c r="F171" s="17"/>
      <c r="G171" s="17"/>
      <c r="H171" s="17"/>
    </row>
    <row r="172" spans="3:8">
      <c r="C172" s="17"/>
      <c r="D172" s="17"/>
      <c r="E172" s="17"/>
      <c r="F172" s="17"/>
      <c r="G172" s="17"/>
      <c r="H172" s="17"/>
    </row>
    <row r="173" spans="3:8">
      <c r="C173" s="17"/>
      <c r="D173" s="17"/>
      <c r="E173" s="17"/>
      <c r="F173" s="17"/>
      <c r="G173" s="17"/>
      <c r="H173" s="17"/>
    </row>
    <row r="174" spans="3:8">
      <c r="C174" s="17"/>
      <c r="D174" s="17"/>
      <c r="E174" s="17"/>
      <c r="F174" s="17"/>
      <c r="G174" s="17"/>
      <c r="H174" s="17"/>
    </row>
    <row r="175" spans="3:8">
      <c r="C175" s="17"/>
      <c r="D175" s="17"/>
      <c r="E175" s="17"/>
      <c r="F175" s="17"/>
      <c r="G175" s="17"/>
      <c r="H175" s="17"/>
    </row>
    <row r="176" spans="3:8">
      <c r="C176" s="17"/>
      <c r="D176" s="17"/>
      <c r="E176" s="17"/>
      <c r="F176" s="17"/>
      <c r="G176" s="17"/>
      <c r="H176" s="17"/>
    </row>
  </sheetData>
  <mergeCells count="1">
    <mergeCell ref="E146:G146"/>
  </mergeCells>
  <pageMargins left="0.75" right="0.33" top="1" bottom="1" header="0.5" footer="0.5"/>
  <pageSetup scale="24" orientation="landscape" r:id="rId1"/>
  <headerFooter alignWithMargins="0">
    <oddHeader>&amp;C&amp;G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9EE3-CF08-49BF-A352-CC9C193EA765}">
  <sheetPr>
    <tabColor rgb="FF92D050"/>
    <pageSetUpPr fitToPage="1"/>
  </sheetPr>
  <dimension ref="B4:L161"/>
  <sheetViews>
    <sheetView showGridLines="0" view="pageLayout" topLeftCell="A119" zoomScaleNormal="100" workbookViewId="0">
      <selection activeCell="E8" sqref="E8"/>
    </sheetView>
  </sheetViews>
  <sheetFormatPr defaultColWidth="9.1796875" defaultRowHeight="12.5"/>
  <cols>
    <col min="2" max="2" width="4.81640625" customWidth="1"/>
    <col min="3" max="3" width="43.453125" customWidth="1"/>
    <col min="4" max="4" width="1.453125" customWidth="1"/>
    <col min="5" max="5" width="10.54296875" customWidth="1"/>
    <col min="6" max="6" width="1.453125" customWidth="1"/>
    <col min="7" max="7" width="11.1796875" bestFit="1" customWidth="1"/>
    <col min="8" max="8" width="2.453125" customWidth="1"/>
    <col min="9" max="9" width="12.26953125" customWidth="1"/>
    <col min="10" max="10" width="12.453125" bestFit="1" customWidth="1"/>
    <col min="11" max="11" width="10" bestFit="1" customWidth="1"/>
    <col min="12" max="12" width="17.81640625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D8" s="7"/>
      <c r="E8" s="8">
        <f>+VIII!E8</f>
        <v>45473</v>
      </c>
      <c r="F8" s="9"/>
      <c r="G8" s="10"/>
      <c r="H8" s="1"/>
      <c r="I8" s="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50"/>
      <c r="I10" s="50"/>
    </row>
    <row r="11" spans="2:9">
      <c r="C11" s="13"/>
      <c r="D11" s="13"/>
      <c r="E11" s="14"/>
      <c r="F11" s="13"/>
      <c r="G11" s="14"/>
      <c r="H11" s="50"/>
      <c r="I11" s="50"/>
    </row>
    <row r="12" spans="2:9" ht="15.5">
      <c r="C12" s="18"/>
      <c r="D12" s="18"/>
      <c r="E12" s="19"/>
      <c r="F12" s="18"/>
      <c r="G12" s="19"/>
      <c r="H12" s="50"/>
      <c r="I12" s="50"/>
    </row>
    <row r="13" spans="2:9">
      <c r="C13" s="13"/>
      <c r="D13" s="13"/>
      <c r="E13" s="20"/>
      <c r="F13" s="13"/>
      <c r="G13" s="59"/>
      <c r="H13" s="50"/>
      <c r="I13" s="50"/>
    </row>
    <row r="14" spans="2:9">
      <c r="C14" s="13"/>
      <c r="D14" s="13"/>
      <c r="E14" s="22"/>
      <c r="F14" s="13"/>
      <c r="G14" s="59"/>
      <c r="H14" s="50"/>
      <c r="I14" s="50"/>
    </row>
    <row r="15" spans="2:9">
      <c r="C15" s="13"/>
      <c r="D15" s="13"/>
      <c r="E15" s="14"/>
      <c r="F15" s="13"/>
      <c r="G15" s="14"/>
      <c r="H15" s="50"/>
      <c r="I15" s="50"/>
    </row>
    <row r="16" spans="2:9" ht="15.5">
      <c r="C16" s="7"/>
      <c r="D16" s="7"/>
      <c r="E16" s="19"/>
      <c r="F16" s="7"/>
      <c r="G16" s="19"/>
      <c r="H16" s="50"/>
      <c r="I16" s="50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+G140</f>
        <v>3.9684742689132697E-3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(G138+I139)/-I138</f>
        <v>1.0210875302108038</v>
      </c>
      <c r="F19" s="13"/>
      <c r="G19" s="14"/>
      <c r="H19" s="15"/>
    </row>
    <row r="20" spans="3:12">
      <c r="C20" s="13"/>
      <c r="D20" s="13"/>
      <c r="E20" s="14"/>
      <c r="F20" s="13"/>
      <c r="G20" s="14"/>
      <c r="H20" s="50"/>
      <c r="I20" s="50"/>
    </row>
    <row r="21" spans="3:12">
      <c r="C21" s="26" t="s">
        <v>29</v>
      </c>
      <c r="D21" s="13"/>
      <c r="E21" s="13"/>
      <c r="F21" s="13"/>
      <c r="G21" s="15"/>
      <c r="H21" s="51"/>
      <c r="I21" s="28"/>
      <c r="J21" s="17"/>
    </row>
    <row r="22" spans="3:12" ht="15.5">
      <c r="C22" s="52">
        <v>3.3025234000000001E-2</v>
      </c>
      <c r="D22" s="27"/>
      <c r="E22" s="27"/>
      <c r="F22" s="27"/>
      <c r="G22" s="17"/>
      <c r="H22" s="17"/>
      <c r="I22" s="17"/>
      <c r="J22" s="17"/>
    </row>
    <row r="23" spans="3:12">
      <c r="C23" s="17" t="s">
        <v>3</v>
      </c>
      <c r="D23" s="17"/>
      <c r="E23" s="28">
        <v>40512</v>
      </c>
      <c r="F23" s="17"/>
      <c r="G23" s="32">
        <v>-157500</v>
      </c>
      <c r="H23" s="17"/>
      <c r="I23" s="16"/>
      <c r="J23" s="16"/>
      <c r="L23" s="37"/>
    </row>
    <row r="24" spans="3:12">
      <c r="C24" s="17" t="s">
        <v>4</v>
      </c>
      <c r="D24" s="17"/>
      <c r="E24" s="28">
        <v>40570</v>
      </c>
      <c r="F24" s="17"/>
      <c r="G24" s="34">
        <v>-78750</v>
      </c>
      <c r="H24" s="17"/>
      <c r="I24" s="16"/>
      <c r="J24" s="16"/>
      <c r="L24" s="37"/>
    </row>
    <row r="25" spans="3:12">
      <c r="C25" s="17"/>
      <c r="D25" s="17"/>
      <c r="E25" s="28">
        <v>40661</v>
      </c>
      <c r="F25" s="17"/>
      <c r="G25" s="34">
        <v>-60486.43</v>
      </c>
      <c r="H25" s="17"/>
      <c r="I25" s="16"/>
      <c r="J25" s="16"/>
      <c r="L25" s="37"/>
    </row>
    <row r="26" spans="3:12">
      <c r="C26" s="17"/>
      <c r="D26" s="17"/>
      <c r="E26" s="28">
        <v>40704</v>
      </c>
      <c r="F26" s="17"/>
      <c r="G26" s="34">
        <v>-95406.42</v>
      </c>
      <c r="H26" s="17"/>
      <c r="I26" s="16"/>
      <c r="J26" s="16"/>
      <c r="L26" s="37"/>
    </row>
    <row r="27" spans="3:12">
      <c r="C27" s="17"/>
      <c r="D27" s="17"/>
      <c r="E27" s="28">
        <v>40751</v>
      </c>
      <c r="F27" s="17"/>
      <c r="G27" s="34">
        <v>-91249.279999999999</v>
      </c>
      <c r="H27" s="17"/>
      <c r="I27" s="16"/>
      <c r="J27" s="16"/>
      <c r="L27" s="37"/>
    </row>
    <row r="28" spans="3:12">
      <c r="C28" s="17"/>
      <c r="D28" s="17"/>
      <c r="E28" s="28">
        <v>40765</v>
      </c>
      <c r="F28" s="17"/>
      <c r="G28" s="34">
        <v>-151735.71</v>
      </c>
      <c r="H28" s="17"/>
      <c r="I28" s="16"/>
      <c r="J28" s="16"/>
      <c r="L28" s="37"/>
    </row>
    <row r="29" spans="3:12">
      <c r="C29" s="17"/>
      <c r="D29" s="17"/>
      <c r="E29" s="28">
        <v>40813</v>
      </c>
      <c r="F29" s="17"/>
      <c r="G29" s="34">
        <v>-133652.14000000001</v>
      </c>
      <c r="H29" s="17"/>
      <c r="I29" s="16"/>
      <c r="J29" s="16"/>
      <c r="L29" s="37"/>
    </row>
    <row r="30" spans="3:12">
      <c r="C30" s="17"/>
      <c r="D30" s="17"/>
      <c r="E30" s="28">
        <v>40879</v>
      </c>
      <c r="F30" s="17"/>
      <c r="G30" s="34">
        <v>-64227.85</v>
      </c>
      <c r="H30" s="17"/>
      <c r="I30" s="16"/>
      <c r="J30" s="16"/>
      <c r="L30" s="37"/>
    </row>
    <row r="31" spans="3:12">
      <c r="C31" s="17"/>
      <c r="D31" s="17"/>
      <c r="E31" s="28">
        <v>40886</v>
      </c>
      <c r="F31" s="17"/>
      <c r="G31" s="34">
        <v>-87507.85</v>
      </c>
      <c r="H31" s="17"/>
      <c r="I31" s="16"/>
      <c r="J31" s="16"/>
      <c r="L31" s="37"/>
    </row>
    <row r="32" spans="3:12">
      <c r="C32" s="17" t="s">
        <v>5</v>
      </c>
      <c r="D32" s="17"/>
      <c r="E32" s="28">
        <v>40927</v>
      </c>
      <c r="F32" s="17"/>
      <c r="G32" s="16">
        <v>-146331.42000000001</v>
      </c>
      <c r="H32" s="17"/>
      <c r="I32" s="16"/>
      <c r="J32" s="16"/>
      <c r="L32" s="37"/>
    </row>
    <row r="33" spans="3:12">
      <c r="C33" s="17"/>
      <c r="D33" s="17"/>
      <c r="E33" s="28">
        <v>40942</v>
      </c>
      <c r="F33" s="17"/>
      <c r="G33" s="16">
        <v>-685928.54</v>
      </c>
      <c r="H33" s="17"/>
      <c r="I33" s="16"/>
      <c r="J33" s="16"/>
      <c r="L33" s="37"/>
    </row>
    <row r="34" spans="3:12">
      <c r="C34" s="17"/>
      <c r="D34" s="17"/>
      <c r="E34" s="28">
        <v>40970</v>
      </c>
      <c r="F34" s="17"/>
      <c r="G34" s="16">
        <v>-109124.99</v>
      </c>
      <c r="H34" s="17"/>
      <c r="I34" s="16"/>
      <c r="J34" s="16"/>
      <c r="L34" s="37"/>
    </row>
    <row r="35" spans="3:12">
      <c r="C35" s="17"/>
      <c r="D35" s="17"/>
      <c r="E35" s="28">
        <v>41001</v>
      </c>
      <c r="F35" s="17"/>
      <c r="G35" s="16">
        <v>-63812.14</v>
      </c>
      <c r="H35" s="17"/>
      <c r="I35" s="16"/>
      <c r="J35" s="16"/>
      <c r="L35" s="37"/>
    </row>
    <row r="36" spans="3:12">
      <c r="C36" s="17"/>
      <c r="D36" s="17"/>
      <c r="E36" s="28">
        <v>41024</v>
      </c>
      <c r="F36" s="17"/>
      <c r="G36" s="16">
        <v>-75660</v>
      </c>
      <c r="H36" s="17"/>
      <c r="I36" s="16"/>
      <c r="J36" s="16"/>
      <c r="L36" s="37"/>
    </row>
    <row r="37" spans="3:12">
      <c r="C37" s="17"/>
      <c r="D37" s="17"/>
      <c r="E37" s="28">
        <v>41054</v>
      </c>
      <c r="F37" s="17"/>
      <c r="G37" s="16">
        <v>-98524.28</v>
      </c>
      <c r="H37" s="17"/>
      <c r="I37" s="16"/>
      <c r="J37" s="16"/>
      <c r="L37" s="37"/>
    </row>
    <row r="38" spans="3:12">
      <c r="C38" s="17"/>
      <c r="D38" s="17"/>
      <c r="E38" s="28">
        <v>41080</v>
      </c>
      <c r="F38" s="17"/>
      <c r="G38" s="16">
        <v>-182706.42</v>
      </c>
      <c r="H38" s="17"/>
      <c r="I38" s="16"/>
      <c r="J38" s="16"/>
      <c r="L38" s="37"/>
    </row>
    <row r="39" spans="3:12">
      <c r="C39" s="17"/>
      <c r="D39" s="17"/>
      <c r="E39" s="28">
        <v>41103</v>
      </c>
      <c r="F39" s="17"/>
      <c r="G39" s="16">
        <v>-59239.28</v>
      </c>
      <c r="H39" s="17"/>
      <c r="I39" s="16"/>
      <c r="J39" s="16"/>
      <c r="L39" s="37"/>
    </row>
    <row r="40" spans="3:12">
      <c r="C40" s="17"/>
      <c r="D40" s="17"/>
      <c r="E40" s="28">
        <v>41121</v>
      </c>
      <c r="F40" s="17"/>
      <c r="G40" s="16">
        <v>-57160.71</v>
      </c>
      <c r="H40" s="17"/>
      <c r="I40" s="16"/>
      <c r="J40" s="16"/>
      <c r="L40" s="37"/>
    </row>
    <row r="41" spans="3:12">
      <c r="C41" s="17"/>
      <c r="D41" s="17"/>
      <c r="E41" s="28">
        <v>41152</v>
      </c>
      <c r="F41" s="17"/>
      <c r="G41" s="16">
        <v>-75660.009999999995</v>
      </c>
      <c r="H41" s="17"/>
      <c r="I41" s="16"/>
      <c r="J41" s="16"/>
      <c r="L41" s="37"/>
    </row>
    <row r="42" spans="3:12">
      <c r="C42" s="17"/>
      <c r="D42" s="17"/>
      <c r="E42" s="28">
        <v>41180</v>
      </c>
      <c r="F42" s="17"/>
      <c r="G42" s="16">
        <v>-143421.43</v>
      </c>
      <c r="H42" s="17"/>
      <c r="I42" s="16"/>
      <c r="J42" s="16"/>
      <c r="L42" s="37"/>
    </row>
    <row r="43" spans="3:12">
      <c r="C43" s="17"/>
      <c r="D43" s="17"/>
      <c r="E43" s="28">
        <v>41194</v>
      </c>
      <c r="F43" s="17"/>
      <c r="G43" s="16">
        <v>-70463.570000000007</v>
      </c>
      <c r="H43" s="17"/>
      <c r="I43" s="16"/>
      <c r="J43" s="16"/>
      <c r="L43" s="37"/>
    </row>
    <row r="44" spans="3:12">
      <c r="C44" s="17"/>
      <c r="D44" s="17"/>
      <c r="E44" s="28">
        <v>41250</v>
      </c>
      <c r="F44" s="17"/>
      <c r="G44" s="16">
        <v>-317813.58</v>
      </c>
      <c r="H44" s="17"/>
      <c r="I44" s="16"/>
      <c r="J44" s="16"/>
      <c r="L44" s="37"/>
    </row>
    <row r="45" spans="3:12">
      <c r="C45" s="17"/>
      <c r="D45" s="17"/>
      <c r="E45" s="28">
        <v>41264</v>
      </c>
      <c r="F45" s="17"/>
      <c r="G45" s="16">
        <v>-282270</v>
      </c>
      <c r="H45" s="17"/>
      <c r="I45" s="16"/>
      <c r="J45" s="16"/>
      <c r="L45" s="37"/>
    </row>
    <row r="46" spans="3:12">
      <c r="C46" s="17" t="s">
        <v>6</v>
      </c>
      <c r="D46" s="17"/>
      <c r="E46" s="28">
        <v>41030</v>
      </c>
      <c r="F46" s="17"/>
      <c r="G46" s="34">
        <v>235528.56</v>
      </c>
      <c r="H46" s="17"/>
      <c r="I46" s="16"/>
      <c r="J46" s="16"/>
      <c r="L46" s="37"/>
    </row>
    <row r="47" spans="3:12">
      <c r="C47" s="17"/>
      <c r="D47" s="17"/>
      <c r="E47" s="28">
        <v>41108</v>
      </c>
      <c r="F47" s="17"/>
      <c r="G47" s="34">
        <v>59889.22</v>
      </c>
      <c r="H47" s="17"/>
      <c r="I47" s="16"/>
      <c r="J47" s="16"/>
      <c r="L47" s="37"/>
    </row>
    <row r="48" spans="3:12">
      <c r="C48" s="17"/>
      <c r="D48" s="17"/>
      <c r="E48" s="28">
        <v>41137</v>
      </c>
      <c r="F48" s="17"/>
      <c r="G48" s="34">
        <v>25909.14</v>
      </c>
      <c r="H48" s="17"/>
      <c r="I48" s="16"/>
      <c r="J48" s="16"/>
      <c r="L48" s="37"/>
    </row>
    <row r="49" spans="3:12">
      <c r="C49" s="17"/>
      <c r="D49" s="17"/>
      <c r="E49" s="28">
        <v>41173</v>
      </c>
      <c r="F49" s="17"/>
      <c r="G49" s="34">
        <v>519144.04</v>
      </c>
      <c r="H49" s="17"/>
      <c r="I49" s="16"/>
      <c r="J49" s="16"/>
      <c r="L49" s="37"/>
    </row>
    <row r="50" spans="3:12">
      <c r="C50" s="17" t="s">
        <v>7</v>
      </c>
      <c r="D50" s="17"/>
      <c r="E50" s="28">
        <v>41284</v>
      </c>
      <c r="F50" s="17"/>
      <c r="G50" s="34">
        <v>-83350.73</v>
      </c>
      <c r="H50" s="17"/>
      <c r="I50" s="16"/>
      <c r="J50" s="16"/>
      <c r="L50" s="37"/>
    </row>
    <row r="51" spans="3:12">
      <c r="C51" s="17"/>
      <c r="D51" s="17"/>
      <c r="E51" s="28">
        <v>41298</v>
      </c>
      <c r="F51" s="17"/>
      <c r="G51" s="34">
        <v>-106630.71</v>
      </c>
      <c r="H51" s="17"/>
      <c r="I51" s="16"/>
      <c r="J51" s="16"/>
      <c r="L51" s="37"/>
    </row>
    <row r="52" spans="3:12">
      <c r="C52" s="17"/>
      <c r="D52" s="17"/>
      <c r="E52" s="28">
        <v>41345</v>
      </c>
      <c r="F52" s="17"/>
      <c r="G52" s="34">
        <v>-109332.86</v>
      </c>
      <c r="H52" s="17"/>
      <c r="I52" s="16"/>
      <c r="J52" s="16"/>
      <c r="L52" s="37"/>
    </row>
    <row r="53" spans="3:12">
      <c r="C53" s="17"/>
      <c r="D53" s="17"/>
      <c r="E53" s="28">
        <v>41360</v>
      </c>
      <c r="F53" s="17"/>
      <c r="G53" s="34">
        <v>-97900.71</v>
      </c>
      <c r="H53" s="17"/>
      <c r="I53" s="16"/>
      <c r="J53" s="16"/>
      <c r="L53" s="37"/>
    </row>
    <row r="54" spans="3:12">
      <c r="C54" s="17"/>
      <c r="D54" s="17"/>
      <c r="E54" s="28">
        <v>41393</v>
      </c>
      <c r="F54" s="17"/>
      <c r="G54" s="34">
        <v>-78777.850000000006</v>
      </c>
      <c r="H54" s="17"/>
      <c r="I54" s="16"/>
      <c r="J54" s="16"/>
      <c r="L54" s="37"/>
    </row>
    <row r="55" spans="3:12">
      <c r="C55" s="17"/>
      <c r="D55" s="17"/>
      <c r="E55" s="28">
        <v>41404</v>
      </c>
      <c r="F55" s="17"/>
      <c r="G55" s="34">
        <v>-107254.28</v>
      </c>
      <c r="H55" s="17"/>
      <c r="I55" s="16"/>
      <c r="J55" s="16"/>
      <c r="L55" s="37"/>
    </row>
    <row r="56" spans="3:12">
      <c r="C56" s="17"/>
      <c r="D56" s="17"/>
      <c r="E56" s="28">
        <v>41423</v>
      </c>
      <c r="F56" s="17"/>
      <c r="G56" s="34">
        <v>-92912.15</v>
      </c>
      <c r="H56" s="17"/>
      <c r="I56" s="16"/>
      <c r="J56" s="16"/>
      <c r="L56" s="37"/>
    </row>
    <row r="57" spans="3:12">
      <c r="C57" s="17"/>
      <c r="D57" s="17"/>
      <c r="E57" s="28">
        <v>41446</v>
      </c>
      <c r="F57" s="17"/>
      <c r="G57" s="34">
        <v>-283932.86</v>
      </c>
      <c r="H57" s="17"/>
      <c r="I57" s="16"/>
      <c r="J57" s="16"/>
      <c r="L57" s="37"/>
    </row>
    <row r="58" spans="3:12">
      <c r="C58" s="17"/>
      <c r="D58" s="17"/>
      <c r="E58" s="28">
        <v>41481</v>
      </c>
      <c r="F58" s="17"/>
      <c r="G58" s="34">
        <v>-88755</v>
      </c>
      <c r="H58" s="17"/>
      <c r="I58" s="16"/>
      <c r="J58" s="16"/>
      <c r="L58" s="37"/>
    </row>
    <row r="59" spans="3:12">
      <c r="C59" s="17"/>
      <c r="D59" s="17"/>
      <c r="E59" s="28">
        <v>41501</v>
      </c>
      <c r="F59" s="17"/>
      <c r="G59" s="34">
        <v>-83558.570000000007</v>
      </c>
      <c r="H59" s="17"/>
      <c r="I59" s="16"/>
      <c r="J59" s="16"/>
      <c r="L59" s="37"/>
    </row>
    <row r="60" spans="3:12">
      <c r="C60" s="17"/>
      <c r="D60" s="17"/>
      <c r="E60" s="28">
        <v>41514</v>
      </c>
      <c r="F60" s="17"/>
      <c r="G60" s="34">
        <v>-121180.72</v>
      </c>
      <c r="H60" s="17"/>
      <c r="I60" s="16"/>
      <c r="J60" s="16"/>
      <c r="L60" s="37"/>
    </row>
    <row r="61" spans="3:12">
      <c r="C61" s="17"/>
      <c r="D61" s="17"/>
      <c r="E61" s="28">
        <v>41551</v>
      </c>
      <c r="F61" s="17"/>
      <c r="G61" s="34">
        <v>-72334.28</v>
      </c>
      <c r="H61" s="17"/>
      <c r="I61" s="16"/>
      <c r="J61" s="16"/>
      <c r="L61" s="37"/>
    </row>
    <row r="62" spans="3:12">
      <c r="C62" s="17"/>
      <c r="D62" s="17"/>
      <c r="E62" s="28">
        <v>41577</v>
      </c>
      <c r="F62" s="17"/>
      <c r="G62" s="34">
        <v>-115776.43</v>
      </c>
      <c r="H62" s="17"/>
      <c r="L62" s="37"/>
    </row>
    <row r="63" spans="3:12">
      <c r="C63" s="17"/>
      <c r="D63" s="17"/>
      <c r="E63" s="28">
        <v>41599</v>
      </c>
      <c r="F63" s="17"/>
      <c r="G63" s="34">
        <v>-73165.710000000006</v>
      </c>
      <c r="H63" s="17"/>
      <c r="L63" s="37"/>
    </row>
    <row r="64" spans="3:12">
      <c r="C64" s="17"/>
      <c r="D64" s="17"/>
      <c r="E64" s="28">
        <v>41624</v>
      </c>
      <c r="F64" s="17"/>
      <c r="G64" s="34">
        <v>-146331.43</v>
      </c>
      <c r="H64" s="17"/>
      <c r="L64" s="37"/>
    </row>
    <row r="65" spans="3:12">
      <c r="C65" s="17" t="s">
        <v>8</v>
      </c>
      <c r="D65" s="17"/>
      <c r="E65" s="28">
        <v>41418</v>
      </c>
      <c r="F65" s="17"/>
      <c r="G65" s="34">
        <v>32143.759999999998</v>
      </c>
      <c r="H65" s="17"/>
      <c r="L65" s="37"/>
    </row>
    <row r="66" spans="3:12">
      <c r="C66" s="17"/>
      <c r="D66" s="17"/>
      <c r="E66" s="28">
        <v>41618</v>
      </c>
      <c r="F66" s="17"/>
      <c r="G66" s="34">
        <v>120407.15</v>
      </c>
      <c r="H66" s="17"/>
      <c r="L66" s="37"/>
    </row>
    <row r="67" spans="3:12">
      <c r="C67" s="17" t="s">
        <v>9</v>
      </c>
      <c r="D67" s="17"/>
      <c r="E67" s="28">
        <v>41646</v>
      </c>
      <c r="F67" s="17"/>
      <c r="G67" s="34">
        <v>-103305.01</v>
      </c>
      <c r="H67" s="17"/>
      <c r="I67" s="16"/>
      <c r="J67" s="17"/>
      <c r="L67" s="37"/>
    </row>
    <row r="68" spans="3:12">
      <c r="C68" s="17"/>
      <c r="D68" s="17"/>
      <c r="E68" s="28">
        <v>41670</v>
      </c>
      <c r="F68" s="17"/>
      <c r="G68" s="34">
        <v>-76699.289999999994</v>
      </c>
      <c r="H68" s="17"/>
      <c r="I68" s="16"/>
      <c r="J68" s="17"/>
      <c r="L68" s="37"/>
    </row>
    <row r="69" spans="3:12">
      <c r="C69" s="17"/>
      <c r="D69" s="17"/>
      <c r="E69" s="28">
        <v>41697</v>
      </c>
      <c r="F69" s="17"/>
      <c r="G69" s="34">
        <v>-136562.13</v>
      </c>
      <c r="H69" s="17"/>
      <c r="I69" s="16"/>
      <c r="J69" s="17"/>
      <c r="L69" s="37"/>
    </row>
    <row r="70" spans="3:12">
      <c r="C70" s="17"/>
      <c r="D70" s="17"/>
      <c r="E70" s="28">
        <v>41704</v>
      </c>
      <c r="F70" s="17"/>
      <c r="G70" s="34">
        <v>-98940</v>
      </c>
      <c r="H70" s="17"/>
      <c r="I70" s="16"/>
      <c r="J70" s="17"/>
      <c r="L70" s="37"/>
    </row>
    <row r="71" spans="3:12">
      <c r="C71" s="17"/>
      <c r="D71" s="17"/>
      <c r="E71" s="28">
        <v>41718</v>
      </c>
      <c r="F71" s="17"/>
      <c r="G71" s="34">
        <v>-86468.56</v>
      </c>
      <c r="H71" s="17"/>
      <c r="I71" s="16"/>
      <c r="J71" s="17"/>
      <c r="L71" s="37"/>
    </row>
    <row r="72" spans="3:12">
      <c r="C72" s="17"/>
      <c r="D72" s="17"/>
      <c r="E72" s="28">
        <v>41750</v>
      </c>
      <c r="F72" s="17"/>
      <c r="G72" s="34">
        <v>-137393.57</v>
      </c>
      <c r="H72" s="17"/>
      <c r="I72" s="16"/>
      <c r="J72" s="17"/>
      <c r="L72" s="37"/>
    </row>
    <row r="73" spans="3:12">
      <c r="C73" s="17"/>
      <c r="D73" s="17"/>
      <c r="E73" s="28">
        <v>41779</v>
      </c>
      <c r="F73" s="17"/>
      <c r="G73" s="34">
        <v>-137185.70000000001</v>
      </c>
      <c r="H73" s="17"/>
      <c r="I73" s="53"/>
      <c r="J73" s="54"/>
      <c r="L73" s="37"/>
    </row>
    <row r="74" spans="3:12">
      <c r="C74" s="17"/>
      <c r="D74" s="17"/>
      <c r="E74" s="28">
        <v>41814</v>
      </c>
      <c r="F74" s="17"/>
      <c r="G74" s="34">
        <v>-101226.43</v>
      </c>
      <c r="H74" s="17"/>
      <c r="L74" s="37"/>
    </row>
    <row r="75" spans="3:12">
      <c r="C75" s="17"/>
      <c r="D75" s="17"/>
      <c r="E75" s="28">
        <v>41877</v>
      </c>
      <c r="F75" s="17"/>
      <c r="G75" s="34">
        <v>-159426.43</v>
      </c>
      <c r="H75" s="17"/>
      <c r="L75" s="37"/>
    </row>
    <row r="76" spans="3:12">
      <c r="C76" s="17"/>
      <c r="D76" s="17"/>
      <c r="E76" s="28">
        <v>41913</v>
      </c>
      <c r="F76" s="17"/>
      <c r="G76" s="34">
        <v>-66098.570000000007</v>
      </c>
      <c r="H76" s="17"/>
      <c r="L76" s="37"/>
    </row>
    <row r="77" spans="3:12">
      <c r="C77" s="17"/>
      <c r="D77" s="17"/>
      <c r="E77" s="28">
        <v>41943</v>
      </c>
      <c r="F77" s="17"/>
      <c r="G77" s="34">
        <v>-84390.01</v>
      </c>
      <c r="H77" s="17"/>
      <c r="L77" s="37"/>
    </row>
    <row r="78" spans="3:12">
      <c r="C78" s="17"/>
      <c r="D78" s="17"/>
      <c r="E78" s="28">
        <v>41990</v>
      </c>
      <c r="F78" s="17"/>
      <c r="G78" s="34">
        <v>-88339.29</v>
      </c>
      <c r="H78" s="17"/>
      <c r="L78" s="37"/>
    </row>
    <row r="79" spans="3:12">
      <c r="C79" s="17" t="s">
        <v>10</v>
      </c>
      <c r="D79" s="17"/>
      <c r="E79" s="28">
        <v>41816</v>
      </c>
      <c r="F79" s="17"/>
      <c r="G79" s="34">
        <v>199985.24</v>
      </c>
      <c r="H79" s="17"/>
      <c r="L79" s="37"/>
    </row>
    <row r="80" spans="3:12">
      <c r="C80" s="17"/>
      <c r="D80" s="17"/>
      <c r="E80" s="28">
        <v>41857</v>
      </c>
      <c r="F80" s="17"/>
      <c r="G80" s="34">
        <v>809416.3</v>
      </c>
      <c r="H80" s="17"/>
      <c r="L80" s="37"/>
    </row>
    <row r="81" spans="3:12">
      <c r="C81" s="17" t="s">
        <v>11</v>
      </c>
      <c r="D81" s="17"/>
      <c r="E81" s="28">
        <v>42011</v>
      </c>
      <c r="F81" s="17"/>
      <c r="G81" s="34">
        <v>-69424.289999999994</v>
      </c>
      <c r="H81" s="17"/>
      <c r="L81" s="37"/>
    </row>
    <row r="82" spans="3:12">
      <c r="C82" s="17"/>
      <c r="D82" s="17"/>
      <c r="E82" s="28">
        <v>42027</v>
      </c>
      <c r="F82" s="17"/>
      <c r="G82" s="34">
        <v>-89586.43</v>
      </c>
      <c r="H82" s="17"/>
      <c r="L82" s="37"/>
    </row>
    <row r="83" spans="3:12">
      <c r="C83" s="17"/>
      <c r="D83" s="17"/>
      <c r="E83" s="28">
        <v>42075</v>
      </c>
      <c r="F83" s="17"/>
      <c r="G83" s="34">
        <v>-89794.29</v>
      </c>
      <c r="H83" s="17"/>
      <c r="L83" s="37"/>
    </row>
    <row r="84" spans="3:12">
      <c r="D84" s="17"/>
      <c r="E84" s="28">
        <v>42138</v>
      </c>
      <c r="F84" s="17"/>
      <c r="G84" s="34">
        <v>-133028.57999999999</v>
      </c>
      <c r="H84" s="17"/>
      <c r="L84" s="37"/>
    </row>
    <row r="85" spans="3:12">
      <c r="D85" s="17"/>
      <c r="E85" s="28">
        <v>42265</v>
      </c>
      <c r="F85" s="17"/>
      <c r="G85" s="34">
        <v>-60070.7</v>
      </c>
      <c r="H85" s="17"/>
      <c r="L85" s="37"/>
    </row>
    <row r="86" spans="3:12">
      <c r="D86" s="17"/>
      <c r="E86" s="28">
        <v>42297</v>
      </c>
      <c r="F86" s="17"/>
      <c r="G86" s="34">
        <v>-104967.86</v>
      </c>
      <c r="H86" s="17"/>
      <c r="L86" s="37"/>
    </row>
    <row r="87" spans="3:12">
      <c r="D87" s="17"/>
      <c r="E87" s="28">
        <v>42352</v>
      </c>
      <c r="F87" s="17"/>
      <c r="G87" s="34">
        <v>-94159.28</v>
      </c>
      <c r="H87" s="17"/>
      <c r="L87" s="37"/>
    </row>
    <row r="88" spans="3:12" ht="12.75" customHeight="1">
      <c r="C88" s="17" t="s">
        <v>12</v>
      </c>
      <c r="D88" s="17"/>
      <c r="E88" s="28">
        <v>42055</v>
      </c>
      <c r="F88" s="17"/>
      <c r="G88" s="34">
        <v>0</v>
      </c>
      <c r="H88" s="17"/>
      <c r="I88" s="16"/>
      <c r="L88" s="37"/>
    </row>
    <row r="89" spans="3:12" ht="12.75" customHeight="1">
      <c r="C89" s="17"/>
      <c r="D89" s="17"/>
      <c r="E89" s="28">
        <v>42150</v>
      </c>
      <c r="F89" s="17"/>
      <c r="G89" s="34">
        <v>133058.82</v>
      </c>
      <c r="H89" s="17"/>
      <c r="I89" s="16"/>
      <c r="L89" s="37"/>
    </row>
    <row r="90" spans="3:12" ht="12.75" customHeight="1">
      <c r="C90" s="17"/>
      <c r="D90" s="17"/>
      <c r="E90" s="28">
        <v>42251</v>
      </c>
      <c r="F90" s="17"/>
      <c r="G90" s="34">
        <v>214566.18</v>
      </c>
      <c r="H90" s="17"/>
      <c r="I90" s="16"/>
      <c r="L90" s="37"/>
    </row>
    <row r="91" spans="3:12" ht="12.75" customHeight="1">
      <c r="C91" s="17" t="s">
        <v>13</v>
      </c>
      <c r="D91" s="17"/>
      <c r="E91" s="28">
        <v>42424</v>
      </c>
      <c r="F91" s="17"/>
      <c r="G91" s="34">
        <v>-94367.15</v>
      </c>
      <c r="H91" s="17"/>
      <c r="I91" s="16"/>
      <c r="L91" s="37"/>
    </row>
    <row r="92" spans="3:12" ht="12.75" customHeight="1">
      <c r="C92" s="17"/>
      <c r="D92" s="17"/>
      <c r="E92" s="28">
        <v>42452</v>
      </c>
      <c r="F92" s="17"/>
      <c r="G92" s="34">
        <v>-70463.56</v>
      </c>
      <c r="H92" s="17"/>
      <c r="I92" s="16"/>
      <c r="L92" s="37"/>
    </row>
    <row r="93" spans="3:12" ht="12.75" customHeight="1">
      <c r="C93" s="17"/>
      <c r="D93" s="17"/>
      <c r="E93" s="28">
        <v>42485</v>
      </c>
      <c r="F93" s="17"/>
      <c r="G93" s="34">
        <v>-87507.85</v>
      </c>
      <c r="H93" s="17"/>
      <c r="L93" s="37"/>
    </row>
    <row r="94" spans="3:12" ht="12.75" customHeight="1">
      <c r="C94" s="17"/>
      <c r="D94" s="17"/>
      <c r="E94" s="28">
        <v>42558</v>
      </c>
      <c r="F94" s="17"/>
      <c r="G94" s="34">
        <v>-54458.57</v>
      </c>
      <c r="H94" s="17"/>
      <c r="L94" s="37"/>
    </row>
    <row r="95" spans="3:12" ht="12.75" customHeight="1">
      <c r="C95" s="17"/>
      <c r="D95" s="17"/>
      <c r="E95" s="28">
        <v>42578</v>
      </c>
      <c r="F95" s="17"/>
      <c r="G95" s="34">
        <v>-54042.86</v>
      </c>
      <c r="H95" s="17"/>
      <c r="L95" s="37"/>
    </row>
    <row r="96" spans="3:12" ht="12.75" customHeight="1">
      <c r="C96" s="17"/>
      <c r="D96" s="17"/>
      <c r="E96" s="28">
        <v>42636</v>
      </c>
      <c r="F96" s="17"/>
      <c r="G96" s="34">
        <v>-70879.289999999994</v>
      </c>
      <c r="H96" s="17"/>
      <c r="L96" s="37"/>
    </row>
    <row r="97" spans="3:12" ht="12.75" customHeight="1">
      <c r="C97" s="17"/>
      <c r="D97" s="17"/>
      <c r="E97" s="28">
        <v>42664</v>
      </c>
      <c r="F97" s="17"/>
      <c r="G97" s="34">
        <v>-68177.14</v>
      </c>
      <c r="H97" s="17"/>
      <c r="L97" s="37"/>
    </row>
    <row r="98" spans="3:12" ht="12.75" customHeight="1">
      <c r="C98" s="17"/>
      <c r="D98" s="17"/>
      <c r="E98" s="28">
        <v>42697</v>
      </c>
      <c r="F98" s="17"/>
      <c r="G98" s="34">
        <v>-41571.43</v>
      </c>
      <c r="H98" s="17"/>
      <c r="L98" s="37"/>
    </row>
    <row r="99" spans="3:12" ht="12.75" customHeight="1">
      <c r="C99" s="17"/>
      <c r="D99" s="17"/>
      <c r="E99" s="28">
        <v>42727</v>
      </c>
      <c r="F99" s="17"/>
      <c r="G99" s="34">
        <v>-120141.43</v>
      </c>
      <c r="H99" s="17"/>
      <c r="L99" s="37"/>
    </row>
    <row r="100" spans="3:12" ht="12.75" customHeight="1">
      <c r="C100" s="17" t="s">
        <v>14</v>
      </c>
      <c r="D100" s="17"/>
      <c r="E100" s="28">
        <v>42404</v>
      </c>
      <c r="F100" s="17"/>
      <c r="G100" s="34">
        <v>125567.95</v>
      </c>
      <c r="H100" s="17"/>
      <c r="I100" s="16"/>
      <c r="L100" s="37"/>
    </row>
    <row r="101" spans="3:12" ht="12.75" customHeight="1">
      <c r="C101" s="17"/>
      <c r="D101" s="17"/>
      <c r="E101" s="28">
        <v>42451</v>
      </c>
      <c r="F101" s="17"/>
      <c r="G101" s="34">
        <v>42362.7</v>
      </c>
      <c r="H101" s="17"/>
      <c r="I101" s="16"/>
      <c r="L101" s="37"/>
    </row>
    <row r="102" spans="3:12" ht="12.75" customHeight="1">
      <c r="C102" s="17"/>
      <c r="D102" s="17"/>
      <c r="E102" s="28">
        <v>42549</v>
      </c>
      <c r="F102" s="17"/>
      <c r="G102" s="34">
        <v>22061.54</v>
      </c>
      <c r="H102" s="17"/>
      <c r="I102" s="16"/>
      <c r="L102" s="37"/>
    </row>
    <row r="103" spans="3:12" ht="12.75" customHeight="1">
      <c r="C103" s="17"/>
      <c r="D103" s="17"/>
      <c r="E103" s="28">
        <v>42584</v>
      </c>
      <c r="F103" s="17"/>
      <c r="G103" s="34">
        <v>588658.97</v>
      </c>
      <c r="H103" s="17"/>
      <c r="I103" s="16"/>
      <c r="L103" s="37"/>
    </row>
    <row r="104" spans="3:12" ht="12.75" customHeight="1">
      <c r="C104" s="17"/>
      <c r="D104" s="17"/>
      <c r="E104" s="28">
        <v>42632</v>
      </c>
      <c r="F104" s="17"/>
      <c r="G104" s="34">
        <v>37306.49</v>
      </c>
      <c r="H104" s="17"/>
      <c r="I104" s="16"/>
      <c r="L104" s="37"/>
    </row>
    <row r="105" spans="3:12" ht="12.75" customHeight="1">
      <c r="C105" s="17"/>
      <c r="D105" s="17"/>
      <c r="E105" s="28">
        <v>42656</v>
      </c>
      <c r="F105" s="17"/>
      <c r="G105" s="34">
        <v>150097.20000000001</v>
      </c>
      <c r="H105" s="17"/>
      <c r="I105" s="16"/>
      <c r="L105" s="37"/>
    </row>
    <row r="106" spans="3:12" ht="12.75" customHeight="1">
      <c r="C106" s="17"/>
      <c r="D106" s="17"/>
      <c r="E106" s="28">
        <v>42723</v>
      </c>
      <c r="F106" s="17"/>
      <c r="G106" s="34">
        <v>143473.42000000001</v>
      </c>
      <c r="H106" s="17"/>
      <c r="I106" s="16"/>
      <c r="L106" s="12"/>
    </row>
    <row r="107" spans="3:12" ht="12.75" customHeight="1">
      <c r="C107" s="17" t="s">
        <v>15</v>
      </c>
      <c r="D107" s="17"/>
      <c r="E107" s="28">
        <v>42795</v>
      </c>
      <c r="F107" s="17"/>
      <c r="G107" s="34">
        <v>-56329.29</v>
      </c>
      <c r="H107" s="17"/>
      <c r="I107" s="16"/>
      <c r="J107" s="17"/>
      <c r="L107" s="59"/>
    </row>
    <row r="108" spans="3:12" ht="12.75" customHeight="1">
      <c r="C108" s="17"/>
      <c r="D108" s="17"/>
      <c r="E108" s="28">
        <v>42822</v>
      </c>
      <c r="F108" s="17"/>
      <c r="G108" s="34">
        <v>-31178.57</v>
      </c>
      <c r="H108" s="17"/>
      <c r="I108" s="16"/>
      <c r="J108" s="17"/>
      <c r="L108" s="59"/>
    </row>
    <row r="109" spans="3:12" ht="12.75" customHeight="1">
      <c r="C109" s="17"/>
      <c r="D109" s="17"/>
      <c r="E109" s="28">
        <v>42843</v>
      </c>
      <c r="F109" s="17"/>
      <c r="G109" s="34">
        <v>-55290</v>
      </c>
      <c r="H109" s="17"/>
      <c r="I109" s="16"/>
      <c r="J109" s="17"/>
      <c r="L109" s="59"/>
    </row>
    <row r="110" spans="3:12" ht="12.75" customHeight="1">
      <c r="C110" s="17"/>
      <c r="D110" s="17"/>
      <c r="E110" s="28">
        <v>42909</v>
      </c>
      <c r="F110" s="17"/>
      <c r="G110" s="34">
        <v>-80856.42</v>
      </c>
      <c r="H110" s="17"/>
      <c r="I110" s="16"/>
      <c r="J110" s="17"/>
      <c r="L110" s="59"/>
    </row>
    <row r="111" spans="3:12" ht="12.75" customHeight="1">
      <c r="C111" s="17"/>
      <c r="D111" s="17"/>
      <c r="E111" s="28">
        <v>43054</v>
      </c>
      <c r="F111" s="17"/>
      <c r="G111" s="34">
        <v>-54458.58</v>
      </c>
      <c r="H111" s="17"/>
      <c r="I111" s="16"/>
      <c r="J111" s="17"/>
      <c r="L111" s="37"/>
    </row>
    <row r="112" spans="3:12" ht="12.75" customHeight="1">
      <c r="C112" s="17"/>
      <c r="D112" s="17"/>
      <c r="E112" s="28">
        <v>43090</v>
      </c>
      <c r="F112" s="17"/>
      <c r="G112" s="34">
        <v>-67969.279999999999</v>
      </c>
      <c r="H112" s="17"/>
      <c r="I112" s="16"/>
      <c r="J112" s="17"/>
      <c r="L112" s="37"/>
    </row>
    <row r="113" spans="3:12" ht="12.75" customHeight="1">
      <c r="C113" s="17" t="s">
        <v>16</v>
      </c>
      <c r="D113" s="17"/>
      <c r="E113" s="28">
        <v>42823</v>
      </c>
      <c r="F113" s="17"/>
      <c r="G113" s="34">
        <v>217020.23</v>
      </c>
      <c r="H113" s="17"/>
      <c r="I113" s="16"/>
      <c r="J113" s="17"/>
      <c r="L113" s="37"/>
    </row>
    <row r="114" spans="3:12" ht="12.75" customHeight="1">
      <c r="C114" s="17"/>
      <c r="D114" s="17"/>
      <c r="E114" s="28">
        <v>42859</v>
      </c>
      <c r="F114" s="17"/>
      <c r="G114" s="34">
        <v>32505.74</v>
      </c>
      <c r="H114" s="17"/>
      <c r="I114" s="16"/>
      <c r="L114" s="37"/>
    </row>
    <row r="115" spans="3:12" ht="12.75" customHeight="1">
      <c r="C115" s="17"/>
      <c r="D115" s="17"/>
      <c r="E115" s="28">
        <v>43020</v>
      </c>
      <c r="F115" s="17"/>
      <c r="G115" s="34">
        <v>82653.95</v>
      </c>
      <c r="H115" s="17"/>
      <c r="I115" s="16"/>
      <c r="L115" s="37"/>
    </row>
    <row r="116" spans="3:12" ht="12.75" customHeight="1">
      <c r="C116" s="17" t="s">
        <v>17</v>
      </c>
      <c r="D116" s="17"/>
      <c r="E116" s="28">
        <v>43364</v>
      </c>
      <c r="F116" s="17"/>
      <c r="G116" s="34">
        <v>-170442.86</v>
      </c>
      <c r="H116" s="17"/>
      <c r="I116" s="16"/>
      <c r="L116" s="37"/>
    </row>
    <row r="117" spans="3:12" ht="12.75" customHeight="1">
      <c r="C117" s="17"/>
      <c r="D117" s="17"/>
      <c r="E117" s="28">
        <v>43454</v>
      </c>
      <c r="F117" s="17"/>
      <c r="G117" s="34">
        <v>-173145</v>
      </c>
      <c r="H117" s="17"/>
      <c r="I117" s="16"/>
      <c r="L117" s="37"/>
    </row>
    <row r="118" spans="3:12" ht="12.75" customHeight="1">
      <c r="C118" s="17" t="s">
        <v>18</v>
      </c>
      <c r="D118" s="17"/>
      <c r="E118" s="28">
        <v>43152</v>
      </c>
      <c r="F118" s="17"/>
      <c r="G118" s="34">
        <v>507551.35</v>
      </c>
      <c r="H118" s="17"/>
      <c r="I118" s="16"/>
      <c r="L118" s="37"/>
    </row>
    <row r="119" spans="3:12" ht="12.75" customHeight="1">
      <c r="C119" s="17"/>
      <c r="D119" s="17"/>
      <c r="E119" s="28">
        <v>43186</v>
      </c>
      <c r="F119" s="17"/>
      <c r="G119" s="34">
        <v>303400.82</v>
      </c>
      <c r="H119" s="17"/>
      <c r="I119" s="16"/>
      <c r="L119" s="37"/>
    </row>
    <row r="120" spans="3:12" ht="12.75" customHeight="1">
      <c r="C120" s="17"/>
      <c r="D120" s="17"/>
      <c r="E120" s="28">
        <v>43262</v>
      </c>
      <c r="F120" s="17"/>
      <c r="G120" s="34">
        <v>43362.99</v>
      </c>
      <c r="H120" s="17"/>
      <c r="I120" s="16"/>
      <c r="L120" s="37"/>
    </row>
    <row r="121" spans="3:12" ht="12.75" customHeight="1">
      <c r="C121" s="17"/>
      <c r="D121" s="17"/>
      <c r="E121" s="28">
        <v>43404</v>
      </c>
      <c r="F121" s="17"/>
      <c r="G121" s="34">
        <v>41363.800000000003</v>
      </c>
      <c r="H121" s="17"/>
      <c r="I121" s="16"/>
      <c r="L121" s="37"/>
    </row>
    <row r="122" spans="3:12" ht="12.75" customHeight="1">
      <c r="C122" s="17" t="s">
        <v>19</v>
      </c>
      <c r="D122" s="17"/>
      <c r="E122" s="28">
        <v>43649</v>
      </c>
      <c r="F122" s="17"/>
      <c r="G122" s="34">
        <v>-30555</v>
      </c>
      <c r="H122" s="17"/>
      <c r="I122" s="16"/>
      <c r="L122" s="37"/>
    </row>
    <row r="123" spans="3:12" ht="12.75" customHeight="1">
      <c r="C123" s="17" t="s">
        <v>20</v>
      </c>
      <c r="D123" s="17"/>
      <c r="E123" s="28">
        <v>43593</v>
      </c>
      <c r="F123" s="17"/>
      <c r="G123" s="34">
        <v>43099.64</v>
      </c>
      <c r="H123" s="17"/>
      <c r="I123" s="16"/>
      <c r="L123" s="37"/>
    </row>
    <row r="124" spans="3:12" ht="12.75" customHeight="1">
      <c r="C124" s="17"/>
      <c r="D124" s="17"/>
      <c r="E124" s="28">
        <v>43655</v>
      </c>
      <c r="F124" s="17"/>
      <c r="G124" s="34">
        <v>72232.02</v>
      </c>
      <c r="H124" s="17"/>
      <c r="I124" s="16"/>
      <c r="L124" s="37"/>
    </row>
    <row r="125" spans="3:12" ht="12.75" customHeight="1">
      <c r="C125" s="17" t="s">
        <v>21</v>
      </c>
      <c r="D125" s="17"/>
      <c r="E125" s="28">
        <v>43928</v>
      </c>
      <c r="F125" s="17"/>
      <c r="G125" s="34">
        <v>-26397.86</v>
      </c>
      <c r="H125" s="17"/>
      <c r="I125" s="16"/>
      <c r="L125" s="37"/>
    </row>
    <row r="126" spans="3:12" ht="12.75" customHeight="1">
      <c r="C126" s="17"/>
      <c r="D126" s="17"/>
      <c r="E126" s="28">
        <v>44070</v>
      </c>
      <c r="F126" s="17"/>
      <c r="G126" s="34">
        <v>-267966.24</v>
      </c>
      <c r="H126" s="17"/>
      <c r="I126" s="16"/>
      <c r="L126" s="12"/>
    </row>
    <row r="127" spans="3:12" ht="12.75" customHeight="1">
      <c r="C127" s="17" t="s">
        <v>22</v>
      </c>
      <c r="D127" s="17"/>
      <c r="E127" s="28">
        <v>44302</v>
      </c>
      <c r="F127" s="17"/>
      <c r="G127" s="34">
        <v>131158.07999999999</v>
      </c>
      <c r="H127" s="17"/>
      <c r="I127" s="16"/>
      <c r="L127" s="12"/>
    </row>
    <row r="128" spans="3:12" ht="12.75" customHeight="1">
      <c r="C128" s="17" t="s">
        <v>23</v>
      </c>
      <c r="D128" s="17"/>
      <c r="E128" s="28">
        <v>44673</v>
      </c>
      <c r="F128" s="17"/>
      <c r="G128" s="34">
        <v>278880.59999999998</v>
      </c>
      <c r="H128" s="17"/>
      <c r="I128" s="16"/>
      <c r="L128" s="12"/>
    </row>
    <row r="129" spans="3:12" ht="12.75" customHeight="1">
      <c r="C129" s="17"/>
      <c r="D129" s="17"/>
      <c r="E129" s="28">
        <v>44727</v>
      </c>
      <c r="F129" s="17"/>
      <c r="G129" s="34">
        <v>40739.199999999997</v>
      </c>
      <c r="H129" s="17"/>
      <c r="I129" s="16"/>
      <c r="L129" s="12"/>
    </row>
    <row r="130" spans="3:12" ht="12.75" customHeight="1">
      <c r="C130" s="17"/>
      <c r="D130" s="17"/>
      <c r="E130" s="28">
        <v>44796</v>
      </c>
      <c r="F130" s="17"/>
      <c r="G130" s="34">
        <v>37166.980000000003</v>
      </c>
      <c r="H130" s="17"/>
      <c r="I130" s="16"/>
      <c r="L130" s="12"/>
    </row>
    <row r="131" spans="3:12" ht="12.75" customHeight="1">
      <c r="C131" s="17"/>
      <c r="D131" s="17"/>
      <c r="E131" s="28">
        <v>44868</v>
      </c>
      <c r="F131" s="17"/>
      <c r="G131" s="34">
        <v>158787.20000000001</v>
      </c>
      <c r="H131" s="17"/>
      <c r="I131" s="16"/>
      <c r="L131" s="12"/>
    </row>
    <row r="132" spans="3:12" ht="12.75" customHeight="1">
      <c r="C132" s="17"/>
      <c r="D132" s="17"/>
      <c r="E132" s="28">
        <v>44911</v>
      </c>
      <c r="F132" s="17"/>
      <c r="G132" s="34">
        <v>101499.67</v>
      </c>
      <c r="H132" s="17"/>
      <c r="I132" s="16"/>
      <c r="L132" s="12"/>
    </row>
    <row r="133" spans="3:12" ht="12.75" customHeight="1">
      <c r="C133" s="17" t="s">
        <v>24</v>
      </c>
      <c r="D133" s="17"/>
      <c r="E133" s="28">
        <v>44973</v>
      </c>
      <c r="F133" s="17"/>
      <c r="G133" s="34">
        <v>122713.93</v>
      </c>
      <c r="H133" s="17"/>
      <c r="I133" s="16"/>
      <c r="L133" s="12"/>
    </row>
    <row r="134" spans="3:12" ht="12.75" customHeight="1">
      <c r="C134" s="17"/>
      <c r="D134" s="17"/>
      <c r="E134" s="28">
        <v>45079</v>
      </c>
      <c r="F134" s="17"/>
      <c r="G134" s="34">
        <v>80249.679999999993</v>
      </c>
      <c r="H134" s="17"/>
      <c r="I134" s="16"/>
      <c r="L134" s="12"/>
    </row>
    <row r="135" spans="3:12" ht="12.75" customHeight="1">
      <c r="C135" s="17"/>
      <c r="D135" s="17"/>
      <c r="E135" s="28">
        <v>45182</v>
      </c>
      <c r="F135" s="17"/>
      <c r="G135" s="34">
        <v>36306.22</v>
      </c>
      <c r="H135" s="17"/>
      <c r="I135" s="16"/>
      <c r="L135" s="12"/>
    </row>
    <row r="136" spans="3:12" ht="12.75" customHeight="1">
      <c r="C136" s="17"/>
      <c r="D136" s="17"/>
      <c r="E136" s="28">
        <v>45261</v>
      </c>
      <c r="F136" s="17"/>
      <c r="G136" s="34">
        <v>52393.7</v>
      </c>
      <c r="H136" s="17"/>
      <c r="I136" s="16"/>
      <c r="L136" s="12"/>
    </row>
    <row r="137" spans="3:12" ht="4.5" customHeight="1">
      <c r="C137" s="17"/>
      <c r="D137" s="17"/>
      <c r="E137" s="28"/>
      <c r="F137" s="17"/>
      <c r="G137" s="34"/>
      <c r="H137" s="17"/>
      <c r="I137" s="16"/>
      <c r="L137" s="37"/>
    </row>
    <row r="138" spans="3:12">
      <c r="C138" s="17" t="s">
        <v>25</v>
      </c>
      <c r="D138" s="17"/>
      <c r="E138" s="28">
        <f>+E8</f>
        <v>45473</v>
      </c>
      <c r="F138" s="17"/>
      <c r="G138" s="35">
        <f>L138*C22</f>
        <v>2880581.3525083982</v>
      </c>
      <c r="H138" s="17"/>
      <c r="I138" s="34">
        <f>+SUMIF($G$23:$G$137,"&lt;0",$G$23:$G$137)</f>
        <v>-8543091.1399999987</v>
      </c>
      <c r="J138" s="17" t="s">
        <v>26</v>
      </c>
      <c r="L138" s="59">
        <v>87223647</v>
      </c>
    </row>
    <row r="139" spans="3:12">
      <c r="G139" s="16"/>
      <c r="H139" s="17"/>
      <c r="I139" s="34">
        <f>+SUMIF($G$23:$G$137,"&gt;0",$G$23:$G$137)</f>
        <v>5842662.4800000004</v>
      </c>
      <c r="J139" s="17" t="s">
        <v>27</v>
      </c>
    </row>
    <row r="140" spans="3:12">
      <c r="C140" t="s">
        <v>28</v>
      </c>
      <c r="G140" s="38">
        <f>XIRR(G23:G138,E23:E138,0.1)</f>
        <v>3.9684742689132697E-3</v>
      </c>
      <c r="H140" s="17"/>
      <c r="I140" s="17"/>
      <c r="J140" s="17"/>
    </row>
    <row r="143" spans="3:12">
      <c r="G143" s="39"/>
    </row>
    <row r="144" spans="3:12">
      <c r="E144" s="39"/>
      <c r="F144" s="40"/>
      <c r="G144" s="39"/>
    </row>
    <row r="145" spans="3:7">
      <c r="E145" s="39"/>
      <c r="F145" s="40"/>
      <c r="G145" s="39"/>
    </row>
    <row r="146" spans="3:7">
      <c r="C146" s="40"/>
      <c r="D146" s="40"/>
      <c r="E146" s="2"/>
      <c r="F146" s="2"/>
      <c r="G146" s="2"/>
    </row>
    <row r="147" spans="3:7">
      <c r="C147" s="40"/>
      <c r="D147" s="40"/>
      <c r="E147" s="39"/>
      <c r="F147" s="39"/>
      <c r="G147" s="39"/>
    </row>
    <row r="148" spans="3:7">
      <c r="C148" s="40"/>
      <c r="D148" s="40"/>
      <c r="E148" s="40"/>
      <c r="F148" s="40"/>
      <c r="G148" s="40"/>
    </row>
    <row r="149" spans="3:7">
      <c r="C149" s="40"/>
      <c r="D149" s="40"/>
      <c r="E149" s="60"/>
      <c r="F149" s="41"/>
      <c r="G149" s="42"/>
    </row>
    <row r="150" spans="3:7">
      <c r="C150" s="40"/>
      <c r="D150" s="40"/>
      <c r="E150" s="42"/>
      <c r="F150" s="41"/>
      <c r="G150" s="42"/>
    </row>
    <row r="151" spans="3:7">
      <c r="C151" s="40"/>
      <c r="D151" s="40"/>
      <c r="E151" s="42"/>
      <c r="F151" s="41"/>
      <c r="G151" s="42"/>
    </row>
    <row r="152" spans="3:7">
      <c r="C152" s="43"/>
      <c r="D152" s="40"/>
      <c r="E152" s="42"/>
      <c r="F152" s="41"/>
      <c r="G152" s="42"/>
    </row>
    <row r="153" spans="3:7">
      <c r="C153" s="43"/>
      <c r="D153" s="40"/>
      <c r="E153" s="42"/>
      <c r="F153" s="41"/>
      <c r="G153" s="42"/>
    </row>
    <row r="154" spans="3:7">
      <c r="C154" s="44"/>
      <c r="D154" s="40"/>
      <c r="E154" s="42"/>
      <c r="F154" s="41"/>
      <c r="G154" s="42"/>
    </row>
    <row r="155" spans="3:7">
      <c r="C155" s="40"/>
      <c r="D155" s="40"/>
      <c r="E155" s="42"/>
      <c r="F155" s="41"/>
      <c r="G155" s="42"/>
    </row>
    <row r="156" spans="3:7">
      <c r="C156" s="40"/>
      <c r="D156" s="40"/>
      <c r="E156" s="42"/>
      <c r="F156" s="41"/>
      <c r="G156" s="42"/>
    </row>
    <row r="157" spans="3:7">
      <c r="C157" s="40"/>
      <c r="D157" s="40"/>
      <c r="E157" s="42"/>
      <c r="F157" s="41"/>
      <c r="G157" s="42"/>
    </row>
    <row r="158" spans="3:7">
      <c r="C158" s="40"/>
      <c r="D158" s="40"/>
      <c r="E158" s="42"/>
      <c r="F158" s="41"/>
      <c r="G158" s="42"/>
    </row>
    <row r="159" spans="3:7">
      <c r="C159" s="40"/>
      <c r="D159" s="40"/>
      <c r="E159" s="42"/>
      <c r="F159" s="41"/>
      <c r="G159" s="42"/>
    </row>
    <row r="160" spans="3:7">
      <c r="C160" s="40"/>
      <c r="D160" s="40"/>
      <c r="E160" s="42"/>
      <c r="F160" s="41"/>
      <c r="G160" s="42"/>
    </row>
    <row r="161" ht="5.15" customHeight="1"/>
  </sheetData>
  <mergeCells count="2">
    <mergeCell ref="H8:I8"/>
    <mergeCell ref="E146:G146"/>
  </mergeCells>
  <pageMargins left="0.75" right="0.33" top="1" bottom="1" header="0.5" footer="0.5"/>
  <pageSetup scale="25" orientation="landscape" r:id="rId1"/>
  <headerFooter alignWithMargins="0">
    <oddHeader>&amp;C&amp;G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4A11-BA74-477A-ABE2-B060356877DB}">
  <sheetPr>
    <tabColor rgb="FF92D050"/>
    <pageSetUpPr fitToPage="1"/>
  </sheetPr>
  <dimension ref="B4:L161"/>
  <sheetViews>
    <sheetView showGridLines="0" view="pageLayout" topLeftCell="A106" zoomScaleNormal="100" workbookViewId="0">
      <selection activeCell="L137" sqref="L137"/>
    </sheetView>
  </sheetViews>
  <sheetFormatPr defaultColWidth="9.1796875" defaultRowHeight="12.5"/>
  <cols>
    <col min="2" max="2" width="4.81640625" customWidth="1"/>
    <col min="3" max="3" width="43.1796875" customWidth="1"/>
    <col min="4" max="4" width="1.453125" customWidth="1"/>
    <col min="5" max="5" width="10.54296875" customWidth="1"/>
    <col min="6" max="6" width="1.453125" customWidth="1"/>
    <col min="7" max="7" width="12" bestFit="1" customWidth="1"/>
    <col min="8" max="8" width="2.453125" customWidth="1"/>
    <col min="9" max="9" width="13.54296875" bestFit="1" customWidth="1"/>
    <col min="10" max="10" width="12.453125" bestFit="1" customWidth="1"/>
    <col min="12" max="12" width="16.1796875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">
        <f>+VIII!E8</f>
        <v>45473</v>
      </c>
      <c r="F8" s="9"/>
      <c r="G8" s="10"/>
      <c r="H8" s="1"/>
      <c r="I8" s="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50"/>
      <c r="I10" s="50"/>
    </row>
    <row r="11" spans="2:9">
      <c r="C11" s="13"/>
      <c r="D11" s="13"/>
      <c r="E11" s="14"/>
      <c r="F11" s="13"/>
      <c r="G11" s="14"/>
      <c r="H11" s="50"/>
      <c r="I11" s="50"/>
    </row>
    <row r="12" spans="2:9" ht="15.5">
      <c r="C12" s="18"/>
      <c r="D12" s="18"/>
      <c r="E12" s="19"/>
      <c r="F12" s="18"/>
      <c r="G12" s="19"/>
      <c r="H12" s="50"/>
      <c r="I12" s="50"/>
    </row>
    <row r="13" spans="2:9">
      <c r="C13" s="13"/>
      <c r="D13" s="13"/>
      <c r="E13" s="20"/>
      <c r="F13" s="13"/>
      <c r="G13" s="59"/>
      <c r="H13" s="50"/>
      <c r="I13" s="50"/>
    </row>
    <row r="14" spans="2:9">
      <c r="C14" s="13"/>
      <c r="D14" s="13"/>
      <c r="E14" s="22"/>
      <c r="F14" s="13"/>
      <c r="G14" s="59"/>
      <c r="H14" s="50"/>
      <c r="I14" s="50"/>
    </row>
    <row r="15" spans="2:9">
      <c r="C15" s="13"/>
      <c r="D15" s="13"/>
      <c r="E15" s="14"/>
      <c r="F15" s="13"/>
      <c r="G15" s="14"/>
      <c r="H15" s="50"/>
      <c r="I15" s="50"/>
    </row>
    <row r="16" spans="2:9" ht="15.5">
      <c r="C16" s="7"/>
      <c r="D16" s="7"/>
      <c r="E16" s="19"/>
      <c r="F16" s="7"/>
      <c r="G16" s="19"/>
      <c r="H16" s="50"/>
      <c r="I16" s="50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+G139</f>
        <v>4.6625226736068722E-3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(G137+I138)/-I137</f>
        <v>1.0246434188508298</v>
      </c>
      <c r="F19" s="13"/>
      <c r="G19" s="14"/>
      <c r="H19" s="15"/>
    </row>
    <row r="20" spans="3:12">
      <c r="C20" s="13"/>
      <c r="D20" s="13"/>
      <c r="E20" s="14"/>
      <c r="F20" s="13"/>
      <c r="G20" s="14"/>
      <c r="H20" s="50"/>
      <c r="I20" s="50"/>
    </row>
    <row r="21" spans="3:12">
      <c r="C21" s="26" t="s">
        <v>29</v>
      </c>
      <c r="D21" s="13"/>
      <c r="E21" s="13"/>
      <c r="F21" s="13"/>
      <c r="G21" s="15"/>
      <c r="H21" s="51"/>
      <c r="I21" s="28"/>
      <c r="J21" s="17"/>
    </row>
    <row r="22" spans="3:12" ht="15.5">
      <c r="C22" s="52">
        <v>0.151630023</v>
      </c>
      <c r="D22" s="27"/>
      <c r="E22" s="27"/>
      <c r="F22" s="27"/>
      <c r="G22" s="17"/>
      <c r="H22" s="17"/>
      <c r="I22" s="17"/>
      <c r="J22" s="17"/>
    </row>
    <row r="23" spans="3:12">
      <c r="C23" s="17" t="s">
        <v>4</v>
      </c>
      <c r="D23" s="17"/>
      <c r="E23" s="28">
        <v>40590</v>
      </c>
      <c r="F23" s="17"/>
      <c r="G23" s="34">
        <v>-3150000</v>
      </c>
      <c r="H23" s="17"/>
      <c r="I23" s="16"/>
      <c r="J23" s="16"/>
      <c r="L23" s="37"/>
    </row>
    <row r="24" spans="3:12">
      <c r="C24" s="17"/>
      <c r="D24" s="17"/>
      <c r="E24" s="28">
        <v>40661</v>
      </c>
      <c r="F24" s="17"/>
      <c r="G24" s="34">
        <v>-806485.68</v>
      </c>
      <c r="H24" s="17"/>
      <c r="I24" s="16"/>
      <c r="J24" s="16"/>
      <c r="L24" s="37"/>
    </row>
    <row r="25" spans="3:12">
      <c r="C25" s="17"/>
      <c r="D25" s="17"/>
      <c r="E25" s="28">
        <v>40704</v>
      </c>
      <c r="F25" s="17"/>
      <c r="G25" s="34">
        <v>-1272085.6599999999</v>
      </c>
      <c r="H25" s="17"/>
      <c r="I25" s="16"/>
      <c r="J25" s="16"/>
      <c r="L25" s="37"/>
    </row>
    <row r="26" spans="3:12">
      <c r="C26" s="17"/>
      <c r="D26" s="17"/>
      <c r="E26" s="28">
        <v>40751</v>
      </c>
      <c r="F26" s="17"/>
      <c r="G26" s="34">
        <v>-1216657.0900000001</v>
      </c>
      <c r="H26" s="17"/>
      <c r="I26" s="16"/>
      <c r="J26" s="16"/>
      <c r="L26" s="37"/>
    </row>
    <row r="27" spans="3:12">
      <c r="C27" s="17"/>
      <c r="D27" s="17"/>
      <c r="E27" s="28">
        <v>40765</v>
      </c>
      <c r="F27" s="17"/>
      <c r="G27" s="34">
        <v>-2023142.77</v>
      </c>
      <c r="H27" s="17"/>
      <c r="I27" s="16"/>
      <c r="J27" s="16"/>
      <c r="L27" s="37"/>
    </row>
    <row r="28" spans="3:12">
      <c r="C28" s="17"/>
      <c r="D28" s="17"/>
      <c r="E28" s="28">
        <v>40813</v>
      </c>
      <c r="F28" s="17"/>
      <c r="G28" s="34">
        <v>-1782028.5</v>
      </c>
      <c r="H28" s="17"/>
      <c r="I28" s="16"/>
      <c r="J28" s="16"/>
      <c r="L28" s="37"/>
    </row>
    <row r="29" spans="3:12">
      <c r="C29" s="17"/>
      <c r="D29" s="17"/>
      <c r="E29" s="28">
        <v>40879</v>
      </c>
      <c r="F29" s="17"/>
      <c r="G29" s="34">
        <v>-856371.39</v>
      </c>
      <c r="H29" s="17"/>
      <c r="I29" s="16"/>
      <c r="J29" s="16"/>
      <c r="L29" s="37"/>
    </row>
    <row r="30" spans="3:12">
      <c r="C30" s="17"/>
      <c r="D30" s="17"/>
      <c r="E30" s="28">
        <v>40886</v>
      </c>
      <c r="F30" s="17"/>
      <c r="G30" s="34">
        <v>-1166771.3799999999</v>
      </c>
      <c r="H30" s="17"/>
      <c r="I30" s="16"/>
      <c r="J30" s="16"/>
      <c r="L30" s="37"/>
    </row>
    <row r="31" spans="3:12">
      <c r="C31" s="17" t="s">
        <v>5</v>
      </c>
      <c r="D31" s="17"/>
      <c r="E31" s="28">
        <v>40927</v>
      </c>
      <c r="F31" s="17"/>
      <c r="G31" s="34">
        <v>-1951085.63</v>
      </c>
      <c r="H31" s="17"/>
      <c r="I31" s="16"/>
      <c r="J31" s="16"/>
      <c r="L31" s="37"/>
    </row>
    <row r="32" spans="3:12">
      <c r="C32" s="17"/>
      <c r="D32" s="17"/>
      <c r="E32" s="28">
        <v>40942</v>
      </c>
      <c r="F32" s="17"/>
      <c r="G32" s="34">
        <v>-9145713.9100000001</v>
      </c>
      <c r="H32" s="17"/>
      <c r="I32" s="16"/>
      <c r="J32" s="16"/>
      <c r="L32" s="37"/>
    </row>
    <row r="33" spans="3:12">
      <c r="C33" s="17"/>
      <c r="D33" s="17"/>
      <c r="E33" s="28">
        <v>40970</v>
      </c>
      <c r="F33" s="17"/>
      <c r="G33" s="34">
        <v>-1454999.94</v>
      </c>
      <c r="H33" s="17"/>
      <c r="I33" s="16"/>
      <c r="J33" s="16"/>
      <c r="L33" s="37"/>
    </row>
    <row r="34" spans="3:12">
      <c r="C34" s="17"/>
      <c r="D34" s="17"/>
      <c r="E34" s="28">
        <v>41001</v>
      </c>
      <c r="F34" s="17"/>
      <c r="G34" s="34">
        <v>-850828.54</v>
      </c>
      <c r="H34" s="17"/>
      <c r="I34" s="16"/>
      <c r="J34" s="16"/>
      <c r="L34" s="37"/>
    </row>
    <row r="35" spans="3:12">
      <c r="C35" s="17"/>
      <c r="D35" s="17"/>
      <c r="E35" s="28">
        <v>41024</v>
      </c>
      <c r="F35" s="17"/>
      <c r="G35" s="34">
        <v>-1008799.96</v>
      </c>
      <c r="H35" s="17"/>
      <c r="I35" s="16"/>
      <c r="J35" s="16"/>
      <c r="L35" s="37"/>
    </row>
    <row r="36" spans="3:12">
      <c r="C36" s="17"/>
      <c r="D36" s="17"/>
      <c r="E36" s="28">
        <v>41054</v>
      </c>
      <c r="F36" s="17"/>
      <c r="G36" s="34">
        <v>-1313657.0900000001</v>
      </c>
      <c r="H36" s="17"/>
      <c r="I36" s="16"/>
      <c r="J36" s="16"/>
      <c r="L36" s="37"/>
    </row>
    <row r="37" spans="3:12">
      <c r="C37" s="17"/>
      <c r="D37" s="17"/>
      <c r="E37" s="28">
        <v>41080</v>
      </c>
      <c r="F37" s="17"/>
      <c r="G37" s="34">
        <v>-2436085.61</v>
      </c>
      <c r="H37" s="17"/>
      <c r="I37" s="16"/>
      <c r="J37" s="16"/>
      <c r="L37" s="37"/>
    </row>
    <row r="38" spans="3:12">
      <c r="C38" s="17"/>
      <c r="D38" s="17"/>
      <c r="E38" s="28">
        <v>41103</v>
      </c>
      <c r="F38" s="17"/>
      <c r="G38" s="34">
        <v>-789857.11</v>
      </c>
      <c r="H38" s="17"/>
      <c r="I38" s="16"/>
      <c r="J38" s="16"/>
      <c r="L38" s="37"/>
    </row>
    <row r="39" spans="3:12">
      <c r="C39" s="17"/>
      <c r="D39" s="17"/>
      <c r="E39" s="28">
        <v>41121</v>
      </c>
      <c r="F39" s="17"/>
      <c r="G39" s="34">
        <v>-762142.83</v>
      </c>
      <c r="H39" s="17"/>
      <c r="I39" s="16"/>
      <c r="J39" s="16"/>
      <c r="L39" s="37"/>
    </row>
    <row r="40" spans="3:12">
      <c r="C40" s="17"/>
      <c r="D40" s="17"/>
      <c r="E40" s="28">
        <v>41152</v>
      </c>
      <c r="F40" s="17"/>
      <c r="G40" s="34">
        <v>-1008799.99</v>
      </c>
      <c r="H40" s="17"/>
      <c r="I40" s="16"/>
      <c r="J40" s="16"/>
      <c r="L40" s="37"/>
    </row>
    <row r="41" spans="3:12">
      <c r="C41" s="17"/>
      <c r="D41" s="17"/>
      <c r="E41" s="28">
        <v>41180</v>
      </c>
      <c r="F41" s="17"/>
      <c r="G41" s="34">
        <v>-1912285.72</v>
      </c>
      <c r="H41" s="17"/>
      <c r="I41" s="16"/>
      <c r="J41" s="16"/>
      <c r="L41" s="37"/>
    </row>
    <row r="42" spans="3:12">
      <c r="C42" s="17"/>
      <c r="D42" s="17"/>
      <c r="E42" s="28">
        <v>41194</v>
      </c>
      <c r="F42" s="17"/>
      <c r="G42" s="34">
        <v>-939514.29</v>
      </c>
      <c r="H42" s="17"/>
      <c r="I42" s="16"/>
      <c r="J42" s="16"/>
      <c r="L42" s="37"/>
    </row>
    <row r="43" spans="3:12">
      <c r="C43" s="17"/>
      <c r="D43" s="17"/>
      <c r="E43" s="28">
        <v>41250</v>
      </c>
      <c r="F43" s="17"/>
      <c r="G43" s="34">
        <v>-4237514.28</v>
      </c>
      <c r="H43" s="17"/>
      <c r="I43" s="16"/>
      <c r="J43" s="16"/>
      <c r="L43" s="37"/>
    </row>
    <row r="44" spans="3:12">
      <c r="C44" s="17"/>
      <c r="D44" s="17"/>
      <c r="E44" s="28">
        <v>41264</v>
      </c>
      <c r="F44" s="17"/>
      <c r="G44" s="34">
        <v>-3763600</v>
      </c>
      <c r="H44" s="17"/>
      <c r="I44" s="16"/>
      <c r="J44" s="16"/>
      <c r="L44" s="37"/>
    </row>
    <row r="45" spans="3:12">
      <c r="C45" s="17" t="s">
        <v>6</v>
      </c>
      <c r="D45" s="17"/>
      <c r="E45" s="28">
        <v>41030</v>
      </c>
      <c r="F45" s="17"/>
      <c r="G45" s="34">
        <v>3231985.63</v>
      </c>
      <c r="H45" s="17"/>
      <c r="I45" s="16"/>
      <c r="J45" s="16"/>
      <c r="L45" s="37"/>
    </row>
    <row r="46" spans="3:12">
      <c r="C46" s="17"/>
      <c r="D46" s="17"/>
      <c r="E46" s="28">
        <v>41108</v>
      </c>
      <c r="F46" s="17"/>
      <c r="G46" s="34">
        <v>805926.42</v>
      </c>
      <c r="H46" s="17"/>
      <c r="I46" s="16"/>
      <c r="J46" s="16"/>
      <c r="L46" s="37"/>
    </row>
    <row r="47" spans="3:12">
      <c r="C47" s="17"/>
      <c r="D47" s="17"/>
      <c r="E47" s="28">
        <v>41137</v>
      </c>
      <c r="F47" s="17"/>
      <c r="G47" s="34">
        <v>345455.13</v>
      </c>
      <c r="H47" s="17"/>
      <c r="I47" s="16"/>
      <c r="J47" s="16"/>
      <c r="L47" s="37"/>
    </row>
    <row r="48" spans="3:12">
      <c r="C48" s="17"/>
      <c r="D48" s="17"/>
      <c r="E48" s="28">
        <v>41173</v>
      </c>
      <c r="F48" s="17"/>
      <c r="G48" s="34">
        <v>7058897.29</v>
      </c>
      <c r="H48" s="17"/>
      <c r="I48" s="16"/>
      <c r="J48" s="16"/>
      <c r="L48" s="37"/>
    </row>
    <row r="49" spans="3:12">
      <c r="C49" s="17" t="s">
        <v>7</v>
      </c>
      <c r="D49" s="17"/>
      <c r="E49" s="28">
        <v>41284</v>
      </c>
      <c r="F49" s="17"/>
      <c r="G49" s="34">
        <v>-1111342.8500000001</v>
      </c>
      <c r="H49" s="17"/>
      <c r="I49" s="16"/>
      <c r="J49" s="16"/>
      <c r="L49" s="37"/>
    </row>
    <row r="50" spans="3:12">
      <c r="C50" s="17"/>
      <c r="D50" s="17"/>
      <c r="E50" s="28">
        <v>41298</v>
      </c>
      <c r="F50" s="17"/>
      <c r="G50" s="34">
        <v>-1421742.86</v>
      </c>
      <c r="H50" s="17"/>
      <c r="I50" s="16"/>
      <c r="J50" s="16"/>
      <c r="L50" s="37"/>
    </row>
    <row r="51" spans="3:12">
      <c r="C51" s="17"/>
      <c r="D51" s="17"/>
      <c r="E51" s="28">
        <v>41345</v>
      </c>
      <c r="F51" s="17"/>
      <c r="G51" s="34">
        <v>-1457771.43</v>
      </c>
      <c r="H51" s="17"/>
      <c r="I51" s="16"/>
      <c r="J51" s="16"/>
      <c r="L51" s="37"/>
    </row>
    <row r="52" spans="3:12">
      <c r="C52" s="17"/>
      <c r="D52" s="17"/>
      <c r="E52" s="28">
        <v>41360</v>
      </c>
      <c r="F52" s="17"/>
      <c r="G52" s="34">
        <v>-1305342.83</v>
      </c>
      <c r="H52" s="17"/>
      <c r="I52" s="16"/>
      <c r="J52" s="16"/>
      <c r="L52" s="37"/>
    </row>
    <row r="53" spans="3:12">
      <c r="C53" s="17"/>
      <c r="D53" s="17"/>
      <c r="E53" s="28">
        <v>41393</v>
      </c>
      <c r="F53" s="17"/>
      <c r="G53" s="34">
        <v>-1050371.45</v>
      </c>
      <c r="H53" s="17"/>
      <c r="I53" s="16"/>
      <c r="J53" s="16"/>
      <c r="L53" s="37"/>
    </row>
    <row r="54" spans="3:12">
      <c r="C54" s="17"/>
      <c r="D54" s="17"/>
      <c r="E54" s="28">
        <v>41404</v>
      </c>
      <c r="F54" s="17"/>
      <c r="G54" s="34">
        <v>-1430057.15</v>
      </c>
      <c r="H54" s="17"/>
      <c r="I54" s="16"/>
      <c r="J54" s="16"/>
      <c r="L54" s="37"/>
    </row>
    <row r="55" spans="3:12">
      <c r="C55" s="17"/>
      <c r="D55" s="17"/>
      <c r="E55" s="28">
        <v>41423</v>
      </c>
      <c r="F55" s="17"/>
      <c r="G55" s="34">
        <v>-1238828.57</v>
      </c>
      <c r="H55" s="17"/>
      <c r="I55" s="16"/>
      <c r="J55" s="16"/>
      <c r="L55" s="37"/>
    </row>
    <row r="56" spans="3:12">
      <c r="C56" s="17"/>
      <c r="D56" s="17"/>
      <c r="E56" s="28">
        <v>41446</v>
      </c>
      <c r="F56" s="17"/>
      <c r="G56" s="34">
        <v>-3785771.43</v>
      </c>
      <c r="H56" s="17"/>
      <c r="I56" s="16"/>
      <c r="J56" s="16"/>
      <c r="L56" s="37"/>
    </row>
    <row r="57" spans="3:12">
      <c r="C57" s="17"/>
      <c r="D57" s="17"/>
      <c r="E57" s="28">
        <v>41481</v>
      </c>
      <c r="F57" s="17"/>
      <c r="G57" s="34">
        <v>-1183400</v>
      </c>
      <c r="H57" s="17"/>
      <c r="I57" s="16"/>
      <c r="J57" s="16"/>
      <c r="L57" s="37"/>
    </row>
    <row r="58" spans="3:12">
      <c r="C58" s="17"/>
      <c r="D58" s="17"/>
      <c r="E58" s="28">
        <v>41501</v>
      </c>
      <c r="F58" s="17"/>
      <c r="G58" s="34">
        <v>-1114114.29</v>
      </c>
      <c r="H58" s="17"/>
      <c r="I58" s="16"/>
      <c r="J58" s="16"/>
      <c r="L58" s="37"/>
    </row>
    <row r="59" spans="3:12">
      <c r="C59" s="17"/>
      <c r="D59" s="17"/>
      <c r="E59" s="28">
        <v>41514</v>
      </c>
      <c r="F59" s="17"/>
      <c r="G59" s="34">
        <v>-1615742.86</v>
      </c>
      <c r="H59" s="17"/>
      <c r="I59" s="16"/>
      <c r="J59" s="16"/>
      <c r="L59" s="37"/>
    </row>
    <row r="60" spans="3:12">
      <c r="C60" s="17"/>
      <c r="D60" s="17"/>
      <c r="E60" s="28">
        <v>41551</v>
      </c>
      <c r="F60" s="17"/>
      <c r="G60" s="34">
        <v>-964457.14</v>
      </c>
      <c r="H60" s="17"/>
      <c r="I60" s="16"/>
      <c r="J60" s="16"/>
      <c r="L60" s="37"/>
    </row>
    <row r="61" spans="3:12">
      <c r="C61" s="17"/>
      <c r="D61" s="17"/>
      <c r="E61" s="28">
        <v>41577</v>
      </c>
      <c r="F61" s="17"/>
      <c r="G61" s="34">
        <v>-1543685.71</v>
      </c>
      <c r="H61" s="17"/>
      <c r="L61" s="37"/>
    </row>
    <row r="62" spans="3:12">
      <c r="C62" s="17"/>
      <c r="D62" s="17"/>
      <c r="E62" s="28">
        <v>41599</v>
      </c>
      <c r="F62" s="17"/>
      <c r="G62" s="34">
        <v>-975542.86</v>
      </c>
      <c r="H62" s="17"/>
      <c r="L62" s="37"/>
    </row>
    <row r="63" spans="3:12">
      <c r="C63" s="17"/>
      <c r="D63" s="17"/>
      <c r="E63" s="28">
        <v>41624</v>
      </c>
      <c r="F63" s="17"/>
      <c r="G63" s="34">
        <v>-1951085.7</v>
      </c>
      <c r="H63" s="17"/>
      <c r="L63" s="37"/>
    </row>
    <row r="64" spans="3:12">
      <c r="C64" s="17" t="s">
        <v>8</v>
      </c>
      <c r="D64" s="17"/>
      <c r="E64" s="28">
        <v>41418</v>
      </c>
      <c r="F64" s="17"/>
      <c r="G64" s="34">
        <v>442046.13</v>
      </c>
      <c r="H64" s="17"/>
      <c r="L64" s="37"/>
    </row>
    <row r="65" spans="3:12">
      <c r="C65" s="17"/>
      <c r="D65" s="17"/>
      <c r="E65" s="28">
        <v>41618</v>
      </c>
      <c r="F65" s="17"/>
      <c r="G65" s="34">
        <v>1627880.21</v>
      </c>
      <c r="H65" s="17"/>
      <c r="L65" s="37"/>
    </row>
    <row r="66" spans="3:12">
      <c r="C66" s="17" t="s">
        <v>9</v>
      </c>
      <c r="D66" s="17"/>
      <c r="E66" s="28">
        <v>41646</v>
      </c>
      <c r="F66" s="17"/>
      <c r="G66" s="34">
        <v>-1377399.99</v>
      </c>
      <c r="H66" s="17"/>
      <c r="I66" s="16"/>
      <c r="J66" s="17"/>
      <c r="L66" s="37"/>
    </row>
    <row r="67" spans="3:12">
      <c r="C67" s="17"/>
      <c r="D67" s="17"/>
      <c r="E67" s="28">
        <v>41670</v>
      </c>
      <c r="F67" s="17"/>
      <c r="G67" s="34">
        <v>-1022657.14</v>
      </c>
      <c r="H67" s="17"/>
      <c r="I67" s="16"/>
      <c r="J67" s="17"/>
      <c r="L67" s="37"/>
    </row>
    <row r="68" spans="3:12">
      <c r="C68" s="17"/>
      <c r="D68" s="17"/>
      <c r="E68" s="28">
        <v>41697</v>
      </c>
      <c r="F68" s="17"/>
      <c r="G68" s="34">
        <v>-1820828.36</v>
      </c>
      <c r="H68" s="17"/>
      <c r="I68" s="16"/>
      <c r="J68" s="17"/>
      <c r="L68" s="37"/>
    </row>
    <row r="69" spans="3:12">
      <c r="C69" s="17"/>
      <c r="D69" s="17"/>
      <c r="E69" s="28">
        <v>41704</v>
      </c>
      <c r="F69" s="17"/>
      <c r="G69" s="34">
        <v>-1319200</v>
      </c>
      <c r="H69" s="17"/>
      <c r="I69" s="16"/>
      <c r="J69" s="17"/>
      <c r="L69" s="37"/>
    </row>
    <row r="70" spans="3:12">
      <c r="C70" s="17"/>
      <c r="D70" s="17"/>
      <c r="E70" s="28">
        <v>41718</v>
      </c>
      <c r="F70" s="17"/>
      <c r="G70" s="34">
        <v>-1152914.29</v>
      </c>
      <c r="H70" s="17"/>
      <c r="I70" s="16"/>
      <c r="J70" s="17"/>
      <c r="L70" s="37"/>
    </row>
    <row r="71" spans="3:12">
      <c r="C71" s="17"/>
      <c r="D71" s="17"/>
      <c r="E71" s="28">
        <v>41750</v>
      </c>
      <c r="F71" s="17"/>
      <c r="G71" s="34">
        <v>-1831914.29</v>
      </c>
      <c r="H71" s="17"/>
      <c r="I71" s="16"/>
      <c r="J71" s="17"/>
      <c r="L71" s="37"/>
    </row>
    <row r="72" spans="3:12">
      <c r="C72" s="17"/>
      <c r="D72" s="17"/>
      <c r="E72" s="28">
        <v>41779</v>
      </c>
      <c r="F72" s="17"/>
      <c r="G72" s="34">
        <v>-1829142.86</v>
      </c>
      <c r="H72" s="17"/>
      <c r="L72" s="37"/>
    </row>
    <row r="73" spans="3:12">
      <c r="C73" s="17"/>
      <c r="D73" s="17"/>
      <c r="E73" s="28">
        <v>41814</v>
      </c>
      <c r="F73" s="17"/>
      <c r="G73" s="34">
        <v>-1349685.72</v>
      </c>
      <c r="H73" s="17"/>
      <c r="L73" s="37"/>
    </row>
    <row r="74" spans="3:12">
      <c r="C74" s="17"/>
      <c r="D74" s="17"/>
      <c r="E74" s="28">
        <v>41877</v>
      </c>
      <c r="F74" s="17"/>
      <c r="G74" s="34">
        <v>-2125685.7200000002</v>
      </c>
      <c r="H74" s="17"/>
      <c r="L74" s="37"/>
    </row>
    <row r="75" spans="3:12">
      <c r="C75" s="17"/>
      <c r="D75" s="17"/>
      <c r="E75" s="28">
        <v>41913</v>
      </c>
      <c r="F75" s="17"/>
      <c r="G75" s="34">
        <v>-881314.29</v>
      </c>
      <c r="H75" s="17"/>
      <c r="L75" s="37"/>
    </row>
    <row r="76" spans="3:12">
      <c r="C76" s="17"/>
      <c r="D76" s="17"/>
      <c r="E76" s="28">
        <v>41943</v>
      </c>
      <c r="F76" s="17"/>
      <c r="G76" s="34">
        <v>-1125200</v>
      </c>
      <c r="H76" s="17"/>
      <c r="L76" s="37"/>
    </row>
    <row r="77" spans="3:12">
      <c r="C77" s="17"/>
      <c r="D77" s="17"/>
      <c r="E77" s="28">
        <v>41990</v>
      </c>
      <c r="F77" s="17"/>
      <c r="G77" s="34">
        <v>-1177857.1499999999</v>
      </c>
      <c r="H77" s="17"/>
      <c r="L77" s="37"/>
    </row>
    <row r="78" spans="3:12">
      <c r="C78" s="17" t="s">
        <v>10</v>
      </c>
      <c r="D78" s="17"/>
      <c r="E78" s="28">
        <v>41816</v>
      </c>
      <c r="F78" s="17"/>
      <c r="G78" s="34">
        <v>2837711.53</v>
      </c>
      <c r="H78" s="17"/>
      <c r="L78" s="37"/>
    </row>
    <row r="79" spans="3:12">
      <c r="C79" s="17"/>
      <c r="D79" s="17"/>
      <c r="E79" s="28">
        <v>41857</v>
      </c>
      <c r="F79" s="17"/>
      <c r="G79" s="34">
        <v>10225721.359999999</v>
      </c>
      <c r="H79" s="17"/>
      <c r="L79" s="37"/>
    </row>
    <row r="80" spans="3:12">
      <c r="C80" s="17" t="s">
        <v>11</v>
      </c>
      <c r="D80" s="17"/>
      <c r="E80" s="28">
        <v>42011</v>
      </c>
      <c r="F80" s="17"/>
      <c r="G80" s="34">
        <v>-925657.15</v>
      </c>
      <c r="H80" s="17"/>
      <c r="L80" s="37"/>
    </row>
    <row r="81" spans="3:12">
      <c r="C81" s="17"/>
      <c r="D81" s="17"/>
      <c r="E81" s="28">
        <v>42027</v>
      </c>
      <c r="F81" s="17"/>
      <c r="G81" s="34">
        <v>-1194485.71</v>
      </c>
      <c r="H81" s="17"/>
      <c r="L81" s="37"/>
    </row>
    <row r="82" spans="3:12">
      <c r="C82" s="17"/>
      <c r="D82" s="17"/>
      <c r="E82" s="28">
        <v>42075</v>
      </c>
      <c r="F82" s="17"/>
      <c r="G82" s="34">
        <v>-1197257.1399999999</v>
      </c>
      <c r="H82" s="17"/>
      <c r="L82" s="37"/>
    </row>
    <row r="83" spans="3:12">
      <c r="C83" s="17"/>
      <c r="D83" s="17"/>
      <c r="E83" s="28">
        <v>42138</v>
      </c>
      <c r="F83" s="17"/>
      <c r="G83" s="34">
        <v>-1773714.29</v>
      </c>
      <c r="H83" s="17"/>
      <c r="L83" s="37"/>
    </row>
    <row r="84" spans="3:12">
      <c r="C84" s="17"/>
      <c r="D84" s="17"/>
      <c r="E84" s="28">
        <v>42265</v>
      </c>
      <c r="F84" s="17"/>
      <c r="G84" s="34">
        <v>-800942.85</v>
      </c>
      <c r="H84" s="17"/>
      <c r="L84" s="37"/>
    </row>
    <row r="85" spans="3:12">
      <c r="C85" s="17"/>
      <c r="D85" s="17"/>
      <c r="E85" s="28">
        <v>42297</v>
      </c>
      <c r="F85" s="17"/>
      <c r="G85" s="34">
        <v>-1399571.42</v>
      </c>
      <c r="H85" s="17"/>
      <c r="L85" s="37"/>
    </row>
    <row r="86" spans="3:12">
      <c r="C86" s="17"/>
      <c r="D86" s="17"/>
      <c r="E86" s="28">
        <v>42352</v>
      </c>
      <c r="F86" s="17"/>
      <c r="G86" s="34">
        <v>-1255457.1299999999</v>
      </c>
      <c r="H86" s="17"/>
      <c r="L86" s="37"/>
    </row>
    <row r="87" spans="3:12">
      <c r="C87" s="17" t="s">
        <v>12</v>
      </c>
      <c r="D87" s="17"/>
      <c r="E87" s="28">
        <v>42055</v>
      </c>
      <c r="F87" s="17"/>
      <c r="G87" s="34">
        <v>341725.53</v>
      </c>
      <c r="H87" s="17"/>
      <c r="I87" s="16"/>
      <c r="J87" s="17"/>
      <c r="L87" s="37"/>
    </row>
    <row r="88" spans="3:12">
      <c r="C88" s="17"/>
      <c r="D88" s="17"/>
      <c r="E88" s="28">
        <v>42150</v>
      </c>
      <c r="F88" s="17"/>
      <c r="G88" s="34">
        <v>2090988.95</v>
      </c>
      <c r="H88" s="17"/>
      <c r="I88" s="16"/>
      <c r="J88" s="17"/>
      <c r="L88" s="37"/>
    </row>
    <row r="89" spans="3:12">
      <c r="C89" s="17"/>
      <c r="D89" s="17"/>
      <c r="E89" s="28">
        <v>42251</v>
      </c>
      <c r="F89" s="17"/>
      <c r="G89" s="34">
        <v>2860882.35</v>
      </c>
      <c r="H89" s="17"/>
      <c r="I89" s="16"/>
      <c r="J89" s="17"/>
      <c r="L89" s="37"/>
    </row>
    <row r="90" spans="3:12">
      <c r="C90" s="17" t="s">
        <v>13</v>
      </c>
      <c r="D90" s="17"/>
      <c r="E90" s="28">
        <v>42424</v>
      </c>
      <c r="F90" s="17"/>
      <c r="G90" s="34">
        <v>-1258228.58</v>
      </c>
      <c r="H90" s="17"/>
      <c r="I90" s="16"/>
      <c r="J90" s="17"/>
      <c r="L90" s="37"/>
    </row>
    <row r="91" spans="3:12">
      <c r="C91" s="17"/>
      <c r="D91" s="17"/>
      <c r="E91" s="28">
        <v>42452</v>
      </c>
      <c r="F91" s="17"/>
      <c r="G91" s="34">
        <v>-939514.29</v>
      </c>
      <c r="H91" s="17"/>
      <c r="L91" s="37"/>
    </row>
    <row r="92" spans="3:12">
      <c r="C92" s="17"/>
      <c r="D92" s="17"/>
      <c r="E92" s="28">
        <v>42485</v>
      </c>
      <c r="F92" s="17"/>
      <c r="G92" s="34">
        <v>-1166771.4099999999</v>
      </c>
      <c r="H92" s="17"/>
      <c r="L92" s="37"/>
    </row>
    <row r="93" spans="3:12">
      <c r="C93" s="17"/>
      <c r="D93" s="17"/>
      <c r="E93" s="28">
        <v>42558</v>
      </c>
      <c r="F93" s="17"/>
      <c r="G93" s="34">
        <v>-726114.28</v>
      </c>
      <c r="H93" s="17"/>
      <c r="L93" s="37"/>
    </row>
    <row r="94" spans="3:12">
      <c r="C94" s="17"/>
      <c r="D94" s="17"/>
      <c r="E94" s="28">
        <v>42578</v>
      </c>
      <c r="F94" s="17"/>
      <c r="G94" s="34">
        <v>-720571.43</v>
      </c>
      <c r="H94" s="17"/>
      <c r="L94" s="37"/>
    </row>
    <row r="95" spans="3:12">
      <c r="C95" s="17"/>
      <c r="D95" s="17"/>
      <c r="E95" s="28">
        <v>42636</v>
      </c>
      <c r="F95" s="17"/>
      <c r="G95" s="34">
        <v>-945057.13</v>
      </c>
      <c r="H95" s="17"/>
      <c r="L95" s="37"/>
    </row>
    <row r="96" spans="3:12">
      <c r="C96" s="17"/>
      <c r="D96" s="17"/>
      <c r="E96" s="28">
        <v>42664</v>
      </c>
      <c r="F96" s="17"/>
      <c r="G96" s="34">
        <v>-909028.57</v>
      </c>
      <c r="H96" s="17"/>
      <c r="L96" s="37"/>
    </row>
    <row r="97" spans="3:12">
      <c r="C97" s="17"/>
      <c r="D97" s="17"/>
      <c r="E97" s="28">
        <v>42697</v>
      </c>
      <c r="F97" s="17"/>
      <c r="G97" s="34">
        <v>-554285.71</v>
      </c>
      <c r="H97" s="17"/>
      <c r="L97" s="37"/>
    </row>
    <row r="98" spans="3:12">
      <c r="C98" s="17"/>
      <c r="D98" s="17"/>
      <c r="E98" s="28">
        <v>42727</v>
      </c>
      <c r="F98" s="17"/>
      <c r="G98" s="34">
        <v>-1601885.71</v>
      </c>
      <c r="H98" s="17"/>
      <c r="L98" s="37"/>
    </row>
    <row r="99" spans="3:12">
      <c r="C99" s="17" t="s">
        <v>14</v>
      </c>
      <c r="D99" s="17"/>
      <c r="E99" s="28">
        <v>42404</v>
      </c>
      <c r="F99" s="17"/>
      <c r="G99" s="34">
        <v>1521700.22</v>
      </c>
      <c r="H99" s="17"/>
      <c r="I99" s="16"/>
      <c r="J99" s="17"/>
      <c r="L99" s="37"/>
    </row>
    <row r="100" spans="3:12">
      <c r="C100" s="17"/>
      <c r="D100" s="17"/>
      <c r="E100" s="28">
        <v>42451</v>
      </c>
      <c r="F100" s="17"/>
      <c r="G100" s="34">
        <v>564835.99</v>
      </c>
      <c r="H100" s="17"/>
      <c r="I100" s="16"/>
      <c r="J100" s="17"/>
      <c r="L100" s="37"/>
    </row>
    <row r="101" spans="3:12">
      <c r="C101" s="17"/>
      <c r="D101" s="17"/>
      <c r="E101" s="28">
        <v>42549</v>
      </c>
      <c r="F101" s="17"/>
      <c r="G101" s="34">
        <v>308748.75</v>
      </c>
      <c r="H101" s="17"/>
      <c r="I101" s="16"/>
      <c r="J101" s="17"/>
      <c r="L101" s="37"/>
    </row>
    <row r="102" spans="3:12">
      <c r="C102" s="17"/>
      <c r="D102" s="17"/>
      <c r="E102" s="28">
        <v>42584</v>
      </c>
      <c r="F102" s="17"/>
      <c r="G102" s="34">
        <v>7848786.04</v>
      </c>
      <c r="H102" s="17"/>
      <c r="I102" s="16"/>
      <c r="J102" s="17"/>
      <c r="L102" s="37"/>
    </row>
    <row r="103" spans="3:12">
      <c r="C103" s="17"/>
      <c r="D103" s="17"/>
      <c r="E103" s="28">
        <v>42632</v>
      </c>
      <c r="F103" s="17"/>
      <c r="G103" s="34">
        <v>504739.76</v>
      </c>
      <c r="H103" s="17"/>
      <c r="I103" s="16"/>
      <c r="J103" s="17"/>
      <c r="L103" s="37"/>
    </row>
    <row r="104" spans="3:12">
      <c r="C104" s="17"/>
      <c r="D104" s="17"/>
      <c r="E104" s="28">
        <v>42656</v>
      </c>
      <c r="F104" s="17"/>
      <c r="G104" s="34">
        <v>2001296.05</v>
      </c>
      <c r="H104" s="17"/>
      <c r="I104" s="16"/>
      <c r="J104" s="17"/>
      <c r="L104" s="37"/>
    </row>
    <row r="105" spans="3:12" ht="15.5">
      <c r="C105" s="17"/>
      <c r="D105" s="17"/>
      <c r="E105" s="28">
        <v>42723</v>
      </c>
      <c r="F105" s="17"/>
      <c r="G105" s="34">
        <v>1913313.91</v>
      </c>
      <c r="H105" s="17"/>
      <c r="I105" s="16"/>
      <c r="J105" s="17"/>
      <c r="L105" s="12"/>
    </row>
    <row r="106" spans="3:12">
      <c r="C106" s="17" t="s">
        <v>15</v>
      </c>
      <c r="D106" s="17"/>
      <c r="E106" s="28">
        <v>42795</v>
      </c>
      <c r="F106" s="17"/>
      <c r="G106" s="34">
        <v>-751057.15</v>
      </c>
      <c r="H106" s="17"/>
      <c r="I106" s="16"/>
      <c r="J106" s="17"/>
      <c r="L106" s="59"/>
    </row>
    <row r="107" spans="3:12">
      <c r="C107" s="17"/>
      <c r="D107" s="17"/>
      <c r="E107" s="28">
        <v>42822</v>
      </c>
      <c r="F107" s="17"/>
      <c r="G107" s="34">
        <v>-415714.29</v>
      </c>
      <c r="H107" s="17"/>
      <c r="I107" s="16"/>
      <c r="J107" s="17"/>
      <c r="L107" s="59"/>
    </row>
    <row r="108" spans="3:12">
      <c r="C108" s="17"/>
      <c r="D108" s="17"/>
      <c r="E108" s="28">
        <v>42843</v>
      </c>
      <c r="F108" s="17"/>
      <c r="G108" s="34">
        <v>-737200</v>
      </c>
      <c r="H108" s="17"/>
      <c r="I108" s="16"/>
      <c r="J108" s="17"/>
      <c r="L108" s="59"/>
    </row>
    <row r="109" spans="3:12">
      <c r="C109" s="17"/>
      <c r="D109" s="17"/>
      <c r="E109" s="28">
        <v>42909</v>
      </c>
      <c r="F109" s="17"/>
      <c r="G109" s="34">
        <v>-1078085.73</v>
      </c>
      <c r="H109" s="17"/>
      <c r="I109" s="16"/>
      <c r="J109" s="17"/>
      <c r="L109" s="59"/>
    </row>
    <row r="110" spans="3:12">
      <c r="C110" s="17"/>
      <c r="D110" s="17"/>
      <c r="E110" s="28">
        <v>43054</v>
      </c>
      <c r="F110" s="17"/>
      <c r="G110" s="34">
        <v>-726114.28</v>
      </c>
      <c r="H110" s="17"/>
      <c r="I110" s="16"/>
      <c r="J110" s="17"/>
      <c r="L110" s="37"/>
    </row>
    <row r="111" spans="3:12">
      <c r="C111" s="17"/>
      <c r="D111" s="17"/>
      <c r="E111" s="28">
        <v>43090</v>
      </c>
      <c r="F111" s="17"/>
      <c r="G111" s="34">
        <v>-906257.14</v>
      </c>
      <c r="H111" s="17"/>
      <c r="I111" s="16"/>
      <c r="J111" s="17"/>
      <c r="L111" s="37"/>
    </row>
    <row r="112" spans="3:12">
      <c r="C112" s="17" t="s">
        <v>16</v>
      </c>
      <c r="D112" s="17"/>
      <c r="E112" s="28">
        <v>42823</v>
      </c>
      <c r="F112" s="17"/>
      <c r="G112" s="34">
        <v>2905216.14</v>
      </c>
      <c r="H112" s="17"/>
      <c r="I112" s="16"/>
      <c r="J112" s="17"/>
      <c r="L112" s="37"/>
    </row>
    <row r="113" spans="3:12">
      <c r="C113" s="17"/>
      <c r="D113" s="17"/>
      <c r="E113" s="28">
        <v>42859</v>
      </c>
      <c r="F113" s="17"/>
      <c r="G113" s="34">
        <v>448540.14</v>
      </c>
      <c r="H113" s="17"/>
      <c r="L113" s="37"/>
    </row>
    <row r="114" spans="3:12">
      <c r="C114" s="17"/>
      <c r="D114" s="17"/>
      <c r="E114" s="28">
        <v>43020</v>
      </c>
      <c r="F114" s="17"/>
      <c r="G114" s="34">
        <v>1124900.55</v>
      </c>
      <c r="H114" s="17"/>
      <c r="I114" s="16"/>
      <c r="J114" s="17"/>
      <c r="L114" s="37"/>
    </row>
    <row r="115" spans="3:12">
      <c r="C115" s="17" t="s">
        <v>17</v>
      </c>
      <c r="D115" s="17"/>
      <c r="E115" s="28">
        <v>43364</v>
      </c>
      <c r="F115" s="17"/>
      <c r="G115" s="34">
        <v>-2272571.4300000002</v>
      </c>
      <c r="H115" s="17"/>
      <c r="I115" s="16"/>
      <c r="J115" s="17"/>
      <c r="L115" s="37"/>
    </row>
    <row r="116" spans="3:12">
      <c r="C116" s="17"/>
      <c r="D116" s="17"/>
      <c r="E116" s="28">
        <v>43454</v>
      </c>
      <c r="F116" s="17"/>
      <c r="G116" s="34">
        <v>-2308600</v>
      </c>
      <c r="H116" s="17"/>
      <c r="I116" s="16"/>
      <c r="J116" s="17"/>
      <c r="L116" s="37"/>
    </row>
    <row r="117" spans="3:12">
      <c r="C117" s="17" t="s">
        <v>18</v>
      </c>
      <c r="D117" s="17"/>
      <c r="E117" s="28">
        <v>43152</v>
      </c>
      <c r="F117" s="17"/>
      <c r="G117" s="34">
        <v>6769084.6399999997</v>
      </c>
      <c r="H117" s="17"/>
      <c r="I117" s="16"/>
      <c r="J117" s="17"/>
      <c r="L117" s="37"/>
    </row>
    <row r="118" spans="3:12">
      <c r="C118" s="17"/>
      <c r="D118" s="17"/>
      <c r="E118" s="28">
        <v>43186</v>
      </c>
      <c r="F118" s="17"/>
      <c r="G118" s="34">
        <v>4103177.79</v>
      </c>
      <c r="H118" s="17"/>
      <c r="I118" s="16"/>
      <c r="J118" s="17"/>
      <c r="L118" s="37"/>
    </row>
    <row r="119" spans="3:12">
      <c r="C119" s="17"/>
      <c r="D119" s="17"/>
      <c r="E119" s="28">
        <v>43262</v>
      </c>
      <c r="F119" s="17"/>
      <c r="G119" s="34">
        <v>592413.93000000005</v>
      </c>
      <c r="H119" s="17"/>
      <c r="I119" s="16"/>
      <c r="J119" s="17"/>
      <c r="L119" s="37"/>
    </row>
    <row r="120" spans="3:12">
      <c r="C120" s="17"/>
      <c r="D120" s="17"/>
      <c r="E120" s="28">
        <v>43404</v>
      </c>
      <c r="F120" s="17"/>
      <c r="G120" s="34">
        <v>557239.71</v>
      </c>
      <c r="H120" s="17"/>
      <c r="I120" s="16"/>
      <c r="J120" s="17"/>
      <c r="L120" s="37"/>
    </row>
    <row r="121" spans="3:12">
      <c r="C121" s="17" t="s">
        <v>19</v>
      </c>
      <c r="D121" s="17"/>
      <c r="E121" s="28">
        <v>43649</v>
      </c>
      <c r="F121" s="17"/>
      <c r="G121" s="34">
        <v>-407400</v>
      </c>
      <c r="H121" s="17"/>
      <c r="I121" s="16"/>
      <c r="J121" s="17"/>
      <c r="L121" s="37"/>
    </row>
    <row r="122" spans="3:12">
      <c r="C122" s="17" t="s">
        <v>20</v>
      </c>
      <c r="D122" s="17"/>
      <c r="E122" s="28">
        <v>43593</v>
      </c>
      <c r="F122" s="17"/>
      <c r="G122" s="34">
        <v>581602.77</v>
      </c>
      <c r="H122" s="17"/>
      <c r="I122" s="16"/>
      <c r="J122" s="17"/>
      <c r="L122" s="37"/>
    </row>
    <row r="123" spans="3:12">
      <c r="C123" s="17"/>
      <c r="D123" s="17"/>
      <c r="E123" s="28">
        <v>43655</v>
      </c>
      <c r="F123" s="17"/>
      <c r="G123" s="34">
        <v>963093.6</v>
      </c>
      <c r="H123" s="17"/>
      <c r="I123" s="16"/>
      <c r="J123" s="17"/>
      <c r="L123" s="37"/>
    </row>
    <row r="124" spans="3:12">
      <c r="C124" s="17" t="s">
        <v>21</v>
      </c>
      <c r="D124" s="17"/>
      <c r="E124" s="28">
        <v>43928</v>
      </c>
      <c r="F124" s="17"/>
      <c r="G124" s="34">
        <v>-351971.43</v>
      </c>
      <c r="H124" s="17"/>
      <c r="I124" s="16"/>
      <c r="J124" s="17"/>
      <c r="L124" s="37"/>
    </row>
    <row r="125" spans="3:12" ht="15.5">
      <c r="C125" s="17"/>
      <c r="D125" s="17"/>
      <c r="E125" s="28">
        <v>44070</v>
      </c>
      <c r="F125" s="17"/>
      <c r="G125" s="34">
        <v>-3572883.18</v>
      </c>
      <c r="H125" s="17"/>
      <c r="I125" s="16"/>
      <c r="J125" s="17"/>
      <c r="L125" s="12"/>
    </row>
    <row r="126" spans="3:12" ht="15.5">
      <c r="C126" s="17" t="s">
        <v>22</v>
      </c>
      <c r="D126" s="17"/>
      <c r="E126" s="28">
        <v>44302</v>
      </c>
      <c r="F126" s="17"/>
      <c r="G126" s="34">
        <v>1800716.96</v>
      </c>
      <c r="H126" s="17"/>
      <c r="I126" s="16"/>
      <c r="J126" s="17"/>
      <c r="L126" s="12"/>
    </row>
    <row r="127" spans="3:12" ht="15.5">
      <c r="C127" s="17" t="s">
        <v>23</v>
      </c>
      <c r="D127" s="17"/>
      <c r="E127" s="28">
        <v>44673</v>
      </c>
      <c r="F127" s="17"/>
      <c r="G127" s="34">
        <v>3732374.44</v>
      </c>
      <c r="H127" s="17"/>
      <c r="I127" s="16"/>
      <c r="J127" s="17"/>
      <c r="L127" s="12"/>
    </row>
    <row r="128" spans="3:12" ht="15.5">
      <c r="C128" s="17"/>
      <c r="D128" s="17"/>
      <c r="E128" s="28">
        <v>44727</v>
      </c>
      <c r="F128" s="17"/>
      <c r="G128" s="34">
        <v>565745.48</v>
      </c>
      <c r="H128" s="17"/>
      <c r="I128" s="16"/>
      <c r="J128" s="17"/>
      <c r="L128" s="12"/>
    </row>
    <row r="129" spans="3:12" ht="15.5">
      <c r="C129" s="17"/>
      <c r="D129" s="17"/>
      <c r="E129" s="28">
        <v>44796</v>
      </c>
      <c r="F129" s="17"/>
      <c r="G129" s="34">
        <v>505071.68</v>
      </c>
      <c r="H129" s="17"/>
      <c r="I129" s="16"/>
      <c r="J129" s="17"/>
      <c r="L129" s="12"/>
    </row>
    <row r="130" spans="3:12" ht="15.5">
      <c r="C130" s="17"/>
      <c r="D130" s="17"/>
      <c r="E130" s="28">
        <v>44868</v>
      </c>
      <c r="F130" s="17"/>
      <c r="G130" s="34">
        <v>1894506.75</v>
      </c>
      <c r="H130" s="17"/>
      <c r="I130" s="16"/>
      <c r="J130" s="17"/>
      <c r="L130" s="12"/>
    </row>
    <row r="131" spans="3:12" ht="15.5">
      <c r="C131" s="17"/>
      <c r="D131" s="17"/>
      <c r="E131" s="28">
        <v>44911</v>
      </c>
      <c r="F131" s="17"/>
      <c r="G131" s="34">
        <v>1357411.81</v>
      </c>
      <c r="H131" s="17"/>
      <c r="I131" s="16"/>
      <c r="J131" s="17"/>
      <c r="L131" s="12"/>
    </row>
    <row r="132" spans="3:12" ht="15.5">
      <c r="C132" s="17" t="s">
        <v>24</v>
      </c>
      <c r="D132" s="17"/>
      <c r="E132" s="28">
        <v>44973</v>
      </c>
      <c r="F132" s="17"/>
      <c r="G132" s="34">
        <v>1638777.01</v>
      </c>
      <c r="H132" s="17"/>
      <c r="I132" s="16"/>
      <c r="J132" s="17"/>
      <c r="L132" s="12"/>
    </row>
    <row r="133" spans="3:12" ht="15.5">
      <c r="C133" s="17"/>
      <c r="D133" s="17"/>
      <c r="E133" s="28">
        <v>45079</v>
      </c>
      <c r="F133" s="17"/>
      <c r="G133" s="34">
        <v>1040518.99</v>
      </c>
      <c r="H133" s="17"/>
      <c r="I133" s="16"/>
      <c r="J133" s="17"/>
      <c r="L133" s="12"/>
    </row>
    <row r="134" spans="3:12" ht="15.5">
      <c r="C134" s="17"/>
      <c r="D134" s="17"/>
      <c r="E134" s="28">
        <v>45182</v>
      </c>
      <c r="F134" s="17"/>
      <c r="G134" s="34">
        <v>549683.28</v>
      </c>
      <c r="H134" s="17"/>
      <c r="I134" s="16"/>
      <c r="J134" s="17"/>
      <c r="L134" s="12"/>
    </row>
    <row r="135" spans="3:12" ht="15.5">
      <c r="C135" s="17"/>
      <c r="D135" s="17"/>
      <c r="E135" s="28">
        <v>45261</v>
      </c>
      <c r="F135" s="17"/>
      <c r="G135" s="34">
        <v>671853.19</v>
      </c>
      <c r="H135" s="17"/>
      <c r="I135" s="16"/>
      <c r="J135" s="17"/>
      <c r="L135" s="12"/>
    </row>
    <row r="136" spans="3:12" ht="4.5" customHeight="1">
      <c r="C136" s="17"/>
      <c r="D136" s="17"/>
      <c r="E136" s="28"/>
      <c r="F136" s="17"/>
      <c r="G136" s="34"/>
      <c r="H136" s="17"/>
      <c r="I136" s="16"/>
      <c r="L136" s="37"/>
    </row>
    <row r="137" spans="3:12">
      <c r="C137" s="17" t="s">
        <v>25</v>
      </c>
      <c r="D137" s="17"/>
      <c r="E137" s="28">
        <f>+E8</f>
        <v>45473</v>
      </c>
      <c r="F137" s="17"/>
      <c r="G137" s="35">
        <f>L137*C22</f>
        <v>38380391.270129643</v>
      </c>
      <c r="H137" s="17"/>
      <c r="I137" s="34">
        <f>+SUMIF($G$23:$G$136,"&lt;0",$G$23:$G$136)</f>
        <v>-113907881.74000004</v>
      </c>
      <c r="J137" s="17" t="s">
        <v>26</v>
      </c>
      <c r="L137" s="59">
        <v>253118680</v>
      </c>
    </row>
    <row r="138" spans="3:12">
      <c r="G138" s="16"/>
      <c r="H138" s="17"/>
      <c r="I138" s="34">
        <f>+SUMIF($G$23:$G$136,"&gt;0",$G$23:$G$136)</f>
        <v>78334570.109999999</v>
      </c>
      <c r="J138" s="17" t="s">
        <v>27</v>
      </c>
    </row>
    <row r="139" spans="3:12">
      <c r="C139" t="s">
        <v>28</v>
      </c>
      <c r="G139" s="38">
        <f>XIRR(G23:G137,E23:E137,0.1)</f>
        <v>4.6625226736068722E-3</v>
      </c>
      <c r="H139" s="17"/>
      <c r="I139" s="17"/>
      <c r="J139" s="17"/>
    </row>
    <row r="142" spans="3:12">
      <c r="G142" s="39"/>
    </row>
    <row r="143" spans="3:12">
      <c r="E143" s="39"/>
      <c r="F143" s="40"/>
      <c r="G143" s="39"/>
    </row>
    <row r="144" spans="3:12">
      <c r="E144" s="39"/>
      <c r="F144" s="40"/>
      <c r="G144" s="39"/>
    </row>
    <row r="145" spans="3:7">
      <c r="C145" s="40"/>
      <c r="D145" s="40"/>
      <c r="E145" s="2"/>
      <c r="F145" s="2"/>
      <c r="G145" s="2"/>
    </row>
    <row r="146" spans="3:7">
      <c r="C146" s="40"/>
      <c r="D146" s="40"/>
      <c r="E146" s="39"/>
      <c r="F146" s="39"/>
      <c r="G146" s="39"/>
    </row>
    <row r="147" spans="3:7">
      <c r="C147" s="40"/>
      <c r="D147" s="40"/>
      <c r="E147" s="40"/>
      <c r="F147" s="40"/>
      <c r="G147" s="40"/>
    </row>
    <row r="148" spans="3:7">
      <c r="C148" s="40"/>
      <c r="D148" s="40"/>
      <c r="E148" s="60"/>
      <c r="F148" s="41"/>
      <c r="G148" s="42"/>
    </row>
    <row r="149" spans="3:7" s="55" customFormat="1">
      <c r="C149" s="40"/>
      <c r="D149" s="40"/>
      <c r="E149" s="42"/>
      <c r="F149" s="41"/>
      <c r="G149" s="42"/>
    </row>
    <row r="150" spans="3:7" s="55" customFormat="1">
      <c r="C150" s="40"/>
      <c r="D150" s="40"/>
      <c r="E150" s="42"/>
      <c r="F150" s="41"/>
      <c r="G150" s="42"/>
    </row>
    <row r="151" spans="3:7">
      <c r="C151" s="43"/>
      <c r="D151" s="40"/>
      <c r="E151" s="42"/>
      <c r="F151" s="41"/>
      <c r="G151" s="42"/>
    </row>
    <row r="152" spans="3:7">
      <c r="C152" s="43"/>
      <c r="D152" s="40"/>
      <c r="E152" s="42"/>
      <c r="F152" s="41"/>
      <c r="G152" s="42"/>
    </row>
    <row r="153" spans="3:7">
      <c r="C153" s="44"/>
      <c r="D153" s="40"/>
      <c r="E153" s="42"/>
      <c r="F153" s="41"/>
      <c r="G153" s="42"/>
    </row>
    <row r="154" spans="3:7" s="55" customFormat="1">
      <c r="C154" s="40"/>
      <c r="D154" s="40"/>
      <c r="E154" s="42"/>
      <c r="F154" s="41"/>
      <c r="G154" s="42"/>
    </row>
    <row r="155" spans="3:7">
      <c r="C155" s="40"/>
      <c r="D155" s="40"/>
      <c r="E155" s="42"/>
      <c r="F155" s="41"/>
      <c r="G155" s="42"/>
    </row>
    <row r="156" spans="3:7">
      <c r="C156" s="40"/>
      <c r="D156" s="40"/>
      <c r="E156" s="42"/>
      <c r="F156" s="41"/>
      <c r="G156" s="42"/>
    </row>
    <row r="157" spans="3:7">
      <c r="C157" s="40"/>
      <c r="D157" s="40"/>
      <c r="E157" s="42"/>
      <c r="F157" s="41"/>
      <c r="G157" s="42"/>
    </row>
    <row r="158" spans="3:7">
      <c r="C158" s="40"/>
      <c r="D158" s="40"/>
      <c r="E158" s="42"/>
      <c r="F158" s="41"/>
      <c r="G158" s="42"/>
    </row>
    <row r="159" spans="3:7">
      <c r="C159" s="40"/>
      <c r="D159" s="40"/>
      <c r="E159" s="42"/>
      <c r="F159" s="41"/>
      <c r="G159" s="42"/>
    </row>
    <row r="160" spans="3:7" s="55" customFormat="1" ht="5.15" customHeight="1">
      <c r="D160"/>
      <c r="F160"/>
    </row>
    <row r="161" spans="5:5">
      <c r="E161" s="55"/>
    </row>
  </sheetData>
  <mergeCells count="2">
    <mergeCell ref="H8:I8"/>
    <mergeCell ref="E145:G145"/>
  </mergeCells>
  <pageMargins left="0.7" right="0.7" top="0.75" bottom="0.75" header="0.3" footer="0.3"/>
  <pageSetup scale="24" orientation="landscape" r:id="rId1"/>
  <headerFooter>
    <oddHeader>&amp;C&amp;G</oddHeader>
    <oddFooter>&amp;C&amp;G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FC2D-9EBF-4F42-B67B-C90A661663F5}">
  <sheetPr>
    <tabColor rgb="FF92D050"/>
    <pageSetUpPr fitToPage="1"/>
  </sheetPr>
  <dimension ref="B4:M164"/>
  <sheetViews>
    <sheetView showGridLines="0" view="pageLayout" topLeftCell="B118" zoomScaleNormal="100" workbookViewId="0">
      <selection activeCell="L137" sqref="L137"/>
    </sheetView>
  </sheetViews>
  <sheetFormatPr defaultRowHeight="12.5"/>
  <cols>
    <col min="2" max="2" width="4.81640625" customWidth="1"/>
    <col min="3" max="3" width="47" customWidth="1"/>
    <col min="4" max="4" width="1.453125" customWidth="1"/>
    <col min="5" max="5" width="10.54296875" customWidth="1"/>
    <col min="6" max="6" width="1.453125" customWidth="1"/>
    <col min="7" max="7" width="11.1796875" bestFit="1" customWidth="1"/>
    <col min="8" max="8" width="2.453125" customWidth="1"/>
    <col min="9" max="10" width="12.54296875" bestFit="1" customWidth="1"/>
    <col min="11" max="11" width="10" bestFit="1" customWidth="1"/>
    <col min="12" max="12" width="15.453125" customWidth="1"/>
    <col min="13" max="13" width="16.5429687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">
        <f>+VIII!E8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  <c r="H9" s="7"/>
    </row>
    <row r="10" spans="2:9">
      <c r="C10" s="13"/>
      <c r="D10" s="13"/>
      <c r="E10" s="14"/>
      <c r="F10" s="13"/>
      <c r="G10" s="59"/>
      <c r="H10" s="14"/>
      <c r="I10" s="24"/>
    </row>
    <row r="11" spans="2:9">
      <c r="C11" s="13"/>
      <c r="D11" s="13"/>
      <c r="E11" s="14"/>
      <c r="F11" s="13"/>
      <c r="G11" s="14"/>
      <c r="H11" s="14"/>
      <c r="I11" s="24"/>
    </row>
    <row r="12" spans="2:9" ht="15.5">
      <c r="C12" s="18"/>
      <c r="D12" s="18"/>
      <c r="E12" s="19"/>
      <c r="F12" s="18"/>
      <c r="G12" s="19"/>
      <c r="H12" s="19"/>
      <c r="I12" s="24"/>
    </row>
    <row r="13" spans="2:9">
      <c r="C13" s="13"/>
      <c r="D13" s="13"/>
      <c r="E13" s="20"/>
      <c r="F13" s="13"/>
      <c r="G13" s="59"/>
      <c r="H13" s="20"/>
      <c r="I13" s="24"/>
    </row>
    <row r="14" spans="2:9">
      <c r="C14" s="13"/>
      <c r="D14" s="13"/>
      <c r="E14" s="22"/>
      <c r="F14" s="13"/>
      <c r="G14" s="59"/>
      <c r="H14" s="22"/>
      <c r="I14" s="50"/>
    </row>
    <row r="15" spans="2:9">
      <c r="C15" s="13"/>
      <c r="D15" s="13"/>
      <c r="E15" s="14"/>
      <c r="F15" s="13"/>
      <c r="G15" s="14"/>
      <c r="H15" s="14"/>
      <c r="I15" s="24"/>
    </row>
    <row r="16" spans="2:9" ht="15.5">
      <c r="C16" s="7"/>
      <c r="D16" s="7"/>
      <c r="E16" s="19"/>
      <c r="F16" s="7"/>
      <c r="G16" s="19"/>
      <c r="H16" s="19"/>
      <c r="I16" s="24"/>
    </row>
    <row r="17" spans="3:13" ht="15.5">
      <c r="C17" s="18" t="s">
        <v>0</v>
      </c>
      <c r="D17" s="18"/>
      <c r="E17" s="19"/>
      <c r="F17" s="18"/>
      <c r="G17" s="19"/>
      <c r="H17" s="7"/>
      <c r="I17" s="24"/>
    </row>
    <row r="18" spans="3:13" ht="12.75" customHeight="1">
      <c r="C18" s="13" t="s">
        <v>1</v>
      </c>
      <c r="D18" s="13"/>
      <c r="E18" s="21">
        <f>+G139</f>
        <v>5.5457741022109991E-3</v>
      </c>
      <c r="F18" s="13"/>
      <c r="G18" s="20"/>
      <c r="H18" s="21"/>
      <c r="I18" s="24"/>
    </row>
    <row r="19" spans="3:13">
      <c r="C19" s="13" t="s">
        <v>2</v>
      </c>
      <c r="D19" s="13"/>
      <c r="E19" s="25">
        <f>(G137+I138)/-I137</f>
        <v>1.0290692132728749</v>
      </c>
      <c r="F19" s="13"/>
      <c r="G19" s="14"/>
      <c r="H19" s="15"/>
    </row>
    <row r="20" spans="3:13">
      <c r="C20" s="13"/>
      <c r="D20" s="13"/>
      <c r="E20" s="13"/>
      <c r="F20" s="13"/>
      <c r="G20" s="15"/>
      <c r="H20" s="15"/>
    </row>
    <row r="21" spans="3:13" ht="15.5">
      <c r="C21" s="26" t="s">
        <v>29</v>
      </c>
      <c r="D21" s="27"/>
      <c r="E21" s="27"/>
      <c r="F21" s="27"/>
      <c r="I21" s="28"/>
      <c r="J21" s="17"/>
      <c r="L21" s="29"/>
    </row>
    <row r="22" spans="3:13">
      <c r="C22" s="30">
        <v>2.8643258000000001E-2</v>
      </c>
      <c r="D22" s="17"/>
      <c r="E22" s="17"/>
      <c r="F22" s="17"/>
      <c r="G22" s="17"/>
      <c r="H22" s="17"/>
      <c r="I22" s="17"/>
      <c r="J22" s="17"/>
      <c r="K22" s="56"/>
    </row>
    <row r="23" spans="3:13">
      <c r="C23" s="17" t="s">
        <v>4</v>
      </c>
      <c r="D23" s="17"/>
      <c r="E23" s="28">
        <v>40590</v>
      </c>
      <c r="F23" s="17"/>
      <c r="G23" s="32">
        <v>-244125</v>
      </c>
      <c r="H23" s="32"/>
      <c r="I23" s="16"/>
      <c r="J23" s="16"/>
      <c r="M23" s="37"/>
    </row>
    <row r="24" spans="3:13">
      <c r="C24" s="17"/>
      <c r="D24" s="17"/>
      <c r="E24" s="28">
        <v>40661</v>
      </c>
      <c r="F24" s="17"/>
      <c r="G24" s="32">
        <v>-62502.65</v>
      </c>
      <c r="H24" s="32"/>
      <c r="I24" s="16"/>
      <c r="J24" s="16"/>
      <c r="M24" s="37"/>
    </row>
    <row r="25" spans="3:13">
      <c r="C25" s="17"/>
      <c r="D25" s="17"/>
      <c r="E25" s="28">
        <v>40704</v>
      </c>
      <c r="F25" s="17"/>
      <c r="G25" s="32">
        <v>-98586.65</v>
      </c>
      <c r="H25" s="32"/>
      <c r="I25" s="16"/>
      <c r="J25" s="16"/>
      <c r="M25" s="37"/>
    </row>
    <row r="26" spans="3:13">
      <c r="C26" s="17"/>
      <c r="D26" s="17"/>
      <c r="E26" s="28">
        <v>40751</v>
      </c>
      <c r="F26" s="17"/>
      <c r="G26" s="32">
        <v>-94290.93</v>
      </c>
      <c r="H26" s="32"/>
      <c r="I26" s="16"/>
      <c r="J26" s="16"/>
      <c r="M26" s="37"/>
    </row>
    <row r="27" spans="3:13">
      <c r="C27" s="17"/>
      <c r="D27" s="17"/>
      <c r="E27" s="28">
        <v>40765</v>
      </c>
      <c r="F27" s="17"/>
      <c r="G27" s="32">
        <v>-156793.57999999999</v>
      </c>
      <c r="H27" s="32"/>
      <c r="I27" s="16"/>
      <c r="J27" s="16"/>
      <c r="M27" s="37"/>
    </row>
    <row r="28" spans="3:13">
      <c r="C28" s="17"/>
      <c r="D28" s="17"/>
      <c r="E28" s="28">
        <v>40813</v>
      </c>
      <c r="F28" s="17"/>
      <c r="G28" s="32">
        <v>-138107.22</v>
      </c>
      <c r="H28" s="32"/>
      <c r="I28" s="16"/>
      <c r="J28" s="16"/>
      <c r="M28" s="37"/>
    </row>
    <row r="29" spans="3:13">
      <c r="C29" s="17"/>
      <c r="D29" s="17"/>
      <c r="E29" s="28">
        <v>40879</v>
      </c>
      <c r="F29" s="17"/>
      <c r="G29" s="32">
        <v>-66368.789999999994</v>
      </c>
      <c r="H29" s="32"/>
      <c r="I29" s="16"/>
      <c r="J29" s="16"/>
      <c r="M29" s="37"/>
    </row>
    <row r="30" spans="3:13">
      <c r="C30" s="17"/>
      <c r="D30" s="17"/>
      <c r="E30" s="28">
        <v>40886</v>
      </c>
      <c r="F30" s="17"/>
      <c r="G30" s="32">
        <v>-90424.79</v>
      </c>
      <c r="H30" s="32"/>
      <c r="I30" s="16"/>
      <c r="J30" s="16"/>
      <c r="M30" s="37"/>
    </row>
    <row r="31" spans="3:13">
      <c r="C31" s="17" t="s">
        <v>5</v>
      </c>
      <c r="D31" s="17"/>
      <c r="E31" s="28">
        <v>40927</v>
      </c>
      <c r="F31" s="17"/>
      <c r="G31" s="32">
        <v>-151209.15</v>
      </c>
      <c r="H31" s="32"/>
      <c r="I31" s="16"/>
      <c r="J31" s="16"/>
      <c r="M31" s="37"/>
    </row>
    <row r="32" spans="3:13">
      <c r="C32" s="17"/>
      <c r="D32" s="17"/>
      <c r="E32" s="28">
        <v>40942</v>
      </c>
      <c r="F32" s="17"/>
      <c r="G32" s="32">
        <v>-708792.89</v>
      </c>
      <c r="H32" s="32"/>
      <c r="I32" s="16"/>
      <c r="J32" s="16"/>
      <c r="M32" s="37"/>
    </row>
    <row r="33" spans="3:13">
      <c r="C33" s="17"/>
      <c r="D33" s="17"/>
      <c r="E33" s="28">
        <v>40970</v>
      </c>
      <c r="F33" s="17"/>
      <c r="G33" s="32">
        <v>-112762.51</v>
      </c>
      <c r="H33" s="32"/>
      <c r="I33" s="16"/>
      <c r="J33" s="16"/>
      <c r="M33" s="37"/>
    </row>
    <row r="34" spans="3:13">
      <c r="C34" s="17"/>
      <c r="D34" s="17"/>
      <c r="E34" s="28">
        <v>41001</v>
      </c>
      <c r="F34" s="17"/>
      <c r="G34" s="32">
        <v>-65939.22</v>
      </c>
      <c r="H34" s="32"/>
      <c r="I34" s="16"/>
      <c r="J34" s="16"/>
      <c r="M34" s="37"/>
    </row>
    <row r="35" spans="3:13">
      <c r="C35" s="17"/>
      <c r="D35" s="17"/>
      <c r="E35" s="28">
        <v>41024</v>
      </c>
      <c r="F35" s="17"/>
      <c r="G35" s="32">
        <v>-78182</v>
      </c>
      <c r="H35" s="32"/>
      <c r="I35" s="16"/>
      <c r="J35" s="16"/>
      <c r="M35" s="37"/>
    </row>
    <row r="36" spans="3:13">
      <c r="C36" s="17"/>
      <c r="D36" s="17"/>
      <c r="E36" s="28">
        <v>41030</v>
      </c>
      <c r="F36" s="17"/>
      <c r="G36" s="32">
        <v>288418.75</v>
      </c>
      <c r="H36" s="32"/>
      <c r="I36" s="16"/>
      <c r="J36" s="16"/>
      <c r="M36" s="37"/>
    </row>
    <row r="37" spans="3:13">
      <c r="C37" s="17"/>
      <c r="D37" s="17"/>
      <c r="E37" s="28">
        <v>41054</v>
      </c>
      <c r="F37" s="17"/>
      <c r="G37" s="32">
        <v>-101808.43</v>
      </c>
      <c r="H37" s="32"/>
      <c r="I37" s="16"/>
      <c r="J37" s="16"/>
      <c r="M37" s="37"/>
    </row>
    <row r="38" spans="3:13">
      <c r="C38" s="17"/>
      <c r="D38" s="17"/>
      <c r="E38" s="28">
        <v>41080</v>
      </c>
      <c r="F38" s="17"/>
      <c r="G38" s="32">
        <v>-188796.65</v>
      </c>
      <c r="H38" s="32"/>
      <c r="I38" s="16"/>
      <c r="J38" s="16"/>
      <c r="M38" s="37"/>
    </row>
    <row r="39" spans="3:13">
      <c r="C39" s="17"/>
      <c r="D39" s="17"/>
      <c r="E39" s="28">
        <v>41103</v>
      </c>
      <c r="F39" s="17"/>
      <c r="G39" s="32">
        <v>-61213.93</v>
      </c>
      <c r="H39" s="32"/>
      <c r="I39" s="16"/>
      <c r="J39" s="16"/>
      <c r="M39" s="37"/>
    </row>
    <row r="40" spans="3:13">
      <c r="C40" s="17"/>
      <c r="D40" s="17"/>
      <c r="E40" s="28">
        <v>41108</v>
      </c>
      <c r="F40" s="17"/>
      <c r="G40" s="32">
        <v>62022.65</v>
      </c>
      <c r="H40" s="32"/>
      <c r="I40" s="16"/>
      <c r="J40" s="16"/>
      <c r="M40" s="37"/>
    </row>
    <row r="41" spans="3:13">
      <c r="C41" s="17"/>
      <c r="D41" s="17"/>
      <c r="E41" s="28">
        <v>41121</v>
      </c>
      <c r="F41" s="17"/>
      <c r="G41" s="32">
        <v>-59066.07</v>
      </c>
      <c r="H41" s="32"/>
      <c r="I41" s="16"/>
      <c r="J41" s="16"/>
      <c r="M41" s="37"/>
    </row>
    <row r="42" spans="3:13">
      <c r="C42" s="17"/>
      <c r="D42" s="17"/>
      <c r="E42" s="28">
        <v>41137</v>
      </c>
      <c r="F42" s="17"/>
      <c r="G42" s="32">
        <v>26772.78</v>
      </c>
      <c r="H42" s="32"/>
      <c r="I42" s="16"/>
      <c r="J42" s="16"/>
      <c r="M42" s="37"/>
    </row>
    <row r="43" spans="3:13">
      <c r="C43" s="17"/>
      <c r="D43" s="17"/>
      <c r="E43" s="28">
        <v>41152</v>
      </c>
      <c r="F43" s="17"/>
      <c r="G43" s="32">
        <v>-78182.009999999995</v>
      </c>
      <c r="H43" s="32"/>
      <c r="I43" s="16"/>
      <c r="J43" s="16"/>
      <c r="M43" s="37"/>
    </row>
    <row r="44" spans="3:13">
      <c r="C44" s="17"/>
      <c r="D44" s="17"/>
      <c r="E44" s="28">
        <v>41173</v>
      </c>
      <c r="F44" s="17"/>
      <c r="G44" s="32">
        <v>577612.19999999995</v>
      </c>
      <c r="H44" s="32"/>
      <c r="I44" s="16"/>
      <c r="J44" s="16"/>
      <c r="M44" s="37"/>
    </row>
    <row r="45" spans="3:13">
      <c r="C45" s="17" t="s">
        <v>6</v>
      </c>
      <c r="D45" s="17"/>
      <c r="E45" s="28">
        <v>41180</v>
      </c>
      <c r="F45" s="17"/>
      <c r="G45" s="32">
        <v>-148202.14000000001</v>
      </c>
      <c r="H45" s="32"/>
      <c r="I45" s="16"/>
      <c r="J45" s="16"/>
      <c r="M45" s="37"/>
    </row>
    <row r="46" spans="3:13">
      <c r="C46" s="17"/>
      <c r="D46" s="17"/>
      <c r="E46" s="28">
        <v>41194</v>
      </c>
      <c r="F46" s="17"/>
      <c r="G46" s="32">
        <v>-72812.36</v>
      </c>
      <c r="H46" s="32"/>
      <c r="I46" s="16"/>
      <c r="J46" s="16"/>
      <c r="M46" s="37"/>
    </row>
    <row r="47" spans="3:13">
      <c r="C47" s="17"/>
      <c r="D47" s="17"/>
      <c r="E47" s="28">
        <v>41250</v>
      </c>
      <c r="F47" s="17"/>
      <c r="G47" s="32">
        <v>-328407.36</v>
      </c>
      <c r="H47" s="32"/>
      <c r="I47" s="16"/>
      <c r="J47" s="16"/>
      <c r="M47" s="37"/>
    </row>
    <row r="48" spans="3:13">
      <c r="C48" s="17"/>
      <c r="D48" s="17"/>
      <c r="E48" s="28">
        <v>41264</v>
      </c>
      <c r="F48" s="17"/>
      <c r="G48" s="32">
        <v>-291678.99</v>
      </c>
      <c r="H48" s="32"/>
      <c r="I48" s="16"/>
      <c r="J48" s="16"/>
      <c r="M48" s="37"/>
    </row>
    <row r="49" spans="3:13">
      <c r="C49" s="17" t="s">
        <v>7</v>
      </c>
      <c r="D49" s="17"/>
      <c r="E49" s="28">
        <v>41284</v>
      </c>
      <c r="F49" s="17"/>
      <c r="G49" s="32">
        <v>-86129.08</v>
      </c>
      <c r="H49" s="32"/>
      <c r="I49" s="16"/>
      <c r="J49" s="16"/>
      <c r="M49" s="37"/>
    </row>
    <row r="50" spans="3:13">
      <c r="C50" s="17"/>
      <c r="D50" s="17"/>
      <c r="E50" s="28">
        <v>41298</v>
      </c>
      <c r="F50" s="17"/>
      <c r="G50" s="32">
        <v>-110185.07</v>
      </c>
      <c r="H50" s="32"/>
      <c r="I50" s="16"/>
      <c r="J50" s="16"/>
      <c r="M50" s="37"/>
    </row>
    <row r="51" spans="3:13">
      <c r="C51" s="17"/>
      <c r="D51" s="17"/>
      <c r="E51" s="28">
        <v>41345</v>
      </c>
      <c r="F51" s="17"/>
      <c r="G51" s="32">
        <v>-112977.29</v>
      </c>
      <c r="H51" s="32"/>
      <c r="I51" s="16"/>
      <c r="J51" s="16"/>
      <c r="M51" s="37"/>
    </row>
    <row r="52" spans="3:13">
      <c r="C52" s="17"/>
      <c r="D52" s="17"/>
      <c r="E52" s="28">
        <v>41360</v>
      </c>
      <c r="F52" s="17"/>
      <c r="G52" s="32">
        <v>-101164.06</v>
      </c>
      <c r="H52" s="32"/>
      <c r="I52" s="16"/>
      <c r="J52" s="16"/>
      <c r="M52" s="37"/>
    </row>
    <row r="53" spans="3:13">
      <c r="C53" s="17"/>
      <c r="D53" s="17"/>
      <c r="E53" s="28">
        <v>41393</v>
      </c>
      <c r="F53" s="17"/>
      <c r="G53" s="32">
        <v>-81403.8</v>
      </c>
      <c r="H53" s="32"/>
      <c r="I53" s="16"/>
      <c r="J53" s="16"/>
      <c r="M53" s="37"/>
    </row>
    <row r="54" spans="3:13">
      <c r="C54" s="17"/>
      <c r="D54" s="17"/>
      <c r="E54" s="28">
        <v>41404</v>
      </c>
      <c r="F54" s="17"/>
      <c r="G54" s="32">
        <v>-110829.43</v>
      </c>
      <c r="H54" s="32"/>
      <c r="I54" s="16"/>
      <c r="J54" s="16"/>
      <c r="M54" s="37"/>
    </row>
    <row r="55" spans="3:13">
      <c r="C55" s="17"/>
      <c r="D55" s="17"/>
      <c r="E55" s="28">
        <v>41418</v>
      </c>
      <c r="F55" s="17"/>
      <c r="G55" s="32">
        <v>33721.699999999997</v>
      </c>
      <c r="H55" s="32"/>
      <c r="I55" s="16"/>
      <c r="J55" s="16"/>
      <c r="M55" s="37"/>
    </row>
    <row r="56" spans="3:13">
      <c r="C56" s="17"/>
      <c r="D56" s="17"/>
      <c r="E56" s="28">
        <v>41423</v>
      </c>
      <c r="F56" s="17"/>
      <c r="G56" s="32">
        <v>-96009.23</v>
      </c>
      <c r="H56" s="32"/>
      <c r="I56" s="16"/>
      <c r="J56" s="16"/>
      <c r="M56" s="37"/>
    </row>
    <row r="57" spans="3:13">
      <c r="C57" s="17"/>
      <c r="D57" s="17"/>
      <c r="E57" s="28">
        <v>41446</v>
      </c>
      <c r="F57" s="17"/>
      <c r="G57" s="32">
        <v>-293397.28999999998</v>
      </c>
      <c r="H57" s="32"/>
      <c r="I57" s="16"/>
      <c r="J57" s="16"/>
      <c r="M57" s="37"/>
    </row>
    <row r="58" spans="3:13">
      <c r="C58" s="17"/>
      <c r="D58" s="17"/>
      <c r="E58" s="28">
        <v>41481</v>
      </c>
      <c r="F58" s="17"/>
      <c r="G58" s="32">
        <v>-91713.51</v>
      </c>
      <c r="H58" s="32"/>
      <c r="I58" s="16"/>
      <c r="J58" s="16"/>
      <c r="M58" s="37"/>
    </row>
    <row r="59" spans="3:13">
      <c r="C59" s="17"/>
      <c r="D59" s="17"/>
      <c r="E59" s="28">
        <v>41501</v>
      </c>
      <c r="F59" s="17"/>
      <c r="G59" s="32">
        <v>-86343.86</v>
      </c>
      <c r="H59" s="32"/>
      <c r="I59" s="16"/>
      <c r="J59" s="16"/>
      <c r="M59" s="37"/>
    </row>
    <row r="60" spans="3:13">
      <c r="C60" s="17"/>
      <c r="D60" s="17"/>
      <c r="E60" s="28">
        <v>41514</v>
      </c>
      <c r="F60" s="17"/>
      <c r="G60" s="32">
        <v>-125220.07</v>
      </c>
      <c r="H60" s="32"/>
      <c r="I60" s="16"/>
      <c r="J60" s="16"/>
      <c r="M60" s="37"/>
    </row>
    <row r="61" spans="3:13">
      <c r="C61" s="17"/>
      <c r="D61" s="17"/>
      <c r="E61" s="28">
        <v>41551</v>
      </c>
      <c r="F61" s="17"/>
      <c r="G61" s="32">
        <v>-74745.429999999993</v>
      </c>
      <c r="H61" s="32"/>
      <c r="M61" s="37"/>
    </row>
    <row r="62" spans="3:13">
      <c r="C62" s="17"/>
      <c r="D62" s="17"/>
      <c r="E62" s="28">
        <v>41577</v>
      </c>
      <c r="F62" s="17"/>
      <c r="G62" s="32">
        <v>-119635.65</v>
      </c>
      <c r="H62" s="32"/>
      <c r="M62" s="37"/>
    </row>
    <row r="63" spans="3:13">
      <c r="C63" s="17"/>
      <c r="D63" s="17"/>
      <c r="E63" s="28">
        <v>41599</v>
      </c>
      <c r="F63" s="17"/>
      <c r="G63" s="32">
        <v>-75604.570000000007</v>
      </c>
      <c r="H63" s="32"/>
      <c r="M63" s="37"/>
    </row>
    <row r="64" spans="3:13">
      <c r="C64" s="17" t="s">
        <v>8</v>
      </c>
      <c r="D64" s="17"/>
      <c r="E64" s="28">
        <v>41618</v>
      </c>
      <c r="F64" s="17"/>
      <c r="G64" s="32">
        <v>81562.509999999995</v>
      </c>
      <c r="H64" s="32"/>
      <c r="M64" s="37"/>
    </row>
    <row r="65" spans="3:13">
      <c r="C65" s="17"/>
      <c r="D65" s="17"/>
      <c r="E65" s="28">
        <v>41624</v>
      </c>
      <c r="F65" s="17"/>
      <c r="G65" s="32">
        <v>-151209.15</v>
      </c>
      <c r="H65" s="32"/>
      <c r="M65" s="37"/>
    </row>
    <row r="66" spans="3:13">
      <c r="C66" s="17" t="s">
        <v>9</v>
      </c>
      <c r="D66" s="17"/>
      <c r="E66" s="28">
        <v>41646</v>
      </c>
      <c r="F66" s="17"/>
      <c r="G66" s="34">
        <v>-106748.5</v>
      </c>
      <c r="H66" s="34"/>
      <c r="I66" s="16"/>
      <c r="J66" s="17"/>
      <c r="M66" s="37"/>
    </row>
    <row r="67" spans="3:13">
      <c r="C67" s="17"/>
      <c r="D67" s="17"/>
      <c r="E67" s="28">
        <v>41670</v>
      </c>
      <c r="F67" s="17"/>
      <c r="G67" s="34">
        <v>-79255.94</v>
      </c>
      <c r="H67" s="34"/>
      <c r="I67" s="16"/>
      <c r="J67" s="17"/>
      <c r="M67" s="37"/>
    </row>
    <row r="68" spans="3:13">
      <c r="C68" s="17"/>
      <c r="D68" s="17"/>
      <c r="E68" s="28">
        <v>41697</v>
      </c>
      <c r="F68" s="17"/>
      <c r="G68" s="34">
        <v>-141114.19</v>
      </c>
      <c r="H68" s="34"/>
      <c r="I68" s="16"/>
      <c r="J68" s="17"/>
      <c r="M68" s="37"/>
    </row>
    <row r="69" spans="3:13">
      <c r="C69" s="17"/>
      <c r="D69" s="17"/>
      <c r="E69" s="28">
        <v>41704</v>
      </c>
      <c r="F69" s="17"/>
      <c r="G69" s="34">
        <v>-102238</v>
      </c>
      <c r="H69" s="34"/>
      <c r="I69" s="16"/>
      <c r="J69" s="17"/>
      <c r="M69" s="37"/>
    </row>
    <row r="70" spans="3:13">
      <c r="C70" s="17"/>
      <c r="D70" s="17"/>
      <c r="E70" s="28">
        <v>41718</v>
      </c>
      <c r="F70" s="17"/>
      <c r="G70" s="34">
        <v>-89350.86</v>
      </c>
      <c r="H70" s="34"/>
      <c r="I70" s="16"/>
      <c r="J70" s="17"/>
      <c r="M70" s="37"/>
    </row>
    <row r="71" spans="3:13">
      <c r="C71" s="17"/>
      <c r="D71" s="17"/>
      <c r="E71" s="28">
        <v>41750</v>
      </c>
      <c r="F71" s="17"/>
      <c r="G71" s="34">
        <v>-141973.37</v>
      </c>
      <c r="H71" s="34"/>
      <c r="I71" s="16"/>
      <c r="J71" s="17"/>
      <c r="M71" s="37"/>
    </row>
    <row r="72" spans="3:13">
      <c r="C72" s="17"/>
      <c r="D72" s="17"/>
      <c r="E72" s="28">
        <v>41779</v>
      </c>
      <c r="F72" s="17"/>
      <c r="G72" s="34">
        <v>-141758.57</v>
      </c>
      <c r="H72" s="34"/>
      <c r="I72" s="53"/>
      <c r="J72" s="54"/>
      <c r="M72" s="37"/>
    </row>
    <row r="73" spans="3:13">
      <c r="C73" s="17"/>
      <c r="D73" s="17"/>
      <c r="E73" s="28">
        <v>41814</v>
      </c>
      <c r="F73" s="17"/>
      <c r="G73" s="34">
        <v>-104600.65</v>
      </c>
      <c r="H73" s="34"/>
      <c r="M73" s="37"/>
    </row>
    <row r="74" spans="3:13">
      <c r="C74" s="17"/>
      <c r="D74" s="17"/>
      <c r="E74" s="28">
        <v>41816</v>
      </c>
      <c r="F74" s="17"/>
      <c r="G74" s="34">
        <v>224314.23</v>
      </c>
      <c r="H74" s="34"/>
      <c r="M74" s="37"/>
    </row>
    <row r="75" spans="3:13">
      <c r="C75" s="17"/>
      <c r="D75" s="17"/>
      <c r="E75" s="28">
        <v>41857</v>
      </c>
      <c r="F75" s="17"/>
      <c r="G75" s="34">
        <v>925110.26</v>
      </c>
      <c r="H75" s="34"/>
      <c r="M75" s="37"/>
    </row>
    <row r="76" spans="3:13">
      <c r="C76" s="17"/>
      <c r="D76" s="17"/>
      <c r="E76" s="28">
        <v>41877</v>
      </c>
      <c r="F76" s="17"/>
      <c r="G76" s="34">
        <v>-164740.63</v>
      </c>
      <c r="H76" s="34"/>
      <c r="M76" s="37"/>
    </row>
    <row r="77" spans="3:13">
      <c r="C77" s="17"/>
      <c r="D77" s="17"/>
      <c r="E77" s="28">
        <v>41913</v>
      </c>
      <c r="F77" s="17"/>
      <c r="G77" s="34">
        <v>-68301.86</v>
      </c>
      <c r="H77" s="34"/>
      <c r="M77" s="37"/>
    </row>
    <row r="78" spans="3:13">
      <c r="C78" s="17" t="s">
        <v>10</v>
      </c>
      <c r="D78" s="17"/>
      <c r="E78" s="28">
        <v>41943</v>
      </c>
      <c r="F78" s="17"/>
      <c r="G78" s="34">
        <v>-87203</v>
      </c>
      <c r="H78" s="34"/>
      <c r="M78" s="37"/>
    </row>
    <row r="79" spans="3:13">
      <c r="C79" s="17"/>
      <c r="D79" s="17"/>
      <c r="E79" s="28">
        <v>41990</v>
      </c>
      <c r="F79" s="17"/>
      <c r="G79" s="34">
        <v>-91283.93</v>
      </c>
      <c r="H79" s="34"/>
      <c r="M79" s="37"/>
    </row>
    <row r="80" spans="3:13">
      <c r="C80" s="17" t="s">
        <v>11</v>
      </c>
      <c r="D80" s="17"/>
      <c r="E80" s="28">
        <v>42011</v>
      </c>
      <c r="F80" s="17"/>
      <c r="G80" s="34">
        <v>-71738.429999999993</v>
      </c>
      <c r="H80" s="34"/>
      <c r="I80" s="16"/>
      <c r="J80" s="17"/>
      <c r="M80" s="37"/>
    </row>
    <row r="81" spans="3:13">
      <c r="C81" s="17"/>
      <c r="D81" s="17"/>
      <c r="E81" s="28">
        <v>42027</v>
      </c>
      <c r="F81" s="17"/>
      <c r="G81" s="34">
        <v>-92572.64</v>
      </c>
      <c r="H81" s="34"/>
      <c r="M81" s="37"/>
    </row>
    <row r="82" spans="3:13">
      <c r="C82" s="17"/>
      <c r="D82" s="17"/>
      <c r="E82" s="28">
        <v>42055</v>
      </c>
      <c r="F82" s="17"/>
      <c r="G82" s="34">
        <v>69906.86</v>
      </c>
      <c r="H82" s="34"/>
      <c r="M82" s="37"/>
    </row>
    <row r="83" spans="3:13">
      <c r="C83" s="17"/>
      <c r="D83" s="17"/>
      <c r="E83" s="28">
        <v>42075</v>
      </c>
      <c r="F83" s="17"/>
      <c r="G83" s="34">
        <v>-92787.43</v>
      </c>
      <c r="H83" s="34"/>
      <c r="M83" s="37"/>
    </row>
    <row r="84" spans="3:13">
      <c r="C84" s="17"/>
      <c r="D84" s="17"/>
      <c r="E84" s="28">
        <v>42138</v>
      </c>
      <c r="F84" s="17"/>
      <c r="G84" s="34">
        <v>-137462.85999999999</v>
      </c>
      <c r="H84" s="34"/>
      <c r="M84" s="37"/>
    </row>
    <row r="85" spans="3:13">
      <c r="C85" s="17"/>
      <c r="D85" s="17"/>
      <c r="E85" s="28">
        <v>42150</v>
      </c>
      <c r="F85" s="17"/>
      <c r="G85" s="34">
        <v>72217.5</v>
      </c>
      <c r="H85" s="34"/>
      <c r="M85" s="37"/>
    </row>
    <row r="86" spans="3:13">
      <c r="C86" s="17"/>
      <c r="D86" s="17"/>
      <c r="E86" s="28">
        <v>42251</v>
      </c>
      <c r="F86" s="17"/>
      <c r="G86" s="34">
        <v>221326.52</v>
      </c>
      <c r="H86" s="34"/>
      <c r="M86" s="37"/>
    </row>
    <row r="87" spans="3:13">
      <c r="C87" s="17" t="s">
        <v>12</v>
      </c>
      <c r="D87" s="17"/>
      <c r="E87" s="28">
        <v>42265</v>
      </c>
      <c r="F87" s="17"/>
      <c r="G87" s="34">
        <v>-62073.07</v>
      </c>
      <c r="H87" s="34"/>
      <c r="M87" s="37"/>
    </row>
    <row r="88" spans="3:13">
      <c r="C88" s="17"/>
      <c r="D88" s="17"/>
      <c r="E88" s="28">
        <v>42297</v>
      </c>
      <c r="F88" s="17"/>
      <c r="G88" s="34">
        <v>-108466.79</v>
      </c>
      <c r="H88" s="34"/>
      <c r="I88" s="16"/>
      <c r="J88" s="17"/>
      <c r="M88" s="37"/>
    </row>
    <row r="89" spans="3:13">
      <c r="C89" s="17"/>
      <c r="D89" s="17"/>
      <c r="E89" s="28">
        <v>42352</v>
      </c>
      <c r="F89" s="17"/>
      <c r="G89" s="34">
        <v>-97297.93</v>
      </c>
      <c r="H89" s="34"/>
      <c r="I89" s="16"/>
      <c r="J89" s="17"/>
      <c r="M89" s="37"/>
    </row>
    <row r="90" spans="3:13">
      <c r="C90" s="17" t="s">
        <v>13</v>
      </c>
      <c r="D90" s="17"/>
      <c r="E90" s="28">
        <v>42404</v>
      </c>
      <c r="F90" s="17"/>
      <c r="G90" s="34">
        <v>43539.31</v>
      </c>
      <c r="H90" s="34"/>
      <c r="I90" s="16"/>
      <c r="J90" s="17"/>
      <c r="M90" s="37"/>
    </row>
    <row r="91" spans="3:13">
      <c r="C91" s="17"/>
      <c r="D91" s="17"/>
      <c r="E91" s="28">
        <v>42424</v>
      </c>
      <c r="F91" s="17"/>
      <c r="G91" s="34">
        <v>-97512.72</v>
      </c>
      <c r="H91" s="34"/>
      <c r="I91" s="16"/>
      <c r="J91" s="17"/>
      <c r="M91" s="37"/>
    </row>
    <row r="92" spans="3:13">
      <c r="C92" s="17"/>
      <c r="D92" s="17"/>
      <c r="E92" s="28">
        <v>42451</v>
      </c>
      <c r="F92" s="17"/>
      <c r="G92" s="34">
        <v>43774.79</v>
      </c>
      <c r="H92" s="34"/>
      <c r="I92" s="16"/>
      <c r="J92" s="17"/>
      <c r="M92" s="37"/>
    </row>
    <row r="93" spans="3:13">
      <c r="C93" s="17"/>
      <c r="D93" s="17"/>
      <c r="E93" s="28">
        <v>42452</v>
      </c>
      <c r="F93" s="17"/>
      <c r="G93" s="34">
        <v>-72812.36</v>
      </c>
      <c r="H93" s="34"/>
      <c r="I93" s="16"/>
      <c r="J93" s="17"/>
      <c r="M93" s="37"/>
    </row>
    <row r="94" spans="3:13">
      <c r="C94" s="17"/>
      <c r="D94" s="17"/>
      <c r="E94" s="28">
        <v>42485</v>
      </c>
      <c r="F94" s="17"/>
      <c r="G94" s="34">
        <v>-90424.77</v>
      </c>
      <c r="H94" s="34"/>
      <c r="I94" s="16"/>
      <c r="J94" s="17"/>
      <c r="M94" s="37"/>
    </row>
    <row r="95" spans="3:13">
      <c r="C95" s="17"/>
      <c r="D95" s="17"/>
      <c r="E95" s="28">
        <v>42549</v>
      </c>
      <c r="F95" s="17"/>
      <c r="G95" s="34">
        <v>23005.35</v>
      </c>
      <c r="H95" s="34"/>
      <c r="M95" s="37"/>
    </row>
    <row r="96" spans="3:13">
      <c r="C96" s="17"/>
      <c r="D96" s="17"/>
      <c r="E96" s="28">
        <v>42558</v>
      </c>
      <c r="F96" s="17"/>
      <c r="G96" s="34">
        <v>-56273.86</v>
      </c>
      <c r="H96" s="34"/>
      <c r="M96" s="37"/>
    </row>
    <row r="97" spans="3:13">
      <c r="C97" s="17"/>
      <c r="D97" s="17"/>
      <c r="E97" s="28">
        <v>42578</v>
      </c>
      <c r="F97" s="17"/>
      <c r="G97" s="34">
        <v>-55844.29</v>
      </c>
      <c r="H97" s="34"/>
      <c r="M97" s="37"/>
    </row>
    <row r="98" spans="3:13">
      <c r="C98" s="17"/>
      <c r="D98" s="17"/>
      <c r="E98" s="28">
        <v>42584</v>
      </c>
      <c r="F98" s="17"/>
      <c r="G98" s="34">
        <v>608280.91</v>
      </c>
      <c r="H98" s="34"/>
      <c r="M98" s="37"/>
    </row>
    <row r="99" spans="3:13">
      <c r="C99" s="17" t="s">
        <v>14</v>
      </c>
      <c r="D99" s="17"/>
      <c r="E99" s="28">
        <v>42632</v>
      </c>
      <c r="F99" s="17"/>
      <c r="G99" s="34">
        <v>39248.07</v>
      </c>
      <c r="H99" s="34"/>
      <c r="M99" s="37"/>
    </row>
    <row r="100" spans="3:13">
      <c r="C100" s="17"/>
      <c r="D100" s="17"/>
      <c r="E100" s="28">
        <v>42636</v>
      </c>
      <c r="F100" s="17"/>
      <c r="G100" s="34">
        <v>-73241.929999999993</v>
      </c>
      <c r="H100" s="34"/>
      <c r="M100" s="37"/>
    </row>
    <row r="101" spans="3:13">
      <c r="C101" s="17"/>
      <c r="D101" s="17"/>
      <c r="E101" s="28">
        <v>42656</v>
      </c>
      <c r="F101" s="17"/>
      <c r="G101" s="34">
        <v>155100.44</v>
      </c>
      <c r="H101" s="34"/>
      <c r="M101" s="37"/>
    </row>
    <row r="102" spans="3:13">
      <c r="C102" s="17"/>
      <c r="D102" s="17"/>
      <c r="E102" s="28">
        <v>42664</v>
      </c>
      <c r="F102" s="17"/>
      <c r="G102" s="34">
        <v>-70449.710000000006</v>
      </c>
      <c r="H102" s="34"/>
      <c r="I102" s="16"/>
      <c r="J102" s="17"/>
      <c r="M102" s="37"/>
    </row>
    <row r="103" spans="3:13">
      <c r="C103" s="17"/>
      <c r="D103" s="17"/>
      <c r="E103" s="28">
        <v>42697</v>
      </c>
      <c r="F103" s="17"/>
      <c r="G103" s="34">
        <v>-42957.14</v>
      </c>
      <c r="H103" s="34"/>
      <c r="I103" s="16"/>
      <c r="J103" s="17"/>
      <c r="M103" s="37"/>
    </row>
    <row r="104" spans="3:13">
      <c r="C104" s="17"/>
      <c r="D104" s="17"/>
      <c r="E104" s="28">
        <v>42723</v>
      </c>
      <c r="F104" s="17"/>
      <c r="G104" s="34">
        <v>148394.72</v>
      </c>
      <c r="H104" s="34"/>
      <c r="I104" s="16"/>
      <c r="J104" s="17"/>
      <c r="M104" s="37"/>
    </row>
    <row r="105" spans="3:13" ht="15.5">
      <c r="C105" s="17"/>
      <c r="D105" s="17"/>
      <c r="E105" s="28">
        <v>42727</v>
      </c>
      <c r="F105" s="17"/>
      <c r="G105" s="34">
        <v>-124146.13</v>
      </c>
      <c r="H105" s="34"/>
      <c r="I105" s="16"/>
      <c r="J105" s="17"/>
      <c r="L105" s="12"/>
      <c r="M105" s="37"/>
    </row>
    <row r="106" spans="3:13">
      <c r="C106" s="17" t="s">
        <v>15</v>
      </c>
      <c r="D106" s="17"/>
      <c r="E106" s="28">
        <v>42795</v>
      </c>
      <c r="F106" s="17"/>
      <c r="G106" s="34">
        <v>-58206.93</v>
      </c>
      <c r="H106" s="34"/>
      <c r="I106" s="16"/>
      <c r="J106" s="17"/>
      <c r="L106" s="59"/>
      <c r="M106" s="37"/>
    </row>
    <row r="107" spans="3:13">
      <c r="C107" s="17"/>
      <c r="D107" s="17"/>
      <c r="E107" s="28">
        <v>42822</v>
      </c>
      <c r="F107" s="17"/>
      <c r="G107" s="34">
        <v>-32217.86</v>
      </c>
      <c r="H107" s="34"/>
      <c r="I107" s="16"/>
      <c r="J107" s="17"/>
      <c r="L107" s="59"/>
      <c r="M107" s="37"/>
    </row>
    <row r="108" spans="3:13">
      <c r="C108" s="17"/>
      <c r="D108" s="17"/>
      <c r="E108" s="28">
        <v>42823</v>
      </c>
      <c r="F108" s="17"/>
      <c r="G108" s="34">
        <v>225802.36</v>
      </c>
      <c r="H108" s="34"/>
      <c r="I108" s="16"/>
      <c r="J108" s="17"/>
      <c r="L108" s="59"/>
      <c r="M108" s="37"/>
    </row>
    <row r="109" spans="3:13">
      <c r="C109" s="17"/>
      <c r="D109" s="17"/>
      <c r="E109" s="28">
        <v>42843</v>
      </c>
      <c r="F109" s="17"/>
      <c r="G109" s="34">
        <v>-57132.99</v>
      </c>
      <c r="H109" s="34"/>
      <c r="I109" s="16"/>
      <c r="J109" s="17"/>
      <c r="L109" s="59"/>
      <c r="M109" s="37"/>
    </row>
    <row r="110" spans="3:13">
      <c r="C110" s="17"/>
      <c r="D110" s="17"/>
      <c r="E110" s="28">
        <v>42859</v>
      </c>
      <c r="F110" s="17"/>
      <c r="G110" s="34">
        <v>34804.76</v>
      </c>
      <c r="H110" s="34"/>
      <c r="I110" s="16"/>
      <c r="J110" s="17"/>
      <c r="M110" s="37"/>
    </row>
    <row r="111" spans="3:13">
      <c r="C111" s="17"/>
      <c r="D111" s="17"/>
      <c r="E111" s="28">
        <v>42909</v>
      </c>
      <c r="F111" s="17"/>
      <c r="G111" s="34">
        <v>-83551.64</v>
      </c>
      <c r="H111" s="34"/>
      <c r="I111" s="16"/>
      <c r="J111" s="17"/>
      <c r="M111" s="37"/>
    </row>
    <row r="112" spans="3:13">
      <c r="C112" s="17" t="s">
        <v>16</v>
      </c>
      <c r="D112" s="17"/>
      <c r="E112" s="28">
        <v>43020</v>
      </c>
      <c r="F112" s="17"/>
      <c r="G112" s="34">
        <v>86533.37</v>
      </c>
      <c r="H112" s="34"/>
      <c r="I112" s="16"/>
      <c r="J112" s="17"/>
      <c r="M112" s="37"/>
    </row>
    <row r="113" spans="3:13">
      <c r="C113" s="17"/>
      <c r="D113" s="17"/>
      <c r="E113" s="28">
        <v>43054</v>
      </c>
      <c r="F113" s="17"/>
      <c r="G113" s="34">
        <v>-56273.86</v>
      </c>
      <c r="H113" s="34"/>
      <c r="I113" s="16"/>
      <c r="J113" s="17"/>
      <c r="M113" s="37"/>
    </row>
    <row r="114" spans="3:13">
      <c r="C114" s="17"/>
      <c r="D114" s="17"/>
      <c r="E114" s="28">
        <v>43090</v>
      </c>
      <c r="F114" s="17"/>
      <c r="G114" s="34">
        <v>-70234.929999999993</v>
      </c>
      <c r="H114" s="34"/>
      <c r="I114" s="16"/>
      <c r="J114" s="17"/>
      <c r="M114" s="37"/>
    </row>
    <row r="115" spans="3:13">
      <c r="C115" s="17" t="s">
        <v>17</v>
      </c>
      <c r="D115" s="17"/>
      <c r="E115" s="28">
        <v>43152</v>
      </c>
      <c r="F115" s="17"/>
      <c r="G115" s="34">
        <v>526301.6</v>
      </c>
      <c r="H115" s="34"/>
      <c r="I115" s="16"/>
      <c r="J115" s="17"/>
      <c r="M115" s="37"/>
    </row>
    <row r="116" spans="3:13">
      <c r="C116" s="17"/>
      <c r="D116" s="17"/>
      <c r="E116" s="28">
        <v>43186</v>
      </c>
      <c r="F116" s="17"/>
      <c r="G116" s="34">
        <v>317547.57</v>
      </c>
      <c r="H116" s="34"/>
      <c r="I116" s="16"/>
      <c r="J116" s="17"/>
      <c r="M116" s="37"/>
    </row>
    <row r="117" spans="3:13">
      <c r="C117" s="17" t="s">
        <v>18</v>
      </c>
      <c r="D117" s="17"/>
      <c r="E117" s="28">
        <v>43262</v>
      </c>
      <c r="F117" s="17"/>
      <c r="G117" s="34">
        <v>44950.31</v>
      </c>
      <c r="H117" s="34"/>
      <c r="I117" s="16"/>
      <c r="J117" s="17"/>
      <c r="M117" s="37"/>
    </row>
    <row r="118" spans="3:13">
      <c r="C118" s="17"/>
      <c r="D118" s="17"/>
      <c r="E118" s="28">
        <v>43364</v>
      </c>
      <c r="F118" s="17"/>
      <c r="G118" s="34">
        <v>-176124.28</v>
      </c>
      <c r="H118" s="34"/>
      <c r="I118" s="16"/>
      <c r="J118" s="17"/>
      <c r="M118" s="37"/>
    </row>
    <row r="119" spans="3:13">
      <c r="C119" s="17"/>
      <c r="D119" s="17"/>
      <c r="E119" s="28">
        <v>43404</v>
      </c>
      <c r="F119" s="17"/>
      <c r="G119" s="34">
        <v>43189.440000000002</v>
      </c>
      <c r="H119" s="34"/>
      <c r="I119" s="16"/>
      <c r="J119" s="17"/>
      <c r="M119" s="37"/>
    </row>
    <row r="120" spans="3:13">
      <c r="C120" s="17"/>
      <c r="D120" s="17"/>
      <c r="E120" s="28">
        <v>43454</v>
      </c>
      <c r="F120" s="17"/>
      <c r="G120" s="34">
        <v>-178916.5</v>
      </c>
      <c r="H120" s="34"/>
      <c r="I120" s="16"/>
      <c r="J120" s="17"/>
      <c r="M120" s="37"/>
    </row>
    <row r="121" spans="3:13">
      <c r="C121" s="17" t="s">
        <v>19</v>
      </c>
      <c r="D121" s="17"/>
      <c r="E121" s="28">
        <v>43649</v>
      </c>
      <c r="F121" s="17"/>
      <c r="G121" s="34">
        <v>-31573.5</v>
      </c>
      <c r="H121" s="34"/>
      <c r="I121" s="34"/>
      <c r="J121" s="17"/>
      <c r="M121" s="37"/>
    </row>
    <row r="122" spans="3:13">
      <c r="C122" s="17" t="s">
        <v>20</v>
      </c>
      <c r="D122" s="17"/>
      <c r="E122" s="28">
        <v>43593</v>
      </c>
      <c r="F122" s="17"/>
      <c r="G122" s="34">
        <v>44775.6</v>
      </c>
      <c r="H122" s="34"/>
      <c r="I122" s="16"/>
      <c r="J122" s="17"/>
      <c r="M122" s="37"/>
    </row>
    <row r="123" spans="3:13">
      <c r="C123" s="17"/>
      <c r="D123" s="17"/>
      <c r="E123" s="28">
        <v>43655</v>
      </c>
      <c r="F123" s="17"/>
      <c r="G123" s="34">
        <v>74639.75</v>
      </c>
      <c r="H123" s="34"/>
      <c r="I123" s="16"/>
      <c r="J123" s="17"/>
      <c r="M123" s="37"/>
    </row>
    <row r="124" spans="3:13">
      <c r="C124" s="17" t="s">
        <v>21</v>
      </c>
      <c r="D124" s="17"/>
      <c r="E124" s="28">
        <v>43928</v>
      </c>
      <c r="F124" s="17"/>
      <c r="G124" s="34">
        <v>-27277.78</v>
      </c>
      <c r="H124" s="34"/>
      <c r="I124" s="16"/>
      <c r="J124" s="17"/>
      <c r="M124" s="37"/>
    </row>
    <row r="125" spans="3:13" ht="15.5">
      <c r="C125" s="17"/>
      <c r="D125" s="17"/>
      <c r="E125" s="28">
        <v>44070</v>
      </c>
      <c r="F125" s="17"/>
      <c r="G125" s="34">
        <v>-276898.45</v>
      </c>
      <c r="H125" s="34"/>
      <c r="I125" s="16"/>
      <c r="J125" s="17"/>
      <c r="L125" s="12"/>
      <c r="M125" s="37"/>
    </row>
    <row r="126" spans="3:13" ht="15.5">
      <c r="C126" s="17" t="s">
        <v>22</v>
      </c>
      <c r="D126" s="17"/>
      <c r="E126" s="28">
        <v>44302</v>
      </c>
      <c r="F126" s="17"/>
      <c r="G126" s="34">
        <v>128116.15</v>
      </c>
      <c r="H126" s="34"/>
      <c r="I126" s="16"/>
      <c r="J126" s="17"/>
      <c r="L126" s="12"/>
      <c r="M126" s="37"/>
    </row>
    <row r="127" spans="3:13" ht="15.5">
      <c r="C127" s="17" t="s">
        <v>23</v>
      </c>
      <c r="D127" s="17"/>
      <c r="E127" s="28">
        <v>44673</v>
      </c>
      <c r="F127" s="17"/>
      <c r="G127" s="34">
        <v>288048.77</v>
      </c>
      <c r="H127" s="34"/>
      <c r="I127" s="16"/>
      <c r="J127" s="17"/>
      <c r="L127" s="12"/>
      <c r="M127" s="37"/>
    </row>
    <row r="128" spans="3:13" ht="15.5">
      <c r="C128" s="17"/>
      <c r="D128" s="17"/>
      <c r="E128" s="28">
        <v>44727</v>
      </c>
      <c r="F128" s="17"/>
      <c r="G128" s="34">
        <v>43194.18</v>
      </c>
      <c r="H128" s="34"/>
      <c r="I128" s="16"/>
      <c r="J128" s="17"/>
      <c r="L128" s="12"/>
      <c r="M128" s="37"/>
    </row>
    <row r="129" spans="3:13" ht="15.5">
      <c r="C129" s="17"/>
      <c r="D129" s="17"/>
      <c r="E129" s="28">
        <v>44796</v>
      </c>
      <c r="F129" s="17"/>
      <c r="G129" s="34">
        <v>38584.480000000003</v>
      </c>
      <c r="H129" s="34"/>
      <c r="I129" s="16"/>
      <c r="J129" s="17"/>
      <c r="L129" s="12"/>
      <c r="M129" s="37"/>
    </row>
    <row r="130" spans="3:13" ht="15.5">
      <c r="C130" s="17"/>
      <c r="D130" s="17"/>
      <c r="E130" s="28">
        <v>44868</v>
      </c>
      <c r="F130" s="17"/>
      <c r="G130" s="34">
        <f>136541.13-1406.16</f>
        <v>135134.97</v>
      </c>
      <c r="H130" s="34"/>
      <c r="I130" s="16"/>
      <c r="J130" s="17"/>
      <c r="L130" s="12"/>
      <c r="M130" s="37"/>
    </row>
    <row r="131" spans="3:13" ht="15.5">
      <c r="C131" s="17"/>
      <c r="D131" s="17"/>
      <c r="E131" s="28">
        <v>44911</v>
      </c>
      <c r="F131" s="17"/>
      <c r="G131" s="34">
        <v>105378.05</v>
      </c>
      <c r="H131" s="34"/>
      <c r="I131" s="16"/>
      <c r="J131" s="17"/>
      <c r="L131" s="12"/>
      <c r="M131" s="37"/>
    </row>
    <row r="132" spans="3:13" ht="15.5">
      <c r="C132" s="17" t="s">
        <v>24</v>
      </c>
      <c r="D132" s="17"/>
      <c r="E132" s="28">
        <v>44973</v>
      </c>
      <c r="F132" s="17"/>
      <c r="G132" s="34">
        <v>127150.58</v>
      </c>
      <c r="H132" s="34"/>
      <c r="I132" s="16"/>
      <c r="J132" s="17"/>
      <c r="L132" s="12"/>
      <c r="M132" s="37"/>
    </row>
    <row r="133" spans="3:13" ht="15.5">
      <c r="C133" s="17"/>
      <c r="D133" s="17"/>
      <c r="E133" s="28">
        <v>45079</v>
      </c>
      <c r="F133" s="17"/>
      <c r="G133" s="34">
        <v>86675.06</v>
      </c>
      <c r="H133" s="34"/>
      <c r="I133" s="16"/>
      <c r="J133" s="17"/>
      <c r="L133" s="12"/>
      <c r="M133" s="37"/>
    </row>
    <row r="134" spans="3:13" ht="15.5">
      <c r="C134" s="17"/>
      <c r="D134" s="17"/>
      <c r="E134" s="28">
        <v>45182</v>
      </c>
      <c r="F134" s="17"/>
      <c r="G134" s="34">
        <v>50804.12</v>
      </c>
      <c r="H134" s="34"/>
      <c r="I134" s="16"/>
      <c r="J134" s="17"/>
      <c r="L134" s="12"/>
      <c r="M134" s="37"/>
    </row>
    <row r="135" spans="3:13" ht="15.5">
      <c r="C135" s="17"/>
      <c r="D135" s="17"/>
      <c r="E135" s="28">
        <v>45261</v>
      </c>
      <c r="F135" s="17"/>
      <c r="G135" s="34">
        <v>54267.77</v>
      </c>
      <c r="H135" s="34"/>
      <c r="I135" s="16"/>
      <c r="J135" s="17"/>
      <c r="L135" s="12"/>
      <c r="M135" s="37"/>
    </row>
    <row r="136" spans="3:13" ht="4.5" customHeight="1">
      <c r="C136" s="17"/>
      <c r="D136" s="17"/>
      <c r="E136" s="28"/>
      <c r="F136" s="17"/>
      <c r="G136" s="34"/>
      <c r="H136" s="34"/>
      <c r="I136" s="16"/>
      <c r="M136" s="37"/>
    </row>
    <row r="137" spans="3:13">
      <c r="C137" s="17" t="s">
        <v>25</v>
      </c>
      <c r="D137" s="17"/>
      <c r="E137" s="28">
        <f>+E8</f>
        <v>45473</v>
      </c>
      <c r="F137" s="17"/>
      <c r="G137" s="35">
        <f>L137*C22</f>
        <v>2984251.6267685243</v>
      </c>
      <c r="H137" s="35"/>
      <c r="I137" s="34">
        <f>+SUMIF($G$23:$G$136,"&lt;0",$G$23:$G$136)</f>
        <v>-8827861.0899999999</v>
      </c>
      <c r="J137" s="17" t="s">
        <v>26</v>
      </c>
      <c r="L137" s="59">
        <v>104186878</v>
      </c>
      <c r="M137" s="37"/>
    </row>
    <row r="138" spans="3:13">
      <c r="C138" s="17"/>
      <c r="D138" s="17"/>
      <c r="E138" s="17"/>
      <c r="F138" s="17"/>
      <c r="G138" s="17"/>
      <c r="H138" s="17"/>
      <c r="I138" s="34">
        <f>+SUMIF($G$23:$G$136,"&gt;0",$G$23:$G$136)</f>
        <v>6100228.4399999995</v>
      </c>
      <c r="J138" s="17" t="s">
        <v>27</v>
      </c>
      <c r="L138" s="57"/>
      <c r="M138" s="37"/>
    </row>
    <row r="139" spans="3:13">
      <c r="C139" t="s">
        <v>28</v>
      </c>
      <c r="G139" s="58">
        <f>+XIRR(G23:G137,E23:E137,0.1)</f>
        <v>5.5457741022109991E-3</v>
      </c>
      <c r="H139" s="58"/>
    </row>
    <row r="140" spans="3:13">
      <c r="C140" s="17"/>
      <c r="D140" s="17"/>
      <c r="E140" s="17"/>
      <c r="F140" s="17"/>
      <c r="G140" s="17"/>
      <c r="H140" s="17"/>
    </row>
    <row r="141" spans="3:13">
      <c r="C141" s="17"/>
      <c r="D141" s="17"/>
      <c r="E141" s="17"/>
      <c r="F141" s="17"/>
      <c r="G141" s="17"/>
      <c r="H141" s="17"/>
    </row>
    <row r="142" spans="3:13">
      <c r="C142" s="17"/>
      <c r="D142" s="17"/>
      <c r="E142" s="17"/>
      <c r="F142" s="17"/>
      <c r="G142" s="39"/>
      <c r="H142" s="17"/>
    </row>
    <row r="143" spans="3:13">
      <c r="C143" s="17"/>
      <c r="D143" s="17"/>
      <c r="E143" s="39"/>
      <c r="F143" s="40"/>
      <c r="G143" s="39"/>
      <c r="H143" s="40"/>
    </row>
    <row r="144" spans="3:13">
      <c r="C144" s="17"/>
      <c r="D144" s="17"/>
      <c r="E144" s="39"/>
      <c r="F144" s="40"/>
      <c r="G144" s="39"/>
      <c r="H144" s="40"/>
    </row>
    <row r="145" spans="3:8">
      <c r="C145" s="40"/>
      <c r="D145" s="40"/>
      <c r="E145" s="2"/>
      <c r="F145" s="2"/>
      <c r="G145" s="2"/>
      <c r="H145" s="39"/>
    </row>
    <row r="146" spans="3:8">
      <c r="C146" s="40"/>
      <c r="D146" s="40"/>
      <c r="E146" s="39"/>
      <c r="F146" s="39"/>
      <c r="G146" s="39"/>
      <c r="H146" s="39"/>
    </row>
    <row r="147" spans="3:8">
      <c r="C147" s="40"/>
      <c r="D147" s="40"/>
      <c r="E147" s="40"/>
      <c r="F147" s="40"/>
      <c r="G147" s="40"/>
    </row>
    <row r="148" spans="3:8">
      <c r="C148" s="40"/>
      <c r="D148" s="40"/>
      <c r="E148" s="60"/>
      <c r="F148" s="41"/>
      <c r="G148" s="42"/>
      <c r="H148" s="47"/>
    </row>
    <row r="149" spans="3:8">
      <c r="C149" s="40"/>
      <c r="D149" s="40"/>
      <c r="E149" s="42"/>
      <c r="F149" s="41"/>
      <c r="G149" s="42"/>
      <c r="H149" s="47"/>
    </row>
    <row r="150" spans="3:8">
      <c r="C150" s="40"/>
      <c r="D150" s="40"/>
      <c r="E150" s="42"/>
      <c r="F150" s="41"/>
      <c r="G150" s="42"/>
      <c r="H150" s="49"/>
    </row>
    <row r="151" spans="3:8">
      <c r="C151" s="43"/>
      <c r="D151" s="40"/>
      <c r="E151" s="42"/>
      <c r="F151" s="41"/>
      <c r="G151" s="42"/>
      <c r="H151" s="17"/>
    </row>
    <row r="152" spans="3:8">
      <c r="C152" s="43"/>
      <c r="D152" s="40"/>
      <c r="E152" s="42"/>
      <c r="F152" s="41"/>
      <c r="G152" s="42"/>
      <c r="H152" s="17"/>
    </row>
    <row r="153" spans="3:8">
      <c r="C153" s="44"/>
      <c r="D153" s="40"/>
      <c r="E153" s="42"/>
      <c r="F153" s="41"/>
      <c r="G153" s="42"/>
      <c r="H153" s="17"/>
    </row>
    <row r="154" spans="3:8">
      <c r="C154" s="40"/>
      <c r="D154" s="40"/>
      <c r="E154" s="42"/>
      <c r="F154" s="41"/>
      <c r="G154" s="42"/>
      <c r="H154" s="17"/>
    </row>
    <row r="155" spans="3:8">
      <c r="C155" s="40"/>
      <c r="D155" s="40"/>
      <c r="E155" s="42"/>
      <c r="F155" s="41"/>
      <c r="G155" s="42"/>
      <c r="H155" s="17"/>
    </row>
    <row r="156" spans="3:8">
      <c r="C156" s="40"/>
      <c r="D156" s="40"/>
      <c r="E156" s="42"/>
      <c r="F156" s="41"/>
      <c r="G156" s="42"/>
      <c r="H156" s="17"/>
    </row>
    <row r="157" spans="3:8">
      <c r="C157" s="40"/>
      <c r="D157" s="40"/>
      <c r="E157" s="42"/>
      <c r="F157" s="41"/>
      <c r="G157" s="42"/>
      <c r="H157" s="17"/>
    </row>
    <row r="158" spans="3:8">
      <c r="C158" s="40"/>
      <c r="D158" s="40"/>
      <c r="E158" s="42"/>
      <c r="F158" s="41"/>
      <c r="G158" s="42"/>
      <c r="H158" s="17"/>
    </row>
    <row r="159" spans="3:8">
      <c r="C159" s="40"/>
      <c r="D159" s="40"/>
      <c r="E159" s="42"/>
      <c r="F159" s="41"/>
      <c r="G159" s="42"/>
      <c r="H159" s="17"/>
    </row>
    <row r="160" spans="3:8" ht="5.15" customHeight="1">
      <c r="C160" s="17"/>
      <c r="D160" s="17"/>
      <c r="E160" s="17"/>
      <c r="F160" s="17"/>
      <c r="G160" s="17"/>
      <c r="H160" s="17"/>
    </row>
    <row r="161" spans="3:8">
      <c r="C161" s="17"/>
      <c r="D161" s="17"/>
      <c r="E161" s="17"/>
      <c r="F161" s="17"/>
      <c r="G161" s="17"/>
      <c r="H161" s="17"/>
    </row>
    <row r="162" spans="3:8">
      <c r="C162" s="17"/>
      <c r="D162" s="17"/>
      <c r="E162" s="17"/>
      <c r="F162" s="17"/>
      <c r="G162" s="17"/>
      <c r="H162" s="17"/>
    </row>
    <row r="163" spans="3:8">
      <c r="C163" s="17"/>
      <c r="D163" s="17"/>
      <c r="E163" s="17"/>
      <c r="F163" s="17"/>
      <c r="G163" s="17"/>
      <c r="H163" s="17"/>
    </row>
    <row r="164" spans="3:8">
      <c r="C164" s="17"/>
      <c r="D164" s="17"/>
      <c r="E164" s="17"/>
      <c r="F164" s="17"/>
      <c r="G164" s="17"/>
      <c r="H164" s="17"/>
    </row>
  </sheetData>
  <mergeCells count="1">
    <mergeCell ref="E145:G145"/>
  </mergeCells>
  <pageMargins left="0.7" right="0.7" top="0.75" bottom="0.75" header="0.3" footer="0.3"/>
  <pageSetup scale="27" orientation="landscape" r:id="rId1"/>
  <headerFooter>
    <oddHeader>&amp;C&amp;G</oddHeader>
    <oddFooter>&amp;C&amp;G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5E76-703D-421A-A781-69456E7539BA}">
  <sheetPr>
    <tabColor rgb="FF92D050"/>
    <pageSetUpPr fitToPage="1"/>
  </sheetPr>
  <dimension ref="B4:M210"/>
  <sheetViews>
    <sheetView showGridLines="0" view="pageLayout" topLeftCell="B148" zoomScaleNormal="100" workbookViewId="0">
      <selection activeCell="E9" sqref="E9"/>
    </sheetView>
  </sheetViews>
  <sheetFormatPr defaultRowHeight="12.5"/>
  <cols>
    <col min="2" max="2" width="4.81640625" customWidth="1"/>
    <col min="3" max="3" width="43.26953125" customWidth="1"/>
    <col min="4" max="4" width="1.453125" customWidth="1"/>
    <col min="5" max="5" width="10.54296875" customWidth="1"/>
    <col min="6" max="6" width="1.453125" customWidth="1"/>
    <col min="7" max="7" width="10.54296875" customWidth="1"/>
    <col min="8" max="8" width="2.26953125" customWidth="1"/>
    <col min="9" max="9" width="11.7265625" customWidth="1"/>
    <col min="10" max="10" width="11" bestFit="1" customWidth="1"/>
    <col min="12" max="12" width="15.7265625" bestFit="1" customWidth="1"/>
    <col min="13" max="13" width="17.7265625" customWidth="1"/>
    <col min="14" max="14" width="10.54296875" bestFit="1" customWidth="1"/>
  </cols>
  <sheetData>
    <row r="4" spans="2:8" ht="18">
      <c r="B4" s="3"/>
      <c r="C4" s="3"/>
      <c r="D4" s="3"/>
      <c r="E4" s="3"/>
      <c r="F4" s="3"/>
    </row>
    <row r="6" spans="2:8">
      <c r="C6" s="4"/>
      <c r="D6" s="4"/>
      <c r="E6" s="4"/>
      <c r="F6" s="4"/>
    </row>
    <row r="7" spans="2:8" ht="13">
      <c r="B7" s="5"/>
      <c r="C7" s="6"/>
      <c r="D7" s="6"/>
      <c r="E7" s="6"/>
      <c r="F7" s="6"/>
    </row>
    <row r="8" spans="2:8" ht="15.5">
      <c r="C8" s="7"/>
      <c r="D8" s="7"/>
      <c r="E8" s="62">
        <v>45473</v>
      </c>
      <c r="F8" s="9"/>
      <c r="G8" s="10"/>
      <c r="H8" s="10"/>
    </row>
    <row r="9" spans="2:8" ht="15.5">
      <c r="C9" s="7"/>
      <c r="D9" s="7"/>
      <c r="E9" s="7"/>
      <c r="F9" s="7"/>
      <c r="G9" s="12"/>
    </row>
    <row r="10" spans="2:8">
      <c r="C10" s="13"/>
      <c r="D10" s="13"/>
      <c r="E10" s="14"/>
      <c r="F10" s="13"/>
      <c r="G10" s="79"/>
      <c r="H10" s="15"/>
    </row>
    <row r="11" spans="2:8">
      <c r="C11" s="13"/>
      <c r="D11" s="13"/>
      <c r="E11" s="14"/>
      <c r="F11" s="13"/>
      <c r="G11" s="80"/>
      <c r="H11" s="15"/>
    </row>
    <row r="12" spans="2:8" ht="15.5">
      <c r="C12" s="18"/>
      <c r="D12" s="18"/>
      <c r="E12" s="19"/>
      <c r="F12" s="18"/>
      <c r="G12" s="81"/>
      <c r="H12" s="7"/>
    </row>
    <row r="13" spans="2:8">
      <c r="C13" s="13"/>
      <c r="D13" s="13"/>
      <c r="E13" s="20"/>
      <c r="F13" s="13"/>
      <c r="G13" s="79"/>
      <c r="H13" s="21"/>
    </row>
    <row r="14" spans="2:8">
      <c r="C14" s="13"/>
      <c r="D14" s="13"/>
      <c r="E14" s="22"/>
      <c r="F14" s="13"/>
      <c r="G14" s="79"/>
      <c r="H14" s="23"/>
    </row>
    <row r="15" spans="2:8">
      <c r="C15" s="13"/>
      <c r="D15" s="13"/>
      <c r="E15" s="14"/>
      <c r="F15" s="13"/>
      <c r="G15" s="14"/>
      <c r="H15" s="15"/>
    </row>
    <row r="16" spans="2:8" ht="15.5">
      <c r="C16" s="7"/>
      <c r="D16" s="7"/>
      <c r="E16" s="19"/>
      <c r="F16" s="7"/>
      <c r="G16" s="19"/>
      <c r="H16" s="7"/>
    </row>
    <row r="17" spans="3:11" ht="15.5">
      <c r="C17" s="18" t="s">
        <v>0</v>
      </c>
      <c r="D17" s="18"/>
      <c r="E17" s="19"/>
      <c r="F17" s="18"/>
      <c r="G17" s="19"/>
      <c r="H17" s="7"/>
    </row>
    <row r="18" spans="3:11" ht="12.75" customHeight="1">
      <c r="C18" s="13" t="s">
        <v>1</v>
      </c>
      <c r="D18" s="13"/>
      <c r="E18" s="21">
        <f>G174</f>
        <v>0.10949377417564393</v>
      </c>
      <c r="F18" s="13"/>
      <c r="G18" s="20"/>
      <c r="H18" s="21"/>
    </row>
    <row r="19" spans="3:11">
      <c r="C19" s="13" t="s">
        <v>2</v>
      </c>
      <c r="D19" s="13"/>
      <c r="E19" s="25">
        <f>(G172+I173)/-I172</f>
        <v>1.5203453555243622</v>
      </c>
      <c r="F19" s="13"/>
      <c r="G19" s="25"/>
      <c r="H19" s="15"/>
    </row>
    <row r="20" spans="3:11">
      <c r="C20" s="13"/>
      <c r="D20" s="13"/>
      <c r="E20" s="13"/>
      <c r="F20" s="13"/>
      <c r="G20" s="15"/>
    </row>
    <row r="21" spans="3:11" ht="15.5">
      <c r="C21" s="26" t="s">
        <v>29</v>
      </c>
      <c r="D21" s="27"/>
      <c r="E21" s="27"/>
      <c r="F21" s="27"/>
      <c r="I21" s="17"/>
      <c r="K21" s="29"/>
    </row>
    <row r="22" spans="3:11">
      <c r="C22" s="30">
        <v>1.9399999999991462E-4</v>
      </c>
      <c r="D22" s="17"/>
      <c r="E22" s="17"/>
      <c r="F22" s="17"/>
      <c r="G22" s="31"/>
      <c r="H22" s="17"/>
      <c r="I22" s="17"/>
    </row>
    <row r="23" spans="3:11">
      <c r="C23" s="17" t="s">
        <v>7</v>
      </c>
      <c r="D23" s="17"/>
      <c r="E23" s="28">
        <v>41282</v>
      </c>
      <c r="F23" s="34"/>
      <c r="G23" s="32">
        <v>-6000</v>
      </c>
      <c r="H23" s="17"/>
      <c r="I23" s="16"/>
    </row>
    <row r="24" spans="3:11">
      <c r="C24" s="17"/>
      <c r="D24" s="17"/>
      <c r="E24" s="28">
        <v>41359</v>
      </c>
      <c r="F24" s="34"/>
      <c r="G24" s="32">
        <v>-4947</v>
      </c>
      <c r="H24" s="17"/>
      <c r="I24" s="16"/>
    </row>
    <row r="25" spans="3:11">
      <c r="C25" s="17"/>
      <c r="D25" s="17"/>
      <c r="E25" s="28">
        <v>41381</v>
      </c>
      <c r="F25" s="34"/>
      <c r="G25" s="32">
        <v>-1920.6</v>
      </c>
      <c r="H25" s="17"/>
      <c r="I25" s="16"/>
    </row>
    <row r="26" spans="3:11">
      <c r="C26" s="17"/>
      <c r="D26" s="17"/>
      <c r="E26" s="28">
        <v>41424</v>
      </c>
      <c r="F26" s="34"/>
      <c r="G26" s="32">
        <v>-1610.2</v>
      </c>
      <c r="H26" s="17"/>
      <c r="I26" s="16"/>
    </row>
    <row r="27" spans="3:11">
      <c r="C27" s="17"/>
      <c r="D27" s="17"/>
      <c r="E27" s="28">
        <v>41446</v>
      </c>
      <c r="F27" s="34"/>
      <c r="G27" s="32">
        <v>-58665.599999999999</v>
      </c>
      <c r="H27" s="17"/>
      <c r="I27" s="16"/>
    </row>
    <row r="28" spans="3:11">
      <c r="C28" s="17"/>
      <c r="D28" s="17"/>
      <c r="E28" s="28">
        <v>41498</v>
      </c>
      <c r="F28" s="34"/>
      <c r="G28" s="32">
        <v>-3918.8</v>
      </c>
      <c r="H28" s="17"/>
      <c r="I28" s="16"/>
    </row>
    <row r="29" spans="3:11">
      <c r="C29" s="17"/>
      <c r="D29" s="17"/>
      <c r="E29" s="28">
        <v>41527</v>
      </c>
      <c r="F29" s="34"/>
      <c r="G29" s="32">
        <v>-9855.2000000000007</v>
      </c>
      <c r="H29" s="17"/>
      <c r="I29" s="16"/>
    </row>
    <row r="30" spans="3:11">
      <c r="C30" s="17"/>
      <c r="D30" s="17"/>
      <c r="E30" s="28">
        <v>41534</v>
      </c>
      <c r="F30" s="34"/>
      <c r="G30" s="32">
        <v>-5024.6000000000004</v>
      </c>
      <c r="H30" s="17"/>
    </row>
    <row r="31" spans="3:11">
      <c r="C31" s="17"/>
      <c r="D31" s="17"/>
      <c r="E31" s="28">
        <v>41551</v>
      </c>
      <c r="F31" s="34"/>
      <c r="G31" s="32">
        <v>-4772.3999999999996</v>
      </c>
      <c r="H31" s="17"/>
    </row>
    <row r="32" spans="3:11">
      <c r="C32" s="17"/>
      <c r="D32" s="17"/>
      <c r="E32" s="28">
        <v>41585</v>
      </c>
      <c r="F32" s="34"/>
      <c r="G32" s="32">
        <v>-9137.4</v>
      </c>
      <c r="H32" s="17"/>
    </row>
    <row r="33" spans="3:12">
      <c r="C33" s="17"/>
      <c r="D33" s="17"/>
      <c r="E33" s="28">
        <v>41621</v>
      </c>
      <c r="F33" s="34"/>
      <c r="G33" s="32">
        <v>-16625.8</v>
      </c>
      <c r="H33" s="17"/>
    </row>
    <row r="34" spans="3:12">
      <c r="C34" s="17"/>
      <c r="D34" s="17"/>
      <c r="E34" s="28">
        <v>41635</v>
      </c>
      <c r="F34" s="34"/>
      <c r="G34" s="32">
        <v>-6770.6</v>
      </c>
      <c r="H34" s="17"/>
    </row>
    <row r="35" spans="3:12">
      <c r="C35" s="17" t="s">
        <v>9</v>
      </c>
      <c r="D35" s="17"/>
      <c r="E35" s="28">
        <v>41670</v>
      </c>
      <c r="F35" s="34"/>
      <c r="G35" s="34">
        <v>-5781.2</v>
      </c>
      <c r="H35" s="17"/>
      <c r="I35" s="16"/>
      <c r="J35" s="17"/>
    </row>
    <row r="36" spans="3:12">
      <c r="C36" s="17"/>
      <c r="D36" s="17"/>
      <c r="E36" s="28">
        <v>41712</v>
      </c>
      <c r="F36" s="34"/>
      <c r="G36" s="34">
        <v>-14666.47</v>
      </c>
      <c r="H36" s="17"/>
      <c r="I36" s="16"/>
      <c r="J36" s="17"/>
    </row>
    <row r="37" spans="3:12">
      <c r="C37" s="17"/>
      <c r="D37" s="17"/>
      <c r="E37" s="28">
        <v>41724</v>
      </c>
      <c r="F37" s="34"/>
      <c r="G37" s="34">
        <v>-5315.6</v>
      </c>
      <c r="H37" s="17"/>
      <c r="I37" s="16"/>
      <c r="J37" s="17"/>
    </row>
    <row r="38" spans="3:12">
      <c r="C38" s="17"/>
      <c r="D38" s="17"/>
      <c r="E38" s="28">
        <v>41733</v>
      </c>
      <c r="F38" s="34"/>
      <c r="G38" s="34">
        <v>-8380.7999999999993</v>
      </c>
      <c r="H38" s="17"/>
      <c r="I38" s="16"/>
      <c r="J38" s="17"/>
    </row>
    <row r="39" spans="3:12">
      <c r="C39" s="17"/>
      <c r="D39" s="17"/>
      <c r="E39" s="28">
        <v>41764</v>
      </c>
      <c r="F39" s="34"/>
      <c r="G39" s="34">
        <v>-7333.21</v>
      </c>
      <c r="H39" s="17"/>
      <c r="I39" s="16"/>
      <c r="J39" s="17"/>
    </row>
    <row r="40" spans="3:12">
      <c r="C40" s="17"/>
      <c r="D40" s="17"/>
      <c r="E40" s="28">
        <v>41774</v>
      </c>
      <c r="F40" s="34"/>
      <c r="G40" s="34">
        <v>-10320.799999999999</v>
      </c>
      <c r="H40" s="17"/>
      <c r="I40" s="16"/>
      <c r="J40" s="17"/>
    </row>
    <row r="41" spans="3:12">
      <c r="C41" s="17"/>
      <c r="D41" s="17"/>
      <c r="E41" s="28">
        <v>41788</v>
      </c>
      <c r="F41" s="34"/>
      <c r="G41" s="34">
        <v>-8012.19</v>
      </c>
      <c r="H41" s="17"/>
      <c r="I41" s="16"/>
      <c r="J41" s="17"/>
    </row>
    <row r="42" spans="3:12">
      <c r="C42" s="17"/>
      <c r="D42" s="17"/>
      <c r="E42" s="28">
        <v>41817</v>
      </c>
      <c r="F42" s="34"/>
      <c r="G42" s="34">
        <v>-14394.8</v>
      </c>
      <c r="H42" s="17"/>
      <c r="I42" s="16"/>
      <c r="J42" s="17"/>
    </row>
    <row r="43" spans="3:12">
      <c r="C43" s="17"/>
      <c r="D43" s="17"/>
      <c r="E43" s="28">
        <v>41830</v>
      </c>
      <c r="F43" s="34"/>
      <c r="G43" s="34">
        <v>-9098.61</v>
      </c>
      <c r="H43" s="17"/>
      <c r="I43" s="16"/>
      <c r="J43" s="17"/>
    </row>
    <row r="44" spans="3:12">
      <c r="C44" s="17"/>
      <c r="D44" s="17"/>
      <c r="E44" s="28">
        <v>41851</v>
      </c>
      <c r="F44" s="34"/>
      <c r="G44" s="34">
        <v>-5121.6000000000004</v>
      </c>
      <c r="H44" s="17"/>
      <c r="L44" s="63"/>
    </row>
    <row r="45" spans="3:12">
      <c r="C45" s="17"/>
      <c r="D45" s="17"/>
      <c r="E45" s="28">
        <v>41859</v>
      </c>
      <c r="F45" s="34"/>
      <c r="G45" s="34">
        <v>-9777.6</v>
      </c>
      <c r="H45" s="17"/>
      <c r="L45" s="63"/>
    </row>
    <row r="46" spans="3:12">
      <c r="C46" s="17"/>
      <c r="D46" s="17"/>
      <c r="E46" s="28">
        <v>41880</v>
      </c>
      <c r="F46" s="34"/>
      <c r="G46" s="34">
        <v>-6052.8</v>
      </c>
      <c r="H46" s="17"/>
      <c r="K46" s="64"/>
    </row>
    <row r="47" spans="3:12">
      <c r="C47" s="17"/>
      <c r="D47" s="17"/>
      <c r="E47" s="28">
        <v>41900</v>
      </c>
      <c r="F47" s="34"/>
      <c r="G47" s="34">
        <v>-24948.41</v>
      </c>
      <c r="H47" s="17"/>
    </row>
    <row r="48" spans="3:12">
      <c r="C48" s="17"/>
      <c r="D48" s="17"/>
      <c r="E48" s="28">
        <v>41915</v>
      </c>
      <c r="F48" s="34"/>
      <c r="G48" s="34">
        <v>-25666.19</v>
      </c>
      <c r="H48" s="17"/>
    </row>
    <row r="49" spans="3:10">
      <c r="C49" s="17"/>
      <c r="D49" s="17"/>
      <c r="E49" s="28">
        <v>41929</v>
      </c>
      <c r="F49" s="34"/>
      <c r="G49" s="34">
        <v>-19031.400000000001</v>
      </c>
      <c r="H49" s="17"/>
      <c r="I49" s="16"/>
      <c r="J49" s="17"/>
    </row>
    <row r="50" spans="3:10">
      <c r="C50" s="17"/>
      <c r="D50" s="17"/>
      <c r="E50" s="28">
        <v>41943</v>
      </c>
      <c r="F50" s="34"/>
      <c r="G50" s="34">
        <v>-12648.8</v>
      </c>
      <c r="H50" s="17"/>
      <c r="I50" s="16"/>
      <c r="J50" s="17"/>
    </row>
    <row r="51" spans="3:10">
      <c r="C51" s="17"/>
      <c r="D51" s="17"/>
      <c r="E51" s="28">
        <v>41977</v>
      </c>
      <c r="F51" s="34"/>
      <c r="G51" s="34">
        <v>-19109</v>
      </c>
      <c r="H51" s="17"/>
      <c r="I51" s="16"/>
      <c r="J51" s="17"/>
    </row>
    <row r="52" spans="3:10">
      <c r="C52" s="17" t="s">
        <v>10</v>
      </c>
      <c r="D52" s="17"/>
      <c r="E52" s="28">
        <v>41817</v>
      </c>
      <c r="F52" s="34"/>
      <c r="G52" s="34">
        <v>14124.6</v>
      </c>
      <c r="H52" s="17"/>
      <c r="I52" s="16"/>
      <c r="J52" s="17"/>
    </row>
    <row r="53" spans="3:10">
      <c r="C53" s="17" t="s">
        <v>11</v>
      </c>
      <c r="D53" s="17"/>
      <c r="E53" s="28">
        <v>42009</v>
      </c>
      <c r="F53" s="34"/>
      <c r="G53" s="34">
        <v>-61672.6</v>
      </c>
      <c r="H53" s="17"/>
    </row>
    <row r="54" spans="3:10">
      <c r="C54" s="17"/>
      <c r="D54" s="17"/>
      <c r="E54" s="28">
        <v>42027</v>
      </c>
      <c r="F54" s="34"/>
      <c r="G54" s="34">
        <v>-29216.400000000001</v>
      </c>
      <c r="H54" s="17"/>
    </row>
    <row r="55" spans="3:10">
      <c r="C55" s="17"/>
      <c r="D55" s="17"/>
      <c r="E55" s="28">
        <v>42048</v>
      </c>
      <c r="F55" s="34"/>
      <c r="G55" s="34">
        <v>-13075.61</v>
      </c>
      <c r="H55" s="17"/>
    </row>
    <row r="56" spans="3:10">
      <c r="C56" s="17"/>
      <c r="D56" s="17"/>
      <c r="E56" s="28">
        <v>42061</v>
      </c>
      <c r="F56" s="34"/>
      <c r="G56" s="34">
        <v>-9525.4</v>
      </c>
      <c r="H56" s="17"/>
    </row>
    <row r="57" spans="3:10">
      <c r="C57" s="17"/>
      <c r="D57" s="17"/>
      <c r="E57" s="28">
        <v>42088</v>
      </c>
      <c r="F57" s="34"/>
      <c r="G57" s="34">
        <v>-20331.2</v>
      </c>
      <c r="H57" s="17"/>
    </row>
    <row r="58" spans="3:10">
      <c r="C58" s="17"/>
      <c r="D58" s="17"/>
      <c r="E58" s="28">
        <v>42111</v>
      </c>
      <c r="F58" s="34"/>
      <c r="G58" s="34">
        <v>-16431.79</v>
      </c>
      <c r="H58" s="17"/>
    </row>
    <row r="59" spans="3:10">
      <c r="C59" s="17"/>
      <c r="D59" s="17"/>
      <c r="E59" s="28">
        <v>42138</v>
      </c>
      <c r="F59" s="34"/>
      <c r="G59" s="34">
        <v>-14200.8</v>
      </c>
      <c r="H59" s="17"/>
    </row>
    <row r="60" spans="3:10">
      <c r="C60" s="17"/>
      <c r="D60" s="17"/>
      <c r="E60" s="28">
        <v>42156</v>
      </c>
      <c r="F60" s="34"/>
      <c r="G60" s="34">
        <v>-17440.59</v>
      </c>
      <c r="H60" s="17"/>
    </row>
    <row r="61" spans="3:10">
      <c r="C61" s="17"/>
      <c r="D61" s="17"/>
      <c r="E61" s="28">
        <v>42187</v>
      </c>
      <c r="F61" s="34"/>
      <c r="G61" s="34">
        <v>-13812.8</v>
      </c>
      <c r="H61" s="17"/>
    </row>
    <row r="62" spans="3:10">
      <c r="C62" s="17"/>
      <c r="D62" s="17"/>
      <c r="E62" s="28">
        <v>42230</v>
      </c>
      <c r="F62" s="34"/>
      <c r="G62" s="34">
        <v>-9292.6</v>
      </c>
      <c r="H62" s="17"/>
      <c r="I62" s="16"/>
      <c r="J62" s="17"/>
    </row>
    <row r="63" spans="3:10">
      <c r="C63" s="17"/>
      <c r="D63" s="17"/>
      <c r="E63" s="28">
        <v>42258</v>
      </c>
      <c r="F63" s="34"/>
      <c r="G63" s="34">
        <v>-18410.59</v>
      </c>
      <c r="H63" s="17"/>
      <c r="I63" s="16"/>
      <c r="J63" s="17"/>
    </row>
    <row r="64" spans="3:10">
      <c r="C64" s="17"/>
      <c r="D64" s="17"/>
      <c r="E64" s="28">
        <v>42272</v>
      </c>
      <c r="F64" s="34"/>
      <c r="G64" s="34">
        <v>-25743.81</v>
      </c>
      <c r="H64" s="17"/>
      <c r="I64" s="16"/>
      <c r="J64" s="17"/>
    </row>
    <row r="65" spans="3:10">
      <c r="C65" s="17"/>
      <c r="D65" s="17"/>
      <c r="E65" s="28">
        <v>42293</v>
      </c>
      <c r="F65" s="34"/>
      <c r="G65" s="34">
        <v>-24579.8</v>
      </c>
      <c r="H65" s="17"/>
      <c r="I65" s="16"/>
      <c r="J65" s="17"/>
    </row>
    <row r="66" spans="3:10">
      <c r="C66" s="17"/>
      <c r="D66" s="17"/>
      <c r="E66" s="28">
        <v>42345</v>
      </c>
      <c r="F66" s="34"/>
      <c r="G66" s="34">
        <v>-11523.6</v>
      </c>
      <c r="H66" s="17"/>
      <c r="I66" s="16"/>
      <c r="J66" s="17"/>
    </row>
    <row r="67" spans="3:10">
      <c r="C67" s="17"/>
      <c r="D67" s="17"/>
      <c r="E67" s="28">
        <v>42361</v>
      </c>
      <c r="F67" s="34"/>
      <c r="G67" s="34">
        <v>-8865.81</v>
      </c>
      <c r="H67" s="17"/>
      <c r="I67" s="16"/>
      <c r="J67" s="17"/>
    </row>
    <row r="68" spans="3:10">
      <c r="C68" s="17" t="s">
        <v>12</v>
      </c>
      <c r="D68" s="17"/>
      <c r="E68" s="28">
        <v>42249</v>
      </c>
      <c r="F68" s="34"/>
      <c r="G68" s="34">
        <v>19359.939999999999</v>
      </c>
      <c r="H68" s="17"/>
      <c r="I68" s="16"/>
      <c r="J68" s="17"/>
    </row>
    <row r="69" spans="3:10">
      <c r="C69" s="17" t="s">
        <v>13</v>
      </c>
      <c r="D69" s="17"/>
      <c r="E69" s="28">
        <v>42382</v>
      </c>
      <c r="F69" s="34"/>
      <c r="G69" s="34">
        <v>-16101.99</v>
      </c>
      <c r="H69" s="17"/>
      <c r="I69" s="16"/>
      <c r="J69" s="17"/>
    </row>
    <row r="70" spans="3:10">
      <c r="C70" s="17"/>
      <c r="D70" s="17"/>
      <c r="E70" s="28">
        <v>42457</v>
      </c>
      <c r="F70" s="34"/>
      <c r="G70" s="34">
        <v>-17983.810000000001</v>
      </c>
      <c r="H70" s="17"/>
      <c r="I70" s="16"/>
      <c r="J70" s="17"/>
    </row>
    <row r="71" spans="3:10">
      <c r="C71" s="17"/>
      <c r="D71" s="17"/>
      <c r="E71" s="28">
        <v>42468</v>
      </c>
      <c r="F71" s="34"/>
      <c r="G71" s="34">
        <v>-20796.8</v>
      </c>
      <c r="H71" s="17"/>
      <c r="I71" s="16"/>
      <c r="J71" s="17"/>
    </row>
    <row r="72" spans="3:10">
      <c r="C72" s="17"/>
      <c r="D72" s="17"/>
      <c r="E72" s="28">
        <v>42507</v>
      </c>
      <c r="F72" s="34"/>
      <c r="G72" s="34">
        <v>-74864.600000000006</v>
      </c>
      <c r="H72" s="17"/>
      <c r="I72" s="16"/>
      <c r="J72" s="17"/>
    </row>
    <row r="73" spans="3:10">
      <c r="C73" s="17"/>
      <c r="D73" s="17"/>
      <c r="E73" s="28">
        <v>42543</v>
      </c>
      <c r="F73" s="34"/>
      <c r="G73" s="34">
        <v>-38528.400000000001</v>
      </c>
      <c r="H73" s="17"/>
      <c r="I73" s="16"/>
      <c r="J73" s="17"/>
    </row>
    <row r="74" spans="3:10">
      <c r="C74" s="17"/>
      <c r="D74" s="17"/>
      <c r="E74" s="28">
        <v>42557</v>
      </c>
      <c r="F74" s="34"/>
      <c r="G74" s="34">
        <v>-8594.19</v>
      </c>
      <c r="H74" s="17"/>
      <c r="I74" s="16"/>
      <c r="J74" s="17"/>
    </row>
    <row r="75" spans="3:10">
      <c r="C75" s="17"/>
      <c r="D75" s="17"/>
      <c r="E75" s="28">
        <v>42590</v>
      </c>
      <c r="F75" s="34"/>
      <c r="G75" s="34">
        <v>-18003.21</v>
      </c>
      <c r="H75" s="17"/>
    </row>
    <row r="76" spans="3:10">
      <c r="C76" s="17"/>
      <c r="D76" s="17"/>
      <c r="E76" s="28">
        <v>42607</v>
      </c>
      <c r="F76" s="34"/>
      <c r="G76" s="34">
        <v>-31951.8</v>
      </c>
      <c r="H76" s="17"/>
    </row>
    <row r="77" spans="3:10">
      <c r="C77" s="17"/>
      <c r="D77" s="17"/>
      <c r="E77" s="28">
        <v>42628</v>
      </c>
      <c r="F77" s="34"/>
      <c r="G77" s="34">
        <v>-18216.599999999999</v>
      </c>
      <c r="H77" s="17"/>
    </row>
    <row r="78" spans="3:10">
      <c r="C78" s="17"/>
      <c r="D78" s="17"/>
      <c r="E78" s="28">
        <v>42634</v>
      </c>
      <c r="F78" s="34"/>
      <c r="G78" s="34">
        <v>-11872.81</v>
      </c>
      <c r="H78" s="17"/>
    </row>
    <row r="79" spans="3:10">
      <c r="C79" s="17"/>
      <c r="D79" s="17"/>
      <c r="E79" s="28">
        <v>42663</v>
      </c>
      <c r="F79" s="34"/>
      <c r="G79" s="34">
        <v>-21049</v>
      </c>
      <c r="H79" s="17"/>
    </row>
    <row r="80" spans="3:10">
      <c r="C80" s="17"/>
      <c r="D80" s="17"/>
      <c r="E80" s="28">
        <v>42731</v>
      </c>
      <c r="F80" s="34"/>
      <c r="G80" s="34">
        <v>-23862</v>
      </c>
      <c r="H80" s="17"/>
    </row>
    <row r="81" spans="3:10">
      <c r="C81" s="17" t="s">
        <v>14</v>
      </c>
      <c r="D81" s="17"/>
      <c r="E81" s="28">
        <v>42377</v>
      </c>
      <c r="F81" s="34"/>
      <c r="G81" s="34">
        <v>112997.82</v>
      </c>
      <c r="H81" s="17"/>
    </row>
    <row r="82" spans="3:10">
      <c r="C82" s="17"/>
      <c r="D82" s="17"/>
      <c r="E82" s="28">
        <v>42542</v>
      </c>
      <c r="F82" s="34"/>
      <c r="G82" s="34">
        <v>14181.9</v>
      </c>
      <c r="H82" s="17"/>
    </row>
    <row r="83" spans="3:10">
      <c r="C83" s="17"/>
      <c r="D83" s="17"/>
      <c r="E83" s="28">
        <v>42570</v>
      </c>
      <c r="F83" s="34"/>
      <c r="G83" s="34">
        <v>4479.96</v>
      </c>
      <c r="H83" s="17"/>
    </row>
    <row r="84" spans="3:10">
      <c r="C84" s="17"/>
      <c r="D84" s="17"/>
      <c r="E84" s="28">
        <v>42586</v>
      </c>
      <c r="F84" s="34"/>
      <c r="G84" s="34">
        <v>52988.38</v>
      </c>
      <c r="H84" s="17"/>
    </row>
    <row r="85" spans="3:10">
      <c r="C85" s="17"/>
      <c r="D85" s="17"/>
      <c r="E85" s="28">
        <v>42634</v>
      </c>
      <c r="F85" s="34"/>
      <c r="G85" s="34">
        <v>11287.1</v>
      </c>
      <c r="H85" s="17"/>
    </row>
    <row r="86" spans="3:10">
      <c r="C86" s="17"/>
      <c r="D86" s="17"/>
      <c r="E86" s="28">
        <v>42677</v>
      </c>
      <c r="F86" s="34"/>
      <c r="G86" s="34">
        <v>7607.96</v>
      </c>
      <c r="H86" s="17"/>
    </row>
    <row r="87" spans="3:10">
      <c r="C87" s="17"/>
      <c r="D87" s="17"/>
      <c r="E87" s="28">
        <v>42709</v>
      </c>
      <c r="F87" s="34"/>
      <c r="G87" s="34">
        <v>17704.009999999998</v>
      </c>
      <c r="H87" s="17"/>
    </row>
    <row r="88" spans="3:10">
      <c r="C88" s="17"/>
      <c r="D88" s="17"/>
      <c r="E88" s="28">
        <v>42726</v>
      </c>
      <c r="F88" s="34"/>
      <c r="G88" s="34">
        <v>155129.46</v>
      </c>
      <c r="H88" s="17"/>
      <c r="I88" s="16"/>
      <c r="J88" s="17"/>
    </row>
    <row r="89" spans="3:10">
      <c r="C89" s="17" t="s">
        <v>15</v>
      </c>
      <c r="D89" s="17"/>
      <c r="E89" s="28">
        <v>42753</v>
      </c>
      <c r="F89" s="34"/>
      <c r="G89" s="34">
        <v>-15772.21</v>
      </c>
      <c r="H89" s="17"/>
      <c r="I89" s="16"/>
      <c r="J89" s="17"/>
    </row>
    <row r="90" spans="3:10">
      <c r="C90" s="17"/>
      <c r="D90" s="17"/>
      <c r="E90" s="28">
        <v>42816</v>
      </c>
      <c r="F90" s="34"/>
      <c r="G90" s="34">
        <v>-12241.4</v>
      </c>
      <c r="H90" s="17"/>
      <c r="I90" s="16"/>
      <c r="J90" s="17"/>
    </row>
    <row r="91" spans="3:10">
      <c r="C91" s="17"/>
      <c r="D91" s="17"/>
      <c r="E91" s="28">
        <v>42838</v>
      </c>
      <c r="F91" s="34"/>
      <c r="G91" s="34">
        <v>-12125</v>
      </c>
      <c r="H91" s="17"/>
      <c r="I91" s="16"/>
      <c r="J91" s="17"/>
    </row>
    <row r="92" spans="3:10">
      <c r="C92" s="17"/>
      <c r="D92" s="17"/>
      <c r="E92" s="28">
        <v>42879</v>
      </c>
      <c r="F92" s="34"/>
      <c r="G92" s="34">
        <v>-13114.4</v>
      </c>
      <c r="H92" s="17"/>
      <c r="I92" s="16"/>
      <c r="J92" s="17"/>
    </row>
    <row r="93" spans="3:10">
      <c r="C93" s="17"/>
      <c r="D93" s="17"/>
      <c r="E93" s="28">
        <v>42908</v>
      </c>
      <c r="F93" s="34"/>
      <c r="G93" s="34">
        <v>-8497.2000000000007</v>
      </c>
      <c r="H93" s="17"/>
      <c r="I93" s="16"/>
      <c r="J93" s="17"/>
    </row>
    <row r="94" spans="3:10">
      <c r="C94" s="17"/>
      <c r="D94" s="17"/>
      <c r="E94" s="28">
        <v>42933</v>
      </c>
      <c r="F94" s="34"/>
      <c r="G94" s="34">
        <v>-8303.19</v>
      </c>
      <c r="H94" s="17"/>
      <c r="I94" s="16"/>
      <c r="J94" s="17"/>
    </row>
    <row r="95" spans="3:10">
      <c r="C95" s="17"/>
      <c r="D95" s="17"/>
      <c r="E95" s="28">
        <v>42963</v>
      </c>
      <c r="F95" s="34"/>
      <c r="G95" s="34">
        <v>-23862</v>
      </c>
      <c r="H95" s="17"/>
      <c r="I95" s="16"/>
      <c r="J95" s="17"/>
    </row>
    <row r="96" spans="3:10">
      <c r="C96" s="17"/>
      <c r="D96" s="17"/>
      <c r="E96" s="28">
        <v>42997</v>
      </c>
      <c r="F96" s="34"/>
      <c r="G96" s="34">
        <v>-11834</v>
      </c>
      <c r="H96" s="17"/>
      <c r="I96" s="16"/>
      <c r="J96" s="17"/>
    </row>
    <row r="97" spans="3:12">
      <c r="C97" s="17"/>
      <c r="D97" s="17"/>
      <c r="E97" s="28">
        <v>43014</v>
      </c>
      <c r="F97" s="34"/>
      <c r="G97" s="34">
        <v>-14821.6</v>
      </c>
      <c r="H97" s="17"/>
      <c r="I97" s="16"/>
      <c r="J97" s="17"/>
    </row>
    <row r="98" spans="3:12">
      <c r="C98" s="17"/>
      <c r="D98" s="17"/>
      <c r="E98" s="28">
        <v>43091</v>
      </c>
      <c r="F98" s="34"/>
      <c r="G98" s="34">
        <v>-8691.2000000000007</v>
      </c>
      <c r="H98" s="17"/>
      <c r="I98" s="16"/>
      <c r="J98" s="17"/>
    </row>
    <row r="99" spans="3:12">
      <c r="C99" s="17" t="s">
        <v>16</v>
      </c>
      <c r="D99" s="17"/>
      <c r="E99" s="28">
        <v>42745</v>
      </c>
      <c r="F99" s="34"/>
      <c r="G99" s="34">
        <v>145791.53</v>
      </c>
      <c r="H99" s="17"/>
    </row>
    <row r="100" spans="3:12" ht="15.5">
      <c r="C100" s="17"/>
      <c r="D100" s="17"/>
      <c r="E100" s="28">
        <v>42775</v>
      </c>
      <c r="F100" s="34"/>
      <c r="G100" s="34">
        <v>8665.25</v>
      </c>
      <c r="H100" s="17"/>
      <c r="L100" s="12"/>
    </row>
    <row r="101" spans="3:12">
      <c r="C101" s="17"/>
      <c r="D101" s="17"/>
      <c r="E101" s="28">
        <v>42824</v>
      </c>
      <c r="F101" s="34"/>
      <c r="G101" s="34">
        <v>5425.33</v>
      </c>
      <c r="H101" s="17"/>
      <c r="I101" s="16"/>
      <c r="J101" s="17"/>
      <c r="L101" s="59"/>
    </row>
    <row r="102" spans="3:12">
      <c r="C102" s="17"/>
      <c r="D102" s="17"/>
      <c r="E102" s="28">
        <v>42877</v>
      </c>
      <c r="F102" s="34"/>
      <c r="G102" s="34">
        <v>6038.39</v>
      </c>
      <c r="H102" s="17"/>
      <c r="I102" s="16"/>
      <c r="J102" s="17"/>
      <c r="L102" s="59"/>
    </row>
    <row r="103" spans="3:12">
      <c r="C103" s="17"/>
      <c r="D103" s="17"/>
      <c r="E103" s="28">
        <v>42914</v>
      </c>
      <c r="F103" s="34"/>
      <c r="G103" s="34">
        <v>54409.63</v>
      </c>
      <c r="H103" s="17"/>
      <c r="I103" s="16"/>
      <c r="J103" s="17"/>
      <c r="L103" s="59"/>
    </row>
    <row r="104" spans="3:12">
      <c r="C104" s="17"/>
      <c r="D104" s="17"/>
      <c r="E104" s="28">
        <v>42936</v>
      </c>
      <c r="F104" s="34"/>
      <c r="G104" s="34">
        <v>5808.96</v>
      </c>
      <c r="H104" s="17"/>
      <c r="I104" s="16"/>
      <c r="J104" s="17"/>
      <c r="L104" s="59"/>
    </row>
    <row r="105" spans="3:12">
      <c r="C105" s="17"/>
      <c r="D105" s="17"/>
      <c r="E105" s="28">
        <v>43019</v>
      </c>
      <c r="F105" s="34"/>
      <c r="G105" s="34">
        <v>4861.67</v>
      </c>
      <c r="H105" s="17"/>
      <c r="I105" s="16"/>
      <c r="J105" s="17"/>
    </row>
    <row r="106" spans="3:12">
      <c r="C106" s="17"/>
      <c r="D106" s="17"/>
      <c r="E106" s="28">
        <v>43052</v>
      </c>
      <c r="F106" s="34"/>
      <c r="G106" s="34">
        <v>3105.78</v>
      </c>
      <c r="H106" s="17"/>
      <c r="I106" s="16"/>
      <c r="J106" s="17"/>
    </row>
    <row r="107" spans="3:12">
      <c r="C107" s="17" t="s">
        <v>17</v>
      </c>
      <c r="D107" s="17"/>
      <c r="E107" s="28">
        <v>43178</v>
      </c>
      <c r="F107" s="34"/>
      <c r="G107" s="34">
        <v>-7003.4</v>
      </c>
      <c r="H107" s="17"/>
      <c r="I107" s="16"/>
      <c r="J107" s="17"/>
    </row>
    <row r="108" spans="3:12">
      <c r="C108" s="17"/>
      <c r="D108" s="17"/>
      <c r="E108" s="28">
        <v>43194</v>
      </c>
      <c r="F108" s="34"/>
      <c r="G108" s="34">
        <v>-10223.799999999999</v>
      </c>
      <c r="H108" s="17"/>
      <c r="I108" s="16"/>
      <c r="J108" s="17"/>
    </row>
    <row r="109" spans="3:12">
      <c r="C109" s="17"/>
      <c r="D109" s="17"/>
      <c r="E109" s="28">
        <v>43251</v>
      </c>
      <c r="F109" s="34"/>
      <c r="G109" s="34">
        <v>-8439</v>
      </c>
      <c r="H109" s="17"/>
      <c r="I109" s="16"/>
      <c r="J109" s="17"/>
    </row>
    <row r="110" spans="3:12">
      <c r="C110" s="17"/>
      <c r="D110" s="17"/>
      <c r="E110" s="28">
        <v>43342</v>
      </c>
      <c r="F110" s="34"/>
      <c r="G110" s="34">
        <v>-11058.01</v>
      </c>
      <c r="H110" s="17"/>
      <c r="I110" s="16"/>
      <c r="J110" s="17"/>
    </row>
    <row r="111" spans="3:12">
      <c r="C111" s="17"/>
      <c r="D111" s="17"/>
      <c r="E111" s="28">
        <v>43434</v>
      </c>
      <c r="F111" s="34"/>
      <c r="G111" s="34">
        <v>-12571.2</v>
      </c>
      <c r="H111" s="17"/>
      <c r="I111" s="16"/>
      <c r="J111" s="17"/>
    </row>
    <row r="112" spans="3:12">
      <c r="C112" s="17" t="s">
        <v>18</v>
      </c>
      <c r="D112" s="17"/>
      <c r="E112" s="28">
        <v>43116</v>
      </c>
      <c r="F112" s="34"/>
      <c r="G112" s="34">
        <v>26108.63</v>
      </c>
      <c r="H112" s="17"/>
      <c r="I112" s="16"/>
      <c r="J112" s="17"/>
    </row>
    <row r="113" spans="3:10">
      <c r="C113" s="17"/>
      <c r="D113" s="17"/>
      <c r="E113" s="28">
        <v>43145</v>
      </c>
      <c r="F113" s="34"/>
      <c r="G113" s="34">
        <v>8058.97</v>
      </c>
      <c r="H113" s="17"/>
      <c r="I113" s="16"/>
      <c r="J113" s="17"/>
    </row>
    <row r="114" spans="3:10">
      <c r="C114" s="17"/>
      <c r="D114" s="17"/>
      <c r="E114" s="28">
        <v>43222</v>
      </c>
      <c r="F114" s="34"/>
      <c r="G114" s="34">
        <v>16229.8</v>
      </c>
      <c r="H114" s="17"/>
      <c r="I114" s="16"/>
      <c r="J114" s="17"/>
    </row>
    <row r="115" spans="3:10">
      <c r="C115" s="17"/>
      <c r="D115" s="17"/>
      <c r="E115" s="28">
        <v>43314</v>
      </c>
      <c r="F115" s="34"/>
      <c r="G115" s="34">
        <v>17321.990000000002</v>
      </c>
      <c r="H115" s="17"/>
      <c r="I115" s="16"/>
      <c r="J115" s="17"/>
    </row>
    <row r="116" spans="3:10">
      <c r="C116" s="17"/>
      <c r="D116" s="17"/>
      <c r="E116" s="28">
        <v>43341</v>
      </c>
      <c r="F116" s="34"/>
      <c r="G116" s="34">
        <v>48223.37</v>
      </c>
      <c r="H116" s="17"/>
      <c r="I116" s="16"/>
      <c r="J116" s="17"/>
    </row>
    <row r="117" spans="3:10">
      <c r="C117" s="17"/>
      <c r="D117" s="17"/>
      <c r="E117" s="28">
        <v>43398</v>
      </c>
      <c r="F117" s="34"/>
      <c r="G117" s="34">
        <v>15335.35</v>
      </c>
      <c r="H117" s="17"/>
      <c r="I117" s="16"/>
      <c r="J117" s="17"/>
    </row>
    <row r="118" spans="3:10">
      <c r="C118" s="17" t="s">
        <v>19</v>
      </c>
      <c r="D118" s="17"/>
      <c r="E118" s="28">
        <v>43529</v>
      </c>
      <c r="F118" s="34"/>
      <c r="G118" s="34">
        <v>-5800.6</v>
      </c>
      <c r="H118" s="17"/>
      <c r="I118" s="16"/>
      <c r="J118" s="17"/>
    </row>
    <row r="119" spans="3:10">
      <c r="C119" s="17"/>
      <c r="D119" s="17"/>
      <c r="E119" s="28">
        <v>43564</v>
      </c>
      <c r="F119" s="34"/>
      <c r="G119" s="34">
        <v>-7197.4</v>
      </c>
      <c r="H119" s="17"/>
      <c r="I119" s="16"/>
      <c r="J119" s="17"/>
    </row>
    <row r="120" spans="3:10">
      <c r="C120" s="17"/>
      <c r="D120" s="17"/>
      <c r="E120" s="28">
        <v>43782</v>
      </c>
      <c r="F120" s="34"/>
      <c r="G120" s="34">
        <v>-6227.4</v>
      </c>
      <c r="H120" s="17"/>
      <c r="I120" s="16"/>
      <c r="J120" s="17"/>
    </row>
    <row r="121" spans="3:10">
      <c r="C121" s="17" t="s">
        <v>20</v>
      </c>
      <c r="D121" s="17"/>
      <c r="E121" s="28">
        <v>43479</v>
      </c>
      <c r="F121" s="34"/>
      <c r="G121" s="34">
        <v>5103.5</v>
      </c>
      <c r="H121" s="17"/>
      <c r="I121" s="16"/>
      <c r="J121" s="17"/>
    </row>
    <row r="122" spans="3:10">
      <c r="C122" s="17"/>
      <c r="D122" s="17"/>
      <c r="E122" s="28">
        <v>43558</v>
      </c>
      <c r="F122" s="34"/>
      <c r="G122" s="34">
        <v>48982.15</v>
      </c>
      <c r="H122" s="17"/>
      <c r="I122" s="16"/>
      <c r="J122" s="17"/>
    </row>
    <row r="123" spans="3:10">
      <c r="C123" s="17"/>
      <c r="D123" s="17"/>
      <c r="E123" s="28">
        <v>43622</v>
      </c>
      <c r="F123" s="34"/>
      <c r="G123" s="34">
        <v>6911.2</v>
      </c>
      <c r="H123" s="17"/>
      <c r="I123" s="16"/>
      <c r="J123" s="17"/>
    </row>
    <row r="124" spans="3:10">
      <c r="C124" s="17"/>
      <c r="D124" s="17"/>
      <c r="E124" s="28">
        <v>43689</v>
      </c>
      <c r="F124" s="34"/>
      <c r="G124" s="34">
        <v>11739.53</v>
      </c>
      <c r="H124" s="17"/>
      <c r="I124" s="16"/>
      <c r="J124" s="17"/>
    </row>
    <row r="125" spans="3:10">
      <c r="C125" s="17"/>
      <c r="D125" s="17"/>
      <c r="E125" s="28">
        <v>43753</v>
      </c>
      <c r="F125" s="34"/>
      <c r="G125" s="34">
        <v>5771.8</v>
      </c>
      <c r="H125" s="17"/>
      <c r="I125" s="16"/>
      <c r="J125" s="17"/>
    </row>
    <row r="126" spans="3:10" ht="12.75" customHeight="1">
      <c r="C126" s="17" t="s">
        <v>21</v>
      </c>
      <c r="D126" s="17"/>
      <c r="E126" s="28">
        <v>43923</v>
      </c>
      <c r="F126" s="34"/>
      <c r="G126" s="34">
        <v>-5315.6</v>
      </c>
      <c r="H126" s="17"/>
      <c r="I126" s="16"/>
      <c r="J126" s="17"/>
    </row>
    <row r="127" spans="3:10" ht="12.75" customHeight="1">
      <c r="C127" s="17"/>
      <c r="D127" s="17"/>
      <c r="E127" s="28">
        <v>44104</v>
      </c>
      <c r="F127" s="34"/>
      <c r="G127" s="34">
        <v>-6188.61</v>
      </c>
      <c r="H127" s="17"/>
      <c r="I127" s="16"/>
      <c r="J127" s="17"/>
    </row>
    <row r="128" spans="3:10" ht="12.75" customHeight="1">
      <c r="C128" s="17" t="s">
        <v>30</v>
      </c>
      <c r="D128" s="17"/>
      <c r="E128" s="28">
        <v>43867</v>
      </c>
      <c r="F128" s="34"/>
      <c r="G128" s="34">
        <v>13193.28</v>
      </c>
      <c r="H128" s="17"/>
      <c r="I128" s="16"/>
      <c r="J128" s="17"/>
    </row>
    <row r="129" spans="3:12" ht="12.75" customHeight="1">
      <c r="C129" s="17"/>
      <c r="D129" s="17"/>
      <c r="E129" s="28">
        <v>44153</v>
      </c>
      <c r="F129" s="34"/>
      <c r="G129" s="34">
        <v>8884.23</v>
      </c>
      <c r="H129" s="17"/>
      <c r="I129" s="16"/>
      <c r="J129" s="17"/>
      <c r="L129" s="12"/>
    </row>
    <row r="130" spans="3:12" ht="12.75" customHeight="1">
      <c r="C130" s="17" t="s">
        <v>31</v>
      </c>
      <c r="D130" s="17"/>
      <c r="E130" s="28">
        <v>44279</v>
      </c>
      <c r="F130" s="34"/>
      <c r="G130" s="34">
        <v>-4171</v>
      </c>
      <c r="H130" s="17"/>
      <c r="I130" s="16"/>
      <c r="J130" s="17"/>
    </row>
    <row r="131" spans="3:12" ht="12.75" customHeight="1">
      <c r="C131" s="17"/>
      <c r="D131" s="17"/>
      <c r="E131" s="28">
        <v>44463</v>
      </c>
      <c r="F131" s="34"/>
      <c r="G131" s="34">
        <v>-2832.4</v>
      </c>
      <c r="H131" s="17"/>
      <c r="I131" s="16"/>
      <c r="J131" s="17"/>
    </row>
    <row r="132" spans="3:12" ht="12.75" customHeight="1">
      <c r="C132" s="17" t="s">
        <v>22</v>
      </c>
      <c r="D132" s="17"/>
      <c r="E132" s="28">
        <v>44224</v>
      </c>
      <c r="F132" s="34"/>
      <c r="G132" s="34">
        <v>6225.6</v>
      </c>
      <c r="H132" s="17"/>
      <c r="I132" s="16"/>
      <c r="J132" s="17"/>
      <c r="L132" s="12"/>
    </row>
    <row r="133" spans="3:12" ht="12.75" customHeight="1">
      <c r="C133" s="17"/>
      <c r="D133" s="17"/>
      <c r="E133" s="28">
        <v>44259</v>
      </c>
      <c r="F133" s="34"/>
      <c r="G133" s="34">
        <v>13767.91</v>
      </c>
      <c r="H133" s="17"/>
      <c r="I133" s="16"/>
      <c r="J133" s="17"/>
      <c r="L133" s="12"/>
    </row>
    <row r="134" spans="3:12" ht="12.75" customHeight="1">
      <c r="C134" s="17"/>
      <c r="D134" s="17"/>
      <c r="E134" s="28">
        <v>44383</v>
      </c>
      <c r="F134" s="34"/>
      <c r="G134" s="34">
        <v>62739.66</v>
      </c>
      <c r="H134" s="17"/>
      <c r="I134" s="16"/>
      <c r="J134" s="17"/>
      <c r="L134" s="12"/>
    </row>
    <row r="135" spans="3:12" ht="12.75" customHeight="1">
      <c r="C135" s="17"/>
      <c r="D135" s="17"/>
      <c r="E135" s="28">
        <v>44441</v>
      </c>
      <c r="F135" s="34"/>
      <c r="G135" s="34">
        <v>5291.49</v>
      </c>
      <c r="H135" s="17"/>
      <c r="I135" s="16"/>
      <c r="J135" s="17"/>
      <c r="L135" s="12"/>
    </row>
    <row r="136" spans="3:12" ht="12.75" customHeight="1">
      <c r="C136" s="17"/>
      <c r="D136" s="17"/>
      <c r="E136" s="28">
        <v>44502</v>
      </c>
      <c r="F136" s="34"/>
      <c r="G136" s="34">
        <v>24019.45</v>
      </c>
      <c r="H136" s="17"/>
      <c r="I136" s="16"/>
      <c r="J136" s="17"/>
      <c r="L136" s="12"/>
    </row>
    <row r="137" spans="3:12" ht="12.75" customHeight="1">
      <c r="C137" s="17"/>
      <c r="D137" s="17"/>
      <c r="E137" s="28">
        <v>44551</v>
      </c>
      <c r="F137" s="34"/>
      <c r="G137" s="34">
        <v>7571.28</v>
      </c>
      <c r="H137" s="17"/>
      <c r="I137" s="16"/>
      <c r="J137" s="17"/>
      <c r="L137" s="12"/>
    </row>
    <row r="138" spans="3:12" ht="12.75" customHeight="1">
      <c r="C138" s="17" t="s">
        <v>32</v>
      </c>
      <c r="D138" s="17"/>
      <c r="E138" s="28">
        <v>44651</v>
      </c>
      <c r="F138" s="34"/>
      <c r="G138" s="34">
        <v>-1571.4</v>
      </c>
      <c r="H138" s="17"/>
      <c r="I138" s="16"/>
      <c r="J138" s="17"/>
      <c r="L138" s="12"/>
    </row>
    <row r="139" spans="3:12" ht="12.75" customHeight="1">
      <c r="C139" s="17"/>
      <c r="D139" s="17"/>
      <c r="E139" s="28">
        <v>44742</v>
      </c>
      <c r="F139" s="34"/>
      <c r="G139" s="34">
        <v>-1396.8</v>
      </c>
      <c r="H139" s="17"/>
      <c r="I139" s="16"/>
      <c r="J139" s="17"/>
      <c r="L139" s="12"/>
    </row>
    <row r="140" spans="3:12" ht="12.75" customHeight="1">
      <c r="C140" s="17"/>
      <c r="D140" s="17"/>
      <c r="E140" s="28">
        <v>44827</v>
      </c>
      <c r="F140" s="34"/>
      <c r="G140" s="34">
        <v>-1319.2</v>
      </c>
      <c r="H140" s="17"/>
      <c r="I140" s="16"/>
      <c r="J140" s="17"/>
      <c r="L140" s="12"/>
    </row>
    <row r="141" spans="3:12" ht="12.75" customHeight="1">
      <c r="C141" s="17" t="s">
        <v>23</v>
      </c>
      <c r="D141" s="17"/>
      <c r="E141" s="28">
        <v>44582</v>
      </c>
      <c r="F141" s="34"/>
      <c r="G141" s="34">
        <v>30889.58</v>
      </c>
      <c r="H141" s="17"/>
      <c r="I141" s="16"/>
      <c r="J141" s="17"/>
      <c r="L141" s="12"/>
    </row>
    <row r="142" spans="3:12" ht="12.75" customHeight="1">
      <c r="C142" s="17"/>
      <c r="D142" s="17"/>
      <c r="E142" s="28">
        <v>44599</v>
      </c>
      <c r="F142" s="34"/>
      <c r="G142" s="34">
        <v>12658.15</v>
      </c>
      <c r="H142" s="17"/>
      <c r="I142" s="16"/>
      <c r="J142" s="17"/>
      <c r="L142" s="12"/>
    </row>
    <row r="143" spans="3:12" ht="12.75" customHeight="1">
      <c r="C143" s="17"/>
      <c r="D143" s="17"/>
      <c r="E143" s="28">
        <v>44634</v>
      </c>
      <c r="F143" s="34"/>
      <c r="G143" s="34">
        <v>22379.35</v>
      </c>
      <c r="H143" s="17"/>
      <c r="I143" s="16"/>
      <c r="J143" s="17"/>
      <c r="L143" s="12"/>
    </row>
    <row r="144" spans="3:12" ht="12.75" customHeight="1">
      <c r="C144" s="17"/>
      <c r="D144" s="17"/>
      <c r="E144" s="28">
        <v>44657</v>
      </c>
      <c r="F144" s="34"/>
      <c r="G144" s="34">
        <v>21681.51</v>
      </c>
      <c r="H144" s="17"/>
      <c r="I144" s="16"/>
      <c r="J144" s="17"/>
      <c r="L144" s="12"/>
    </row>
    <row r="145" spans="3:12" ht="12.75" customHeight="1">
      <c r="C145" s="17"/>
      <c r="D145" s="17"/>
      <c r="E145" s="28">
        <v>44694</v>
      </c>
      <c r="F145" s="34"/>
      <c r="G145" s="34">
        <v>27260.29</v>
      </c>
      <c r="H145" s="17"/>
      <c r="I145" s="16"/>
      <c r="J145" s="17"/>
      <c r="L145" s="12"/>
    </row>
    <row r="146" spans="3:12" ht="12.75" customHeight="1">
      <c r="C146" s="17"/>
      <c r="D146" s="17"/>
      <c r="E146" s="28">
        <v>44715</v>
      </c>
      <c r="F146" s="34"/>
      <c r="G146" s="34">
        <v>14232.74</v>
      </c>
      <c r="H146" s="17"/>
      <c r="I146" s="16"/>
      <c r="J146" s="17"/>
      <c r="L146" s="12"/>
    </row>
    <row r="147" spans="3:12" ht="12.75" customHeight="1">
      <c r="C147" s="17"/>
      <c r="D147" s="17"/>
      <c r="E147" s="28">
        <v>44755</v>
      </c>
      <c r="F147" s="34"/>
      <c r="G147" s="34">
        <v>25502.76</v>
      </c>
      <c r="H147" s="17"/>
      <c r="I147" s="16"/>
      <c r="J147" s="17"/>
      <c r="L147" s="12"/>
    </row>
    <row r="148" spans="3:12" ht="12.75" customHeight="1">
      <c r="C148" s="17"/>
      <c r="D148" s="17"/>
      <c r="E148" s="28">
        <v>44777</v>
      </c>
      <c r="F148" s="34"/>
      <c r="G148" s="34">
        <v>8644.26</v>
      </c>
      <c r="H148" s="17"/>
      <c r="I148" s="16"/>
      <c r="J148" s="17"/>
      <c r="L148" s="12"/>
    </row>
    <row r="149" spans="3:12" ht="12.75" customHeight="1">
      <c r="C149" s="17"/>
      <c r="D149" s="17"/>
      <c r="E149" s="28">
        <v>44812</v>
      </c>
      <c r="F149" s="34"/>
      <c r="G149" s="34">
        <v>17805.38</v>
      </c>
      <c r="H149" s="17"/>
      <c r="I149" s="16"/>
      <c r="J149" s="17"/>
      <c r="L149" s="12"/>
    </row>
    <row r="150" spans="3:12" ht="12.75" customHeight="1">
      <c r="C150" s="17"/>
      <c r="D150" s="17"/>
      <c r="E150" s="28">
        <v>44851</v>
      </c>
      <c r="F150" s="34"/>
      <c r="G150" s="34">
        <v>20169.77</v>
      </c>
      <c r="H150" s="17"/>
      <c r="I150" s="16"/>
      <c r="J150" s="17"/>
      <c r="L150" s="12"/>
    </row>
    <row r="151" spans="3:12" ht="12.75" customHeight="1">
      <c r="C151" s="17"/>
      <c r="D151" s="17"/>
      <c r="E151" s="28">
        <v>44869</v>
      </c>
      <c r="F151" s="34"/>
      <c r="G151" s="34">
        <v>8114.41</v>
      </c>
      <c r="H151" s="17"/>
      <c r="I151" s="16"/>
      <c r="J151" s="17"/>
      <c r="L151" s="12"/>
    </row>
    <row r="152" spans="3:12" ht="12.75" customHeight="1">
      <c r="C152" s="17" t="s">
        <v>24</v>
      </c>
      <c r="D152" s="17"/>
      <c r="E152" s="28">
        <v>44938</v>
      </c>
      <c r="F152" s="34"/>
      <c r="G152" s="34">
        <v>11221.47</v>
      </c>
      <c r="H152" s="17"/>
      <c r="I152" s="16"/>
      <c r="J152" s="17"/>
      <c r="L152" s="12"/>
    </row>
    <row r="153" spans="3:12" ht="12.75" customHeight="1">
      <c r="C153" s="17"/>
      <c r="D153" s="17"/>
      <c r="E153" s="28">
        <v>44964</v>
      </c>
      <c r="F153" s="34"/>
      <c r="G153" s="34">
        <v>2623.72</v>
      </c>
      <c r="H153" s="17"/>
      <c r="I153" s="16"/>
      <c r="J153" s="17"/>
      <c r="L153" s="12"/>
    </row>
    <row r="154" spans="3:12" ht="12.75" customHeight="1">
      <c r="C154" s="17"/>
      <c r="D154" s="17"/>
      <c r="E154" s="28">
        <v>45007</v>
      </c>
      <c r="F154" s="34"/>
      <c r="G154" s="34">
        <v>3707.4</v>
      </c>
      <c r="H154" s="17"/>
      <c r="I154" s="16"/>
      <c r="J154" s="17"/>
      <c r="L154" s="12"/>
    </row>
    <row r="155" spans="3:12" ht="12.75" customHeight="1">
      <c r="C155" s="17"/>
      <c r="D155" s="17"/>
      <c r="E155" s="28">
        <v>45037</v>
      </c>
      <c r="F155" s="34"/>
      <c r="G155" s="34">
        <v>3336.46</v>
      </c>
      <c r="H155" s="17"/>
      <c r="I155" s="16"/>
      <c r="J155" s="17"/>
      <c r="L155" s="12"/>
    </row>
    <row r="156" spans="3:12" ht="12.75" customHeight="1">
      <c r="C156" s="17"/>
      <c r="D156" s="17"/>
      <c r="E156" s="28">
        <v>45065</v>
      </c>
      <c r="F156" s="34"/>
      <c r="G156" s="34">
        <v>10053.76</v>
      </c>
      <c r="H156" s="17"/>
      <c r="I156" s="16"/>
      <c r="J156" s="17"/>
      <c r="L156" s="12"/>
    </row>
    <row r="157" spans="3:12" ht="12.75" customHeight="1">
      <c r="C157" s="17"/>
      <c r="D157" s="17"/>
      <c r="E157" s="28">
        <v>45092</v>
      </c>
      <c r="F157" s="34"/>
      <c r="G157" s="34">
        <v>104189.4</v>
      </c>
      <c r="H157" s="17"/>
      <c r="I157" s="16"/>
      <c r="J157" s="17"/>
      <c r="L157" s="12"/>
    </row>
    <row r="158" spans="3:12" ht="12.75" customHeight="1">
      <c r="C158" s="17"/>
      <c r="D158" s="17"/>
      <c r="E158" s="28">
        <v>45119</v>
      </c>
      <c r="F158" s="34"/>
      <c r="G158" s="34">
        <v>3194.66</v>
      </c>
      <c r="H158" s="17"/>
      <c r="I158" s="16"/>
      <c r="J158" s="17"/>
      <c r="L158" s="12"/>
    </row>
    <row r="159" spans="3:12" ht="12.75" customHeight="1">
      <c r="C159" s="17"/>
      <c r="D159" s="17"/>
      <c r="E159" s="28">
        <v>45142</v>
      </c>
      <c r="F159" s="34"/>
      <c r="G159" s="34">
        <v>2410.29</v>
      </c>
      <c r="H159" s="17"/>
      <c r="I159" s="16"/>
      <c r="J159" s="17"/>
      <c r="L159" s="12"/>
    </row>
    <row r="160" spans="3:12" ht="12.75" customHeight="1">
      <c r="C160" s="17"/>
      <c r="D160" s="17"/>
      <c r="E160" s="28">
        <v>45180</v>
      </c>
      <c r="F160" s="34"/>
      <c r="G160" s="34">
        <v>3510.83</v>
      </c>
      <c r="H160" s="17"/>
      <c r="I160" s="16"/>
      <c r="J160" s="17"/>
      <c r="L160" s="12"/>
    </row>
    <row r="161" spans="3:13" ht="12.75" customHeight="1">
      <c r="C161" s="17"/>
      <c r="D161" s="17"/>
      <c r="E161" s="28">
        <v>45190</v>
      </c>
      <c r="F161" s="34"/>
      <c r="G161" s="34">
        <v>21394.1</v>
      </c>
      <c r="H161" s="17"/>
      <c r="I161" s="16"/>
      <c r="J161" s="17"/>
      <c r="L161" s="12"/>
    </row>
    <row r="162" spans="3:13" ht="12.75" customHeight="1">
      <c r="C162" s="17"/>
      <c r="D162" s="17"/>
      <c r="E162" s="28">
        <v>45196</v>
      </c>
      <c r="F162" s="34"/>
      <c r="G162" s="34">
        <v>1319.15</v>
      </c>
      <c r="H162" s="17"/>
      <c r="I162" s="16"/>
      <c r="J162" s="17"/>
      <c r="L162" s="12"/>
    </row>
    <row r="163" spans="3:13" ht="12.75" customHeight="1">
      <c r="C163" s="17"/>
      <c r="D163" s="17"/>
      <c r="E163" s="28">
        <v>45239</v>
      </c>
      <c r="F163" s="34"/>
      <c r="G163" s="34">
        <v>5632.96</v>
      </c>
      <c r="H163" s="17"/>
      <c r="I163" s="16"/>
      <c r="J163" s="17"/>
      <c r="L163" s="12"/>
    </row>
    <row r="164" spans="3:13" ht="12.75" customHeight="1">
      <c r="C164" s="17"/>
      <c r="D164" s="17"/>
      <c r="E164" s="28">
        <v>45266</v>
      </c>
      <c r="F164" s="34"/>
      <c r="G164" s="34">
        <v>14995.07</v>
      </c>
      <c r="H164" s="17"/>
      <c r="I164" s="16"/>
      <c r="J164" s="17"/>
      <c r="L164" s="12"/>
    </row>
    <row r="165" spans="3:13" ht="12.75" customHeight="1">
      <c r="C165" s="17" t="s">
        <v>35</v>
      </c>
      <c r="D165" s="17"/>
      <c r="E165" s="28">
        <v>45301</v>
      </c>
      <c r="F165" s="34"/>
      <c r="G165" s="34">
        <v>116090.52</v>
      </c>
      <c r="H165" s="17"/>
      <c r="I165" s="16"/>
      <c r="J165" s="17"/>
      <c r="L165" s="12"/>
    </row>
    <row r="166" spans="3:13" ht="12.75" customHeight="1">
      <c r="C166" s="17"/>
      <c r="D166" s="17"/>
      <c r="E166" s="28">
        <v>45335</v>
      </c>
      <c r="F166" s="34"/>
      <c r="G166" s="34">
        <v>1241.69</v>
      </c>
      <c r="H166" s="17"/>
      <c r="I166" s="16"/>
      <c r="J166" s="17"/>
      <c r="L166" s="12"/>
    </row>
    <row r="167" spans="3:13" ht="12.75" customHeight="1">
      <c r="C167" s="17"/>
      <c r="D167" s="17"/>
      <c r="E167" s="28">
        <v>45359</v>
      </c>
      <c r="F167" s="34"/>
      <c r="G167" s="34">
        <v>3778.03</v>
      </c>
      <c r="H167" s="17"/>
      <c r="I167" s="16"/>
      <c r="J167" s="17"/>
      <c r="L167" s="12"/>
    </row>
    <row r="168" spans="3:13" ht="12.75" customHeight="1">
      <c r="C168" s="17"/>
      <c r="D168" s="17"/>
      <c r="E168" s="28">
        <v>45384</v>
      </c>
      <c r="F168" s="34"/>
      <c r="G168" s="34">
        <v>668.36</v>
      </c>
      <c r="H168" s="17"/>
      <c r="I168" s="16"/>
      <c r="J168" s="17"/>
      <c r="L168" s="12"/>
    </row>
    <row r="169" spans="3:13" ht="12.75" customHeight="1">
      <c r="C169" s="17"/>
      <c r="D169" s="17"/>
      <c r="E169" s="28">
        <v>45432</v>
      </c>
      <c r="F169" s="34"/>
      <c r="G169" s="34">
        <v>4983.78</v>
      </c>
      <c r="H169" s="17"/>
      <c r="I169" s="16"/>
      <c r="J169" s="17"/>
      <c r="L169" s="12"/>
    </row>
    <row r="170" spans="3:13" ht="12.75" customHeight="1">
      <c r="C170" s="17"/>
      <c r="D170" s="17"/>
      <c r="E170" s="28">
        <v>45449</v>
      </c>
      <c r="F170" s="34"/>
      <c r="G170" s="34">
        <v>811.7</v>
      </c>
      <c r="H170" s="17"/>
      <c r="I170" s="16"/>
      <c r="J170" s="17"/>
      <c r="L170" s="12"/>
    </row>
    <row r="171" spans="3:13" ht="4.5" customHeight="1">
      <c r="C171" s="17"/>
      <c r="D171" s="17"/>
      <c r="E171" s="28"/>
      <c r="F171" s="17"/>
      <c r="G171" s="34"/>
      <c r="H171" s="17"/>
      <c r="I171" s="16"/>
    </row>
    <row r="172" spans="3:13" ht="15.5">
      <c r="C172" s="17" t="s">
        <v>25</v>
      </c>
      <c r="D172" s="17"/>
      <c r="E172" s="28">
        <f>+E8</f>
        <v>45473</v>
      </c>
      <c r="F172" s="17"/>
      <c r="G172" s="35">
        <f>L172/0.97*C22</f>
        <v>230629.39539989849</v>
      </c>
      <c r="H172" s="17"/>
      <c r="I172" s="34">
        <f>+SUMIF($G$23:$G$171,"&lt;0",$G$23:$G$171)</f>
        <v>-1151434.3099999998</v>
      </c>
      <c r="J172" s="17" t="s">
        <v>26</v>
      </c>
      <c r="L172" s="119">
        <v>1153146977</v>
      </c>
      <c r="M172" s="12"/>
    </row>
    <row r="173" spans="3:13">
      <c r="C173" s="17"/>
      <c r="D173" s="17"/>
      <c r="E173" s="17"/>
      <c r="F173" s="17"/>
      <c r="G173" s="17"/>
      <c r="H173" s="17"/>
      <c r="I173" s="34">
        <f>+SUMIF($G$23:$G$171,"&gt;0",$G$23:$G$171)</f>
        <v>1519948.41</v>
      </c>
      <c r="J173" s="17" t="s">
        <v>27</v>
      </c>
    </row>
    <row r="174" spans="3:13">
      <c r="C174" t="s">
        <v>28</v>
      </c>
      <c r="G174" s="38">
        <f>+XIRR(G23:G172,E23:E172,0.1)</f>
        <v>0.10949377417564393</v>
      </c>
      <c r="H174" s="17"/>
    </row>
    <row r="175" spans="3:13">
      <c r="C175" s="17"/>
      <c r="D175" s="17"/>
      <c r="E175" s="17"/>
      <c r="F175" s="17"/>
      <c r="G175" s="16"/>
      <c r="H175" s="17"/>
      <c r="L175" s="63"/>
    </row>
    <row r="176" spans="3:13">
      <c r="C176" s="17"/>
      <c r="D176" s="17"/>
      <c r="E176" s="17"/>
      <c r="F176" s="17"/>
      <c r="G176" s="17"/>
      <c r="H176" s="17"/>
      <c r="I176" s="37"/>
    </row>
    <row r="177" spans="3:8">
      <c r="C177" s="54"/>
      <c r="D177" s="17"/>
      <c r="E177" s="65"/>
      <c r="F177" s="17"/>
      <c r="G177" s="65"/>
      <c r="H177" s="17"/>
    </row>
    <row r="178" spans="3:8">
      <c r="C178" s="66"/>
      <c r="D178" s="40"/>
      <c r="E178" s="65"/>
      <c r="F178" s="40"/>
      <c r="G178" s="65"/>
      <c r="H178" s="17"/>
    </row>
    <row r="179" spans="3:8">
      <c r="C179" s="66"/>
      <c r="D179" s="40"/>
      <c r="E179" s="65"/>
      <c r="F179" s="40"/>
      <c r="G179" s="65"/>
      <c r="H179" s="17"/>
    </row>
    <row r="180" spans="3:8">
      <c r="C180" s="40"/>
      <c r="D180" s="40"/>
      <c r="E180" s="2"/>
      <c r="F180" s="2"/>
      <c r="G180" s="2"/>
    </row>
    <row r="181" spans="3:8">
      <c r="C181" s="40"/>
      <c r="D181" s="40"/>
      <c r="E181" s="39"/>
      <c r="F181" s="39"/>
      <c r="G181" s="39"/>
    </row>
    <row r="182" spans="3:8">
      <c r="C182" s="40"/>
      <c r="D182" s="40"/>
      <c r="E182" s="40"/>
      <c r="F182" s="40"/>
      <c r="G182" s="40"/>
    </row>
    <row r="183" spans="3:8">
      <c r="C183" s="40"/>
      <c r="D183" s="40"/>
      <c r="E183" s="60"/>
      <c r="F183" s="41"/>
      <c r="G183" s="60"/>
    </row>
    <row r="184" spans="3:8">
      <c r="C184" s="40"/>
      <c r="D184" s="40"/>
      <c r="E184" s="42"/>
      <c r="F184" s="41"/>
      <c r="G184" s="42"/>
    </row>
    <row r="185" spans="3:8">
      <c r="C185" s="40"/>
      <c r="D185" s="40"/>
      <c r="E185" s="42"/>
      <c r="F185" s="41"/>
      <c r="G185" s="42"/>
    </row>
    <row r="186" spans="3:8">
      <c r="C186" s="43"/>
      <c r="D186" s="40"/>
      <c r="E186" s="42"/>
      <c r="F186" s="41"/>
      <c r="G186" s="42"/>
    </row>
    <row r="187" spans="3:8">
      <c r="C187" s="43"/>
      <c r="D187" s="40"/>
      <c r="E187" s="42"/>
      <c r="F187" s="41"/>
      <c r="G187" s="42"/>
    </row>
    <row r="188" spans="3:8">
      <c r="C188" s="44"/>
      <c r="D188" s="40"/>
      <c r="E188" s="42"/>
      <c r="F188" s="41"/>
      <c r="G188" s="42"/>
    </row>
    <row r="189" spans="3:8">
      <c r="C189" s="40"/>
      <c r="D189" s="40"/>
      <c r="E189" s="42"/>
      <c r="F189" s="41"/>
      <c r="G189" s="42"/>
    </row>
    <row r="190" spans="3:8">
      <c r="C190" s="40"/>
      <c r="D190" s="40"/>
      <c r="E190" s="42"/>
      <c r="F190" s="41"/>
      <c r="G190" s="42"/>
    </row>
    <row r="191" spans="3:8">
      <c r="C191" s="40"/>
      <c r="D191" s="40"/>
      <c r="E191" s="42"/>
      <c r="F191" s="41"/>
      <c r="G191" s="42"/>
    </row>
    <row r="192" spans="3:8">
      <c r="C192" s="40"/>
      <c r="D192" s="40"/>
      <c r="E192" s="42"/>
      <c r="F192" s="41"/>
      <c r="G192" s="42"/>
    </row>
    <row r="193" spans="3:8">
      <c r="C193" s="40"/>
      <c r="D193" s="40"/>
      <c r="E193" s="42"/>
      <c r="F193" s="41"/>
      <c r="G193" s="42"/>
    </row>
    <row r="194" spans="3:8">
      <c r="C194" s="40"/>
      <c r="D194" s="40"/>
      <c r="E194" s="42"/>
      <c r="F194" s="41"/>
      <c r="G194" s="42"/>
    </row>
    <row r="195" spans="3:8" s="55" customFormat="1" ht="5.15" customHeight="1">
      <c r="C195"/>
      <c r="D195"/>
      <c r="E195" s="45"/>
      <c r="F195" s="45"/>
      <c r="G195" s="45"/>
    </row>
    <row r="196" spans="3:8">
      <c r="E196" s="46"/>
      <c r="F196" s="46"/>
      <c r="G196" s="46"/>
    </row>
    <row r="197" spans="3:8">
      <c r="C197" s="17"/>
      <c r="D197" s="17"/>
      <c r="E197" s="48"/>
      <c r="F197" s="48"/>
      <c r="G197" s="48"/>
      <c r="H197" s="17"/>
    </row>
    <row r="198" spans="3:8">
      <c r="C198" s="17"/>
      <c r="D198" s="17"/>
      <c r="E198" s="48"/>
      <c r="F198" s="48"/>
      <c r="G198" s="48"/>
      <c r="H198" s="17"/>
    </row>
    <row r="199" spans="3:8">
      <c r="C199" s="17"/>
      <c r="D199" s="17"/>
      <c r="E199" s="48"/>
      <c r="F199" s="48"/>
      <c r="G199" s="48"/>
      <c r="H199" s="17"/>
    </row>
    <row r="200" spans="3:8">
      <c r="C200" s="17"/>
      <c r="D200" s="17"/>
      <c r="E200" s="49"/>
      <c r="F200" s="49"/>
      <c r="G200" s="49"/>
      <c r="H200" s="17"/>
    </row>
    <row r="201" spans="3:8">
      <c r="C201" s="17"/>
      <c r="D201" s="17"/>
      <c r="E201" s="17"/>
      <c r="F201" s="17"/>
      <c r="G201" s="17"/>
      <c r="H201" s="17"/>
    </row>
    <row r="202" spans="3:8">
      <c r="C202" s="17"/>
      <c r="D202" s="17"/>
      <c r="E202" s="17"/>
      <c r="F202" s="17"/>
      <c r="G202" s="17"/>
      <c r="H202" s="17"/>
    </row>
    <row r="203" spans="3:8">
      <c r="C203" s="17"/>
      <c r="D203" s="17"/>
      <c r="E203" s="17"/>
      <c r="F203" s="17"/>
      <c r="G203" s="17"/>
      <c r="H203" s="17"/>
    </row>
    <row r="204" spans="3:8">
      <c r="C204" s="17"/>
      <c r="D204" s="17"/>
      <c r="E204" s="17"/>
      <c r="F204" s="17"/>
      <c r="G204" s="17"/>
      <c r="H204" s="17"/>
    </row>
    <row r="205" spans="3:8">
      <c r="C205" s="17"/>
      <c r="D205" s="17"/>
      <c r="E205" s="17"/>
      <c r="F205" s="17"/>
      <c r="G205" s="17"/>
      <c r="H205" s="17"/>
    </row>
    <row r="206" spans="3:8">
      <c r="C206" s="17"/>
      <c r="D206" s="17"/>
      <c r="E206" s="17"/>
      <c r="F206" s="17"/>
      <c r="G206" s="17"/>
      <c r="H206" s="17"/>
    </row>
    <row r="207" spans="3:8">
      <c r="C207" s="17"/>
      <c r="D207" s="17"/>
      <c r="E207" s="17"/>
      <c r="F207" s="17"/>
      <c r="G207" s="17"/>
      <c r="H207" s="17"/>
    </row>
    <row r="208" spans="3:8">
      <c r="C208" s="17"/>
      <c r="D208" s="17"/>
      <c r="E208" s="17"/>
      <c r="F208" s="17"/>
      <c r="G208" s="17"/>
      <c r="H208" s="17"/>
    </row>
    <row r="209" spans="3:8">
      <c r="C209" s="17"/>
      <c r="D209" s="17"/>
      <c r="E209" s="17"/>
      <c r="F209" s="17"/>
      <c r="G209" s="17"/>
      <c r="H209" s="17"/>
    </row>
    <row r="210" spans="3:8">
      <c r="C210" s="17"/>
      <c r="D210" s="17"/>
      <c r="E210" s="17"/>
      <c r="F210" s="17"/>
      <c r="G210" s="17"/>
      <c r="H210" s="17"/>
    </row>
  </sheetData>
  <mergeCells count="1">
    <mergeCell ref="E180:G180"/>
  </mergeCells>
  <pageMargins left="0.75" right="0.33" top="1" bottom="1" header="0.5" footer="0.5"/>
  <pageSetup scale="18" orientation="landscape" r:id="rId1"/>
  <headerFooter alignWithMargins="0">
    <oddHeader>&amp;C&amp;G</oddHeader>
    <oddFooter>&amp;C&amp;G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59CF-BFDB-4F9E-A9CF-E1D847C21E73}">
  <sheetPr>
    <tabColor rgb="FF92D050"/>
    <pageSetUpPr fitToPage="1"/>
  </sheetPr>
  <dimension ref="B4:M197"/>
  <sheetViews>
    <sheetView showGridLines="0" view="pageLayout" topLeftCell="A155" zoomScaleNormal="100" workbookViewId="0">
      <selection activeCell="L173" sqref="L173"/>
    </sheetView>
  </sheetViews>
  <sheetFormatPr defaultRowHeight="12.5"/>
  <cols>
    <col min="2" max="2" width="4.81640625" customWidth="1"/>
    <col min="3" max="3" width="39.7265625" customWidth="1"/>
    <col min="4" max="4" width="1.453125" customWidth="1"/>
    <col min="5" max="5" width="10.54296875" customWidth="1"/>
    <col min="6" max="6" width="1.453125" customWidth="1"/>
    <col min="7" max="7" width="11.7265625" bestFit="1" customWidth="1"/>
    <col min="8" max="8" width="2.453125" style="55" customWidth="1"/>
    <col min="9" max="9" width="12.54296875" bestFit="1" customWidth="1"/>
    <col min="10" max="10" width="10.54296875" bestFit="1" customWidth="1"/>
    <col min="12" max="12" width="17" customWidth="1"/>
    <col min="13" max="13" width="18.1796875" customWidth="1"/>
  </cols>
  <sheetData>
    <row r="4" spans="2:8" ht="18">
      <c r="B4" s="3"/>
      <c r="C4" s="3"/>
      <c r="D4" s="3"/>
      <c r="E4" s="3"/>
      <c r="F4" s="3"/>
    </row>
    <row r="6" spans="2:8">
      <c r="C6" s="4"/>
      <c r="D6" s="4"/>
      <c r="E6" s="4"/>
      <c r="F6" s="4"/>
    </row>
    <row r="7" spans="2:8" ht="13">
      <c r="B7" s="5"/>
      <c r="C7" s="6"/>
      <c r="D7" s="6"/>
      <c r="E7" s="6"/>
      <c r="F7" s="6"/>
    </row>
    <row r="8" spans="2:8" ht="15.5">
      <c r="C8" s="7"/>
      <c r="D8" s="7"/>
      <c r="E8" s="62">
        <f>+'Fund IX'!E8</f>
        <v>45473</v>
      </c>
      <c r="F8" s="9"/>
      <c r="G8" s="10"/>
      <c r="H8" s="67"/>
    </row>
    <row r="9" spans="2:8" ht="15.5">
      <c r="C9" s="7"/>
      <c r="D9" s="7"/>
      <c r="E9" s="7"/>
      <c r="F9" s="7"/>
      <c r="G9" s="12"/>
    </row>
    <row r="10" spans="2:8">
      <c r="C10" s="13"/>
      <c r="D10" s="13"/>
      <c r="E10" s="14"/>
      <c r="F10" s="13"/>
      <c r="G10" s="82"/>
      <c r="H10" s="68"/>
    </row>
    <row r="11" spans="2:8">
      <c r="C11" s="13"/>
      <c r="D11" s="13"/>
      <c r="E11" s="14"/>
      <c r="F11" s="13"/>
      <c r="G11" s="83"/>
      <c r="H11" s="68"/>
    </row>
    <row r="12" spans="2:8" ht="15.5">
      <c r="C12" s="18"/>
      <c r="D12" s="18"/>
      <c r="E12" s="19"/>
      <c r="F12" s="18"/>
      <c r="G12" s="84"/>
      <c r="H12" s="69"/>
    </row>
    <row r="13" spans="2:8">
      <c r="C13" s="13"/>
      <c r="D13" s="13"/>
      <c r="E13" s="20"/>
      <c r="F13" s="13"/>
      <c r="G13" s="82"/>
      <c r="H13" s="70"/>
    </row>
    <row r="14" spans="2:8">
      <c r="C14" s="13"/>
      <c r="D14" s="13"/>
      <c r="E14" s="22"/>
      <c r="F14" s="13"/>
      <c r="G14" s="82"/>
      <c r="H14" s="71"/>
    </row>
    <row r="15" spans="2:8">
      <c r="C15" s="13"/>
      <c r="D15" s="13"/>
      <c r="E15" s="14"/>
      <c r="F15" s="13"/>
      <c r="G15" s="14"/>
      <c r="H15" s="68"/>
    </row>
    <row r="16" spans="2:8" ht="15.5">
      <c r="C16" s="7"/>
      <c r="D16" s="7"/>
      <c r="E16" s="19"/>
      <c r="F16" s="7"/>
      <c r="G16" s="19"/>
      <c r="H16" s="69"/>
    </row>
    <row r="17" spans="3:11" ht="15.5">
      <c r="C17" s="18" t="s">
        <v>0</v>
      </c>
      <c r="D17" s="18"/>
      <c r="E17" s="19"/>
      <c r="F17" s="18"/>
      <c r="G17" s="19"/>
      <c r="H17" s="69"/>
    </row>
    <row r="18" spans="3:11" ht="12.75" customHeight="1">
      <c r="C18" s="13" t="s">
        <v>1</v>
      </c>
      <c r="D18" s="13"/>
      <c r="E18" s="21">
        <f>G175</f>
        <v>9.6679204702377314E-2</v>
      </c>
      <c r="F18" s="13"/>
      <c r="G18" s="20"/>
      <c r="H18" s="70"/>
    </row>
    <row r="19" spans="3:11">
      <c r="C19" s="13" t="s">
        <v>2</v>
      </c>
      <c r="D19" s="13"/>
      <c r="E19" s="25">
        <f>(G173+I174)/-I173</f>
        <v>1.4943762241257428</v>
      </c>
      <c r="F19" s="13"/>
      <c r="G19" s="14"/>
      <c r="H19" s="68"/>
    </row>
    <row r="20" spans="3:11">
      <c r="C20" s="13"/>
      <c r="D20" s="13"/>
      <c r="E20" s="13"/>
      <c r="F20" s="13"/>
      <c r="G20" s="15"/>
    </row>
    <row r="21" spans="3:11" ht="15.5">
      <c r="C21" s="26" t="s">
        <v>29</v>
      </c>
      <c r="D21" s="27"/>
      <c r="E21" s="27"/>
      <c r="F21" s="27"/>
      <c r="I21" s="17"/>
      <c r="K21" s="29"/>
    </row>
    <row r="22" spans="3:11">
      <c r="C22" s="30">
        <v>1.3382981362945806E-2</v>
      </c>
      <c r="D22" s="17"/>
      <c r="E22" s="17"/>
      <c r="F22" s="17"/>
      <c r="G22" s="31"/>
      <c r="H22" s="54"/>
      <c r="I22" s="17"/>
    </row>
    <row r="23" spans="3:11">
      <c r="C23" s="17" t="s">
        <v>7</v>
      </c>
      <c r="D23" s="17"/>
      <c r="E23" s="28">
        <v>41282</v>
      </c>
      <c r="F23" s="34"/>
      <c r="G23" s="32">
        <v>-90000</v>
      </c>
      <c r="H23" s="54"/>
      <c r="I23" s="16"/>
    </row>
    <row r="24" spans="3:11">
      <c r="C24" s="17"/>
      <c r="D24" s="17"/>
      <c r="E24" s="28">
        <v>41359</v>
      </c>
      <c r="F24" s="34"/>
      <c r="G24" s="32">
        <v>-74205</v>
      </c>
      <c r="H24" s="54"/>
      <c r="I24" s="16"/>
    </row>
    <row r="25" spans="3:11">
      <c r="C25" s="17"/>
      <c r="D25" s="17"/>
      <c r="E25" s="28">
        <v>41381</v>
      </c>
      <c r="F25" s="34"/>
      <c r="G25" s="32">
        <v>-28809</v>
      </c>
      <c r="H25" s="54"/>
      <c r="I25" s="16"/>
    </row>
    <row r="26" spans="3:11">
      <c r="C26" s="17"/>
      <c r="D26" s="17"/>
      <c r="E26" s="28">
        <v>41424</v>
      </c>
      <c r="F26" s="34"/>
      <c r="G26" s="32">
        <v>-24153.01</v>
      </c>
      <c r="H26" s="54"/>
      <c r="I26" s="16"/>
    </row>
    <row r="27" spans="3:11">
      <c r="C27" s="17"/>
      <c r="D27" s="17"/>
      <c r="E27" s="28">
        <v>41446</v>
      </c>
      <c r="F27" s="34"/>
      <c r="G27" s="32">
        <v>-879983.99</v>
      </c>
      <c r="H27" s="54"/>
      <c r="I27" s="16"/>
    </row>
    <row r="28" spans="3:11">
      <c r="C28" s="17"/>
      <c r="D28" s="17"/>
      <c r="E28" s="28">
        <v>41498</v>
      </c>
      <c r="F28" s="34"/>
      <c r="G28" s="32">
        <v>-58782</v>
      </c>
      <c r="H28" s="54"/>
      <c r="I28" s="16"/>
    </row>
    <row r="29" spans="3:11">
      <c r="C29" s="17"/>
      <c r="D29" s="17"/>
      <c r="E29" s="28">
        <v>41527</v>
      </c>
      <c r="F29" s="34"/>
      <c r="G29" s="32">
        <v>-147828</v>
      </c>
      <c r="H29" s="54"/>
      <c r="I29" s="16"/>
    </row>
    <row r="30" spans="3:11">
      <c r="C30" s="17"/>
      <c r="D30" s="17"/>
      <c r="E30" s="28">
        <v>41534</v>
      </c>
      <c r="F30" s="34"/>
      <c r="G30" s="32">
        <v>-75369.009999999995</v>
      </c>
      <c r="H30" s="54"/>
    </row>
    <row r="31" spans="3:11">
      <c r="C31" s="17"/>
      <c r="D31" s="17"/>
      <c r="E31" s="28">
        <v>41551</v>
      </c>
      <c r="F31" s="34"/>
      <c r="G31" s="32">
        <v>-71586</v>
      </c>
      <c r="H31" s="54"/>
    </row>
    <row r="32" spans="3:11">
      <c r="C32" s="17"/>
      <c r="D32" s="17"/>
      <c r="E32" s="28">
        <v>41585</v>
      </c>
      <c r="F32" s="34"/>
      <c r="G32" s="32">
        <v>-137061</v>
      </c>
      <c r="H32" s="54"/>
    </row>
    <row r="33" spans="3:10">
      <c r="C33" s="17"/>
      <c r="D33" s="17"/>
      <c r="E33" s="28">
        <v>41621</v>
      </c>
      <c r="F33" s="34"/>
      <c r="G33" s="32">
        <v>-249387</v>
      </c>
      <c r="H33" s="54"/>
    </row>
    <row r="34" spans="3:10">
      <c r="C34" s="17"/>
      <c r="D34" s="17"/>
      <c r="E34" s="28">
        <v>41635</v>
      </c>
      <c r="F34" s="34"/>
      <c r="G34" s="32">
        <v>-101559</v>
      </c>
      <c r="H34" s="54"/>
    </row>
    <row r="35" spans="3:10">
      <c r="C35" s="17" t="s">
        <v>9</v>
      </c>
      <c r="D35" s="17"/>
      <c r="E35" s="28">
        <v>41670</v>
      </c>
      <c r="F35" s="34"/>
      <c r="G35" s="34">
        <v>-86718</v>
      </c>
      <c r="H35" s="54"/>
      <c r="I35" s="16"/>
      <c r="J35" s="17"/>
    </row>
    <row r="36" spans="3:10">
      <c r="C36" s="17"/>
      <c r="D36" s="17"/>
      <c r="E36" s="28">
        <v>41712</v>
      </c>
      <c r="F36" s="34"/>
      <c r="G36" s="34">
        <v>-219997.24</v>
      </c>
      <c r="H36" s="54"/>
      <c r="I36" s="16"/>
      <c r="J36" s="17"/>
    </row>
    <row r="37" spans="3:10">
      <c r="C37" s="17"/>
      <c r="D37" s="17"/>
      <c r="E37" s="28">
        <v>41724</v>
      </c>
      <c r="F37" s="34"/>
      <c r="G37" s="34">
        <v>-79734</v>
      </c>
      <c r="H37" s="54"/>
      <c r="I37" s="16"/>
      <c r="J37" s="17"/>
    </row>
    <row r="38" spans="3:10">
      <c r="C38" s="17"/>
      <c r="D38" s="17"/>
      <c r="E38" s="28">
        <v>41733</v>
      </c>
      <c r="F38" s="34"/>
      <c r="G38" s="34">
        <v>-125712</v>
      </c>
      <c r="H38" s="54"/>
      <c r="I38" s="16"/>
      <c r="J38" s="17"/>
    </row>
    <row r="39" spans="3:10">
      <c r="C39" s="17"/>
      <c r="D39" s="17"/>
      <c r="E39" s="28">
        <v>41764</v>
      </c>
      <c r="F39" s="34"/>
      <c r="G39" s="34">
        <v>-109998</v>
      </c>
      <c r="H39" s="54"/>
      <c r="I39" s="16"/>
      <c r="J39" s="17"/>
    </row>
    <row r="40" spans="3:10">
      <c r="C40" s="17"/>
      <c r="D40" s="17"/>
      <c r="E40" s="28">
        <v>41774</v>
      </c>
      <c r="F40" s="34"/>
      <c r="G40" s="34">
        <v>-154812</v>
      </c>
      <c r="H40" s="54"/>
      <c r="I40" s="16"/>
      <c r="J40" s="17"/>
    </row>
    <row r="41" spans="3:10">
      <c r="C41" s="17"/>
      <c r="D41" s="17"/>
      <c r="E41" s="28">
        <v>41788</v>
      </c>
      <c r="F41" s="34"/>
      <c r="G41" s="34">
        <v>-120183.01</v>
      </c>
      <c r="H41" s="54"/>
      <c r="I41" s="16"/>
      <c r="J41" s="17"/>
    </row>
    <row r="42" spans="3:10">
      <c r="C42" s="17"/>
      <c r="D42" s="17"/>
      <c r="E42" s="28">
        <v>41817</v>
      </c>
      <c r="F42" s="34"/>
      <c r="G42" s="34">
        <v>-215922</v>
      </c>
      <c r="H42" s="54"/>
      <c r="I42" s="16"/>
      <c r="J42" s="17"/>
    </row>
    <row r="43" spans="3:10">
      <c r="C43" s="17"/>
      <c r="D43" s="17"/>
      <c r="E43" s="28">
        <v>41830</v>
      </c>
      <c r="F43" s="34"/>
      <c r="G43" s="34">
        <v>-136478.99</v>
      </c>
      <c r="H43" s="54"/>
      <c r="I43" s="16"/>
      <c r="J43" s="17"/>
    </row>
    <row r="44" spans="3:10">
      <c r="C44" s="17"/>
      <c r="D44" s="17"/>
      <c r="E44" s="28">
        <v>41851</v>
      </c>
      <c r="F44" s="34"/>
      <c r="G44" s="34">
        <v>-76824</v>
      </c>
      <c r="H44" s="54"/>
      <c r="I44" s="16"/>
      <c r="J44" s="17"/>
    </row>
    <row r="45" spans="3:10">
      <c r="C45" s="17"/>
      <c r="D45" s="17"/>
      <c r="E45" s="28">
        <v>41859</v>
      </c>
      <c r="F45" s="34"/>
      <c r="G45" s="34">
        <v>-146664</v>
      </c>
      <c r="H45" s="54"/>
    </row>
    <row r="46" spans="3:10">
      <c r="C46" s="17"/>
      <c r="D46" s="17"/>
      <c r="E46" s="28">
        <v>41880</v>
      </c>
      <c r="F46" s="34"/>
      <c r="G46" s="34">
        <v>-90792</v>
      </c>
      <c r="H46" s="54"/>
    </row>
    <row r="47" spans="3:10">
      <c r="C47" s="17"/>
      <c r="D47" s="17"/>
      <c r="E47" s="28">
        <v>41900</v>
      </c>
      <c r="F47" s="34"/>
      <c r="G47" s="34">
        <v>-374226</v>
      </c>
      <c r="H47" s="54"/>
    </row>
    <row r="48" spans="3:10">
      <c r="C48" s="17"/>
      <c r="D48" s="17"/>
      <c r="E48" s="28">
        <v>41915</v>
      </c>
      <c r="F48" s="34"/>
      <c r="G48" s="34">
        <v>-384993</v>
      </c>
      <c r="H48" s="54"/>
    </row>
    <row r="49" spans="3:10">
      <c r="C49" s="17"/>
      <c r="D49" s="17"/>
      <c r="E49" s="28">
        <v>41929</v>
      </c>
      <c r="F49" s="34"/>
      <c r="G49" s="34">
        <v>-285470.99</v>
      </c>
      <c r="H49" s="54"/>
    </row>
    <row r="50" spans="3:10">
      <c r="C50" s="17"/>
      <c r="D50" s="17"/>
      <c r="E50" s="28">
        <v>41943</v>
      </c>
      <c r="F50" s="34"/>
      <c r="G50" s="34">
        <v>-189732</v>
      </c>
      <c r="H50" s="54"/>
    </row>
    <row r="51" spans="3:10">
      <c r="C51" s="17"/>
      <c r="D51" s="17"/>
      <c r="E51" s="28">
        <v>41977</v>
      </c>
      <c r="F51" s="34"/>
      <c r="G51" s="34">
        <v>-286635</v>
      </c>
      <c r="H51" s="54"/>
    </row>
    <row r="52" spans="3:10">
      <c r="C52" s="17" t="s">
        <v>10</v>
      </c>
      <c r="D52" s="17"/>
      <c r="E52" s="28">
        <v>41817</v>
      </c>
      <c r="F52" s="34"/>
      <c r="G52" s="34">
        <v>197235.54</v>
      </c>
      <c r="H52" s="54"/>
    </row>
    <row r="53" spans="3:10">
      <c r="C53" s="17" t="s">
        <v>11</v>
      </c>
      <c r="D53" s="17"/>
      <c r="E53" s="28">
        <v>42009</v>
      </c>
      <c r="F53" s="34"/>
      <c r="G53" s="34">
        <v>-925089.01</v>
      </c>
      <c r="H53" s="54"/>
    </row>
    <row r="54" spans="3:10">
      <c r="C54" s="17"/>
      <c r="D54" s="17"/>
      <c r="E54" s="28">
        <v>42027</v>
      </c>
      <c r="F54" s="34"/>
      <c r="G54" s="34">
        <v>-438246</v>
      </c>
      <c r="H54" s="54"/>
      <c r="I54" s="16"/>
      <c r="J54" s="17"/>
    </row>
    <row r="55" spans="3:10">
      <c r="C55" s="17"/>
      <c r="D55" s="17"/>
      <c r="E55" s="28">
        <v>42048</v>
      </c>
      <c r="F55" s="34"/>
      <c r="G55" s="34">
        <v>-196133.99</v>
      </c>
      <c r="H55" s="54"/>
      <c r="I55" s="16"/>
      <c r="J55" s="17"/>
    </row>
    <row r="56" spans="3:10">
      <c r="C56" s="17"/>
      <c r="D56" s="17"/>
      <c r="E56" s="28">
        <v>42061</v>
      </c>
      <c r="F56" s="34"/>
      <c r="G56" s="34">
        <v>-142881</v>
      </c>
      <c r="H56" s="54"/>
      <c r="I56" s="16"/>
      <c r="J56" s="17"/>
    </row>
    <row r="57" spans="3:10">
      <c r="C57" s="17"/>
      <c r="D57" s="17"/>
      <c r="E57" s="28">
        <v>42088</v>
      </c>
      <c r="F57" s="34"/>
      <c r="G57" s="34">
        <v>-304968.01</v>
      </c>
      <c r="H57" s="54"/>
      <c r="I57" s="16"/>
      <c r="J57" s="17"/>
    </row>
    <row r="58" spans="3:10">
      <c r="C58" s="17"/>
      <c r="D58" s="17"/>
      <c r="E58" s="28">
        <v>42111</v>
      </c>
      <c r="F58" s="34"/>
      <c r="G58" s="34">
        <v>-246477.01</v>
      </c>
      <c r="H58" s="54"/>
    </row>
    <row r="59" spans="3:10">
      <c r="C59" s="17"/>
      <c r="D59" s="17"/>
      <c r="E59" s="28">
        <v>42138</v>
      </c>
      <c r="F59" s="34"/>
      <c r="G59" s="34">
        <v>-213012</v>
      </c>
      <c r="H59" s="54"/>
    </row>
    <row r="60" spans="3:10">
      <c r="C60" s="17"/>
      <c r="D60" s="17"/>
      <c r="E60" s="28">
        <v>42156</v>
      </c>
      <c r="F60" s="34"/>
      <c r="G60" s="34">
        <v>-261608.99</v>
      </c>
      <c r="H60" s="54"/>
    </row>
    <row r="61" spans="3:10">
      <c r="C61" s="17"/>
      <c r="D61" s="17"/>
      <c r="E61" s="28">
        <v>42187</v>
      </c>
      <c r="F61" s="34"/>
      <c r="G61" s="34">
        <v>-207192</v>
      </c>
      <c r="H61" s="54"/>
    </row>
    <row r="62" spans="3:10">
      <c r="C62" s="17"/>
      <c r="D62" s="17"/>
      <c r="E62" s="28">
        <v>42230</v>
      </c>
      <c r="F62" s="34"/>
      <c r="G62" s="34">
        <v>-139389.01</v>
      </c>
      <c r="H62" s="54"/>
    </row>
    <row r="63" spans="3:10">
      <c r="C63" s="17"/>
      <c r="D63" s="17"/>
      <c r="E63" s="28">
        <v>42258</v>
      </c>
      <c r="F63" s="34"/>
      <c r="G63" s="34">
        <v>-276159</v>
      </c>
      <c r="H63" s="54"/>
    </row>
    <row r="64" spans="3:10">
      <c r="C64" s="17"/>
      <c r="D64" s="17"/>
      <c r="E64" s="28">
        <v>42272</v>
      </c>
      <c r="F64" s="34"/>
      <c r="G64" s="34">
        <v>-386156.99</v>
      </c>
      <c r="H64" s="54"/>
    </row>
    <row r="65" spans="3:10">
      <c r="C65" s="17"/>
      <c r="D65" s="17"/>
      <c r="E65" s="28">
        <v>42293</v>
      </c>
      <c r="F65" s="34"/>
      <c r="G65" s="34">
        <v>-368696.99</v>
      </c>
      <c r="H65" s="54"/>
      <c r="I65" s="16"/>
      <c r="J65" s="17"/>
    </row>
    <row r="66" spans="3:10">
      <c r="C66" s="17"/>
      <c r="D66" s="17"/>
      <c r="E66" s="28">
        <v>42345</v>
      </c>
      <c r="F66" s="34"/>
      <c r="G66" s="34">
        <v>-172854</v>
      </c>
      <c r="H66" s="54"/>
    </row>
    <row r="67" spans="3:10">
      <c r="C67" s="17"/>
      <c r="D67" s="17"/>
      <c r="E67" s="28">
        <v>42361</v>
      </c>
      <c r="F67" s="34"/>
      <c r="G67" s="34">
        <v>-132987</v>
      </c>
      <c r="H67" s="54"/>
      <c r="I67" s="16"/>
      <c r="J67" s="17"/>
    </row>
    <row r="68" spans="3:10">
      <c r="C68" s="17" t="s">
        <v>12</v>
      </c>
      <c r="D68" s="17"/>
      <c r="E68" s="28">
        <v>42249</v>
      </c>
      <c r="F68" s="34"/>
      <c r="G68" s="34">
        <v>288567.09999999998</v>
      </c>
      <c r="H68" s="54"/>
      <c r="I68" s="16"/>
      <c r="J68" s="17"/>
    </row>
    <row r="69" spans="3:10">
      <c r="C69" s="17" t="s">
        <v>13</v>
      </c>
      <c r="D69" s="17"/>
      <c r="E69" s="28">
        <v>42382</v>
      </c>
      <c r="F69" s="34"/>
      <c r="G69" s="34">
        <v>-241530</v>
      </c>
      <c r="H69" s="54"/>
      <c r="I69" s="16"/>
      <c r="J69" s="17"/>
    </row>
    <row r="70" spans="3:10">
      <c r="C70" s="17"/>
      <c r="D70" s="17"/>
      <c r="E70" s="28">
        <v>42457</v>
      </c>
      <c r="F70" s="34"/>
      <c r="G70" s="34">
        <v>-269757.01</v>
      </c>
      <c r="H70" s="54"/>
      <c r="I70" s="16"/>
      <c r="J70" s="17"/>
    </row>
    <row r="71" spans="3:10">
      <c r="C71" s="17"/>
      <c r="D71" s="17"/>
      <c r="E71" s="28">
        <v>42468</v>
      </c>
      <c r="F71" s="34"/>
      <c r="G71" s="34">
        <v>-311952</v>
      </c>
      <c r="H71" s="54"/>
      <c r="I71" s="16"/>
      <c r="J71" s="17"/>
    </row>
    <row r="72" spans="3:10">
      <c r="C72" s="17"/>
      <c r="D72" s="17"/>
      <c r="E72" s="28">
        <v>42507</v>
      </c>
      <c r="F72" s="34"/>
      <c r="G72" s="34">
        <v>-1122969</v>
      </c>
      <c r="H72" s="54"/>
      <c r="I72" s="16"/>
      <c r="J72" s="17"/>
    </row>
    <row r="73" spans="3:10">
      <c r="C73" s="17"/>
      <c r="D73" s="17"/>
      <c r="E73" s="28">
        <v>42543</v>
      </c>
      <c r="F73" s="34"/>
      <c r="G73" s="34">
        <v>-577926</v>
      </c>
      <c r="H73" s="54"/>
      <c r="I73" s="16"/>
      <c r="J73" s="17"/>
    </row>
    <row r="74" spans="3:10">
      <c r="C74" s="17"/>
      <c r="D74" s="17"/>
      <c r="E74" s="28">
        <v>42557</v>
      </c>
      <c r="F74" s="34"/>
      <c r="G74" s="34">
        <v>-128913</v>
      </c>
      <c r="H74" s="54"/>
      <c r="I74" s="16"/>
      <c r="J74" s="17"/>
    </row>
    <row r="75" spans="3:10">
      <c r="C75" s="17"/>
      <c r="D75" s="17"/>
      <c r="E75" s="28">
        <v>42590</v>
      </c>
      <c r="F75" s="34"/>
      <c r="G75" s="34">
        <v>-270048</v>
      </c>
      <c r="H75" s="54"/>
      <c r="I75" s="16"/>
      <c r="J75" s="17"/>
    </row>
    <row r="76" spans="3:10">
      <c r="C76" s="17"/>
      <c r="D76" s="17"/>
      <c r="E76" s="28">
        <v>42607</v>
      </c>
      <c r="F76" s="34"/>
      <c r="G76" s="34">
        <v>-479277</v>
      </c>
      <c r="H76" s="54"/>
    </row>
    <row r="77" spans="3:10">
      <c r="C77" s="17"/>
      <c r="D77" s="17"/>
      <c r="E77" s="28">
        <v>42628</v>
      </c>
      <c r="F77" s="34"/>
      <c r="G77" s="34">
        <v>-273249</v>
      </c>
      <c r="H77" s="54"/>
    </row>
    <row r="78" spans="3:10">
      <c r="C78" s="17"/>
      <c r="D78" s="17"/>
      <c r="E78" s="28">
        <v>42634</v>
      </c>
      <c r="F78" s="34"/>
      <c r="G78" s="34">
        <v>-178092</v>
      </c>
      <c r="H78" s="54"/>
    </row>
    <row r="79" spans="3:10">
      <c r="C79" s="17"/>
      <c r="D79" s="17"/>
      <c r="E79" s="28">
        <v>42663</v>
      </c>
      <c r="F79" s="34"/>
      <c r="G79" s="34">
        <v>-315735</v>
      </c>
      <c r="H79" s="54"/>
    </row>
    <row r="80" spans="3:10">
      <c r="C80" s="17"/>
      <c r="D80" s="17"/>
      <c r="E80" s="28">
        <v>42731</v>
      </c>
      <c r="F80" s="34"/>
      <c r="G80" s="34">
        <v>-357929.99</v>
      </c>
      <c r="H80" s="54"/>
    </row>
    <row r="81" spans="3:10">
      <c r="C81" s="17" t="s">
        <v>14</v>
      </c>
      <c r="D81" s="17"/>
      <c r="E81" s="28">
        <v>42377</v>
      </c>
      <c r="F81" s="34"/>
      <c r="G81" s="34">
        <v>1014530.4</v>
      </c>
      <c r="H81" s="54"/>
    </row>
    <row r="82" spans="3:10">
      <c r="C82" s="17"/>
      <c r="D82" s="17"/>
      <c r="E82" s="28">
        <v>42486</v>
      </c>
      <c r="F82" s="34"/>
      <c r="G82" s="34">
        <v>401489.44</v>
      </c>
      <c r="H82" s="54"/>
    </row>
    <row r="83" spans="3:10">
      <c r="C83" s="17"/>
      <c r="D83" s="17"/>
      <c r="E83" s="28">
        <v>42542</v>
      </c>
      <c r="F83" s="34"/>
      <c r="G83" s="34">
        <v>210673.2</v>
      </c>
      <c r="H83" s="54"/>
    </row>
    <row r="84" spans="3:10">
      <c r="C84" s="17"/>
      <c r="D84" s="17"/>
      <c r="E84" s="28">
        <v>42570</v>
      </c>
      <c r="F84" s="34"/>
      <c r="G84" s="34">
        <v>66041.17</v>
      </c>
      <c r="H84" s="54"/>
    </row>
    <row r="85" spans="3:10">
      <c r="C85" s="17"/>
      <c r="D85" s="17"/>
      <c r="E85" s="28">
        <v>42586</v>
      </c>
      <c r="F85" s="34"/>
      <c r="G85" s="34">
        <v>527166.21</v>
      </c>
      <c r="H85" s="54"/>
      <c r="I85" s="16"/>
      <c r="J85" s="17"/>
    </row>
    <row r="86" spans="3:10">
      <c r="C86" s="17"/>
      <c r="D86" s="17"/>
      <c r="E86" s="28">
        <v>42634</v>
      </c>
      <c r="F86" s="34"/>
      <c r="G86" s="34">
        <v>249347.58</v>
      </c>
      <c r="H86" s="54"/>
      <c r="I86" s="16"/>
      <c r="J86" s="17"/>
    </row>
    <row r="87" spans="3:10">
      <c r="C87" s="17"/>
      <c r="D87" s="17"/>
      <c r="E87" s="28">
        <v>42677</v>
      </c>
      <c r="F87" s="34"/>
      <c r="G87" s="34">
        <v>113721.19</v>
      </c>
      <c r="H87" s="54"/>
      <c r="I87" s="16"/>
      <c r="J87" s="17"/>
    </row>
    <row r="88" spans="3:10">
      <c r="C88" s="17"/>
      <c r="D88" s="17"/>
      <c r="E88" s="28">
        <v>42709</v>
      </c>
      <c r="F88" s="34"/>
      <c r="G88" s="34">
        <v>265560.19</v>
      </c>
      <c r="H88" s="54"/>
      <c r="I88" s="16"/>
      <c r="J88" s="17"/>
    </row>
    <row r="89" spans="3:10">
      <c r="C89" s="17"/>
      <c r="D89" s="17"/>
      <c r="E89" s="28">
        <v>42726</v>
      </c>
      <c r="F89" s="34"/>
      <c r="G89" s="34">
        <v>1590878.05</v>
      </c>
      <c r="H89" s="54"/>
      <c r="I89" s="16"/>
      <c r="J89" s="17"/>
    </row>
    <row r="90" spans="3:10">
      <c r="C90" s="17" t="s">
        <v>15</v>
      </c>
      <c r="D90" s="17"/>
      <c r="E90" s="28">
        <v>42753</v>
      </c>
      <c r="F90" s="34"/>
      <c r="G90" s="34">
        <v>-236583</v>
      </c>
      <c r="H90" s="54"/>
      <c r="I90" s="16"/>
      <c r="J90" s="17"/>
    </row>
    <row r="91" spans="3:10">
      <c r="C91" s="17"/>
      <c r="D91" s="17"/>
      <c r="E91" s="28">
        <v>42816</v>
      </c>
      <c r="F91" s="34"/>
      <c r="G91" s="34">
        <v>-183621</v>
      </c>
      <c r="H91" s="54"/>
      <c r="I91" s="16"/>
      <c r="J91" s="17"/>
    </row>
    <row r="92" spans="3:10">
      <c r="C92" s="17"/>
      <c r="D92" s="17"/>
      <c r="E92" s="28">
        <v>42838</v>
      </c>
      <c r="F92" s="34"/>
      <c r="G92" s="34">
        <v>-181875</v>
      </c>
      <c r="H92" s="54"/>
      <c r="I92" s="16"/>
      <c r="J92" s="17"/>
    </row>
    <row r="93" spans="3:10">
      <c r="C93" s="17"/>
      <c r="D93" s="17"/>
      <c r="E93" s="28">
        <v>42879</v>
      </c>
      <c r="F93" s="34"/>
      <c r="G93" s="34">
        <v>-196716</v>
      </c>
      <c r="H93" s="54"/>
      <c r="I93" s="16"/>
      <c r="J93" s="17"/>
    </row>
    <row r="94" spans="3:10">
      <c r="C94" s="17"/>
      <c r="D94" s="17"/>
      <c r="E94" s="28">
        <v>42908</v>
      </c>
      <c r="F94" s="34"/>
      <c r="G94" s="34">
        <v>-127458</v>
      </c>
      <c r="H94" s="54"/>
      <c r="I94" s="16"/>
      <c r="J94" s="17"/>
    </row>
    <row r="95" spans="3:10">
      <c r="C95" s="17"/>
      <c r="D95" s="17"/>
      <c r="E95" s="28">
        <v>42933</v>
      </c>
      <c r="F95" s="34"/>
      <c r="G95" s="34">
        <v>-124547.99</v>
      </c>
      <c r="H95" s="54"/>
      <c r="I95" s="16"/>
      <c r="J95" s="17"/>
    </row>
    <row r="96" spans="3:10">
      <c r="C96" s="17"/>
      <c r="D96" s="17"/>
      <c r="E96" s="28">
        <v>42963</v>
      </c>
      <c r="F96" s="34"/>
      <c r="G96" s="34">
        <v>-357929.99</v>
      </c>
      <c r="H96" s="54"/>
      <c r="I96" s="16"/>
      <c r="J96" s="17"/>
    </row>
    <row r="97" spans="3:12">
      <c r="C97" s="17"/>
      <c r="D97" s="17"/>
      <c r="E97" s="28">
        <v>42997</v>
      </c>
      <c r="F97" s="34"/>
      <c r="G97" s="34">
        <v>-177510</v>
      </c>
      <c r="H97" s="17"/>
      <c r="I97" s="16"/>
      <c r="J97" s="17"/>
    </row>
    <row r="98" spans="3:12">
      <c r="C98" s="17"/>
      <c r="D98" s="17"/>
      <c r="E98" s="28">
        <v>43014</v>
      </c>
      <c r="F98" s="34"/>
      <c r="G98" s="34">
        <v>-222324</v>
      </c>
      <c r="H98" s="17"/>
      <c r="I98" s="16"/>
      <c r="J98" s="17"/>
    </row>
    <row r="99" spans="3:12" ht="15.5">
      <c r="C99" s="17"/>
      <c r="D99" s="17"/>
      <c r="E99" s="28">
        <v>43091</v>
      </c>
      <c r="F99" s="34"/>
      <c r="G99" s="34">
        <v>-130367.99</v>
      </c>
      <c r="H99" s="17"/>
      <c r="I99" s="16"/>
      <c r="J99" s="17"/>
      <c r="L99" s="12"/>
    </row>
    <row r="100" spans="3:12">
      <c r="C100" s="17" t="s">
        <v>16</v>
      </c>
      <c r="D100" s="17"/>
      <c r="E100" s="28">
        <v>42745</v>
      </c>
      <c r="F100" s="34"/>
      <c r="G100" s="34">
        <v>1517724</v>
      </c>
      <c r="H100" s="54"/>
      <c r="I100" s="16"/>
      <c r="J100" s="17"/>
      <c r="L100" s="59"/>
    </row>
    <row r="101" spans="3:12">
      <c r="C101" s="17"/>
      <c r="D101" s="17"/>
      <c r="E101" s="28">
        <v>42775</v>
      </c>
      <c r="F101" s="34"/>
      <c r="G101" s="34">
        <v>127992.01</v>
      </c>
      <c r="H101" s="54"/>
      <c r="I101" s="16"/>
      <c r="J101" s="17"/>
      <c r="L101" s="59"/>
    </row>
    <row r="102" spans="3:12">
      <c r="C102" s="17"/>
      <c r="D102" s="17"/>
      <c r="E102" s="28">
        <v>42824</v>
      </c>
      <c r="F102" s="34"/>
      <c r="G102" s="34">
        <v>215209.81</v>
      </c>
      <c r="H102" s="54"/>
      <c r="I102" s="16"/>
      <c r="J102" s="17"/>
      <c r="L102" s="59"/>
    </row>
    <row r="103" spans="3:12">
      <c r="C103" s="17"/>
      <c r="D103" s="17"/>
      <c r="E103" s="28">
        <v>42877</v>
      </c>
      <c r="F103" s="34"/>
      <c r="G103" s="34">
        <v>89851.49</v>
      </c>
      <c r="H103" s="54"/>
      <c r="I103" s="16"/>
      <c r="J103" s="17"/>
      <c r="L103" s="59"/>
    </row>
    <row r="104" spans="3:12">
      <c r="C104" s="17"/>
      <c r="D104" s="17"/>
      <c r="E104" s="28">
        <v>42914</v>
      </c>
      <c r="F104" s="34"/>
      <c r="G104" s="34">
        <v>815427.31</v>
      </c>
      <c r="H104" s="54"/>
      <c r="I104" s="16"/>
      <c r="J104" s="17"/>
    </row>
    <row r="105" spans="3:12">
      <c r="C105" s="17"/>
      <c r="D105" s="17"/>
      <c r="E105" s="28">
        <v>42936</v>
      </c>
      <c r="F105" s="34"/>
      <c r="G105" s="34">
        <v>86694.1</v>
      </c>
      <c r="H105" s="17"/>
      <c r="I105" s="16"/>
      <c r="J105" s="17"/>
    </row>
    <row r="106" spans="3:12">
      <c r="C106" s="17"/>
      <c r="D106" s="17"/>
      <c r="E106" s="28">
        <v>43019</v>
      </c>
      <c r="F106" s="34"/>
      <c r="G106" s="34">
        <v>71768.570000000007</v>
      </c>
      <c r="H106" s="17"/>
      <c r="I106" s="16"/>
      <c r="J106" s="17"/>
    </row>
    <row r="107" spans="3:12">
      <c r="C107" s="17"/>
      <c r="D107" s="17"/>
      <c r="E107" s="28">
        <v>43052</v>
      </c>
      <c r="F107" s="34"/>
      <c r="G107" s="34">
        <v>312687.28999999998</v>
      </c>
      <c r="H107" s="17"/>
      <c r="I107" s="16"/>
      <c r="J107" s="17"/>
    </row>
    <row r="108" spans="3:12">
      <c r="C108" s="17" t="s">
        <v>17</v>
      </c>
      <c r="D108" s="17"/>
      <c r="E108" s="28">
        <v>43178</v>
      </c>
      <c r="F108" s="34"/>
      <c r="G108" s="34">
        <v>-105051</v>
      </c>
      <c r="H108" s="17"/>
      <c r="I108" s="16"/>
      <c r="J108" s="17"/>
    </row>
    <row r="109" spans="3:12">
      <c r="C109" s="17"/>
      <c r="D109" s="17"/>
      <c r="E109" s="28">
        <v>43194</v>
      </c>
      <c r="F109" s="34"/>
      <c r="G109" s="34">
        <v>-153356.99</v>
      </c>
      <c r="H109" s="17"/>
      <c r="I109" s="16"/>
      <c r="J109" s="17"/>
    </row>
    <row r="110" spans="3:12">
      <c r="C110" s="17"/>
      <c r="D110" s="17"/>
      <c r="E110" s="28">
        <v>43251</v>
      </c>
      <c r="F110" s="34"/>
      <c r="G110" s="34">
        <v>-126585</v>
      </c>
      <c r="H110" s="17"/>
      <c r="I110" s="16"/>
      <c r="J110" s="17"/>
    </row>
    <row r="111" spans="3:12">
      <c r="C111" s="17"/>
      <c r="D111" s="17"/>
      <c r="E111" s="28">
        <v>43342</v>
      </c>
      <c r="F111" s="34"/>
      <c r="G111" s="34">
        <v>-165870</v>
      </c>
      <c r="H111" s="17"/>
      <c r="I111" s="16"/>
      <c r="J111" s="17"/>
    </row>
    <row r="112" spans="3:12">
      <c r="C112" s="17"/>
      <c r="D112" s="17"/>
      <c r="E112" s="28">
        <v>43434</v>
      </c>
      <c r="F112" s="34"/>
      <c r="G112" s="34">
        <v>-188568.01</v>
      </c>
      <c r="H112" s="17"/>
      <c r="I112" s="16"/>
      <c r="J112" s="17"/>
    </row>
    <row r="113" spans="3:10">
      <c r="C113" s="17" t="s">
        <v>18</v>
      </c>
      <c r="D113" s="17"/>
      <c r="E113" s="28">
        <v>43116</v>
      </c>
      <c r="F113" s="34"/>
      <c r="G113" s="34">
        <v>389832.04</v>
      </c>
      <c r="H113" s="17"/>
      <c r="I113" s="16"/>
      <c r="J113" s="17"/>
    </row>
    <row r="114" spans="3:10">
      <c r="C114" s="17"/>
      <c r="D114" s="17"/>
      <c r="E114" s="28">
        <v>43145</v>
      </c>
      <c r="F114" s="34"/>
      <c r="G114" s="34">
        <v>120707.31</v>
      </c>
      <c r="H114" s="17"/>
      <c r="I114" s="16"/>
      <c r="J114" s="17"/>
    </row>
    <row r="115" spans="3:10">
      <c r="C115" s="17"/>
      <c r="D115" s="17"/>
      <c r="E115" s="28">
        <v>43222</v>
      </c>
      <c r="F115" s="34"/>
      <c r="G115" s="34">
        <v>249398.55</v>
      </c>
      <c r="H115" s="17"/>
      <c r="I115" s="16"/>
      <c r="J115" s="17"/>
    </row>
    <row r="116" spans="3:10">
      <c r="C116" s="17"/>
      <c r="D116" s="17"/>
      <c r="E116" s="28">
        <v>43314</v>
      </c>
      <c r="F116" s="34"/>
      <c r="G116" s="34">
        <v>259408.59</v>
      </c>
      <c r="H116" s="17"/>
      <c r="I116" s="16"/>
      <c r="J116" s="17"/>
    </row>
    <row r="117" spans="3:10">
      <c r="C117" s="17"/>
      <c r="D117" s="17"/>
      <c r="E117" s="28">
        <v>43341</v>
      </c>
      <c r="F117" s="34"/>
      <c r="G117" s="34">
        <v>723326.43</v>
      </c>
      <c r="H117" s="17"/>
      <c r="I117" s="16"/>
      <c r="J117" s="17"/>
    </row>
    <row r="118" spans="3:10">
      <c r="C118" s="17"/>
      <c r="D118" s="17"/>
      <c r="E118" s="28">
        <v>43398</v>
      </c>
      <c r="F118" s="34"/>
      <c r="G118" s="34">
        <v>556911.07999999996</v>
      </c>
      <c r="H118" s="17"/>
      <c r="I118" s="16"/>
      <c r="J118" s="17"/>
    </row>
    <row r="119" spans="3:10" ht="12.75" customHeight="1">
      <c r="C119" s="17" t="s">
        <v>19</v>
      </c>
      <c r="D119" s="17"/>
      <c r="E119" s="28">
        <v>43529</v>
      </c>
      <c r="F119" s="34"/>
      <c r="G119" s="34">
        <v>-87009.01</v>
      </c>
      <c r="H119" s="17"/>
      <c r="I119" s="16"/>
      <c r="J119" s="17"/>
    </row>
    <row r="120" spans="3:10" ht="12.75" customHeight="1">
      <c r="C120" s="17"/>
      <c r="D120" s="17"/>
      <c r="E120" s="28">
        <v>43564</v>
      </c>
      <c r="F120" s="34"/>
      <c r="G120" s="34">
        <v>-107961</v>
      </c>
      <c r="H120" s="17"/>
      <c r="I120" s="16"/>
      <c r="J120" s="17"/>
    </row>
    <row r="121" spans="3:10" ht="12.75" customHeight="1">
      <c r="C121" s="17"/>
      <c r="D121" s="17"/>
      <c r="E121" s="28">
        <v>43782</v>
      </c>
      <c r="F121" s="34"/>
      <c r="G121" s="34">
        <v>-93411</v>
      </c>
      <c r="H121" s="17"/>
      <c r="I121" s="16"/>
      <c r="J121" s="17"/>
    </row>
    <row r="122" spans="3:10" ht="12.75" customHeight="1">
      <c r="C122" s="17" t="s">
        <v>20</v>
      </c>
      <c r="D122" s="17"/>
      <c r="E122" s="28">
        <v>43479</v>
      </c>
      <c r="F122" s="34"/>
      <c r="G122" s="34">
        <v>76369.08</v>
      </c>
      <c r="H122" s="17"/>
      <c r="I122" s="16"/>
      <c r="J122" s="17"/>
    </row>
    <row r="123" spans="3:10" ht="12.75" customHeight="1">
      <c r="C123" s="17"/>
      <c r="D123" s="17"/>
      <c r="E123" s="28">
        <v>43558</v>
      </c>
      <c r="F123" s="34"/>
      <c r="G123" s="34">
        <v>734732.44</v>
      </c>
      <c r="H123" s="17"/>
      <c r="I123" s="16"/>
      <c r="J123" s="17"/>
    </row>
    <row r="124" spans="3:10" ht="12.75" customHeight="1">
      <c r="C124" s="17"/>
      <c r="D124" s="17"/>
      <c r="E124" s="28">
        <v>43622</v>
      </c>
      <c r="F124" s="34"/>
      <c r="G124" s="34">
        <v>111430.2</v>
      </c>
      <c r="H124" s="17"/>
      <c r="I124" s="16"/>
      <c r="J124" s="17"/>
    </row>
    <row r="125" spans="3:10" ht="12.75" customHeight="1">
      <c r="C125" s="17"/>
      <c r="D125" s="17"/>
      <c r="E125" s="28">
        <v>43689</v>
      </c>
      <c r="F125" s="34"/>
      <c r="G125" s="34">
        <v>176093.01</v>
      </c>
      <c r="H125" s="17"/>
      <c r="I125" s="16"/>
      <c r="J125" s="17"/>
    </row>
    <row r="126" spans="3:10" ht="12.75" customHeight="1">
      <c r="C126" s="17"/>
      <c r="D126" s="17"/>
      <c r="E126" s="28">
        <v>43753</v>
      </c>
      <c r="F126" s="34"/>
      <c r="G126" s="34">
        <v>85913.24</v>
      </c>
      <c r="H126" s="17"/>
      <c r="I126" s="16"/>
      <c r="J126" s="17"/>
    </row>
    <row r="127" spans="3:10" ht="12.75" customHeight="1">
      <c r="C127" s="17" t="s">
        <v>21</v>
      </c>
      <c r="D127" s="17"/>
      <c r="E127" s="28">
        <v>43923</v>
      </c>
      <c r="F127" s="34"/>
      <c r="G127" s="34">
        <v>-79734</v>
      </c>
      <c r="H127" s="17"/>
      <c r="I127" s="16"/>
      <c r="J127" s="17"/>
    </row>
    <row r="128" spans="3:10" ht="12.75" customHeight="1">
      <c r="C128" s="17"/>
      <c r="D128" s="17"/>
      <c r="E128" s="28">
        <v>44104</v>
      </c>
      <c r="F128" s="34"/>
      <c r="G128" s="34">
        <v>-92829</v>
      </c>
      <c r="H128" s="17"/>
      <c r="I128" s="16"/>
      <c r="J128" s="17"/>
    </row>
    <row r="129" spans="3:12" ht="12.75" customHeight="1">
      <c r="C129" s="17" t="s">
        <v>30</v>
      </c>
      <c r="D129" s="17"/>
      <c r="E129" s="28">
        <v>43867</v>
      </c>
      <c r="F129" s="34"/>
      <c r="G129" s="34">
        <v>197899.42</v>
      </c>
      <c r="H129" s="17"/>
      <c r="I129" s="16"/>
      <c r="J129" s="17"/>
    </row>
    <row r="130" spans="3:12" ht="12.75" customHeight="1">
      <c r="C130" s="17"/>
      <c r="D130" s="17"/>
      <c r="E130" s="28">
        <v>44153</v>
      </c>
      <c r="F130" s="34"/>
      <c r="G130" s="34">
        <v>143633.63</v>
      </c>
      <c r="H130" s="17"/>
      <c r="I130" s="16"/>
      <c r="J130" s="17"/>
      <c r="L130" s="12"/>
    </row>
    <row r="131" spans="3:12" ht="12.75" customHeight="1">
      <c r="C131" s="17" t="s">
        <v>31</v>
      </c>
      <c r="D131" s="17"/>
      <c r="E131" s="28">
        <v>44279</v>
      </c>
      <c r="F131" s="34"/>
      <c r="G131" s="34">
        <v>-62565</v>
      </c>
      <c r="H131" s="17"/>
      <c r="I131" s="16"/>
      <c r="J131" s="17"/>
    </row>
    <row r="132" spans="3:12" ht="12.75" customHeight="1">
      <c r="C132" s="17"/>
      <c r="D132" s="17"/>
      <c r="E132" s="28">
        <v>44463</v>
      </c>
      <c r="F132" s="34"/>
      <c r="G132" s="34">
        <v>-42485.99</v>
      </c>
      <c r="H132" s="17"/>
      <c r="I132" s="16"/>
      <c r="J132" s="17"/>
    </row>
    <row r="133" spans="3:12" ht="12.75" customHeight="1">
      <c r="C133" s="17" t="s">
        <v>22</v>
      </c>
      <c r="D133" s="17"/>
      <c r="E133" s="28">
        <v>44224</v>
      </c>
      <c r="F133" s="34"/>
      <c r="G133" s="34">
        <v>93091.16</v>
      </c>
      <c r="H133" s="17"/>
      <c r="I133" s="16"/>
      <c r="J133" s="17"/>
      <c r="L133" s="12"/>
    </row>
    <row r="134" spans="3:12" ht="12.75" customHeight="1">
      <c r="C134" s="17"/>
      <c r="D134" s="17"/>
      <c r="E134" s="28">
        <v>44259</v>
      </c>
      <c r="F134" s="34"/>
      <c r="G134" s="34">
        <v>206439.5</v>
      </c>
      <c r="H134" s="17"/>
      <c r="I134" s="16"/>
      <c r="J134" s="17"/>
      <c r="L134" s="12"/>
    </row>
    <row r="135" spans="3:12" ht="12.75" customHeight="1">
      <c r="C135" s="17"/>
      <c r="D135" s="17"/>
      <c r="E135" s="28">
        <v>44383</v>
      </c>
      <c r="F135" s="34"/>
      <c r="G135" s="34">
        <v>1572895.7</v>
      </c>
      <c r="H135" s="17"/>
      <c r="I135" s="16"/>
      <c r="J135" s="17"/>
      <c r="L135" s="12"/>
    </row>
    <row r="136" spans="3:12" ht="12.75" customHeight="1">
      <c r="C136" s="17"/>
      <c r="D136" s="17"/>
      <c r="E136" s="28">
        <v>44441</v>
      </c>
      <c r="F136" s="34"/>
      <c r="G136" s="34">
        <v>79212.509999999995</v>
      </c>
      <c r="H136" s="17"/>
      <c r="I136" s="16"/>
      <c r="J136" s="17"/>
      <c r="L136" s="12"/>
    </row>
    <row r="137" spans="3:12" ht="12.75" customHeight="1">
      <c r="C137" s="17"/>
      <c r="D137" s="17"/>
      <c r="E137" s="28">
        <v>44502</v>
      </c>
      <c r="F137" s="34"/>
      <c r="G137" s="34">
        <v>359209.2</v>
      </c>
      <c r="H137" s="17"/>
      <c r="I137" s="16"/>
      <c r="J137" s="17"/>
      <c r="L137" s="12"/>
    </row>
    <row r="138" spans="3:12" ht="12.75" customHeight="1">
      <c r="C138" s="17"/>
      <c r="D138" s="17"/>
      <c r="E138" s="28">
        <v>44551</v>
      </c>
      <c r="F138" s="34"/>
      <c r="G138" s="34">
        <v>113569.17</v>
      </c>
      <c r="H138" s="17"/>
      <c r="I138" s="16"/>
      <c r="J138" s="17"/>
      <c r="L138" s="12"/>
    </row>
    <row r="139" spans="3:12" ht="12.75" customHeight="1">
      <c r="C139" s="17" t="s">
        <v>32</v>
      </c>
      <c r="D139" s="17"/>
      <c r="E139" s="28">
        <v>44651</v>
      </c>
      <c r="F139" s="34"/>
      <c r="G139" s="34">
        <v>-23571</v>
      </c>
      <c r="H139" s="17"/>
      <c r="I139" s="16"/>
      <c r="J139" s="17"/>
      <c r="L139" s="12"/>
    </row>
    <row r="140" spans="3:12" ht="12.75" customHeight="1">
      <c r="C140" s="17"/>
      <c r="D140" s="17"/>
      <c r="E140" s="28">
        <v>44742</v>
      </c>
      <c r="F140" s="34"/>
      <c r="G140" s="34">
        <v>-20952</v>
      </c>
      <c r="H140" s="17"/>
      <c r="I140" s="16"/>
      <c r="J140" s="17"/>
      <c r="L140" s="12"/>
    </row>
    <row r="141" spans="3:12" ht="12.75" customHeight="1">
      <c r="C141" s="17"/>
      <c r="D141" s="17"/>
      <c r="E141" s="28">
        <v>44827</v>
      </c>
      <c r="F141" s="34"/>
      <c r="G141" s="34">
        <v>-19788</v>
      </c>
      <c r="H141" s="17"/>
      <c r="I141" s="16"/>
      <c r="J141" s="17"/>
      <c r="L141" s="12"/>
    </row>
    <row r="142" spans="3:12" ht="12.75" customHeight="1">
      <c r="C142" s="17" t="s">
        <v>23</v>
      </c>
      <c r="D142" s="17"/>
      <c r="E142" s="28">
        <v>44582</v>
      </c>
      <c r="F142" s="34"/>
      <c r="G142" s="34">
        <v>463062.55</v>
      </c>
      <c r="H142" s="17"/>
      <c r="I142" s="16"/>
      <c r="J142" s="17"/>
      <c r="L142" s="12"/>
    </row>
    <row r="143" spans="3:12" ht="12.75" customHeight="1">
      <c r="C143" s="17"/>
      <c r="D143" s="17"/>
      <c r="E143" s="28">
        <v>44599</v>
      </c>
      <c r="F143" s="34"/>
      <c r="G143" s="34">
        <v>189520.29</v>
      </c>
      <c r="H143" s="17"/>
      <c r="I143" s="16"/>
      <c r="J143" s="17"/>
      <c r="L143" s="12"/>
    </row>
    <row r="144" spans="3:12" ht="12.75" customHeight="1">
      <c r="C144" s="17"/>
      <c r="D144" s="17"/>
      <c r="E144" s="28">
        <v>44634</v>
      </c>
      <c r="F144" s="34"/>
      <c r="G144" s="34">
        <v>335690.32</v>
      </c>
      <c r="H144" s="17"/>
      <c r="I144" s="16"/>
      <c r="J144" s="17"/>
      <c r="L144" s="12"/>
    </row>
    <row r="145" spans="3:12" ht="12.75" customHeight="1">
      <c r="C145" s="17"/>
      <c r="D145" s="17"/>
      <c r="E145" s="28">
        <v>44657</v>
      </c>
      <c r="F145" s="34"/>
      <c r="G145" s="34">
        <v>325222.55</v>
      </c>
      <c r="H145" s="17"/>
      <c r="I145" s="16"/>
      <c r="J145" s="17"/>
      <c r="L145" s="12"/>
    </row>
    <row r="146" spans="3:12" ht="12.75" customHeight="1">
      <c r="C146" s="17"/>
      <c r="D146" s="17"/>
      <c r="E146" s="28">
        <v>44694</v>
      </c>
      <c r="F146" s="34"/>
      <c r="G146" s="34">
        <v>408724.47</v>
      </c>
      <c r="H146" s="17"/>
      <c r="I146" s="16"/>
      <c r="J146" s="17"/>
      <c r="L146" s="12"/>
    </row>
    <row r="147" spans="3:12" ht="12.75" customHeight="1">
      <c r="C147" s="17"/>
      <c r="D147" s="17"/>
      <c r="E147" s="28">
        <v>44715</v>
      </c>
      <c r="F147" s="34"/>
      <c r="G147" s="34">
        <v>212586.08</v>
      </c>
      <c r="H147" s="17"/>
      <c r="I147" s="16"/>
      <c r="J147" s="17"/>
      <c r="L147" s="12"/>
    </row>
    <row r="148" spans="3:12" ht="12.75" customHeight="1">
      <c r="C148" s="17"/>
      <c r="D148" s="17"/>
      <c r="E148" s="28">
        <v>44755</v>
      </c>
      <c r="F148" s="34"/>
      <c r="G148" s="34">
        <v>382541.5</v>
      </c>
      <c r="H148" s="17"/>
      <c r="I148" s="16"/>
      <c r="J148" s="17"/>
      <c r="L148" s="12"/>
    </row>
    <row r="149" spans="3:12" ht="12.75" customHeight="1">
      <c r="C149" s="17"/>
      <c r="D149" s="17"/>
      <c r="E149" s="28">
        <v>44777</v>
      </c>
      <c r="F149" s="34"/>
      <c r="G149" s="34">
        <v>129234.45</v>
      </c>
      <c r="H149" s="17"/>
      <c r="I149" s="16"/>
      <c r="J149" s="17"/>
      <c r="L149" s="12"/>
    </row>
    <row r="150" spans="3:12" ht="12.75" customHeight="1">
      <c r="C150" s="17"/>
      <c r="D150" s="17"/>
      <c r="E150" s="28">
        <v>44812</v>
      </c>
      <c r="F150" s="34"/>
      <c r="G150" s="34">
        <v>266992.18</v>
      </c>
      <c r="H150" s="17"/>
      <c r="I150" s="16"/>
      <c r="J150" s="17"/>
      <c r="L150" s="12"/>
    </row>
    <row r="151" spans="3:12" ht="12.75" customHeight="1">
      <c r="C151" s="17"/>
      <c r="D151" s="17"/>
      <c r="E151" s="28">
        <v>44851</v>
      </c>
      <c r="F151" s="34"/>
      <c r="G151" s="34">
        <v>302546.40999999997</v>
      </c>
      <c r="H151" s="17"/>
      <c r="I151" s="16"/>
      <c r="J151" s="17"/>
      <c r="L151" s="12"/>
    </row>
    <row r="152" spans="3:12" ht="12.75" customHeight="1">
      <c r="C152" s="17"/>
      <c r="D152" s="17"/>
      <c r="E152" s="28">
        <v>44869</v>
      </c>
      <c r="F152" s="34"/>
      <c r="G152" s="34">
        <v>121716.25</v>
      </c>
      <c r="H152" s="17"/>
      <c r="I152" s="16"/>
      <c r="J152" s="17"/>
      <c r="L152" s="12"/>
    </row>
    <row r="153" spans="3:12" ht="12.75" customHeight="1">
      <c r="C153" s="17" t="s">
        <v>24</v>
      </c>
      <c r="D153" s="17"/>
      <c r="E153" s="28">
        <v>44938</v>
      </c>
      <c r="F153" s="34"/>
      <c r="G153" s="34">
        <v>88024.19</v>
      </c>
      <c r="H153" s="17"/>
      <c r="I153" s="16"/>
      <c r="J153" s="17"/>
      <c r="L153" s="12"/>
    </row>
    <row r="154" spans="3:12" ht="12.75" customHeight="1">
      <c r="C154" s="17"/>
      <c r="D154" s="17"/>
      <c r="E154" s="28">
        <v>44964</v>
      </c>
      <c r="F154" s="34"/>
      <c r="G154" s="34">
        <v>39355.74</v>
      </c>
      <c r="H154" s="17"/>
      <c r="I154" s="16"/>
      <c r="J154" s="17"/>
      <c r="L154" s="12"/>
    </row>
    <row r="155" spans="3:12" ht="12.75" customHeight="1">
      <c r="C155" s="17"/>
      <c r="D155" s="17"/>
      <c r="E155" s="28">
        <v>45007</v>
      </c>
      <c r="F155" s="34"/>
      <c r="G155" s="34">
        <v>0</v>
      </c>
      <c r="H155" s="17"/>
      <c r="I155" s="16"/>
      <c r="J155" s="17"/>
      <c r="L155" s="12"/>
    </row>
    <row r="156" spans="3:12" ht="12.75" customHeight="1">
      <c r="C156" s="17"/>
      <c r="D156" s="17"/>
      <c r="E156" s="28">
        <v>45037</v>
      </c>
      <c r="F156" s="34"/>
      <c r="G156" s="34">
        <v>0</v>
      </c>
      <c r="H156" s="17"/>
      <c r="I156" s="16"/>
      <c r="J156" s="17"/>
      <c r="L156" s="12"/>
    </row>
    <row r="157" spans="3:12" ht="12.75" customHeight="1">
      <c r="C157" s="17"/>
      <c r="D157" s="17"/>
      <c r="E157" s="28">
        <v>45065</v>
      </c>
      <c r="F157" s="34"/>
      <c r="G157" s="34">
        <v>137423.29999999999</v>
      </c>
      <c r="H157" s="17"/>
      <c r="I157" s="16"/>
      <c r="J157" s="17"/>
      <c r="L157" s="12"/>
    </row>
    <row r="158" spans="3:12" ht="12.75" customHeight="1">
      <c r="C158" s="17"/>
      <c r="D158" s="17"/>
      <c r="E158" s="28">
        <v>45092</v>
      </c>
      <c r="F158" s="34"/>
      <c r="G158" s="34">
        <v>1227289.93</v>
      </c>
      <c r="H158" s="17"/>
      <c r="I158" s="16"/>
      <c r="J158" s="17"/>
      <c r="L158" s="12"/>
    </row>
    <row r="159" spans="3:12" ht="12.75" customHeight="1">
      <c r="C159" s="17"/>
      <c r="D159" s="17"/>
      <c r="E159" s="28">
        <v>45119</v>
      </c>
      <c r="F159" s="34"/>
      <c r="G159" s="34">
        <v>47919.97</v>
      </c>
      <c r="H159" s="17"/>
      <c r="I159" s="16"/>
      <c r="J159" s="17"/>
      <c r="L159" s="12"/>
    </row>
    <row r="160" spans="3:12" ht="12.75" customHeight="1">
      <c r="C160" s="17"/>
      <c r="D160" s="17"/>
      <c r="E160" s="28">
        <v>45142</v>
      </c>
      <c r="F160" s="34"/>
      <c r="G160" s="34">
        <v>36154.26</v>
      </c>
      <c r="H160" s="17"/>
      <c r="I160" s="16"/>
      <c r="J160" s="17"/>
      <c r="L160" s="12"/>
    </row>
    <row r="161" spans="3:13" ht="12.75" customHeight="1">
      <c r="C161" s="17"/>
      <c r="D161" s="17"/>
      <c r="E161" s="28">
        <v>45180</v>
      </c>
      <c r="F161" s="34"/>
      <c r="G161" s="34">
        <v>51534.04</v>
      </c>
      <c r="H161" s="17"/>
      <c r="I161" s="16"/>
      <c r="J161" s="17"/>
      <c r="L161" s="12"/>
    </row>
    <row r="162" spans="3:13" ht="12.75" customHeight="1">
      <c r="C162" s="17"/>
      <c r="D162" s="17"/>
      <c r="E162" s="28">
        <v>45190</v>
      </c>
      <c r="F162" s="34"/>
      <c r="G162" s="34">
        <v>320911.57</v>
      </c>
      <c r="H162" s="17"/>
      <c r="I162" s="16"/>
      <c r="J162" s="17"/>
      <c r="L162" s="12"/>
    </row>
    <row r="163" spans="3:13" ht="12.75" customHeight="1">
      <c r="C163" s="17"/>
      <c r="D163" s="17"/>
      <c r="E163" s="28">
        <v>45196</v>
      </c>
      <c r="F163" s="34"/>
      <c r="G163" s="34">
        <v>19787.2</v>
      </c>
      <c r="H163" s="17"/>
      <c r="I163" s="16"/>
      <c r="J163" s="17"/>
      <c r="L163" s="12"/>
    </row>
    <row r="164" spans="3:13" ht="12.75" customHeight="1">
      <c r="C164" s="17"/>
      <c r="D164" s="17"/>
      <c r="E164" s="28">
        <v>45239</v>
      </c>
      <c r="F164" s="34"/>
      <c r="G164" s="34">
        <v>84494.57</v>
      </c>
      <c r="H164" s="17"/>
      <c r="I164" s="16"/>
      <c r="J164" s="17"/>
      <c r="L164" s="12"/>
    </row>
    <row r="165" spans="3:13" ht="12.75" customHeight="1">
      <c r="C165" s="17"/>
      <c r="D165" s="17"/>
      <c r="E165" s="28">
        <v>45266</v>
      </c>
      <c r="F165" s="34"/>
      <c r="G165" s="34">
        <v>704460.57</v>
      </c>
      <c r="H165" s="17"/>
      <c r="I165" s="16"/>
      <c r="J165" s="17"/>
      <c r="L165" s="12"/>
    </row>
    <row r="166" spans="3:13" ht="12.75" customHeight="1">
      <c r="C166" s="17" t="s">
        <v>35</v>
      </c>
      <c r="D166" s="17"/>
      <c r="E166" s="28">
        <v>45301</v>
      </c>
      <c r="F166" s="34"/>
      <c r="G166" s="34">
        <v>1741357.88</v>
      </c>
      <c r="H166" s="17"/>
      <c r="I166" s="16"/>
      <c r="J166" s="17"/>
      <c r="L166" s="12"/>
    </row>
    <row r="167" spans="3:13" ht="12.75" customHeight="1">
      <c r="C167" s="17"/>
      <c r="D167" s="17"/>
      <c r="E167" s="28">
        <v>45335</v>
      </c>
      <c r="F167" s="34"/>
      <c r="G167" s="34">
        <v>18625.36</v>
      </c>
      <c r="H167" s="17"/>
      <c r="I167" s="16"/>
      <c r="J167" s="17"/>
      <c r="L167" s="12"/>
    </row>
    <row r="168" spans="3:13" ht="12.75" customHeight="1">
      <c r="C168" s="17"/>
      <c r="D168" s="17"/>
      <c r="E168" s="28">
        <v>45359</v>
      </c>
      <c r="F168" s="34"/>
      <c r="G168" s="34">
        <v>56670.68</v>
      </c>
      <c r="H168" s="17"/>
      <c r="I168" s="16"/>
      <c r="J168" s="17"/>
      <c r="L168" s="12"/>
    </row>
    <row r="169" spans="3:13" ht="12.75" customHeight="1">
      <c r="C169" s="17"/>
      <c r="D169" s="17"/>
      <c r="E169" s="28">
        <v>45384</v>
      </c>
      <c r="F169" s="34"/>
      <c r="G169" s="34">
        <v>10025.31</v>
      </c>
      <c r="H169" s="17"/>
      <c r="I169" s="16"/>
      <c r="J169" s="17"/>
      <c r="L169" s="12"/>
    </row>
    <row r="170" spans="3:13" ht="12.75" customHeight="1">
      <c r="C170" s="17"/>
      <c r="D170" s="17"/>
      <c r="E170" s="28">
        <v>45432</v>
      </c>
      <c r="F170" s="34"/>
      <c r="G170" s="34">
        <v>72414.84</v>
      </c>
      <c r="H170" s="17"/>
      <c r="I170" s="16"/>
      <c r="J170" s="17"/>
      <c r="L170" s="12"/>
    </row>
    <row r="171" spans="3:13" ht="12.75" customHeight="1">
      <c r="C171" s="17"/>
      <c r="D171" s="17"/>
      <c r="E171" s="28">
        <v>45449</v>
      </c>
      <c r="F171" s="34"/>
      <c r="G171" s="34">
        <v>12175.55</v>
      </c>
      <c r="H171" s="17"/>
      <c r="I171" s="16"/>
      <c r="J171" s="17"/>
      <c r="L171" s="12"/>
    </row>
    <row r="172" spans="3:13" ht="4.5" customHeight="1">
      <c r="C172" s="17"/>
      <c r="D172" s="17"/>
      <c r="E172" s="28"/>
      <c r="F172" s="17"/>
      <c r="G172" s="34"/>
      <c r="H172" s="54"/>
      <c r="I172" s="16"/>
    </row>
    <row r="173" spans="3:13" ht="15.5">
      <c r="C173" s="17" t="s">
        <v>25</v>
      </c>
      <c r="D173" s="17"/>
      <c r="E173" s="28">
        <f>+E8</f>
        <v>45473</v>
      </c>
      <c r="F173" s="17"/>
      <c r="G173" s="35">
        <f>L173*C22</f>
        <v>3591041.2700739102</v>
      </c>
      <c r="H173" s="54"/>
      <c r="I173" s="34">
        <f>+SUMIF($G$23:$G$172,"&lt;0",$G$23:$G$172)</f>
        <v>-17271514.209999997</v>
      </c>
      <c r="J173" s="17" t="s">
        <v>26</v>
      </c>
      <c r="L173" s="59">
        <v>268328945</v>
      </c>
      <c r="M173" s="12"/>
    </row>
    <row r="174" spans="3:13">
      <c r="C174" s="17"/>
      <c r="D174" s="17"/>
      <c r="E174" s="17"/>
      <c r="F174" s="17"/>
      <c r="G174" s="17"/>
      <c r="H174" s="54"/>
      <c r="I174" s="34">
        <f>+SUMIF($G$23:$G$172,"&gt;0",$G$23:$G$172)</f>
        <v>22219098.919999998</v>
      </c>
      <c r="J174" s="17" t="s">
        <v>27</v>
      </c>
      <c r="L174" s="118"/>
    </row>
    <row r="175" spans="3:13">
      <c r="C175" t="s">
        <v>28</v>
      </c>
      <c r="G175" s="38">
        <f>+XIRR(G23:G173,E23:E173,0.1)</f>
        <v>9.6679204702377314E-2</v>
      </c>
      <c r="H175" s="54"/>
    </row>
    <row r="176" spans="3:13">
      <c r="C176" s="17"/>
      <c r="D176" s="17"/>
      <c r="E176" s="17"/>
      <c r="F176" s="17"/>
      <c r="G176" s="17"/>
      <c r="H176" s="54"/>
    </row>
    <row r="177" spans="3:8">
      <c r="C177" s="17"/>
      <c r="D177" s="17"/>
      <c r="E177" s="17"/>
      <c r="F177" s="17"/>
      <c r="G177" s="16"/>
      <c r="H177" s="54"/>
    </row>
    <row r="178" spans="3:8">
      <c r="C178" s="54"/>
      <c r="D178" s="17"/>
      <c r="E178" s="65"/>
      <c r="F178" s="17"/>
      <c r="G178" s="65"/>
      <c r="H178" s="54"/>
    </row>
    <row r="179" spans="3:8">
      <c r="C179" s="66"/>
      <c r="D179" s="40"/>
      <c r="E179" s="65"/>
      <c r="F179" s="40"/>
      <c r="G179" s="65"/>
      <c r="H179" s="54"/>
    </row>
    <row r="180" spans="3:8">
      <c r="C180" s="66"/>
      <c r="D180" s="40"/>
      <c r="E180" s="65"/>
      <c r="F180" s="40"/>
      <c r="G180" s="65"/>
      <c r="H180" s="54"/>
    </row>
    <row r="181" spans="3:8">
      <c r="C181" s="40"/>
      <c r="D181" s="40"/>
      <c r="E181" s="2"/>
      <c r="F181" s="2"/>
      <c r="G181" s="2"/>
      <c r="H181"/>
    </row>
    <row r="182" spans="3:8">
      <c r="C182" s="40"/>
      <c r="D182" s="40"/>
      <c r="E182" s="39"/>
      <c r="F182" s="39"/>
      <c r="G182" s="39"/>
      <c r="H182"/>
    </row>
    <row r="183" spans="3:8">
      <c r="C183" s="40"/>
      <c r="D183" s="40"/>
      <c r="E183" s="40"/>
      <c r="F183" s="40"/>
      <c r="G183" s="40"/>
      <c r="H183"/>
    </row>
    <row r="184" spans="3:8">
      <c r="C184" s="40"/>
      <c r="D184" s="40"/>
      <c r="E184" s="60"/>
      <c r="F184" s="17"/>
      <c r="G184" s="60"/>
      <c r="H184" s="54"/>
    </row>
    <row r="185" spans="3:8">
      <c r="C185" s="40"/>
      <c r="D185" s="40"/>
      <c r="E185" s="42"/>
      <c r="F185" s="17"/>
      <c r="G185" s="42"/>
      <c r="H185" s="54"/>
    </row>
    <row r="186" spans="3:8">
      <c r="C186" s="40"/>
      <c r="D186" s="40"/>
      <c r="E186" s="42"/>
      <c r="F186" s="17"/>
      <c r="G186" s="42"/>
      <c r="H186" s="54"/>
    </row>
    <row r="187" spans="3:8">
      <c r="C187" s="43"/>
      <c r="D187" s="40"/>
      <c r="E187" s="42"/>
      <c r="F187" s="17"/>
      <c r="G187" s="42"/>
      <c r="H187" s="54"/>
    </row>
    <row r="188" spans="3:8">
      <c r="C188" s="43"/>
      <c r="D188" s="40"/>
      <c r="E188" s="42"/>
      <c r="F188" s="17"/>
      <c r="G188" s="42"/>
      <c r="H188" s="54"/>
    </row>
    <row r="189" spans="3:8">
      <c r="C189" s="44"/>
      <c r="D189" s="40"/>
      <c r="E189" s="42"/>
      <c r="F189" s="17"/>
      <c r="G189" s="42"/>
      <c r="H189" s="54"/>
    </row>
    <row r="190" spans="3:8">
      <c r="C190" s="40"/>
      <c r="D190" s="40"/>
      <c r="E190" s="42"/>
      <c r="F190" s="17"/>
      <c r="G190" s="42"/>
      <c r="H190" s="54"/>
    </row>
    <row r="191" spans="3:8">
      <c r="C191" s="40"/>
      <c r="D191" s="40"/>
      <c r="E191" s="42"/>
      <c r="F191" s="17"/>
      <c r="G191" s="42"/>
      <c r="H191" s="54"/>
    </row>
    <row r="192" spans="3:8">
      <c r="C192" s="40"/>
      <c r="D192" s="40"/>
      <c r="E192" s="42"/>
      <c r="F192" s="17"/>
      <c r="G192" s="42"/>
      <c r="H192" s="54"/>
    </row>
    <row r="193" spans="3:8">
      <c r="C193" s="40"/>
      <c r="D193" s="40"/>
      <c r="E193" s="42"/>
      <c r="F193" s="17"/>
      <c r="G193" s="42"/>
      <c r="H193" s="54"/>
    </row>
    <row r="194" spans="3:8">
      <c r="C194" s="40"/>
      <c r="D194" s="40"/>
      <c r="E194" s="42"/>
      <c r="F194" s="17"/>
      <c r="G194" s="42"/>
      <c r="H194" s="54"/>
    </row>
    <row r="195" spans="3:8">
      <c r="C195" s="40"/>
      <c r="D195" s="40"/>
      <c r="E195" s="42"/>
      <c r="F195" s="17"/>
      <c r="G195" s="42"/>
      <c r="H195" s="54"/>
    </row>
    <row r="196" spans="3:8" s="55" customFormat="1" ht="5.15" customHeight="1">
      <c r="C196" s="17"/>
      <c r="D196" s="17"/>
      <c r="E196" s="17"/>
      <c r="F196" s="17"/>
      <c r="G196" s="17"/>
      <c r="H196" s="54"/>
    </row>
    <row r="197" spans="3:8">
      <c r="C197" s="17"/>
      <c r="D197" s="17"/>
      <c r="E197" s="17"/>
      <c r="F197" s="17"/>
      <c r="G197" s="17"/>
      <c r="H197" s="54"/>
    </row>
  </sheetData>
  <mergeCells count="1">
    <mergeCell ref="E181:G181"/>
  </mergeCells>
  <pageMargins left="0.75" right="0.33" top="1" bottom="1" header="0.5" footer="0.5"/>
  <pageSetup scale="18" orientation="landscape" r:id="rId1"/>
  <headerFooter alignWithMargins="0">
    <oddHeader>&amp;C&amp;G</oddHead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8EC9-643F-45DD-9C7B-47A3A353BA42}">
  <sheetPr>
    <tabColor rgb="FF92D050"/>
    <pageSetUpPr fitToPage="1"/>
  </sheetPr>
  <dimension ref="B4:M198"/>
  <sheetViews>
    <sheetView showGridLines="0" view="pageLayout" topLeftCell="A150" zoomScaleNormal="100" workbookViewId="0">
      <selection activeCell="L173" sqref="L173"/>
    </sheetView>
  </sheetViews>
  <sheetFormatPr defaultRowHeight="12.5"/>
  <cols>
    <col min="2" max="2" width="4.81640625" customWidth="1"/>
    <col min="3" max="3" width="43.453125" customWidth="1"/>
    <col min="4" max="4" width="1.453125" style="55" customWidth="1"/>
    <col min="5" max="5" width="10.54296875" customWidth="1"/>
    <col min="6" max="6" width="1.453125" customWidth="1"/>
    <col min="7" max="7" width="10.54296875" customWidth="1"/>
    <col min="8" max="8" width="2.453125" style="55" customWidth="1"/>
    <col min="9" max="10" width="11.7265625" customWidth="1"/>
    <col min="12" max="12" width="17.54296875" customWidth="1"/>
  </cols>
  <sheetData>
    <row r="4" spans="2:8" ht="18">
      <c r="B4" s="3"/>
      <c r="C4" s="3"/>
      <c r="D4" s="72"/>
      <c r="E4" s="3"/>
      <c r="F4" s="3"/>
    </row>
    <row r="6" spans="2:8">
      <c r="C6" s="4"/>
      <c r="D6" s="73"/>
      <c r="E6" s="4"/>
      <c r="F6" s="4"/>
    </row>
    <row r="7" spans="2:8" ht="13">
      <c r="B7" s="5"/>
      <c r="C7" s="6"/>
      <c r="D7" s="74"/>
      <c r="E7" s="6"/>
      <c r="F7" s="6"/>
    </row>
    <row r="8" spans="2:8" ht="15.5">
      <c r="C8" s="69"/>
      <c r="D8" s="69"/>
      <c r="E8" s="75">
        <f>+'Fund IX'!E8</f>
        <v>45473</v>
      </c>
      <c r="F8" s="9"/>
      <c r="G8" s="10"/>
      <c r="H8" s="67"/>
    </row>
    <row r="9" spans="2:8" ht="15.5">
      <c r="C9" s="7"/>
      <c r="D9" s="7"/>
      <c r="E9" s="7"/>
      <c r="F9" s="7"/>
      <c r="G9" s="12"/>
    </row>
    <row r="10" spans="2:8">
      <c r="C10" s="13"/>
      <c r="D10" s="13"/>
      <c r="E10" s="14"/>
      <c r="F10" s="13"/>
      <c r="G10" s="79"/>
      <c r="H10" s="68"/>
    </row>
    <row r="11" spans="2:8">
      <c r="C11" s="13"/>
      <c r="D11" s="13"/>
      <c r="E11" s="14"/>
      <c r="F11" s="13"/>
      <c r="G11" s="14"/>
      <c r="H11" s="68"/>
    </row>
    <row r="12" spans="2:8" ht="15.5">
      <c r="C12" s="18"/>
      <c r="D12" s="18"/>
      <c r="E12" s="19"/>
      <c r="F12" s="18"/>
      <c r="G12" s="19"/>
      <c r="H12" s="69"/>
    </row>
    <row r="13" spans="2:8">
      <c r="C13" s="13"/>
      <c r="D13" s="13"/>
      <c r="E13" s="20"/>
      <c r="F13" s="13"/>
      <c r="G13" s="79"/>
      <c r="H13" s="70"/>
    </row>
    <row r="14" spans="2:8">
      <c r="C14" s="13"/>
      <c r="D14" s="13"/>
      <c r="E14" s="22"/>
      <c r="F14" s="13"/>
      <c r="G14" s="79"/>
      <c r="H14" s="71"/>
    </row>
    <row r="15" spans="2:8">
      <c r="C15" s="13"/>
      <c r="D15" s="13"/>
      <c r="E15" s="14"/>
      <c r="F15" s="13"/>
      <c r="G15" s="14"/>
      <c r="H15" s="68"/>
    </row>
    <row r="16" spans="2:8" ht="15.5">
      <c r="C16" s="7"/>
      <c r="D16" s="7"/>
      <c r="E16" s="19"/>
      <c r="F16" s="7"/>
      <c r="G16" s="19"/>
      <c r="H16" s="69"/>
    </row>
    <row r="17" spans="3:13" ht="15.5">
      <c r="C17" s="18" t="s">
        <v>0</v>
      </c>
      <c r="D17" s="76"/>
      <c r="E17" s="19"/>
      <c r="F17" s="18"/>
      <c r="G17" s="19"/>
      <c r="H17" s="69"/>
    </row>
    <row r="18" spans="3:13" ht="12.75" customHeight="1">
      <c r="C18" s="13" t="s">
        <v>1</v>
      </c>
      <c r="D18" s="77"/>
      <c r="E18" s="21">
        <f>G175</f>
        <v>0.10905293822288512</v>
      </c>
      <c r="F18" s="13"/>
      <c r="G18" s="20"/>
      <c r="H18" s="70"/>
    </row>
    <row r="19" spans="3:13">
      <c r="C19" s="13" t="s">
        <v>2</v>
      </c>
      <c r="D19" s="77"/>
      <c r="E19" s="25">
        <f>(G173+I174)/-I173</f>
        <v>1.5183513685206005</v>
      </c>
      <c r="F19" s="13"/>
      <c r="G19" s="14"/>
      <c r="H19" s="68"/>
    </row>
    <row r="20" spans="3:13">
      <c r="C20" s="13"/>
      <c r="D20" s="77"/>
      <c r="E20" s="13"/>
      <c r="F20" s="13"/>
      <c r="G20" s="15"/>
    </row>
    <row r="21" spans="3:13" ht="15.5">
      <c r="C21" s="26" t="s">
        <v>29</v>
      </c>
      <c r="D21" s="78"/>
      <c r="E21" s="27"/>
      <c r="F21" s="27"/>
      <c r="I21" s="17"/>
      <c r="K21" s="29"/>
    </row>
    <row r="22" spans="3:13">
      <c r="C22" s="30">
        <v>3.0979701811262032E-3</v>
      </c>
      <c r="D22" s="54"/>
      <c r="E22" s="17"/>
      <c r="F22" s="17"/>
      <c r="G22" s="31"/>
      <c r="H22" s="54"/>
      <c r="I22" s="17"/>
    </row>
    <row r="23" spans="3:13">
      <c r="C23" s="17" t="s">
        <v>7</v>
      </c>
      <c r="D23" s="54"/>
      <c r="E23" s="28">
        <v>41282</v>
      </c>
      <c r="F23" s="34"/>
      <c r="G23" s="32">
        <v>-6000</v>
      </c>
      <c r="H23" s="54"/>
      <c r="I23" s="16"/>
    </row>
    <row r="24" spans="3:13">
      <c r="C24" s="17"/>
      <c r="D24" s="54"/>
      <c r="E24" s="28">
        <v>41359</v>
      </c>
      <c r="F24" s="34"/>
      <c r="G24" s="32">
        <v>-4947</v>
      </c>
      <c r="H24" s="54"/>
      <c r="I24" s="16"/>
    </row>
    <row r="25" spans="3:13">
      <c r="C25" s="17"/>
      <c r="D25" s="54"/>
      <c r="E25" s="28">
        <v>41381</v>
      </c>
      <c r="F25" s="34"/>
      <c r="G25" s="32">
        <v>-1920.6</v>
      </c>
      <c r="H25" s="54"/>
      <c r="I25" s="16"/>
    </row>
    <row r="26" spans="3:13">
      <c r="C26" s="17"/>
      <c r="D26" s="54"/>
      <c r="E26" s="28">
        <v>41424</v>
      </c>
      <c r="F26" s="34"/>
      <c r="G26" s="32">
        <v>-1610.2</v>
      </c>
      <c r="H26" s="54"/>
      <c r="I26" s="16"/>
    </row>
    <row r="27" spans="3:13">
      <c r="C27" s="17"/>
      <c r="D27" s="54"/>
      <c r="E27" s="28">
        <v>41446</v>
      </c>
      <c r="F27" s="34"/>
      <c r="G27" s="32">
        <v>-58665.599999999999</v>
      </c>
      <c r="H27" s="54"/>
      <c r="I27" s="16"/>
    </row>
    <row r="28" spans="3:13">
      <c r="C28" s="17"/>
      <c r="D28" s="54"/>
      <c r="E28" s="28">
        <v>41498</v>
      </c>
      <c r="F28" s="34"/>
      <c r="G28" s="32">
        <v>-3918.8</v>
      </c>
      <c r="H28" s="54"/>
      <c r="I28" s="16"/>
    </row>
    <row r="29" spans="3:13">
      <c r="C29" s="17"/>
      <c r="D29" s="54"/>
      <c r="E29" s="28">
        <v>41527</v>
      </c>
      <c r="F29" s="34"/>
      <c r="G29" s="32">
        <v>-9855.2000000000007</v>
      </c>
      <c r="H29" s="54"/>
      <c r="I29" s="16"/>
    </row>
    <row r="30" spans="3:13">
      <c r="C30" s="17"/>
      <c r="D30" s="54"/>
      <c r="E30" s="28">
        <v>41534</v>
      </c>
      <c r="F30" s="34"/>
      <c r="G30" s="32">
        <v>-5024.6000000000004</v>
      </c>
      <c r="H30" s="54"/>
      <c r="L30" s="63"/>
      <c r="M30" s="63"/>
    </row>
    <row r="31" spans="3:13">
      <c r="C31" s="17"/>
      <c r="D31" s="54"/>
      <c r="E31" s="28">
        <v>41551</v>
      </c>
      <c r="F31" s="34"/>
      <c r="G31" s="32">
        <v>-4772.3999999999996</v>
      </c>
      <c r="H31" s="54"/>
      <c r="L31" s="63"/>
    </row>
    <row r="32" spans="3:13">
      <c r="C32" s="17"/>
      <c r="D32" s="54"/>
      <c r="E32" s="28">
        <v>41585</v>
      </c>
      <c r="F32" s="34"/>
      <c r="G32" s="32">
        <v>-9137.4</v>
      </c>
      <c r="H32" s="54"/>
      <c r="L32" s="63"/>
    </row>
    <row r="33" spans="3:12">
      <c r="C33" s="17"/>
      <c r="D33" s="54"/>
      <c r="E33" s="28">
        <v>41621</v>
      </c>
      <c r="F33" s="34"/>
      <c r="G33" s="32">
        <v>-16625.8</v>
      </c>
      <c r="H33" s="54"/>
      <c r="L33" s="63"/>
    </row>
    <row r="34" spans="3:12">
      <c r="C34" s="17"/>
      <c r="D34" s="54"/>
      <c r="E34" s="28">
        <v>41635</v>
      </c>
      <c r="F34" s="34"/>
      <c r="G34" s="32">
        <v>-6770.6</v>
      </c>
      <c r="H34" s="54"/>
      <c r="L34" s="63"/>
    </row>
    <row r="35" spans="3:12">
      <c r="C35" s="17" t="s">
        <v>9</v>
      </c>
      <c r="D35" s="54"/>
      <c r="E35" s="28">
        <v>41670</v>
      </c>
      <c r="F35" s="34"/>
      <c r="G35" s="34">
        <v>-5781.2</v>
      </c>
      <c r="H35" s="54"/>
      <c r="I35" s="16"/>
      <c r="J35" s="17"/>
    </row>
    <row r="36" spans="3:12">
      <c r="C36" s="17"/>
      <c r="D36" s="54"/>
      <c r="E36" s="28">
        <v>41712</v>
      </c>
      <c r="F36" s="34"/>
      <c r="G36" s="34">
        <v>-14666.47</v>
      </c>
      <c r="H36" s="54"/>
      <c r="I36" s="16"/>
      <c r="J36" s="17"/>
    </row>
    <row r="37" spans="3:12">
      <c r="C37" s="17"/>
      <c r="D37" s="54"/>
      <c r="E37" s="28">
        <v>41724</v>
      </c>
      <c r="F37" s="34"/>
      <c r="G37" s="34">
        <v>-5315.6</v>
      </c>
      <c r="H37" s="54"/>
      <c r="I37" s="16"/>
      <c r="J37" s="17"/>
    </row>
    <row r="38" spans="3:12">
      <c r="C38" s="17"/>
      <c r="D38" s="54"/>
      <c r="E38" s="28">
        <v>41733</v>
      </c>
      <c r="F38" s="34"/>
      <c r="G38" s="34">
        <v>-8380.7999999999993</v>
      </c>
      <c r="H38" s="54"/>
      <c r="I38" s="16"/>
      <c r="J38" s="17"/>
    </row>
    <row r="39" spans="3:12">
      <c r="C39" s="17"/>
      <c r="D39" s="54"/>
      <c r="E39" s="28">
        <v>41764</v>
      </c>
      <c r="F39" s="34"/>
      <c r="G39" s="34">
        <v>-7333.21</v>
      </c>
      <c r="H39" s="54"/>
      <c r="I39" s="16"/>
      <c r="J39" s="17"/>
    </row>
    <row r="40" spans="3:12">
      <c r="C40" s="17"/>
      <c r="D40" s="54"/>
      <c r="E40" s="28">
        <v>41774</v>
      </c>
      <c r="F40" s="34"/>
      <c r="G40" s="34">
        <v>-10320.799999999999</v>
      </c>
      <c r="H40" s="54"/>
      <c r="I40" s="16"/>
      <c r="J40" s="17"/>
    </row>
    <row r="41" spans="3:12">
      <c r="C41" s="17"/>
      <c r="D41" s="54"/>
      <c r="E41" s="28">
        <v>41788</v>
      </c>
      <c r="F41" s="34"/>
      <c r="G41" s="34">
        <v>-8012.2</v>
      </c>
      <c r="H41" s="54"/>
      <c r="I41" s="16"/>
      <c r="J41" s="17"/>
    </row>
    <row r="42" spans="3:12">
      <c r="C42" s="17"/>
      <c r="D42" s="54"/>
      <c r="E42" s="28">
        <v>41817</v>
      </c>
      <c r="F42" s="34"/>
      <c r="G42" s="34">
        <v>-14394.8</v>
      </c>
      <c r="H42" s="54"/>
      <c r="I42" s="16"/>
      <c r="J42" s="17"/>
    </row>
    <row r="43" spans="3:12">
      <c r="C43" s="17"/>
      <c r="D43" s="54"/>
      <c r="E43" s="28">
        <v>41830</v>
      </c>
      <c r="F43" s="34"/>
      <c r="G43" s="34">
        <v>-9098.61</v>
      </c>
      <c r="H43" s="54"/>
      <c r="I43" s="16"/>
      <c r="J43" s="17"/>
    </row>
    <row r="44" spans="3:12">
      <c r="C44" s="17"/>
      <c r="D44" s="54"/>
      <c r="E44" s="28">
        <v>41851</v>
      </c>
      <c r="F44" s="34"/>
      <c r="G44" s="34">
        <v>-5121.6000000000004</v>
      </c>
      <c r="H44" s="54"/>
      <c r="I44" s="16"/>
      <c r="J44" s="17"/>
    </row>
    <row r="45" spans="3:12">
      <c r="C45" s="17"/>
      <c r="D45" s="54"/>
      <c r="E45" s="28">
        <v>41859</v>
      </c>
      <c r="F45" s="34"/>
      <c r="G45" s="34">
        <v>-9777.6</v>
      </c>
      <c r="H45" s="54"/>
    </row>
    <row r="46" spans="3:12">
      <c r="C46" s="17"/>
      <c r="D46" s="54"/>
      <c r="E46" s="28">
        <v>41880</v>
      </c>
      <c r="F46" s="34"/>
      <c r="G46" s="34">
        <v>-6052.8</v>
      </c>
      <c r="H46" s="54"/>
    </row>
    <row r="47" spans="3:12">
      <c r="C47" s="17"/>
      <c r="D47" s="54"/>
      <c r="E47" s="28">
        <v>41900</v>
      </c>
      <c r="F47" s="34"/>
      <c r="G47" s="34">
        <v>-24948.41</v>
      </c>
      <c r="H47" s="54"/>
    </row>
    <row r="48" spans="3:12">
      <c r="C48" s="17"/>
      <c r="D48" s="54"/>
      <c r="E48" s="28">
        <v>41915</v>
      </c>
      <c r="F48" s="34"/>
      <c r="G48" s="34">
        <v>-25666.19</v>
      </c>
      <c r="H48" s="54"/>
    </row>
    <row r="49" spans="3:10">
      <c r="C49" s="17"/>
      <c r="D49" s="54"/>
      <c r="E49" s="28">
        <v>41929</v>
      </c>
      <c r="F49" s="34"/>
      <c r="G49" s="34">
        <v>-19031.400000000001</v>
      </c>
      <c r="H49" s="54"/>
    </row>
    <row r="50" spans="3:10">
      <c r="C50" s="17"/>
      <c r="D50" s="54"/>
      <c r="E50" s="28">
        <v>41943</v>
      </c>
      <c r="F50" s="34"/>
      <c r="G50" s="34">
        <v>-12648.8</v>
      </c>
      <c r="H50" s="54"/>
    </row>
    <row r="51" spans="3:10">
      <c r="C51" s="17"/>
      <c r="D51" s="54"/>
      <c r="E51" s="28">
        <v>41977</v>
      </c>
      <c r="F51" s="34"/>
      <c r="G51" s="34">
        <v>-19109</v>
      </c>
      <c r="H51" s="54"/>
    </row>
    <row r="52" spans="3:10">
      <c r="C52" s="17" t="s">
        <v>10</v>
      </c>
      <c r="D52" s="54"/>
      <c r="E52" s="28">
        <v>41817</v>
      </c>
      <c r="F52" s="34"/>
      <c r="G52" s="34">
        <v>13980.57</v>
      </c>
      <c r="H52" s="54"/>
      <c r="I52" s="16"/>
      <c r="J52" s="17"/>
    </row>
    <row r="53" spans="3:10">
      <c r="C53" s="17" t="s">
        <v>11</v>
      </c>
      <c r="D53" s="54"/>
      <c r="E53" s="28">
        <v>42009</v>
      </c>
      <c r="F53" s="34"/>
      <c r="G53" s="34">
        <v>-61672.6</v>
      </c>
      <c r="H53" s="54"/>
      <c r="I53" s="16"/>
      <c r="J53" s="17"/>
    </row>
    <row r="54" spans="3:10">
      <c r="C54" s="17"/>
      <c r="D54" s="54"/>
      <c r="E54" s="28">
        <v>42027</v>
      </c>
      <c r="F54" s="34"/>
      <c r="G54" s="34">
        <v>-29216.400000000001</v>
      </c>
      <c r="H54" s="54"/>
      <c r="I54" s="16"/>
      <c r="J54" s="17"/>
    </row>
    <row r="55" spans="3:10">
      <c r="C55" s="17"/>
      <c r="D55" s="54"/>
      <c r="E55" s="28">
        <v>42048</v>
      </c>
      <c r="F55" s="34"/>
      <c r="G55" s="34">
        <v>-13075.61</v>
      </c>
      <c r="H55" s="54"/>
      <c r="I55" s="16"/>
      <c r="J55" s="17"/>
    </row>
    <row r="56" spans="3:10">
      <c r="C56" s="17"/>
      <c r="D56" s="54"/>
      <c r="E56" s="28">
        <v>42061</v>
      </c>
      <c r="F56" s="34"/>
      <c r="G56" s="34">
        <v>-9525.4</v>
      </c>
      <c r="H56" s="54"/>
      <c r="I56" s="16"/>
      <c r="J56" s="17"/>
    </row>
    <row r="57" spans="3:10">
      <c r="C57" s="17"/>
      <c r="D57" s="54"/>
      <c r="E57" s="28">
        <v>42088</v>
      </c>
      <c r="F57" s="34"/>
      <c r="G57" s="34">
        <v>-20331.2</v>
      </c>
      <c r="H57" s="54"/>
      <c r="I57" s="16"/>
      <c r="J57" s="17"/>
    </row>
    <row r="58" spans="3:10">
      <c r="C58" s="17"/>
      <c r="D58" s="54"/>
      <c r="E58" s="28">
        <v>42111</v>
      </c>
      <c r="F58" s="34"/>
      <c r="G58" s="34">
        <v>-16431.8</v>
      </c>
      <c r="H58" s="54"/>
      <c r="I58" s="16"/>
      <c r="J58" s="17"/>
    </row>
    <row r="59" spans="3:10">
      <c r="C59" s="17"/>
      <c r="D59" s="54"/>
      <c r="E59" s="28">
        <v>42138</v>
      </c>
      <c r="F59" s="34"/>
      <c r="G59" s="34">
        <v>-14200.8</v>
      </c>
      <c r="H59" s="54"/>
      <c r="I59" s="16"/>
      <c r="J59" s="17"/>
    </row>
    <row r="60" spans="3:10">
      <c r="C60" s="17"/>
      <c r="D60" s="54"/>
      <c r="E60" s="28">
        <v>42156</v>
      </c>
      <c r="F60" s="34"/>
      <c r="G60" s="34">
        <v>-17440.599999999999</v>
      </c>
      <c r="H60" s="54"/>
      <c r="I60" s="16"/>
      <c r="J60" s="17"/>
    </row>
    <row r="61" spans="3:10">
      <c r="C61" s="17"/>
      <c r="D61" s="54"/>
      <c r="E61" s="28">
        <v>42187</v>
      </c>
      <c r="F61" s="34"/>
      <c r="G61" s="34">
        <v>-13812.8</v>
      </c>
      <c r="H61" s="54"/>
    </row>
    <row r="62" spans="3:10">
      <c r="C62" s="17"/>
      <c r="D62" s="54"/>
      <c r="E62" s="28">
        <v>42230</v>
      </c>
      <c r="F62" s="34"/>
      <c r="G62" s="34">
        <v>-9292.6</v>
      </c>
      <c r="H62" s="54"/>
    </row>
    <row r="63" spans="3:10">
      <c r="C63" s="17"/>
      <c r="D63" s="54"/>
      <c r="E63" s="28">
        <v>42258</v>
      </c>
      <c r="F63" s="34"/>
      <c r="G63" s="34">
        <v>-18410.59</v>
      </c>
      <c r="H63" s="54"/>
    </row>
    <row r="64" spans="3:10">
      <c r="C64" s="17"/>
      <c r="D64" s="54"/>
      <c r="E64" s="28">
        <v>42272</v>
      </c>
      <c r="F64" s="34"/>
      <c r="G64" s="34">
        <v>-25743.81</v>
      </c>
      <c r="H64" s="54"/>
    </row>
    <row r="65" spans="3:10">
      <c r="C65" s="17"/>
      <c r="D65" s="54"/>
      <c r="E65" s="28">
        <v>42293</v>
      </c>
      <c r="F65" s="34"/>
      <c r="G65" s="34">
        <v>-24579.8</v>
      </c>
      <c r="H65" s="54"/>
    </row>
    <row r="66" spans="3:10">
      <c r="C66" s="17"/>
      <c r="D66" s="54"/>
      <c r="E66" s="28">
        <v>42345</v>
      </c>
      <c r="F66" s="34"/>
      <c r="G66" s="34">
        <v>-11523.6</v>
      </c>
      <c r="H66" s="54"/>
    </row>
    <row r="67" spans="3:10">
      <c r="C67" s="17"/>
      <c r="D67" s="54"/>
      <c r="E67" s="28">
        <v>42361</v>
      </c>
      <c r="F67" s="34"/>
      <c r="G67" s="34">
        <v>-8865.81</v>
      </c>
      <c r="H67" s="54"/>
    </row>
    <row r="68" spans="3:10">
      <c r="C68" s="17" t="s">
        <v>12</v>
      </c>
      <c r="D68" s="54"/>
      <c r="E68" s="28">
        <v>42249</v>
      </c>
      <c r="F68" s="34"/>
      <c r="G68" s="34">
        <v>19173.78</v>
      </c>
      <c r="H68" s="54"/>
      <c r="I68" s="16"/>
      <c r="J68" s="17"/>
    </row>
    <row r="69" spans="3:10">
      <c r="C69" s="17" t="s">
        <v>13</v>
      </c>
      <c r="D69" s="54"/>
      <c r="E69" s="28">
        <v>42382</v>
      </c>
      <c r="F69" s="34"/>
      <c r="G69" s="34">
        <v>-16101.99</v>
      </c>
      <c r="H69" s="54"/>
      <c r="I69" s="16"/>
      <c r="J69" s="17"/>
    </row>
    <row r="70" spans="3:10">
      <c r="C70" s="17"/>
      <c r="D70" s="17"/>
      <c r="E70" s="28">
        <v>42457</v>
      </c>
      <c r="F70" s="34"/>
      <c r="G70" s="34">
        <v>-17983.810000000001</v>
      </c>
      <c r="H70" s="54"/>
      <c r="I70" s="16"/>
      <c r="J70" s="17"/>
    </row>
    <row r="71" spans="3:10">
      <c r="C71" s="17"/>
      <c r="D71" s="17"/>
      <c r="E71" s="28">
        <v>42468</v>
      </c>
      <c r="F71" s="34"/>
      <c r="G71" s="34">
        <v>-20796.8</v>
      </c>
      <c r="H71" s="54"/>
      <c r="I71" s="16"/>
      <c r="J71" s="17"/>
    </row>
    <row r="72" spans="3:10">
      <c r="C72" s="17"/>
      <c r="D72" s="17"/>
      <c r="E72" s="28">
        <v>42507</v>
      </c>
      <c r="F72" s="34"/>
      <c r="G72" s="34">
        <v>-74864.600000000006</v>
      </c>
      <c r="H72" s="54"/>
      <c r="I72" s="16"/>
      <c r="J72" s="17"/>
    </row>
    <row r="73" spans="3:10">
      <c r="C73" s="17"/>
      <c r="D73" s="17"/>
      <c r="E73" s="28">
        <v>42543</v>
      </c>
      <c r="F73" s="34"/>
      <c r="G73" s="34">
        <v>-38528.400000000001</v>
      </c>
      <c r="H73" s="54"/>
      <c r="I73" s="16"/>
      <c r="J73" s="17"/>
    </row>
    <row r="74" spans="3:10">
      <c r="C74" s="17"/>
      <c r="D74" s="17"/>
      <c r="E74" s="28">
        <v>42557</v>
      </c>
      <c r="F74" s="34"/>
      <c r="G74" s="34">
        <v>-8594.19</v>
      </c>
      <c r="H74" s="54"/>
      <c r="I74" s="16"/>
      <c r="J74" s="17"/>
    </row>
    <row r="75" spans="3:10">
      <c r="C75" s="17"/>
      <c r="D75" s="17"/>
      <c r="E75" s="28">
        <v>42590</v>
      </c>
      <c r="F75" s="34"/>
      <c r="G75" s="34">
        <v>-18003.21</v>
      </c>
      <c r="H75" s="54"/>
      <c r="I75" s="16"/>
      <c r="J75" s="17"/>
    </row>
    <row r="76" spans="3:10">
      <c r="C76" s="17"/>
      <c r="D76" s="17"/>
      <c r="E76" s="28">
        <v>42607</v>
      </c>
      <c r="F76" s="34"/>
      <c r="G76" s="34">
        <v>-31951.8</v>
      </c>
      <c r="H76" s="54"/>
      <c r="I76" s="16"/>
      <c r="J76" s="17"/>
    </row>
    <row r="77" spans="3:10">
      <c r="C77" s="17"/>
      <c r="D77" s="17"/>
      <c r="E77" s="28">
        <v>42628</v>
      </c>
      <c r="F77" s="34"/>
      <c r="G77" s="34">
        <v>-18216.599999999999</v>
      </c>
      <c r="H77" s="54"/>
      <c r="I77" s="16"/>
      <c r="J77" s="17"/>
    </row>
    <row r="78" spans="3:10">
      <c r="C78" s="17"/>
      <c r="D78" s="17"/>
      <c r="E78" s="28">
        <v>42634</v>
      </c>
      <c r="F78" s="34"/>
      <c r="G78" s="34">
        <v>-11872.81</v>
      </c>
      <c r="H78" s="54"/>
      <c r="I78" s="16"/>
      <c r="J78" s="17"/>
    </row>
    <row r="79" spans="3:10">
      <c r="C79" s="17"/>
      <c r="D79" s="17"/>
      <c r="E79" s="28">
        <v>42663</v>
      </c>
      <c r="F79" s="34"/>
      <c r="G79" s="34">
        <v>-21049</v>
      </c>
      <c r="H79" s="54"/>
    </row>
    <row r="80" spans="3:10">
      <c r="C80" s="17"/>
      <c r="D80" s="17"/>
      <c r="E80" s="28">
        <v>42731</v>
      </c>
      <c r="F80" s="34"/>
      <c r="G80" s="34">
        <v>-23862</v>
      </c>
      <c r="H80" s="54"/>
    </row>
    <row r="81" spans="3:10">
      <c r="C81" s="17" t="s">
        <v>14</v>
      </c>
      <c r="D81" s="17"/>
      <c r="E81" s="28">
        <v>42377</v>
      </c>
      <c r="F81" s="34"/>
      <c r="G81" s="34">
        <v>112925.78</v>
      </c>
      <c r="H81" s="54"/>
    </row>
    <row r="82" spans="3:10">
      <c r="C82" s="17"/>
      <c r="D82" s="17"/>
      <c r="E82" s="28">
        <v>42542</v>
      </c>
      <c r="F82" s="34"/>
      <c r="G82" s="34">
        <v>14043.42</v>
      </c>
      <c r="H82" s="54"/>
    </row>
    <row r="83" spans="3:10">
      <c r="C83" s="17"/>
      <c r="D83" s="17"/>
      <c r="E83" s="28">
        <v>42570</v>
      </c>
      <c r="F83" s="34"/>
      <c r="G83" s="34">
        <v>4460.6000000000004</v>
      </c>
      <c r="H83" s="54"/>
    </row>
    <row r="84" spans="3:10">
      <c r="C84" s="17"/>
      <c r="D84" s="17"/>
      <c r="E84" s="28">
        <v>42586</v>
      </c>
      <c r="F84" s="34"/>
      <c r="G84" s="34">
        <v>52988.38</v>
      </c>
      <c r="H84" s="54"/>
    </row>
    <row r="85" spans="3:10">
      <c r="C85" s="17"/>
      <c r="D85" s="17"/>
      <c r="E85" s="28">
        <v>42634</v>
      </c>
      <c r="F85" s="34"/>
      <c r="G85" s="34">
        <v>11280.9</v>
      </c>
      <c r="H85" s="54"/>
    </row>
    <row r="86" spans="3:10">
      <c r="C86" s="17"/>
      <c r="D86" s="17"/>
      <c r="E86" s="28">
        <v>42677</v>
      </c>
      <c r="F86" s="34"/>
      <c r="G86" s="34">
        <v>7598.56</v>
      </c>
      <c r="H86" s="54"/>
      <c r="I86" s="16"/>
      <c r="J86" s="17"/>
    </row>
    <row r="87" spans="3:10">
      <c r="C87" s="17"/>
      <c r="D87" s="17"/>
      <c r="E87" s="28">
        <v>42709</v>
      </c>
      <c r="F87" s="34"/>
      <c r="G87" s="34">
        <v>17704.009999999998</v>
      </c>
      <c r="H87" s="54"/>
      <c r="I87" s="16"/>
      <c r="J87" s="17"/>
    </row>
    <row r="88" spans="3:10">
      <c r="C88" s="17"/>
      <c r="D88" s="17"/>
      <c r="E88" s="28">
        <v>42726</v>
      </c>
      <c r="F88" s="34"/>
      <c r="G88" s="34">
        <v>155129.46</v>
      </c>
      <c r="H88" s="54"/>
      <c r="I88" s="16"/>
      <c r="J88" s="17"/>
    </row>
    <row r="89" spans="3:10">
      <c r="C89" s="17" t="s">
        <v>15</v>
      </c>
      <c r="D89" s="17"/>
      <c r="E89" s="28">
        <v>42753</v>
      </c>
      <c r="F89" s="34"/>
      <c r="G89" s="34">
        <v>-15772.21</v>
      </c>
      <c r="H89" s="54"/>
      <c r="I89" s="16"/>
      <c r="J89" s="17"/>
    </row>
    <row r="90" spans="3:10">
      <c r="C90" s="17"/>
      <c r="D90" s="17"/>
      <c r="E90" s="28">
        <v>42816</v>
      </c>
      <c r="F90" s="34"/>
      <c r="G90" s="34">
        <v>-12241.4</v>
      </c>
      <c r="H90" s="54"/>
      <c r="I90" s="16"/>
      <c r="J90" s="17"/>
    </row>
    <row r="91" spans="3:10">
      <c r="C91" s="17"/>
      <c r="D91" s="17"/>
      <c r="E91" s="28">
        <v>42838</v>
      </c>
      <c r="F91" s="34"/>
      <c r="G91" s="34">
        <v>-12125</v>
      </c>
      <c r="H91" s="54"/>
      <c r="I91" s="16"/>
      <c r="J91" s="17"/>
    </row>
    <row r="92" spans="3:10">
      <c r="C92" s="17"/>
      <c r="D92" s="17"/>
      <c r="E92" s="28">
        <v>42879</v>
      </c>
      <c r="F92" s="34"/>
      <c r="G92" s="34">
        <v>-13114.4</v>
      </c>
      <c r="H92" s="54"/>
      <c r="I92" s="16"/>
      <c r="J92" s="17"/>
    </row>
    <row r="93" spans="3:10">
      <c r="C93" s="17"/>
      <c r="D93" s="17"/>
      <c r="E93" s="28">
        <v>42908</v>
      </c>
      <c r="F93" s="34"/>
      <c r="G93" s="34">
        <v>-8497.2000000000007</v>
      </c>
      <c r="H93" s="54"/>
      <c r="I93" s="16"/>
      <c r="J93" s="17"/>
    </row>
    <row r="94" spans="3:10">
      <c r="C94" s="17"/>
      <c r="D94" s="17"/>
      <c r="E94" s="28">
        <v>42933</v>
      </c>
      <c r="F94" s="34"/>
      <c r="G94" s="34">
        <v>-8303.2099999999991</v>
      </c>
      <c r="H94" s="54"/>
      <c r="I94" s="16"/>
      <c r="J94" s="17"/>
    </row>
    <row r="95" spans="3:10">
      <c r="C95" s="17"/>
      <c r="D95" s="17"/>
      <c r="E95" s="28">
        <v>42963</v>
      </c>
      <c r="F95" s="34"/>
      <c r="G95" s="34">
        <v>-23862</v>
      </c>
      <c r="H95" s="54"/>
      <c r="I95" s="16"/>
      <c r="J95" s="17"/>
    </row>
    <row r="96" spans="3:10">
      <c r="C96" s="17"/>
      <c r="D96" s="17"/>
      <c r="E96" s="28">
        <v>42997</v>
      </c>
      <c r="F96" s="34"/>
      <c r="G96" s="34">
        <v>-11834</v>
      </c>
      <c r="H96" s="17"/>
      <c r="I96" s="16"/>
      <c r="J96" s="17"/>
    </row>
    <row r="97" spans="3:12">
      <c r="C97" s="17"/>
      <c r="D97" s="17"/>
      <c r="E97" s="28">
        <v>43014</v>
      </c>
      <c r="F97" s="34"/>
      <c r="G97" s="34">
        <v>-14821.6</v>
      </c>
      <c r="H97" s="17"/>
      <c r="I97" s="16"/>
      <c r="J97" s="17"/>
    </row>
    <row r="98" spans="3:12" ht="15.5">
      <c r="C98" s="17"/>
      <c r="D98" s="17"/>
      <c r="E98" s="28">
        <v>43091</v>
      </c>
      <c r="F98" s="34"/>
      <c r="G98" s="34">
        <v>-8691.2099999999991</v>
      </c>
      <c r="H98" s="17"/>
      <c r="I98" s="16"/>
      <c r="J98" s="17"/>
      <c r="L98" s="12"/>
    </row>
    <row r="99" spans="3:12">
      <c r="C99" s="17" t="s">
        <v>16</v>
      </c>
      <c r="D99" s="17"/>
      <c r="E99" s="28">
        <v>42745</v>
      </c>
      <c r="F99" s="34"/>
      <c r="G99" s="34">
        <v>145791.53</v>
      </c>
      <c r="H99" s="54"/>
      <c r="I99" s="16"/>
      <c r="J99" s="17"/>
      <c r="L99" s="59"/>
    </row>
    <row r="100" spans="3:12">
      <c r="C100" s="17"/>
      <c r="D100" s="17"/>
      <c r="E100" s="28">
        <v>42775</v>
      </c>
      <c r="F100" s="34"/>
      <c r="G100" s="34">
        <v>8650.2099999999991</v>
      </c>
      <c r="H100" s="54"/>
      <c r="I100" s="16"/>
      <c r="J100" s="17"/>
      <c r="L100" s="59"/>
    </row>
    <row r="101" spans="3:12">
      <c r="C101" s="17"/>
      <c r="D101" s="17"/>
      <c r="E101" s="28">
        <v>42824</v>
      </c>
      <c r="F101" s="34"/>
      <c r="G101" s="34">
        <v>5425.33</v>
      </c>
      <c r="H101" s="54"/>
      <c r="I101" s="16"/>
      <c r="J101" s="17"/>
      <c r="L101" s="59"/>
    </row>
    <row r="102" spans="3:12">
      <c r="C102" s="17"/>
      <c r="D102" s="17"/>
      <c r="E102" s="28">
        <v>42877</v>
      </c>
      <c r="F102" s="34"/>
      <c r="G102" s="34">
        <v>5979.52</v>
      </c>
      <c r="H102" s="54"/>
      <c r="I102" s="16"/>
      <c r="J102" s="17"/>
      <c r="L102" s="59"/>
    </row>
    <row r="103" spans="3:12">
      <c r="C103" s="17"/>
      <c r="D103" s="17"/>
      <c r="E103" s="28">
        <v>42914</v>
      </c>
      <c r="F103" s="34"/>
      <c r="G103" s="34">
        <v>54363.16</v>
      </c>
      <c r="H103" s="54"/>
      <c r="I103" s="16"/>
      <c r="J103" s="17"/>
    </row>
    <row r="104" spans="3:12">
      <c r="C104" s="17"/>
      <c r="D104" s="17"/>
      <c r="E104" s="28">
        <v>42936</v>
      </c>
      <c r="F104" s="34"/>
      <c r="G104" s="34">
        <v>5767.47</v>
      </c>
      <c r="H104" s="17"/>
      <c r="I104" s="16"/>
      <c r="J104" s="17"/>
    </row>
    <row r="105" spans="3:12">
      <c r="C105" s="17"/>
      <c r="D105" s="17"/>
      <c r="E105" s="28">
        <v>43019</v>
      </c>
      <c r="F105" s="34"/>
      <c r="G105" s="34">
        <v>4812.1400000000003</v>
      </c>
      <c r="H105" s="17"/>
      <c r="I105" s="16"/>
      <c r="J105" s="17"/>
    </row>
    <row r="106" spans="3:12">
      <c r="C106" s="17"/>
      <c r="D106" s="17"/>
      <c r="E106" s="28">
        <v>43052</v>
      </c>
      <c r="F106" s="34"/>
      <c r="G106" s="34">
        <v>3102.4</v>
      </c>
      <c r="H106" s="17"/>
      <c r="I106" s="16"/>
      <c r="J106" s="17"/>
    </row>
    <row r="107" spans="3:12">
      <c r="C107" s="17" t="s">
        <v>17</v>
      </c>
      <c r="D107" s="17"/>
      <c r="E107" s="28">
        <v>43178</v>
      </c>
      <c r="F107" s="34"/>
      <c r="G107" s="34">
        <v>-7003.4</v>
      </c>
      <c r="H107" s="17"/>
      <c r="I107" s="16"/>
      <c r="J107" s="17"/>
    </row>
    <row r="108" spans="3:12">
      <c r="C108" s="17"/>
      <c r="D108" s="17"/>
      <c r="E108" s="28">
        <v>43194</v>
      </c>
      <c r="F108" s="34"/>
      <c r="G108" s="34">
        <v>-10223.81</v>
      </c>
      <c r="H108" s="17"/>
      <c r="I108" s="16"/>
      <c r="J108" s="17"/>
    </row>
    <row r="109" spans="3:12">
      <c r="C109" s="17"/>
      <c r="D109" s="17"/>
      <c r="E109" s="28">
        <v>43251</v>
      </c>
      <c r="F109" s="34"/>
      <c r="G109" s="34">
        <v>-8439</v>
      </c>
      <c r="H109" s="17"/>
      <c r="I109" s="16"/>
      <c r="J109" s="17"/>
    </row>
    <row r="110" spans="3:12">
      <c r="C110" s="17"/>
      <c r="D110" s="17"/>
      <c r="E110" s="28">
        <v>43342</v>
      </c>
      <c r="F110" s="34"/>
      <c r="G110" s="34">
        <v>-11058.01</v>
      </c>
      <c r="H110" s="17"/>
      <c r="I110" s="16"/>
      <c r="J110" s="17"/>
    </row>
    <row r="111" spans="3:12">
      <c r="C111" s="17"/>
      <c r="D111" s="17"/>
      <c r="E111" s="28">
        <v>43434</v>
      </c>
      <c r="F111" s="34"/>
      <c r="G111" s="34">
        <v>-12571.2</v>
      </c>
      <c r="H111" s="17"/>
      <c r="I111" s="16"/>
      <c r="J111" s="17"/>
    </row>
    <row r="112" spans="3:12">
      <c r="C112" s="17" t="s">
        <v>18</v>
      </c>
      <c r="D112" s="17"/>
      <c r="E112" s="28">
        <v>43116</v>
      </c>
      <c r="F112" s="34"/>
      <c r="G112" s="34">
        <v>26087.71</v>
      </c>
      <c r="H112" s="17"/>
      <c r="I112" s="16"/>
      <c r="J112" s="17"/>
    </row>
    <row r="113" spans="3:10">
      <c r="C113" s="17"/>
      <c r="D113" s="17"/>
      <c r="E113" s="28">
        <v>43145</v>
      </c>
      <c r="F113" s="34"/>
      <c r="G113" s="34">
        <v>8035.12</v>
      </c>
      <c r="H113" s="17"/>
      <c r="I113" s="16"/>
      <c r="J113" s="17"/>
    </row>
    <row r="114" spans="3:10">
      <c r="C114" s="17"/>
      <c r="D114" s="17"/>
      <c r="E114" s="28">
        <v>43222</v>
      </c>
      <c r="F114" s="34"/>
      <c r="G114" s="34">
        <v>16037.4</v>
      </c>
      <c r="H114" s="17"/>
      <c r="I114" s="16"/>
      <c r="J114" s="17"/>
    </row>
    <row r="115" spans="3:10">
      <c r="C115" s="17"/>
      <c r="D115" s="17"/>
      <c r="E115" s="28">
        <v>43314</v>
      </c>
      <c r="F115" s="34"/>
      <c r="G115" s="34">
        <v>17282.37</v>
      </c>
      <c r="H115" s="17"/>
      <c r="I115" s="16"/>
      <c r="J115" s="17"/>
    </row>
    <row r="116" spans="3:10">
      <c r="C116" s="17"/>
      <c r="D116" s="17"/>
      <c r="E116" s="28">
        <v>43341</v>
      </c>
      <c r="F116" s="34"/>
      <c r="G116" s="34">
        <v>48223.37</v>
      </c>
      <c r="H116" s="17"/>
      <c r="I116" s="16"/>
      <c r="J116" s="17"/>
    </row>
    <row r="117" spans="3:10">
      <c r="C117" s="17"/>
      <c r="D117" s="17"/>
      <c r="E117" s="28">
        <v>43398</v>
      </c>
      <c r="F117" s="34"/>
      <c r="G117" s="34">
        <v>15331.47</v>
      </c>
      <c r="H117" s="17"/>
      <c r="I117" s="16"/>
      <c r="J117" s="17"/>
    </row>
    <row r="118" spans="3:10">
      <c r="C118" s="17" t="s">
        <v>19</v>
      </c>
      <c r="D118" s="17"/>
      <c r="E118" s="28">
        <v>43529</v>
      </c>
      <c r="F118" s="34"/>
      <c r="G118" s="34">
        <v>-5800.6</v>
      </c>
      <c r="H118" s="17"/>
      <c r="I118" s="16"/>
      <c r="J118" s="17"/>
    </row>
    <row r="119" spans="3:10">
      <c r="C119" s="17"/>
      <c r="D119" s="17"/>
      <c r="E119" s="28">
        <v>43564</v>
      </c>
      <c r="F119" s="34"/>
      <c r="G119" s="34">
        <v>-7197.4</v>
      </c>
      <c r="H119" s="17"/>
      <c r="I119" s="16"/>
      <c r="J119" s="17"/>
    </row>
    <row r="120" spans="3:10">
      <c r="C120" s="17"/>
      <c r="D120" s="17"/>
      <c r="E120" s="28">
        <v>43782</v>
      </c>
      <c r="F120" s="34"/>
      <c r="G120" s="34">
        <v>-6227.4</v>
      </c>
      <c r="H120" s="17"/>
      <c r="I120" s="16"/>
      <c r="J120" s="17"/>
    </row>
    <row r="121" spans="3:10">
      <c r="C121" s="17" t="s">
        <v>20</v>
      </c>
      <c r="D121" s="17"/>
      <c r="E121" s="28">
        <v>43479</v>
      </c>
      <c r="F121" s="34"/>
      <c r="G121" s="34">
        <v>5081.3500000000004</v>
      </c>
      <c r="H121" s="17"/>
      <c r="I121" s="16"/>
      <c r="J121" s="17"/>
    </row>
    <row r="122" spans="3:10">
      <c r="C122" s="17"/>
      <c r="D122" s="17"/>
      <c r="E122" s="28">
        <v>43558</v>
      </c>
      <c r="F122" s="34"/>
      <c r="G122" s="34">
        <v>48961.84</v>
      </c>
      <c r="H122" s="17"/>
      <c r="I122" s="16"/>
      <c r="J122" s="17"/>
    </row>
    <row r="123" spans="3:10">
      <c r="C123" s="17"/>
      <c r="D123" s="17"/>
      <c r="E123" s="28">
        <v>43622</v>
      </c>
      <c r="F123" s="34"/>
      <c r="G123" s="34">
        <v>6911.2</v>
      </c>
      <c r="H123" s="17"/>
      <c r="I123" s="16"/>
      <c r="J123" s="17"/>
    </row>
    <row r="124" spans="3:10">
      <c r="C124" s="17"/>
      <c r="D124" s="17"/>
      <c r="E124" s="28">
        <v>43689</v>
      </c>
      <c r="F124" s="34"/>
      <c r="G124" s="34">
        <v>11739.53</v>
      </c>
      <c r="H124" s="17"/>
      <c r="I124" s="16"/>
      <c r="J124" s="17"/>
    </row>
    <row r="125" spans="3:10">
      <c r="C125" s="17"/>
      <c r="D125" s="17"/>
      <c r="E125" s="28">
        <v>43753</v>
      </c>
      <c r="F125" s="34"/>
      <c r="G125" s="34">
        <v>5524.96</v>
      </c>
      <c r="H125" s="17"/>
      <c r="I125" s="16"/>
      <c r="J125" s="17"/>
    </row>
    <row r="126" spans="3:10">
      <c r="C126" s="17" t="s">
        <v>21</v>
      </c>
      <c r="D126" s="17"/>
      <c r="E126" s="28">
        <v>43923</v>
      </c>
      <c r="F126" s="34"/>
      <c r="G126" s="34">
        <v>-5315.61</v>
      </c>
      <c r="H126" s="17"/>
      <c r="I126" s="16"/>
      <c r="J126" s="17"/>
    </row>
    <row r="127" spans="3:10" ht="12.75" customHeight="1">
      <c r="C127" s="17"/>
      <c r="D127" s="17"/>
      <c r="E127" s="28">
        <v>44104</v>
      </c>
      <c r="F127" s="34"/>
      <c r="G127" s="34">
        <v>-6188.61</v>
      </c>
      <c r="H127" s="17"/>
      <c r="I127" s="16"/>
      <c r="J127" s="17"/>
    </row>
    <row r="128" spans="3:10" ht="12.75" customHeight="1">
      <c r="C128" s="17" t="s">
        <v>30</v>
      </c>
      <c r="D128" s="17"/>
      <c r="E128" s="28">
        <v>43867</v>
      </c>
      <c r="F128" s="34"/>
      <c r="G128" s="34">
        <v>13187.27</v>
      </c>
      <c r="H128" s="17"/>
      <c r="I128" s="16"/>
      <c r="J128" s="17"/>
    </row>
    <row r="129" spans="3:12" ht="12.75" customHeight="1">
      <c r="C129" s="17"/>
      <c r="D129" s="17"/>
      <c r="E129" s="28">
        <v>44153</v>
      </c>
      <c r="F129" s="34"/>
      <c r="G129" s="34">
        <v>8637.33</v>
      </c>
      <c r="H129" s="17"/>
      <c r="I129" s="16"/>
      <c r="J129" s="17"/>
      <c r="L129" s="12"/>
    </row>
    <row r="130" spans="3:12" ht="12.75" customHeight="1">
      <c r="C130" s="17" t="s">
        <v>31</v>
      </c>
      <c r="D130" s="17"/>
      <c r="E130" s="28">
        <v>44279</v>
      </c>
      <c r="F130" s="34"/>
      <c r="G130" s="34">
        <v>-4171</v>
      </c>
      <c r="H130" s="17"/>
      <c r="I130" s="16"/>
      <c r="J130" s="17"/>
    </row>
    <row r="131" spans="3:12" ht="12.75" customHeight="1">
      <c r="C131" s="17"/>
      <c r="D131" s="17"/>
      <c r="E131" s="28">
        <v>44463</v>
      </c>
      <c r="F131" s="34"/>
      <c r="G131" s="34">
        <v>-2832.4</v>
      </c>
      <c r="H131" s="17"/>
      <c r="I131" s="16"/>
      <c r="J131" s="17"/>
    </row>
    <row r="132" spans="3:12" ht="12.75" customHeight="1">
      <c r="C132" s="17" t="s">
        <v>22</v>
      </c>
      <c r="D132" s="17"/>
      <c r="E132" s="28">
        <v>44224</v>
      </c>
      <c r="F132" s="34"/>
      <c r="G132" s="34">
        <v>6183.64</v>
      </c>
      <c r="H132" s="17"/>
      <c r="I132" s="16"/>
      <c r="J132" s="17"/>
      <c r="L132" s="12"/>
    </row>
    <row r="133" spans="3:12" ht="12.75" customHeight="1">
      <c r="C133" s="17"/>
      <c r="D133" s="17"/>
      <c r="E133" s="28">
        <v>44259</v>
      </c>
      <c r="F133" s="34"/>
      <c r="G133" s="34">
        <v>13767.33</v>
      </c>
      <c r="H133" s="17"/>
      <c r="I133" s="16"/>
      <c r="J133" s="17"/>
      <c r="L133" s="12"/>
    </row>
    <row r="134" spans="3:12" ht="12.75" customHeight="1">
      <c r="C134" s="17"/>
      <c r="D134" s="17"/>
      <c r="E134" s="28">
        <v>44383</v>
      </c>
      <c r="F134" s="34"/>
      <c r="G134" s="34">
        <v>62582.64</v>
      </c>
      <c r="H134" s="17"/>
      <c r="I134" s="16"/>
      <c r="J134" s="17"/>
      <c r="L134" s="12"/>
    </row>
    <row r="135" spans="3:12" ht="12.75" customHeight="1">
      <c r="C135" s="17"/>
      <c r="D135" s="17"/>
      <c r="E135" s="28">
        <v>44441</v>
      </c>
      <c r="F135" s="34"/>
      <c r="G135" s="34">
        <v>5274.05</v>
      </c>
      <c r="H135" s="17"/>
      <c r="I135" s="16"/>
      <c r="J135" s="17"/>
      <c r="L135" s="12"/>
    </row>
    <row r="136" spans="3:12" ht="12.75" customHeight="1">
      <c r="C136" s="17"/>
      <c r="D136" s="17"/>
      <c r="E136" s="28">
        <v>44502</v>
      </c>
      <c r="F136" s="34"/>
      <c r="G136" s="34">
        <v>24015.59</v>
      </c>
      <c r="H136" s="17"/>
      <c r="I136" s="16"/>
      <c r="J136" s="17"/>
      <c r="L136" s="12"/>
    </row>
    <row r="137" spans="3:12" ht="12.75" customHeight="1">
      <c r="C137" s="17"/>
      <c r="D137" s="17"/>
      <c r="E137" s="28">
        <v>44551</v>
      </c>
      <c r="F137" s="34"/>
      <c r="G137" s="34">
        <v>7571.28</v>
      </c>
      <c r="H137" s="17"/>
      <c r="I137" s="16"/>
      <c r="J137" s="17"/>
      <c r="L137" s="12"/>
    </row>
    <row r="138" spans="3:12" ht="12.75" customHeight="1">
      <c r="C138" s="17" t="s">
        <v>32</v>
      </c>
      <c r="D138" s="17"/>
      <c r="E138" s="28">
        <v>44651</v>
      </c>
      <c r="F138" s="34"/>
      <c r="G138" s="34">
        <v>-1571.4</v>
      </c>
      <c r="H138" s="17"/>
      <c r="I138" s="16"/>
      <c r="J138" s="17"/>
      <c r="L138" s="12"/>
    </row>
    <row r="139" spans="3:12" ht="12.75" customHeight="1">
      <c r="C139" s="17"/>
      <c r="D139" s="17"/>
      <c r="E139" s="28">
        <v>44742</v>
      </c>
      <c r="F139" s="34"/>
      <c r="G139" s="34">
        <v>-1396.8</v>
      </c>
      <c r="H139" s="17"/>
      <c r="I139" s="16"/>
      <c r="J139" s="17"/>
      <c r="L139" s="12"/>
    </row>
    <row r="140" spans="3:12" ht="12.75" customHeight="1">
      <c r="C140" s="17"/>
      <c r="D140" s="17"/>
      <c r="E140" s="28">
        <v>44827</v>
      </c>
      <c r="F140" s="34"/>
      <c r="G140" s="34">
        <v>-1319.2</v>
      </c>
      <c r="H140" s="17"/>
      <c r="I140" s="16"/>
      <c r="J140" s="17"/>
      <c r="L140" s="12"/>
    </row>
    <row r="141" spans="3:12" ht="12.75" customHeight="1">
      <c r="C141" s="17" t="s">
        <v>23</v>
      </c>
      <c r="D141" s="17"/>
      <c r="E141" s="28">
        <v>44582</v>
      </c>
      <c r="F141" s="34"/>
      <c r="G141" s="34">
        <v>30866.37</v>
      </c>
      <c r="H141" s="17"/>
      <c r="I141" s="16"/>
      <c r="J141" s="17"/>
      <c r="L141" s="12"/>
    </row>
    <row r="142" spans="3:12" ht="12.75" customHeight="1">
      <c r="C142" s="17"/>
      <c r="D142" s="17"/>
      <c r="E142" s="28">
        <v>44599</v>
      </c>
      <c r="F142" s="34"/>
      <c r="G142" s="34">
        <v>12638.01</v>
      </c>
      <c r="H142" s="17"/>
      <c r="I142" s="16"/>
      <c r="J142" s="17"/>
      <c r="L142" s="12"/>
    </row>
    <row r="143" spans="3:12" ht="12.75" customHeight="1">
      <c r="C143" s="17"/>
      <c r="D143" s="17"/>
      <c r="E143" s="28">
        <v>44634</v>
      </c>
      <c r="F143" s="34"/>
      <c r="G143" s="34">
        <v>22379.35</v>
      </c>
      <c r="H143" s="17"/>
      <c r="I143" s="16"/>
      <c r="J143" s="17"/>
      <c r="L143" s="12"/>
    </row>
    <row r="144" spans="3:12" ht="12.75" customHeight="1">
      <c r="C144" s="17"/>
      <c r="D144" s="17"/>
      <c r="E144" s="28">
        <v>44657</v>
      </c>
      <c r="F144" s="34"/>
      <c r="G144" s="34">
        <v>21681.51</v>
      </c>
      <c r="H144" s="17"/>
      <c r="I144" s="16"/>
      <c r="J144" s="17"/>
      <c r="L144" s="12"/>
    </row>
    <row r="145" spans="3:12" ht="12.75" customHeight="1">
      <c r="C145" s="17"/>
      <c r="D145" s="17"/>
      <c r="E145" s="28">
        <v>44694</v>
      </c>
      <c r="F145" s="34"/>
      <c r="G145" s="34">
        <v>27235.79</v>
      </c>
      <c r="H145" s="17"/>
      <c r="I145" s="16"/>
      <c r="J145" s="17"/>
      <c r="L145" s="12"/>
    </row>
    <row r="146" spans="3:12" ht="12.75" customHeight="1">
      <c r="C146" s="17"/>
      <c r="D146" s="17"/>
      <c r="E146" s="28">
        <v>44715</v>
      </c>
      <c r="F146" s="34"/>
      <c r="G146" s="34">
        <v>14139.9</v>
      </c>
      <c r="H146" s="17"/>
      <c r="I146" s="16"/>
      <c r="J146" s="17"/>
      <c r="L146" s="12"/>
    </row>
    <row r="147" spans="3:12" ht="12.75" customHeight="1">
      <c r="C147" s="17"/>
      <c r="D147" s="17"/>
      <c r="E147" s="28">
        <v>44755</v>
      </c>
      <c r="F147" s="34"/>
      <c r="G147" s="34">
        <v>25502.76</v>
      </c>
      <c r="H147" s="17"/>
      <c r="I147" s="16"/>
      <c r="J147" s="17"/>
      <c r="L147" s="12"/>
    </row>
    <row r="148" spans="3:12" ht="12.75" customHeight="1">
      <c r="C148" s="17"/>
      <c r="D148" s="17"/>
      <c r="E148" s="28">
        <v>44777</v>
      </c>
      <c r="F148" s="34"/>
      <c r="G148" s="34">
        <v>8593.0499999999993</v>
      </c>
      <c r="H148" s="17"/>
      <c r="I148" s="16"/>
      <c r="J148" s="17"/>
      <c r="L148" s="12"/>
    </row>
    <row r="149" spans="3:12" ht="12.75" customHeight="1">
      <c r="C149" s="17"/>
      <c r="D149" s="17"/>
      <c r="E149" s="28">
        <v>44812</v>
      </c>
      <c r="F149" s="34"/>
      <c r="G149" s="34">
        <v>17789.169999999998</v>
      </c>
      <c r="H149" s="17"/>
      <c r="I149" s="16"/>
      <c r="J149" s="17"/>
      <c r="L149" s="12"/>
    </row>
    <row r="150" spans="3:12" ht="12.75" customHeight="1">
      <c r="C150" s="17"/>
      <c r="D150" s="17"/>
      <c r="E150" s="28">
        <v>44851</v>
      </c>
      <c r="F150" s="34"/>
      <c r="G150" s="34">
        <v>20169.77</v>
      </c>
      <c r="H150" s="17"/>
      <c r="I150" s="16"/>
      <c r="J150" s="17"/>
      <c r="L150" s="12"/>
    </row>
    <row r="151" spans="3:12" ht="12.75" customHeight="1">
      <c r="C151" s="17"/>
      <c r="D151" s="17"/>
      <c r="E151" s="28">
        <v>44869</v>
      </c>
      <c r="F151" s="34"/>
      <c r="G151" s="34">
        <v>8114.41</v>
      </c>
      <c r="H151" s="17"/>
      <c r="I151" s="16"/>
      <c r="J151" s="17"/>
      <c r="L151" s="12"/>
    </row>
    <row r="152" spans="3:12" ht="12.75" customHeight="1">
      <c r="C152" s="17" t="s">
        <v>24</v>
      </c>
      <c r="D152" s="17"/>
      <c r="E152" s="28">
        <v>44938</v>
      </c>
      <c r="F152" s="34"/>
      <c r="G152" s="34">
        <v>11221.47</v>
      </c>
      <c r="H152" s="17"/>
      <c r="I152" s="16"/>
      <c r="J152" s="17"/>
      <c r="L152" s="12"/>
    </row>
    <row r="153" spans="3:12" ht="12.75" customHeight="1">
      <c r="C153" s="17"/>
      <c r="D153" s="17"/>
      <c r="E153" s="28">
        <v>44964</v>
      </c>
      <c r="F153" s="34"/>
      <c r="G153" s="34">
        <v>2623.72</v>
      </c>
      <c r="H153" s="17"/>
      <c r="I153" s="16"/>
      <c r="J153" s="17"/>
      <c r="L153" s="12"/>
    </row>
    <row r="154" spans="3:12" ht="12.75" customHeight="1">
      <c r="C154" s="17"/>
      <c r="D154" s="17"/>
      <c r="E154" s="28">
        <v>45007</v>
      </c>
      <c r="F154" s="34"/>
      <c r="G154" s="34">
        <v>3635.93</v>
      </c>
      <c r="H154" s="17"/>
      <c r="I154" s="16"/>
      <c r="J154" s="17"/>
      <c r="L154" s="12"/>
    </row>
    <row r="155" spans="3:12" ht="12.75" customHeight="1">
      <c r="C155" s="17"/>
      <c r="D155" s="17"/>
      <c r="E155" s="28">
        <v>45037</v>
      </c>
      <c r="F155" s="34"/>
      <c r="G155" s="34">
        <v>3336.46</v>
      </c>
      <c r="H155" s="17"/>
      <c r="I155" s="16"/>
      <c r="J155" s="17"/>
      <c r="L155" s="12"/>
    </row>
    <row r="156" spans="3:12" ht="12.75" customHeight="1">
      <c r="C156" s="17"/>
      <c r="D156" s="17"/>
      <c r="E156" s="28">
        <v>45065</v>
      </c>
      <c r="F156" s="34"/>
      <c r="G156" s="34">
        <v>10053.76</v>
      </c>
      <c r="H156" s="17"/>
      <c r="I156" s="16"/>
      <c r="J156" s="17"/>
      <c r="L156" s="12"/>
    </row>
    <row r="157" spans="3:12" ht="12.75" customHeight="1">
      <c r="C157" s="17"/>
      <c r="D157" s="17"/>
      <c r="E157" s="28">
        <v>45092</v>
      </c>
      <c r="F157" s="34"/>
      <c r="G157" s="34">
        <v>104031.66</v>
      </c>
      <c r="H157" s="17"/>
      <c r="I157" s="16"/>
      <c r="J157" s="17"/>
      <c r="L157" s="12"/>
    </row>
    <row r="158" spans="3:12" ht="12.75" customHeight="1">
      <c r="C158" s="17"/>
      <c r="D158" s="17"/>
      <c r="E158" s="28">
        <v>45119</v>
      </c>
      <c r="F158" s="34"/>
      <c r="G158" s="34">
        <v>3194.66</v>
      </c>
      <c r="H158" s="17"/>
      <c r="I158" s="16"/>
      <c r="J158" s="17"/>
      <c r="L158" s="12"/>
    </row>
    <row r="159" spans="3:12" ht="12.75" customHeight="1">
      <c r="C159" s="17"/>
      <c r="D159" s="17"/>
      <c r="E159" s="28">
        <v>45142</v>
      </c>
      <c r="F159" s="34"/>
      <c r="G159" s="34">
        <v>2410.29</v>
      </c>
      <c r="H159" s="17"/>
      <c r="I159" s="16"/>
      <c r="J159" s="17"/>
      <c r="L159" s="12"/>
    </row>
    <row r="160" spans="3:12" ht="12.75" customHeight="1">
      <c r="C160" s="17"/>
      <c r="D160" s="17"/>
      <c r="E160" s="28">
        <v>45180</v>
      </c>
      <c r="F160" s="34"/>
      <c r="G160" s="34">
        <v>3392.39</v>
      </c>
      <c r="H160" s="17"/>
      <c r="I160" s="16"/>
      <c r="J160" s="17"/>
      <c r="L160" s="12"/>
    </row>
    <row r="161" spans="3:12" ht="12.75" customHeight="1">
      <c r="C161" s="17"/>
      <c r="D161" s="17"/>
      <c r="E161" s="28">
        <v>45190</v>
      </c>
      <c r="F161" s="34"/>
      <c r="G161" s="34">
        <v>21394.1</v>
      </c>
      <c r="H161" s="17"/>
      <c r="I161" s="16"/>
      <c r="J161" s="17"/>
      <c r="L161" s="12"/>
    </row>
    <row r="162" spans="3:12" ht="12.75" customHeight="1">
      <c r="C162" s="17"/>
      <c r="D162" s="17"/>
      <c r="E162" s="28">
        <v>45196</v>
      </c>
      <c r="F162" s="34"/>
      <c r="G162" s="34">
        <v>1319.15</v>
      </c>
      <c r="H162" s="17"/>
      <c r="I162" s="16"/>
      <c r="J162" s="17"/>
      <c r="L162" s="12"/>
    </row>
    <row r="163" spans="3:12" ht="12.75" customHeight="1">
      <c r="C163" s="17"/>
      <c r="D163" s="17"/>
      <c r="E163" s="28">
        <v>45239</v>
      </c>
      <c r="F163" s="34"/>
      <c r="G163" s="34">
        <v>5632.96</v>
      </c>
      <c r="H163" s="17"/>
      <c r="I163" s="16"/>
      <c r="J163" s="17"/>
      <c r="L163" s="12"/>
    </row>
    <row r="164" spans="3:12" ht="12.75" customHeight="1">
      <c r="C164" s="17"/>
      <c r="D164" s="17"/>
      <c r="E164" s="28">
        <v>45266</v>
      </c>
      <c r="F164" s="34"/>
      <c r="G164" s="34">
        <v>14995.07</v>
      </c>
      <c r="H164" s="17"/>
      <c r="I164" s="16"/>
      <c r="J164" s="17"/>
      <c r="L164" s="12"/>
    </row>
    <row r="165" spans="3:12" ht="12.75" customHeight="1">
      <c r="C165" s="17" t="s">
        <v>35</v>
      </c>
      <c r="D165" s="17"/>
      <c r="E165" s="28">
        <v>45301</v>
      </c>
      <c r="F165" s="34"/>
      <c r="G165" s="34">
        <v>116090.52</v>
      </c>
      <c r="H165" s="17"/>
      <c r="I165" s="16"/>
      <c r="J165" s="17"/>
      <c r="L165" s="12"/>
    </row>
    <row r="166" spans="3:12" ht="12.75" customHeight="1">
      <c r="C166" s="17"/>
      <c r="D166" s="17"/>
      <c r="E166" s="28">
        <v>45335</v>
      </c>
      <c r="F166" s="34"/>
      <c r="G166" s="34">
        <v>1241.69</v>
      </c>
      <c r="H166" s="17"/>
      <c r="I166" s="16"/>
      <c r="J166" s="17"/>
      <c r="L166" s="12"/>
    </row>
    <row r="167" spans="3:12" ht="12.75" customHeight="1">
      <c r="C167" s="17"/>
      <c r="D167" s="17"/>
      <c r="E167" s="28">
        <v>45359</v>
      </c>
      <c r="F167" s="34"/>
      <c r="G167" s="34">
        <v>3778.04</v>
      </c>
      <c r="H167" s="17"/>
      <c r="I167" s="16"/>
      <c r="J167" s="17"/>
      <c r="L167" s="12"/>
    </row>
    <row r="168" spans="3:12" ht="12.75" customHeight="1">
      <c r="C168" s="17"/>
      <c r="D168" s="17"/>
      <c r="E168" s="28">
        <v>45384</v>
      </c>
      <c r="F168" s="34"/>
      <c r="G168" s="34">
        <v>668.35</v>
      </c>
      <c r="H168" s="17"/>
      <c r="I168" s="16"/>
      <c r="J168" s="17"/>
      <c r="L168" s="12"/>
    </row>
    <row r="169" spans="3:12" ht="12.75" customHeight="1">
      <c r="C169" s="17"/>
      <c r="D169" s="17"/>
      <c r="E169" s="28">
        <v>45432</v>
      </c>
      <c r="F169" s="34"/>
      <c r="G169" s="34">
        <v>4692.3100000000004</v>
      </c>
      <c r="H169" s="17"/>
      <c r="I169" s="16"/>
      <c r="J169" s="17"/>
      <c r="L169" s="12"/>
    </row>
    <row r="170" spans="3:12" ht="12.75" customHeight="1">
      <c r="C170" s="17"/>
      <c r="D170" s="17"/>
      <c r="E170" s="28">
        <v>45449</v>
      </c>
      <c r="F170" s="34"/>
      <c r="G170" s="34">
        <v>811.69</v>
      </c>
      <c r="H170" s="17"/>
      <c r="I170" s="16"/>
      <c r="J170" s="17"/>
      <c r="L170" s="12"/>
    </row>
    <row r="171" spans="3:12" ht="12.75" customHeight="1">
      <c r="C171" s="17"/>
      <c r="D171" s="17"/>
      <c r="E171" s="28"/>
      <c r="F171" s="34"/>
      <c r="G171" s="34"/>
      <c r="H171" s="17"/>
      <c r="I171" s="16"/>
      <c r="J171" s="17"/>
      <c r="L171" s="12"/>
    </row>
    <row r="172" spans="3:12" ht="4.5" customHeight="1">
      <c r="C172" s="17"/>
      <c r="D172" s="17"/>
      <c r="E172" s="28"/>
      <c r="F172" s="17"/>
      <c r="G172" s="34"/>
      <c r="H172" s="17"/>
      <c r="I172" s="16"/>
    </row>
    <row r="173" spans="3:12">
      <c r="C173" s="17" t="s">
        <v>25</v>
      </c>
      <c r="D173" s="54"/>
      <c r="E173" s="28">
        <f>+E8</f>
        <v>45473</v>
      </c>
      <c r="F173" s="17"/>
      <c r="G173" s="35">
        <f>L173*C22</f>
        <v>231035.0018181832</v>
      </c>
      <c r="H173" s="54"/>
      <c r="I173" s="34">
        <f>+SUMIF($G$23:$G$172,"&lt;0",$G$23:$G$172)</f>
        <v>-1151434.3899999999</v>
      </c>
      <c r="J173" s="17" t="s">
        <v>26</v>
      </c>
      <c r="L173" s="59">
        <v>74576251</v>
      </c>
    </row>
    <row r="174" spans="3:12">
      <c r="C174" s="17"/>
      <c r="D174" s="54"/>
      <c r="E174" s="17"/>
      <c r="F174" s="17"/>
      <c r="G174" s="17"/>
      <c r="H174" s="54"/>
      <c r="I174" s="34">
        <f>+SUMIF($G$23:$G$172,"&gt;0",$G$23:$G$172)</f>
        <v>1517246.9799999995</v>
      </c>
      <c r="J174" s="17" t="s">
        <v>27</v>
      </c>
    </row>
    <row r="175" spans="3:12">
      <c r="C175" t="s">
        <v>28</v>
      </c>
      <c r="G175" s="38">
        <f>+XIRR(G23:G173,E23:E173,0.1)</f>
        <v>0.10905293822288512</v>
      </c>
      <c r="H175" s="54"/>
    </row>
    <row r="176" spans="3:12">
      <c r="C176" s="17"/>
      <c r="D176" s="54"/>
      <c r="E176" s="17"/>
      <c r="F176" s="17"/>
      <c r="G176" s="17"/>
      <c r="H176" s="54"/>
    </row>
    <row r="177" spans="3:8">
      <c r="C177" s="17"/>
      <c r="D177" s="54"/>
      <c r="E177" s="17"/>
      <c r="F177" s="17"/>
      <c r="G177" s="17"/>
      <c r="H177" s="54"/>
    </row>
    <row r="178" spans="3:8">
      <c r="C178" s="54"/>
      <c r="D178" s="54"/>
      <c r="E178" s="65"/>
      <c r="F178" s="17"/>
      <c r="G178" s="65"/>
      <c r="H178" s="54"/>
    </row>
    <row r="179" spans="3:8">
      <c r="C179" s="66"/>
      <c r="D179" s="66"/>
      <c r="E179" s="65"/>
      <c r="F179" s="40"/>
      <c r="G179" s="65"/>
      <c r="H179" s="54"/>
    </row>
    <row r="180" spans="3:8">
      <c r="C180" s="66"/>
      <c r="D180" s="66"/>
      <c r="E180" s="65"/>
      <c r="F180" s="40"/>
      <c r="G180" s="65"/>
      <c r="H180" s="54"/>
    </row>
    <row r="181" spans="3:8">
      <c r="C181" s="40"/>
      <c r="D181" s="40"/>
      <c r="E181" s="2"/>
      <c r="F181" s="2"/>
      <c r="G181" s="2"/>
      <c r="H181"/>
    </row>
    <row r="182" spans="3:8">
      <c r="C182" s="40"/>
      <c r="D182" s="40"/>
      <c r="E182" s="39"/>
      <c r="F182" s="39"/>
      <c r="G182" s="39"/>
      <c r="H182"/>
    </row>
    <row r="183" spans="3:8">
      <c r="C183" s="40"/>
      <c r="D183" s="40"/>
      <c r="E183" s="40"/>
      <c r="F183" s="40"/>
      <c r="G183" s="40"/>
      <c r="H183"/>
    </row>
    <row r="184" spans="3:8">
      <c r="C184" s="40"/>
      <c r="D184" s="40"/>
      <c r="E184" s="60"/>
      <c r="F184" s="49"/>
      <c r="G184" s="60"/>
      <c r="H184" s="54"/>
    </row>
    <row r="185" spans="3:8" s="55" customFormat="1">
      <c r="C185" s="40"/>
      <c r="D185" s="40"/>
      <c r="E185" s="42"/>
      <c r="F185" s="17"/>
      <c r="G185" s="42"/>
      <c r="H185" s="54"/>
    </row>
    <row r="186" spans="3:8" s="55" customFormat="1">
      <c r="C186" s="40"/>
      <c r="D186" s="40"/>
      <c r="E186" s="42"/>
      <c r="F186" s="17"/>
      <c r="G186" s="42"/>
      <c r="H186" s="54"/>
    </row>
    <row r="187" spans="3:8">
      <c r="C187" s="43"/>
      <c r="D187" s="40"/>
      <c r="E187" s="42"/>
      <c r="F187" s="17"/>
      <c r="G187" s="42"/>
      <c r="H187" s="54"/>
    </row>
    <row r="188" spans="3:8">
      <c r="C188" s="43"/>
      <c r="D188" s="40"/>
      <c r="E188" s="42"/>
      <c r="F188" s="17"/>
      <c r="G188" s="42"/>
      <c r="H188" s="54"/>
    </row>
    <row r="189" spans="3:8">
      <c r="C189" s="44"/>
      <c r="D189" s="40"/>
      <c r="E189" s="42"/>
      <c r="F189" s="17"/>
      <c r="G189" s="42"/>
      <c r="H189" s="54"/>
    </row>
    <row r="190" spans="3:8" s="55" customFormat="1">
      <c r="C190" s="40"/>
      <c r="D190" s="40"/>
      <c r="E190" s="42"/>
      <c r="F190" s="17"/>
      <c r="G190" s="42"/>
      <c r="H190" s="54"/>
    </row>
    <row r="191" spans="3:8">
      <c r="C191" s="40"/>
      <c r="D191" s="40"/>
      <c r="E191" s="42"/>
      <c r="F191" s="17"/>
      <c r="G191" s="42"/>
      <c r="H191" s="54"/>
    </row>
    <row r="192" spans="3:8">
      <c r="C192" s="40"/>
      <c r="D192" s="40"/>
      <c r="E192" s="42"/>
      <c r="F192" s="17"/>
      <c r="G192" s="42"/>
      <c r="H192" s="54"/>
    </row>
    <row r="193" spans="3:8">
      <c r="C193" s="40"/>
      <c r="D193" s="40"/>
      <c r="E193" s="42"/>
      <c r="F193" s="17"/>
      <c r="G193" s="42"/>
      <c r="H193" s="54"/>
    </row>
    <row r="194" spans="3:8">
      <c r="C194" s="40"/>
      <c r="D194" s="40"/>
      <c r="E194" s="42"/>
      <c r="F194" s="17"/>
      <c r="G194" s="42"/>
      <c r="H194" s="54"/>
    </row>
    <row r="195" spans="3:8">
      <c r="C195" s="40"/>
      <c r="D195" s="40"/>
      <c r="E195" s="42"/>
      <c r="F195" s="17"/>
      <c r="G195" s="42"/>
      <c r="H195" s="54"/>
    </row>
    <row r="196" spans="3:8" ht="5.15" customHeight="1">
      <c r="C196" s="17"/>
      <c r="D196" s="17"/>
      <c r="E196" s="17"/>
      <c r="F196" s="17"/>
      <c r="G196" s="17"/>
      <c r="H196" s="54"/>
    </row>
    <row r="197" spans="3:8">
      <c r="C197" s="17"/>
      <c r="D197" s="17"/>
      <c r="E197" s="17"/>
      <c r="F197" s="17"/>
      <c r="G197" s="17"/>
      <c r="H197" s="17"/>
    </row>
    <row r="198" spans="3:8">
      <c r="C198" s="17"/>
      <c r="D198" s="54"/>
      <c r="E198" s="17"/>
      <c r="F198" s="17"/>
      <c r="G198" s="17"/>
      <c r="H198" s="54"/>
    </row>
  </sheetData>
  <mergeCells count="1">
    <mergeCell ref="E181:G181"/>
  </mergeCells>
  <pageMargins left="0.7" right="0.7" top="0.75" bottom="0.75" header="0.3" footer="0.3"/>
  <pageSetup scale="20" orientation="landscape" r:id="rId1"/>
  <headerFooter>
    <oddHeader>&amp;C&amp;G</oddHeader>
    <oddFooter>&amp;C&amp;G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04E-A65E-431C-B6F0-14A37B59D65B}">
  <sheetPr>
    <tabColor rgb="FF92D050"/>
    <pageSetUpPr fitToPage="1"/>
  </sheetPr>
  <dimension ref="B4:Q205"/>
  <sheetViews>
    <sheetView showGridLines="0" view="pageLayout" topLeftCell="A145" zoomScaleNormal="100" workbookViewId="0">
      <selection activeCell="I182" sqref="I182"/>
    </sheetView>
  </sheetViews>
  <sheetFormatPr defaultRowHeight="12.5"/>
  <cols>
    <col min="2" max="2" width="4.81640625" customWidth="1"/>
    <col min="3" max="3" width="48.1796875" customWidth="1"/>
    <col min="4" max="4" width="1.453125" customWidth="1"/>
    <col min="5" max="5" width="12.54296875" customWidth="1"/>
    <col min="6" max="6" width="1.453125" customWidth="1"/>
    <col min="7" max="7" width="12.453125" customWidth="1"/>
    <col min="8" max="8" width="2.453125" customWidth="1"/>
    <col min="9" max="9" width="7.453125" customWidth="1"/>
    <col min="10" max="10" width="11.7265625" customWidth="1"/>
    <col min="11" max="11" width="16.54296875" bestFit="1" customWidth="1"/>
    <col min="12" max="12" width="16.81640625" customWidth="1"/>
    <col min="13" max="13" width="19.54296875" customWidth="1"/>
    <col min="14" max="15" width="15" bestFit="1" customWidth="1"/>
    <col min="17" max="17" width="15.54296875" bestFit="1" customWidth="1"/>
  </cols>
  <sheetData>
    <row r="4" spans="2:14" ht="18">
      <c r="B4" s="3"/>
      <c r="C4" s="3"/>
      <c r="D4" s="3"/>
      <c r="E4" s="3"/>
      <c r="F4" s="3"/>
    </row>
    <row r="6" spans="2:14">
      <c r="C6" s="4"/>
      <c r="D6" s="4"/>
      <c r="E6" s="4"/>
      <c r="F6" s="4"/>
    </row>
    <row r="7" spans="2:14" ht="13">
      <c r="B7" s="5"/>
      <c r="C7" s="6"/>
      <c r="D7" s="6"/>
      <c r="E7" s="6"/>
      <c r="F7" s="6"/>
    </row>
    <row r="8" spans="2:14" ht="15.5">
      <c r="C8" s="7"/>
      <c r="D8" s="7"/>
      <c r="E8" s="62">
        <v>45473</v>
      </c>
      <c r="F8" s="9"/>
      <c r="G8" s="10"/>
      <c r="H8" s="10"/>
      <c r="I8" s="11"/>
    </row>
    <row r="9" spans="2:14" ht="15.5">
      <c r="C9" s="7"/>
      <c r="D9" s="7"/>
      <c r="E9" s="7"/>
      <c r="F9" s="7"/>
      <c r="G9" s="12"/>
    </row>
    <row r="10" spans="2:14">
      <c r="C10" s="13"/>
      <c r="D10" s="13"/>
      <c r="E10" s="14"/>
      <c r="F10" s="13"/>
      <c r="G10" s="59"/>
      <c r="H10" s="15"/>
      <c r="I10" s="24"/>
      <c r="N10" s="56"/>
    </row>
    <row r="11" spans="2:14">
      <c r="C11" s="13"/>
      <c r="D11" s="13"/>
      <c r="E11" s="14"/>
      <c r="F11" s="13"/>
      <c r="G11" s="14"/>
      <c r="H11" s="15"/>
      <c r="I11" s="24"/>
    </row>
    <row r="12" spans="2:14" ht="15.5">
      <c r="C12" s="18"/>
      <c r="D12" s="18"/>
      <c r="E12" s="19"/>
      <c r="F12" s="18"/>
      <c r="G12" s="19"/>
      <c r="H12" s="7"/>
      <c r="I12" s="24"/>
    </row>
    <row r="13" spans="2:14">
      <c r="C13" s="13"/>
      <c r="D13" s="13"/>
      <c r="E13" s="20"/>
      <c r="F13" s="13"/>
      <c r="G13" s="59"/>
      <c r="H13" s="21"/>
      <c r="I13" s="24"/>
    </row>
    <row r="14" spans="2:14">
      <c r="C14" s="13"/>
      <c r="D14" s="13"/>
      <c r="E14" s="22"/>
      <c r="F14" s="13"/>
      <c r="G14" s="59"/>
      <c r="H14" s="23"/>
      <c r="I14" s="24"/>
    </row>
    <row r="15" spans="2:14">
      <c r="C15" s="13"/>
      <c r="D15" s="13"/>
      <c r="E15" s="14"/>
      <c r="F15" s="13"/>
      <c r="G15" s="14"/>
      <c r="H15" s="15"/>
      <c r="I15" s="24"/>
    </row>
    <row r="16" spans="2:14" ht="15.5">
      <c r="C16" s="7"/>
      <c r="D16" s="7"/>
      <c r="E16" s="19"/>
      <c r="F16" s="7"/>
      <c r="G16" s="19"/>
      <c r="H16" s="7"/>
      <c r="I16" s="24"/>
    </row>
    <row r="17" spans="3:17" ht="15.5">
      <c r="C17" s="18" t="s">
        <v>0</v>
      </c>
      <c r="D17" s="18"/>
      <c r="E17" s="19"/>
      <c r="F17" s="18"/>
      <c r="G17" s="19"/>
      <c r="H17" s="7"/>
      <c r="I17" s="50"/>
    </row>
    <row r="18" spans="3:17" ht="12.75" customHeight="1">
      <c r="C18" s="13" t="s">
        <v>1</v>
      </c>
      <c r="D18" s="13"/>
      <c r="E18" s="21">
        <f>G169</f>
        <v>0.16366394162178044</v>
      </c>
      <c r="F18" s="13"/>
      <c r="G18" s="20"/>
      <c r="H18" s="21"/>
      <c r="I18" s="50"/>
    </row>
    <row r="19" spans="3:17">
      <c r="C19" s="13" t="s">
        <v>2</v>
      </c>
      <c r="D19" s="13"/>
      <c r="E19" s="25">
        <f>-(G167+J170)/J169</f>
        <v>2.0419293536591043</v>
      </c>
      <c r="F19" s="13"/>
      <c r="G19" s="14"/>
      <c r="H19" s="15"/>
    </row>
    <row r="20" spans="3:17">
      <c r="C20" s="13"/>
      <c r="D20" s="13"/>
      <c r="E20" s="13"/>
      <c r="F20" s="13"/>
      <c r="G20" s="15"/>
    </row>
    <row r="21" spans="3:17" ht="15.5">
      <c r="C21" s="26" t="s">
        <v>29</v>
      </c>
      <c r="D21" s="27"/>
      <c r="E21" s="27"/>
      <c r="F21" s="27"/>
      <c r="I21" s="28"/>
      <c r="J21" s="17"/>
      <c r="L21" s="29"/>
    </row>
    <row r="22" spans="3:17">
      <c r="C22" s="30">
        <v>2.2384600000000001E-4</v>
      </c>
      <c r="D22" s="17"/>
      <c r="E22" s="17"/>
      <c r="F22" s="17"/>
      <c r="G22" s="31"/>
      <c r="H22" s="17"/>
      <c r="I22" s="17"/>
      <c r="J22" s="17"/>
    </row>
    <row r="23" spans="3:17">
      <c r="C23" s="17"/>
      <c r="D23" s="17"/>
      <c r="E23" s="28"/>
      <c r="F23" s="34"/>
      <c r="G23" s="34"/>
      <c r="H23" s="17"/>
      <c r="I23" s="16"/>
      <c r="J23" s="16"/>
      <c r="N23" s="37"/>
      <c r="O23" s="37"/>
    </row>
    <row r="24" spans="3:17">
      <c r="C24" s="17" t="s">
        <v>11</v>
      </c>
      <c r="D24" s="17"/>
      <c r="E24" s="28">
        <v>42089</v>
      </c>
      <c r="F24" s="34"/>
      <c r="G24" s="34">
        <v>-71700</v>
      </c>
      <c r="H24" s="17"/>
      <c r="I24" s="16"/>
      <c r="N24" s="37"/>
      <c r="O24" s="37"/>
      <c r="Q24" s="50"/>
    </row>
    <row r="25" spans="3:17">
      <c r="C25" s="17"/>
      <c r="D25" s="17"/>
      <c r="E25" s="28">
        <v>42118</v>
      </c>
      <c r="F25" s="34"/>
      <c r="G25" s="34">
        <v>23052.400000000001</v>
      </c>
      <c r="H25" s="17"/>
      <c r="I25" s="16"/>
      <c r="N25" s="37"/>
      <c r="Q25" s="50"/>
    </row>
    <row r="26" spans="3:17">
      <c r="C26" s="17"/>
      <c r="D26" s="17"/>
      <c r="E26" s="28">
        <v>42180</v>
      </c>
      <c r="F26" s="34"/>
      <c r="G26" s="34">
        <v>-7095.93</v>
      </c>
      <c r="H26" s="17"/>
      <c r="I26" s="16"/>
      <c r="N26" s="37"/>
      <c r="Q26" s="50"/>
    </row>
    <row r="27" spans="3:17">
      <c r="C27" s="17"/>
      <c r="D27" s="17"/>
      <c r="E27" s="28">
        <v>42201</v>
      </c>
      <c r="F27" s="34"/>
      <c r="G27" s="34">
        <v>-2216.09</v>
      </c>
      <c r="H27" s="17"/>
      <c r="I27" s="16"/>
      <c r="N27" s="37"/>
      <c r="Q27" s="50"/>
    </row>
    <row r="28" spans="3:17">
      <c r="C28" s="17"/>
      <c r="D28" s="17"/>
      <c r="E28" s="28">
        <v>42271</v>
      </c>
      <c r="F28" s="34"/>
      <c r="G28" s="34">
        <v>-6961.62</v>
      </c>
      <c r="H28" s="17"/>
      <c r="I28" s="16"/>
      <c r="N28" s="37"/>
      <c r="Q28" s="50"/>
    </row>
    <row r="29" spans="3:17">
      <c r="C29" s="17"/>
      <c r="D29" s="17"/>
      <c r="E29" s="28">
        <v>42324</v>
      </c>
      <c r="F29" s="34"/>
      <c r="G29" s="34">
        <v>-10587.93</v>
      </c>
      <c r="H29" s="17"/>
      <c r="I29" s="16"/>
      <c r="J29" s="16"/>
      <c r="K29" s="17"/>
      <c r="N29" s="37"/>
      <c r="Q29" s="50"/>
    </row>
    <row r="30" spans="3:17">
      <c r="C30" s="17"/>
      <c r="D30" s="17"/>
      <c r="E30" s="28">
        <v>42367</v>
      </c>
      <c r="F30" s="34"/>
      <c r="G30" s="34">
        <v>-28316.54</v>
      </c>
      <c r="H30" s="17"/>
      <c r="I30" s="16"/>
      <c r="J30" s="16"/>
      <c r="K30" s="17"/>
      <c r="N30" s="37"/>
      <c r="Q30" s="50"/>
    </row>
    <row r="31" spans="3:17">
      <c r="C31" s="17" t="s">
        <v>13</v>
      </c>
      <c r="D31" s="17"/>
      <c r="E31" s="28">
        <v>42396</v>
      </c>
      <c r="F31" s="34"/>
      <c r="G31" s="34">
        <v>-46425.69</v>
      </c>
      <c r="H31" s="17"/>
      <c r="I31" s="16"/>
      <c r="J31" s="16"/>
      <c r="K31" s="17"/>
      <c r="N31" s="37"/>
      <c r="Q31" s="50"/>
    </row>
    <row r="32" spans="3:17">
      <c r="C32" s="17"/>
      <c r="D32" s="17"/>
      <c r="E32" s="28">
        <v>42453</v>
      </c>
      <c r="F32" s="34"/>
      <c r="G32" s="34">
        <v>-10319.32</v>
      </c>
      <c r="H32" s="17"/>
      <c r="I32" s="16"/>
      <c r="J32" s="16"/>
      <c r="K32" s="17"/>
      <c r="N32" s="37"/>
      <c r="Q32" s="50"/>
    </row>
    <row r="33" spans="3:17">
      <c r="C33" s="17"/>
      <c r="D33" s="17"/>
      <c r="E33" s="28">
        <v>42461</v>
      </c>
      <c r="F33" s="34"/>
      <c r="G33" s="34">
        <v>-7476.46</v>
      </c>
      <c r="H33" s="17"/>
      <c r="I33" s="16"/>
      <c r="J33" s="16"/>
      <c r="K33" s="17"/>
      <c r="N33" s="37"/>
      <c r="Q33" s="50"/>
    </row>
    <row r="34" spans="3:17">
      <c r="C34" s="17"/>
      <c r="D34" s="17"/>
      <c r="E34" s="28">
        <v>42500</v>
      </c>
      <c r="F34" s="34"/>
      <c r="G34" s="34">
        <v>-6446.76</v>
      </c>
      <c r="H34" s="17"/>
      <c r="I34" s="16"/>
      <c r="J34" s="16"/>
      <c r="K34" s="17"/>
      <c r="N34" s="37"/>
      <c r="Q34" s="50"/>
    </row>
    <row r="35" spans="3:17">
      <c r="C35" s="17"/>
      <c r="D35" s="17"/>
      <c r="E35" s="28">
        <v>42513</v>
      </c>
      <c r="F35" s="34"/>
      <c r="G35" s="34">
        <v>-21354.92</v>
      </c>
      <c r="H35" s="17"/>
      <c r="I35" s="16"/>
      <c r="J35" s="16"/>
      <c r="K35" s="17"/>
      <c r="N35" s="37"/>
      <c r="Q35" s="50"/>
    </row>
    <row r="36" spans="3:17">
      <c r="C36" s="17"/>
      <c r="D36" s="17"/>
      <c r="E36" s="28">
        <v>42524</v>
      </c>
      <c r="F36" s="34"/>
      <c r="G36" s="34">
        <v>-50052</v>
      </c>
      <c r="H36" s="17"/>
      <c r="I36" s="16"/>
      <c r="J36" s="16"/>
      <c r="K36" s="17"/>
      <c r="N36" s="37"/>
      <c r="Q36" s="50"/>
    </row>
    <row r="37" spans="3:17">
      <c r="C37" s="17"/>
      <c r="D37" s="17"/>
      <c r="E37" s="28">
        <v>42544</v>
      </c>
      <c r="F37" s="34"/>
      <c r="G37" s="34">
        <v>-73690.16</v>
      </c>
      <c r="H37" s="17"/>
      <c r="I37" s="16"/>
      <c r="J37" s="16"/>
      <c r="K37" s="17"/>
      <c r="N37" s="37"/>
      <c r="Q37" s="50"/>
    </row>
    <row r="38" spans="3:17">
      <c r="C38" s="17"/>
      <c r="D38" s="17"/>
      <c r="E38" s="28">
        <v>42564</v>
      </c>
      <c r="F38" s="34"/>
      <c r="G38" s="34">
        <v>-8058.46</v>
      </c>
      <c r="H38" s="17"/>
      <c r="I38" s="16"/>
      <c r="J38" s="16"/>
      <c r="K38" s="17"/>
      <c r="N38" s="37"/>
      <c r="Q38" s="50"/>
    </row>
    <row r="39" spans="3:17">
      <c r="C39" s="17"/>
      <c r="D39" s="17"/>
      <c r="E39" s="28">
        <v>42585</v>
      </c>
      <c r="F39" s="34"/>
      <c r="G39" s="34">
        <v>-35860.15</v>
      </c>
      <c r="H39" s="17"/>
      <c r="I39" s="16"/>
      <c r="J39" s="16"/>
      <c r="K39" s="17"/>
      <c r="N39" s="37"/>
      <c r="Q39" s="50"/>
    </row>
    <row r="40" spans="3:17">
      <c r="C40" s="17"/>
      <c r="D40" s="17"/>
      <c r="E40" s="28">
        <v>42614</v>
      </c>
      <c r="F40" s="34"/>
      <c r="G40" s="34">
        <v>-13676.99</v>
      </c>
      <c r="H40" s="17"/>
      <c r="I40" s="16"/>
      <c r="J40" s="16"/>
      <c r="K40" s="17"/>
      <c r="N40" s="37"/>
      <c r="Q40" s="50"/>
    </row>
    <row r="41" spans="3:17">
      <c r="C41" s="17"/>
      <c r="D41" s="17"/>
      <c r="E41" s="28">
        <v>42641</v>
      </c>
      <c r="F41" s="34"/>
      <c r="G41" s="34">
        <v>-20952</v>
      </c>
      <c r="H41" s="17"/>
      <c r="I41" s="16"/>
      <c r="N41" s="37"/>
      <c r="Q41" s="50"/>
    </row>
    <row r="42" spans="3:17">
      <c r="C42" s="17"/>
      <c r="D42" s="17"/>
      <c r="E42" s="28">
        <v>42656</v>
      </c>
      <c r="F42" s="34"/>
      <c r="G42" s="34">
        <v>-22362.23</v>
      </c>
      <c r="H42" s="17"/>
      <c r="I42" s="16"/>
      <c r="N42" s="37"/>
      <c r="Q42" s="50"/>
    </row>
    <row r="43" spans="3:17">
      <c r="C43" s="17"/>
      <c r="D43" s="17"/>
      <c r="E43" s="28">
        <v>42704</v>
      </c>
      <c r="F43" s="34"/>
      <c r="G43" s="34">
        <v>-19183.62</v>
      </c>
      <c r="H43" s="17"/>
      <c r="I43" s="16"/>
      <c r="N43" s="37"/>
      <c r="Q43" s="50"/>
    </row>
    <row r="44" spans="3:17">
      <c r="C44" s="17"/>
      <c r="D44" s="17"/>
      <c r="E44" s="28">
        <v>42719</v>
      </c>
      <c r="F44" s="34"/>
      <c r="G44" s="34">
        <v>-20593.849999999999</v>
      </c>
      <c r="H44" s="17"/>
      <c r="I44" s="16"/>
      <c r="N44" s="37"/>
      <c r="Q44" s="50"/>
    </row>
    <row r="45" spans="3:17">
      <c r="C45" s="17"/>
      <c r="D45" s="17"/>
      <c r="E45" s="28">
        <v>42733</v>
      </c>
      <c r="F45" s="34"/>
      <c r="G45" s="34">
        <v>-13318.84</v>
      </c>
      <c r="H45" s="17"/>
      <c r="I45" s="16"/>
      <c r="N45" s="37"/>
      <c r="Q45" s="50"/>
    </row>
    <row r="46" spans="3:17">
      <c r="C46" s="17" t="s">
        <v>14</v>
      </c>
      <c r="D46" s="17"/>
      <c r="E46" s="28">
        <v>42716</v>
      </c>
      <c r="F46" s="34"/>
      <c r="G46" s="34">
        <v>17744.73</v>
      </c>
      <c r="H46" s="17"/>
      <c r="I46" s="16"/>
      <c r="N46" s="37"/>
      <c r="Q46" s="50"/>
    </row>
    <row r="47" spans="3:17">
      <c r="C47" s="17" t="s">
        <v>15</v>
      </c>
      <c r="D47" s="17"/>
      <c r="E47" s="28">
        <v>42754</v>
      </c>
      <c r="F47" s="34"/>
      <c r="G47" s="34">
        <v>-12983.08</v>
      </c>
      <c r="H47" s="17"/>
      <c r="I47" s="16"/>
      <c r="N47" s="37"/>
      <c r="Q47" s="50"/>
    </row>
    <row r="48" spans="3:17">
      <c r="C48" s="17"/>
      <c r="D48" s="17"/>
      <c r="E48" s="28">
        <v>42765</v>
      </c>
      <c r="F48" s="34"/>
      <c r="G48" s="34">
        <v>-13251.7</v>
      </c>
      <c r="H48" s="17"/>
      <c r="I48" s="16"/>
      <c r="J48" s="16"/>
      <c r="K48" s="17"/>
      <c r="N48" s="37"/>
      <c r="Q48" s="50"/>
    </row>
    <row r="49" spans="3:17">
      <c r="C49" s="17"/>
      <c r="D49" s="17"/>
      <c r="E49" s="28">
        <v>42773</v>
      </c>
      <c r="F49" s="34"/>
      <c r="G49" s="34">
        <v>-22608.46</v>
      </c>
      <c r="H49" s="17"/>
      <c r="I49" s="16"/>
      <c r="J49" s="16"/>
      <c r="K49" s="17"/>
      <c r="N49" s="37"/>
      <c r="Q49" s="50"/>
    </row>
    <row r="50" spans="3:17">
      <c r="C50" s="17"/>
      <c r="D50" s="17"/>
      <c r="E50" s="28">
        <v>42797</v>
      </c>
      <c r="F50" s="34"/>
      <c r="G50" s="34">
        <v>-31629.46</v>
      </c>
      <c r="H50" s="17"/>
      <c r="I50" s="16"/>
      <c r="J50" s="16"/>
      <c r="K50" s="17"/>
      <c r="N50" s="37"/>
      <c r="Q50" s="50"/>
    </row>
    <row r="51" spans="3:17">
      <c r="C51" s="17"/>
      <c r="D51" s="17"/>
      <c r="E51" s="28">
        <v>42817</v>
      </c>
      <c r="F51" s="34"/>
      <c r="G51" s="34">
        <v>-18758.310000000001</v>
      </c>
      <c r="H51" s="17"/>
      <c r="I51" s="16"/>
      <c r="J51" s="16"/>
      <c r="K51" s="17"/>
      <c r="N51" s="37"/>
      <c r="Q51" s="50"/>
    </row>
    <row r="52" spans="3:17">
      <c r="C52" s="17"/>
      <c r="D52" s="17"/>
      <c r="E52" s="28">
        <v>42828</v>
      </c>
      <c r="F52" s="34"/>
      <c r="G52" s="34">
        <v>-16296</v>
      </c>
      <c r="H52" s="17"/>
      <c r="I52" s="16"/>
      <c r="J52" s="16"/>
      <c r="K52" s="17"/>
      <c r="N52" s="37"/>
      <c r="Q52" s="50"/>
    </row>
    <row r="53" spans="3:17">
      <c r="C53" s="17"/>
      <c r="D53" s="17"/>
      <c r="E53" s="28">
        <v>42851</v>
      </c>
      <c r="F53" s="34"/>
      <c r="G53" s="34">
        <v>-71496.45</v>
      </c>
      <c r="H53" s="17"/>
      <c r="I53" s="16"/>
      <c r="J53" s="16"/>
      <c r="K53" s="17"/>
      <c r="N53" s="37"/>
      <c r="Q53" s="50"/>
    </row>
    <row r="54" spans="3:17">
      <c r="C54" s="17"/>
      <c r="D54" s="17"/>
      <c r="E54" s="28">
        <v>42863</v>
      </c>
      <c r="F54" s="34"/>
      <c r="G54" s="34">
        <v>-15087.24</v>
      </c>
      <c r="H54" s="17"/>
      <c r="I54" s="16"/>
      <c r="J54" s="16"/>
      <c r="K54" s="17"/>
      <c r="N54" s="37"/>
      <c r="Q54" s="50"/>
    </row>
    <row r="55" spans="3:17">
      <c r="C55" s="17"/>
      <c r="D55" s="17"/>
      <c r="E55" s="28">
        <v>42878</v>
      </c>
      <c r="F55" s="34"/>
      <c r="G55" s="34">
        <v>-17057.080000000002</v>
      </c>
      <c r="H55" s="17"/>
      <c r="I55" s="16"/>
      <c r="N55" s="37"/>
      <c r="Q55" s="50"/>
    </row>
    <row r="56" spans="3:17">
      <c r="C56" s="17"/>
      <c r="D56" s="17"/>
      <c r="E56" s="28">
        <v>42893</v>
      </c>
      <c r="F56" s="34"/>
      <c r="G56" s="34">
        <v>-32032.38</v>
      </c>
      <c r="H56" s="17"/>
      <c r="I56" s="16"/>
      <c r="N56" s="37"/>
      <c r="Q56" s="50"/>
    </row>
    <row r="57" spans="3:17">
      <c r="C57" s="17"/>
      <c r="D57" s="17"/>
      <c r="E57" s="28">
        <v>42907</v>
      </c>
      <c r="F57" s="34"/>
      <c r="G57" s="34">
        <v>-16989.919999999998</v>
      </c>
      <c r="H57" s="17"/>
      <c r="I57" s="16"/>
      <c r="N57" s="37"/>
      <c r="Q57" s="50"/>
    </row>
    <row r="58" spans="3:17">
      <c r="C58" s="17"/>
      <c r="D58" s="17"/>
      <c r="E58" s="28">
        <v>42915</v>
      </c>
      <c r="F58" s="34"/>
      <c r="G58" s="34">
        <v>-38949.24</v>
      </c>
      <c r="H58" s="17"/>
      <c r="I58" s="16"/>
      <c r="N58" s="37"/>
      <c r="Q58" s="50"/>
    </row>
    <row r="59" spans="3:17">
      <c r="C59" s="17"/>
      <c r="D59" s="17"/>
      <c r="E59" s="28">
        <v>42927</v>
      </c>
      <c r="F59" s="34"/>
      <c r="G59" s="34">
        <v>-13878.47</v>
      </c>
      <c r="H59" s="17"/>
      <c r="I59" s="16"/>
      <c r="N59" s="37"/>
      <c r="Q59" s="50"/>
    </row>
    <row r="60" spans="3:17">
      <c r="C60" s="17"/>
      <c r="D60" s="17"/>
      <c r="E60" s="28">
        <v>42957</v>
      </c>
      <c r="F60" s="34"/>
      <c r="G60" s="34">
        <v>-21265.38</v>
      </c>
      <c r="H60" s="17"/>
      <c r="I60" s="16"/>
      <c r="N60" s="37"/>
      <c r="Q60" s="50"/>
    </row>
    <row r="61" spans="3:17">
      <c r="C61" s="17"/>
      <c r="D61" s="17"/>
      <c r="E61" s="28">
        <v>42970</v>
      </c>
      <c r="F61" s="34"/>
      <c r="G61" s="34">
        <v>-45910.85</v>
      </c>
      <c r="H61" s="17"/>
      <c r="I61" s="16"/>
      <c r="N61" s="37"/>
      <c r="Q61" s="50"/>
    </row>
    <row r="62" spans="3:17">
      <c r="C62" s="17"/>
      <c r="D62" s="17"/>
      <c r="E62" s="28">
        <v>42993</v>
      </c>
      <c r="F62" s="34"/>
      <c r="G62" s="34">
        <v>-16452.68</v>
      </c>
      <c r="H62" s="17"/>
      <c r="I62" s="16"/>
      <c r="J62" s="16"/>
      <c r="K62" s="17"/>
      <c r="N62" s="37"/>
      <c r="Q62" s="50"/>
    </row>
    <row r="63" spans="3:17">
      <c r="C63" s="17"/>
      <c r="D63" s="17"/>
      <c r="E63" s="28">
        <v>43000</v>
      </c>
      <c r="F63" s="34"/>
      <c r="G63" s="34">
        <v>-23817.22</v>
      </c>
      <c r="H63" s="17"/>
      <c r="I63" s="16"/>
      <c r="J63" s="16"/>
      <c r="K63" s="17"/>
      <c r="N63" s="37"/>
      <c r="Q63" s="50"/>
    </row>
    <row r="64" spans="3:17" ht="15.5">
      <c r="C64" s="17"/>
      <c r="D64" s="17"/>
      <c r="E64" s="28">
        <v>43012</v>
      </c>
      <c r="F64" s="34"/>
      <c r="G64" s="34">
        <v>-23794.85</v>
      </c>
      <c r="H64" s="17"/>
      <c r="I64" s="16"/>
      <c r="J64" s="16"/>
      <c r="K64" s="17"/>
      <c r="L64" s="12"/>
      <c r="N64" s="37"/>
      <c r="Q64" s="50"/>
    </row>
    <row r="65" spans="3:17">
      <c r="C65" s="17"/>
      <c r="D65" s="17"/>
      <c r="E65" s="28">
        <v>43027</v>
      </c>
      <c r="F65" s="34"/>
      <c r="G65" s="34">
        <v>-23347.15</v>
      </c>
      <c r="H65" s="17"/>
      <c r="I65" s="16"/>
      <c r="J65" s="16"/>
      <c r="K65" s="17"/>
      <c r="L65" s="59"/>
      <c r="N65" s="37"/>
      <c r="Q65" s="50"/>
    </row>
    <row r="66" spans="3:17">
      <c r="C66" s="17"/>
      <c r="D66" s="17"/>
      <c r="E66" s="28">
        <v>43046</v>
      </c>
      <c r="F66" s="34"/>
      <c r="G66" s="34">
        <v>-23481.45</v>
      </c>
      <c r="H66" s="17"/>
      <c r="I66" s="16"/>
      <c r="J66" s="16"/>
      <c r="K66" s="17"/>
      <c r="L66" s="59"/>
      <c r="N66" s="37"/>
      <c r="Q66" s="50"/>
    </row>
    <row r="67" spans="3:17">
      <c r="C67" s="17"/>
      <c r="D67" s="17"/>
      <c r="E67" s="28">
        <v>43056</v>
      </c>
      <c r="F67" s="34"/>
      <c r="G67" s="34">
        <v>-21713.07</v>
      </c>
      <c r="H67" s="17"/>
      <c r="I67" s="16"/>
      <c r="J67" s="16"/>
      <c r="K67" s="17"/>
      <c r="L67" s="59"/>
      <c r="N67" s="37"/>
      <c r="Q67" s="50"/>
    </row>
    <row r="68" spans="3:17">
      <c r="C68" s="17"/>
      <c r="D68" s="17"/>
      <c r="E68" s="28">
        <v>43083</v>
      </c>
      <c r="F68" s="34"/>
      <c r="G68" s="34">
        <v>-20996.77</v>
      </c>
      <c r="H68" s="17"/>
      <c r="I68" s="16"/>
      <c r="J68" s="16"/>
      <c r="K68" s="17"/>
      <c r="L68" s="59"/>
      <c r="N68" s="37"/>
      <c r="Q68" s="50"/>
    </row>
    <row r="69" spans="3:17">
      <c r="C69" s="17" t="s">
        <v>16</v>
      </c>
      <c r="D69" s="17"/>
      <c r="E69" s="28">
        <v>42780</v>
      </c>
      <c r="F69" s="34"/>
      <c r="G69" s="34">
        <v>101415.12</v>
      </c>
      <c r="H69" s="17"/>
      <c r="I69" s="16"/>
      <c r="J69" s="16"/>
      <c r="K69" s="17"/>
      <c r="N69" s="37"/>
      <c r="Q69" s="50"/>
    </row>
    <row r="70" spans="3:17">
      <c r="C70" s="17"/>
      <c r="D70" s="17"/>
      <c r="E70" s="28">
        <v>42822</v>
      </c>
      <c r="F70" s="34"/>
      <c r="G70" s="34">
        <v>72434.42</v>
      </c>
      <c r="H70" s="17"/>
      <c r="I70" s="16"/>
      <c r="J70" s="16"/>
      <c r="K70" s="17"/>
      <c r="N70" s="37"/>
      <c r="Q70" s="50"/>
    </row>
    <row r="71" spans="3:17">
      <c r="C71" s="17"/>
      <c r="D71" s="17"/>
      <c r="E71" s="28">
        <v>42906</v>
      </c>
      <c r="F71" s="34"/>
      <c r="G71" s="34">
        <v>12538.72</v>
      </c>
      <c r="H71" s="17"/>
      <c r="I71" s="16"/>
      <c r="J71" s="16"/>
      <c r="K71" s="17"/>
      <c r="N71" s="37"/>
      <c r="Q71" s="50"/>
    </row>
    <row r="72" spans="3:17">
      <c r="C72" s="17"/>
      <c r="D72" s="17"/>
      <c r="E72" s="28">
        <v>42970</v>
      </c>
      <c r="F72" s="34"/>
      <c r="G72" s="34">
        <v>4971.53</v>
      </c>
      <c r="H72" s="17"/>
      <c r="I72" s="16"/>
      <c r="J72" s="16"/>
      <c r="K72" s="17"/>
      <c r="N72" s="37"/>
      <c r="Q72" s="50"/>
    </row>
    <row r="73" spans="3:17">
      <c r="C73" s="17" t="s">
        <v>17</v>
      </c>
      <c r="D73" s="17"/>
      <c r="E73" s="28">
        <v>43104</v>
      </c>
      <c r="F73" s="34"/>
      <c r="G73" s="34">
        <v>-19586.53</v>
      </c>
      <c r="H73" s="17"/>
      <c r="I73" s="16"/>
      <c r="J73" s="16"/>
      <c r="K73" s="17"/>
      <c r="N73" s="37"/>
      <c r="Q73" s="50"/>
    </row>
    <row r="74" spans="3:17">
      <c r="C74" s="17"/>
      <c r="D74" s="17"/>
      <c r="E74" s="28">
        <v>43157</v>
      </c>
      <c r="F74" s="34"/>
      <c r="G74" s="34">
        <v>-18825.46</v>
      </c>
      <c r="H74" s="17"/>
      <c r="I74" s="16"/>
      <c r="J74" s="16"/>
      <c r="K74" s="17"/>
      <c r="N74" s="37"/>
      <c r="Q74" s="50"/>
    </row>
    <row r="75" spans="3:17">
      <c r="C75" s="17"/>
      <c r="D75" s="17"/>
      <c r="E75" s="28">
        <v>43181</v>
      </c>
      <c r="F75" s="34"/>
      <c r="G75" s="34">
        <v>-51798</v>
      </c>
      <c r="H75" s="17"/>
      <c r="I75" s="16"/>
      <c r="J75" s="16"/>
      <c r="K75" s="17"/>
      <c r="N75" s="37"/>
      <c r="Q75" s="50"/>
    </row>
    <row r="76" spans="3:17">
      <c r="C76" s="17"/>
      <c r="D76" s="17"/>
      <c r="E76" s="28">
        <v>43256</v>
      </c>
      <c r="F76" s="34"/>
      <c r="G76" s="34">
        <v>-20772.919999999998</v>
      </c>
      <c r="H76" s="17"/>
      <c r="I76" s="16"/>
      <c r="J76" s="16"/>
      <c r="K76" s="17"/>
      <c r="N76" s="37"/>
      <c r="Q76" s="50"/>
    </row>
    <row r="77" spans="3:17">
      <c r="C77" s="17"/>
      <c r="D77" s="17"/>
      <c r="E77" s="28">
        <v>43278</v>
      </c>
      <c r="F77" s="34"/>
      <c r="G77" s="34">
        <v>-16564.61</v>
      </c>
      <c r="H77" s="17"/>
      <c r="I77" s="16"/>
      <c r="J77" s="16"/>
      <c r="K77" s="17"/>
      <c r="N77" s="37"/>
      <c r="Q77" s="50"/>
    </row>
    <row r="78" spans="3:17">
      <c r="C78" s="17"/>
      <c r="D78" s="17"/>
      <c r="E78" s="28">
        <v>43336</v>
      </c>
      <c r="F78" s="34"/>
      <c r="G78" s="34">
        <v>-21511.63</v>
      </c>
      <c r="H78" s="17"/>
      <c r="I78" s="16"/>
      <c r="J78" s="16"/>
      <c r="K78" s="17"/>
      <c r="N78" s="37"/>
      <c r="Q78" s="50"/>
    </row>
    <row r="79" spans="3:17">
      <c r="C79" s="17"/>
      <c r="D79" s="17"/>
      <c r="E79" s="28">
        <v>43367</v>
      </c>
      <c r="F79" s="34"/>
      <c r="G79" s="34">
        <v>-36509.300000000003</v>
      </c>
      <c r="H79" s="17"/>
      <c r="I79" s="16"/>
      <c r="J79" s="16"/>
      <c r="K79" s="17"/>
      <c r="N79" s="37"/>
      <c r="Q79" s="50"/>
    </row>
    <row r="80" spans="3:17">
      <c r="C80" s="17"/>
      <c r="D80" s="17"/>
      <c r="E80" s="28">
        <v>43439</v>
      </c>
      <c r="F80" s="34"/>
      <c r="G80" s="34">
        <v>-22787.54</v>
      </c>
      <c r="H80" s="17"/>
      <c r="I80" s="16"/>
      <c r="J80" s="16"/>
      <c r="K80" s="17"/>
      <c r="N80" s="37"/>
      <c r="Q80" s="50"/>
    </row>
    <row r="81" spans="3:17">
      <c r="C81" s="17" t="s">
        <v>18</v>
      </c>
      <c r="D81" s="17"/>
      <c r="E81" s="28">
        <v>43167</v>
      </c>
      <c r="F81" s="34"/>
      <c r="G81" s="34">
        <v>5659.93</v>
      </c>
      <c r="H81" s="17"/>
      <c r="I81" s="16"/>
      <c r="J81" s="16"/>
      <c r="K81" s="17"/>
      <c r="N81" s="37"/>
      <c r="Q81" s="50"/>
    </row>
    <row r="82" spans="3:17">
      <c r="C82" s="17"/>
      <c r="D82" s="17"/>
      <c r="E82" s="28">
        <v>43255</v>
      </c>
      <c r="F82" s="34"/>
      <c r="G82" s="34">
        <v>13720.21</v>
      </c>
      <c r="H82" s="17"/>
      <c r="I82" s="16"/>
      <c r="J82" s="16"/>
      <c r="K82" s="17"/>
      <c r="N82" s="37"/>
      <c r="Q82" s="50"/>
    </row>
    <row r="83" spans="3:17">
      <c r="C83" s="17"/>
      <c r="D83" s="17"/>
      <c r="E83" s="28">
        <v>43444</v>
      </c>
      <c r="F83" s="34"/>
      <c r="G83" s="34">
        <v>8033.52</v>
      </c>
      <c r="H83" s="17"/>
      <c r="I83" s="16"/>
      <c r="J83" s="16"/>
      <c r="K83" s="17"/>
      <c r="N83" s="37"/>
      <c r="Q83" s="50"/>
    </row>
    <row r="84" spans="3:17">
      <c r="C84" s="17" t="s">
        <v>19</v>
      </c>
      <c r="D84" s="17"/>
      <c r="E84" s="28">
        <v>43481</v>
      </c>
      <c r="F84" s="34"/>
      <c r="G84" s="34">
        <v>-12983.08</v>
      </c>
      <c r="H84" s="17"/>
      <c r="I84" s="16"/>
      <c r="J84" s="16"/>
      <c r="K84" s="17"/>
      <c r="N84" s="37"/>
      <c r="Q84" s="50"/>
    </row>
    <row r="85" spans="3:17">
      <c r="D85" s="17"/>
      <c r="E85" s="28">
        <v>43544</v>
      </c>
      <c r="F85" s="34"/>
      <c r="G85" s="34">
        <v>-14370.91</v>
      </c>
      <c r="H85" s="17"/>
      <c r="I85" s="16"/>
      <c r="J85" s="16"/>
      <c r="K85" s="17"/>
      <c r="N85" s="37"/>
      <c r="Q85" s="50"/>
    </row>
    <row r="86" spans="3:17">
      <c r="D86" s="17"/>
      <c r="E86" s="28">
        <v>43591</v>
      </c>
      <c r="F86" s="34"/>
      <c r="G86" s="34">
        <v>-12826.38</v>
      </c>
      <c r="H86" s="17"/>
      <c r="I86" s="16"/>
      <c r="J86" s="16"/>
      <c r="K86" s="17"/>
      <c r="N86" s="37"/>
      <c r="Q86" s="50"/>
    </row>
    <row r="87" spans="3:17">
      <c r="D87" s="17"/>
      <c r="E87" s="28">
        <v>43675</v>
      </c>
      <c r="F87" s="34"/>
      <c r="G87" s="34">
        <v>-20056.62</v>
      </c>
      <c r="H87" s="17"/>
      <c r="I87" s="16"/>
      <c r="J87" s="16"/>
      <c r="K87" s="17"/>
      <c r="N87" s="37"/>
      <c r="Q87" s="50"/>
    </row>
    <row r="88" spans="3:17">
      <c r="D88" s="17"/>
      <c r="E88" s="28">
        <v>43707</v>
      </c>
      <c r="F88" s="34"/>
      <c r="G88" s="34">
        <v>-34427.54</v>
      </c>
      <c r="H88" s="17"/>
      <c r="I88" s="16"/>
      <c r="J88" s="16"/>
      <c r="K88" s="17"/>
      <c r="N88" s="37"/>
      <c r="Q88" s="50"/>
    </row>
    <row r="89" spans="3:17">
      <c r="D89" s="17"/>
      <c r="E89" s="28">
        <v>43769</v>
      </c>
      <c r="F89" s="34"/>
      <c r="G89" s="34">
        <v>-15781.16</v>
      </c>
      <c r="H89" s="17"/>
      <c r="I89" s="16"/>
      <c r="J89" s="16"/>
      <c r="K89" s="17"/>
      <c r="N89" s="37"/>
      <c r="Q89" s="50"/>
    </row>
    <row r="90" spans="3:17">
      <c r="D90" s="17"/>
      <c r="E90" s="28">
        <v>43804</v>
      </c>
      <c r="F90" s="34"/>
      <c r="G90" s="34">
        <v>-15758.78</v>
      </c>
      <c r="H90" s="17"/>
      <c r="I90" s="16"/>
      <c r="J90" s="16"/>
      <c r="K90" s="17"/>
      <c r="N90" s="37"/>
      <c r="Q90" s="50"/>
    </row>
    <row r="91" spans="3:17">
      <c r="C91" s="17" t="s">
        <v>20</v>
      </c>
      <c r="D91" s="17"/>
      <c r="E91" s="28">
        <v>43550</v>
      </c>
      <c r="F91" s="34"/>
      <c r="G91" s="34">
        <v>4511.33</v>
      </c>
      <c r="H91" s="17"/>
      <c r="I91" s="16"/>
      <c r="J91" s="16"/>
      <c r="K91" s="17"/>
      <c r="N91" s="37"/>
      <c r="Q91" s="50"/>
    </row>
    <row r="92" spans="3:17">
      <c r="C92" s="17"/>
      <c r="D92" s="17"/>
      <c r="E92" s="28">
        <v>43629</v>
      </c>
      <c r="F92" s="34"/>
      <c r="G92" s="34">
        <v>5034.82</v>
      </c>
      <c r="H92" s="17"/>
      <c r="I92" s="16"/>
      <c r="J92" s="16"/>
      <c r="K92" s="17"/>
      <c r="N92" s="37"/>
      <c r="Q92" s="50"/>
    </row>
    <row r="93" spans="3:17">
      <c r="C93" s="17"/>
      <c r="D93" s="17"/>
      <c r="E93" s="28">
        <v>43760</v>
      </c>
      <c r="F93" s="34"/>
      <c r="G93" s="34">
        <v>28035.040000000001</v>
      </c>
      <c r="H93" s="17"/>
      <c r="I93" s="16"/>
      <c r="J93" s="16"/>
      <c r="K93" s="17"/>
      <c r="N93" s="37"/>
      <c r="Q93" s="50"/>
    </row>
    <row r="94" spans="3:17">
      <c r="C94" s="17"/>
      <c r="D94" s="17"/>
      <c r="E94" s="28">
        <v>43816</v>
      </c>
      <c r="F94" s="34"/>
      <c r="G94" s="34">
        <v>5278.68</v>
      </c>
      <c r="H94" s="17"/>
      <c r="I94" s="16"/>
      <c r="J94" s="16"/>
      <c r="K94" s="17"/>
      <c r="N94" s="37"/>
      <c r="Q94" s="50"/>
    </row>
    <row r="95" spans="3:17">
      <c r="C95" s="17" t="s">
        <v>21</v>
      </c>
      <c r="D95" s="17"/>
      <c r="E95" s="28">
        <v>43896</v>
      </c>
      <c r="F95" s="34"/>
      <c r="G95" s="34">
        <v>-9759.68</v>
      </c>
      <c r="H95" s="17"/>
      <c r="I95" s="16"/>
      <c r="J95" s="16"/>
      <c r="K95" s="17"/>
      <c r="N95" s="37"/>
      <c r="Q95" s="50"/>
    </row>
    <row r="96" spans="3:17">
      <c r="C96" s="17"/>
      <c r="D96" s="17"/>
      <c r="E96" s="28">
        <v>43922</v>
      </c>
      <c r="F96" s="34"/>
      <c r="G96" s="34">
        <v>-7297.39</v>
      </c>
      <c r="H96" s="17"/>
      <c r="I96" s="16"/>
      <c r="J96" s="16"/>
      <c r="K96" s="17"/>
      <c r="N96" s="37"/>
      <c r="Q96" s="50"/>
    </row>
    <row r="97" spans="3:17">
      <c r="C97" s="17"/>
      <c r="D97" s="17"/>
      <c r="E97" s="28">
        <v>43979</v>
      </c>
      <c r="F97" s="34"/>
      <c r="G97" s="34">
        <v>-9513.4699999999993</v>
      </c>
      <c r="H97" s="17"/>
      <c r="I97" s="16"/>
      <c r="J97" s="16"/>
      <c r="K97" s="17"/>
      <c r="N97" s="37"/>
      <c r="Q97" s="50"/>
    </row>
    <row r="98" spans="3:17">
      <c r="C98" s="17"/>
      <c r="D98" s="17"/>
      <c r="E98" s="28">
        <v>44015</v>
      </c>
      <c r="F98" s="34"/>
      <c r="G98" s="34">
        <v>-8259.92</v>
      </c>
      <c r="H98" s="17"/>
      <c r="I98" s="16"/>
      <c r="J98" s="16"/>
      <c r="K98" s="17"/>
      <c r="N98" s="37"/>
      <c r="Q98" s="50"/>
    </row>
    <row r="99" spans="3:17">
      <c r="C99" s="17"/>
      <c r="D99" s="17"/>
      <c r="E99" s="28">
        <v>44109</v>
      </c>
      <c r="F99" s="34"/>
      <c r="G99" s="34">
        <v>-5842.39</v>
      </c>
      <c r="H99" s="17"/>
      <c r="I99" s="16"/>
      <c r="J99" s="16"/>
      <c r="K99" s="17"/>
      <c r="N99" s="37"/>
      <c r="Q99" s="50"/>
    </row>
    <row r="100" spans="3:17">
      <c r="C100" s="17"/>
      <c r="D100" s="17"/>
      <c r="E100" s="28">
        <v>44160</v>
      </c>
      <c r="F100" s="34"/>
      <c r="G100" s="34">
        <v>-11080.38</v>
      </c>
      <c r="H100" s="17"/>
      <c r="I100" s="16"/>
      <c r="J100" s="16"/>
      <c r="K100" s="17"/>
      <c r="N100" s="37"/>
      <c r="Q100" s="50"/>
    </row>
    <row r="101" spans="3:17">
      <c r="C101" s="17" t="s">
        <v>30</v>
      </c>
      <c r="D101" s="17"/>
      <c r="E101" s="28">
        <v>43885</v>
      </c>
      <c r="F101" s="34"/>
      <c r="G101" s="34">
        <v>16738.8</v>
      </c>
      <c r="H101" s="17"/>
      <c r="I101" s="16"/>
      <c r="J101" s="16"/>
      <c r="K101" s="17"/>
      <c r="N101" s="37"/>
      <c r="Q101" s="50"/>
    </row>
    <row r="102" spans="3:17">
      <c r="C102" s="17"/>
      <c r="D102" s="17"/>
      <c r="E102" s="28">
        <v>44082</v>
      </c>
      <c r="F102" s="34"/>
      <c r="G102" s="34">
        <v>9918.1</v>
      </c>
      <c r="H102" s="17"/>
      <c r="I102" s="16"/>
      <c r="J102" s="16"/>
      <c r="K102" s="17"/>
      <c r="N102" s="37"/>
      <c r="Q102" s="50"/>
    </row>
    <row r="103" spans="3:17">
      <c r="C103" s="17" t="s">
        <v>31</v>
      </c>
      <c r="D103" s="17"/>
      <c r="E103" s="28">
        <v>44201</v>
      </c>
      <c r="F103" s="34"/>
      <c r="G103" s="34">
        <v>-5909.54</v>
      </c>
      <c r="H103" s="17"/>
      <c r="I103" s="16"/>
      <c r="J103" s="16"/>
      <c r="K103" s="17"/>
      <c r="N103" s="37"/>
      <c r="Q103" s="50"/>
    </row>
    <row r="104" spans="3:17">
      <c r="C104" s="17"/>
      <c r="D104" s="17"/>
      <c r="E104" s="28">
        <v>44246</v>
      </c>
      <c r="F104" s="34"/>
      <c r="G104" s="34">
        <v>-33576.92</v>
      </c>
      <c r="H104" s="17"/>
      <c r="I104" s="16"/>
      <c r="J104" s="16"/>
      <c r="K104" s="17"/>
      <c r="N104" s="37"/>
      <c r="Q104" s="50"/>
    </row>
    <row r="105" spans="3:17">
      <c r="C105" s="17"/>
      <c r="D105" s="17"/>
      <c r="E105" s="28">
        <v>44267</v>
      </c>
      <c r="F105" s="34"/>
      <c r="G105" s="34">
        <v>-3335.31</v>
      </c>
      <c r="H105" s="17"/>
      <c r="I105" s="16"/>
      <c r="J105" s="16"/>
      <c r="K105" s="17"/>
      <c r="N105" s="37"/>
      <c r="Q105" s="50"/>
    </row>
    <row r="106" spans="3:17">
      <c r="C106" s="17"/>
      <c r="D106" s="17"/>
      <c r="E106" s="28">
        <v>44285</v>
      </c>
      <c r="F106" s="34"/>
      <c r="G106" s="34">
        <v>-4208.3100000000004</v>
      </c>
      <c r="H106" s="17"/>
      <c r="I106" s="16"/>
      <c r="J106" s="16"/>
      <c r="K106" s="17"/>
      <c r="N106" s="37"/>
      <c r="Q106" s="50"/>
    </row>
    <row r="107" spans="3:17">
      <c r="C107" s="17"/>
      <c r="D107" s="17"/>
      <c r="E107" s="28">
        <v>44308</v>
      </c>
      <c r="F107" s="34"/>
      <c r="G107" s="34">
        <v>-11147.53</v>
      </c>
      <c r="H107" s="17"/>
      <c r="I107" s="16"/>
      <c r="J107" s="16"/>
      <c r="K107" s="17"/>
      <c r="N107" s="37"/>
      <c r="Q107" s="50"/>
    </row>
    <row r="108" spans="3:17">
      <c r="C108" s="17"/>
      <c r="D108" s="17"/>
      <c r="E108" s="28">
        <v>44348</v>
      </c>
      <c r="F108" s="34"/>
      <c r="G108" s="34">
        <v>-24690.23</v>
      </c>
      <c r="H108" s="17"/>
      <c r="I108" s="16"/>
      <c r="J108" s="16"/>
      <c r="K108" s="17"/>
      <c r="N108" s="37"/>
      <c r="Q108" s="50"/>
    </row>
    <row r="109" spans="3:17">
      <c r="C109" s="17"/>
      <c r="D109" s="17"/>
      <c r="E109" s="28">
        <v>44467</v>
      </c>
      <c r="F109" s="34"/>
      <c r="G109" s="34">
        <v>-3626.31</v>
      </c>
      <c r="H109" s="17"/>
      <c r="I109" s="16"/>
      <c r="J109" s="16"/>
      <c r="K109" s="17"/>
      <c r="N109" s="37"/>
      <c r="Q109" s="50"/>
    </row>
    <row r="110" spans="3:17">
      <c r="C110" s="17"/>
      <c r="D110" s="17"/>
      <c r="E110" s="28">
        <v>44546</v>
      </c>
      <c r="F110" s="34"/>
      <c r="G110" s="34">
        <v>-16564.61</v>
      </c>
      <c r="H110" s="17"/>
      <c r="I110" s="16"/>
      <c r="J110" s="16"/>
      <c r="K110" s="17"/>
      <c r="N110" s="37"/>
      <c r="Q110" s="50"/>
    </row>
    <row r="111" spans="3:17">
      <c r="C111" s="17" t="s">
        <v>22</v>
      </c>
      <c r="D111" s="17"/>
      <c r="E111" s="28">
        <v>44217</v>
      </c>
      <c r="F111" s="34"/>
      <c r="G111" s="34">
        <v>15809.21</v>
      </c>
      <c r="H111" s="17"/>
      <c r="I111" s="16"/>
      <c r="J111" s="16"/>
      <c r="K111" s="17"/>
      <c r="N111" s="37"/>
      <c r="Q111" s="50"/>
    </row>
    <row r="112" spans="3:17">
      <c r="C112" s="17"/>
      <c r="D112" s="17"/>
      <c r="E112" s="28">
        <v>44256</v>
      </c>
      <c r="F112" s="34"/>
      <c r="G112" s="34">
        <v>127901.59</v>
      </c>
      <c r="H112" s="17"/>
      <c r="I112" s="16"/>
      <c r="J112" s="16"/>
      <c r="K112" s="17"/>
      <c r="N112" s="37"/>
      <c r="Q112" s="50"/>
    </row>
    <row r="113" spans="3:17">
      <c r="C113" s="17"/>
      <c r="D113" s="17"/>
      <c r="E113" s="28">
        <v>44279</v>
      </c>
      <c r="F113" s="34"/>
      <c r="G113" s="34">
        <v>27339.200000000001</v>
      </c>
      <c r="H113" s="17"/>
      <c r="I113" s="16"/>
      <c r="J113" s="16"/>
      <c r="K113" s="17"/>
      <c r="N113" s="37"/>
      <c r="Q113" s="50"/>
    </row>
    <row r="114" spans="3:17">
      <c r="C114" s="17"/>
      <c r="D114" s="17"/>
      <c r="E114" s="28">
        <v>44295</v>
      </c>
      <c r="F114" s="34"/>
      <c r="G114" s="34">
        <v>35769.089999999997</v>
      </c>
      <c r="H114" s="17"/>
      <c r="I114" s="16"/>
      <c r="J114" s="16"/>
      <c r="K114" s="17"/>
      <c r="N114" s="37"/>
      <c r="Q114" s="50"/>
    </row>
    <row r="115" spans="3:17">
      <c r="C115" s="17"/>
      <c r="D115" s="17"/>
      <c r="E115" s="28">
        <v>44371</v>
      </c>
      <c r="F115" s="34"/>
      <c r="G115" s="34">
        <v>4987.34</v>
      </c>
      <c r="H115" s="17"/>
      <c r="I115" s="16"/>
      <c r="J115" s="16"/>
      <c r="K115" s="17"/>
      <c r="N115" s="37"/>
      <c r="Q115" s="50"/>
    </row>
    <row r="116" spans="3:17">
      <c r="C116" s="17"/>
      <c r="D116" s="17"/>
      <c r="E116" s="28">
        <v>44386</v>
      </c>
      <c r="F116" s="34"/>
      <c r="G116" s="34">
        <v>8549.0499999999993</v>
      </c>
      <c r="H116" s="17"/>
      <c r="I116" s="16"/>
      <c r="J116" s="16"/>
      <c r="K116" s="17"/>
      <c r="N116" s="37"/>
      <c r="Q116" s="50"/>
    </row>
    <row r="117" spans="3:17">
      <c r="C117" s="17"/>
      <c r="D117" s="17"/>
      <c r="E117" s="28">
        <v>44417</v>
      </c>
      <c r="F117" s="34"/>
      <c r="G117" s="34">
        <v>9288.0499999999993</v>
      </c>
      <c r="H117" s="17"/>
      <c r="I117" s="16"/>
      <c r="J117" s="16"/>
      <c r="K117" s="17"/>
      <c r="N117" s="37"/>
      <c r="Q117" s="50"/>
    </row>
    <row r="118" spans="3:17">
      <c r="C118" s="17"/>
      <c r="D118" s="17"/>
      <c r="E118" s="28">
        <v>44446</v>
      </c>
      <c r="F118" s="34"/>
      <c r="G118" s="34">
        <v>8948.94</v>
      </c>
      <c r="H118" s="17"/>
      <c r="I118" s="16"/>
      <c r="J118" s="16"/>
      <c r="K118" s="17"/>
      <c r="N118" s="37"/>
      <c r="Q118" s="50"/>
    </row>
    <row r="119" spans="3:17">
      <c r="C119" s="17"/>
      <c r="D119" s="17"/>
      <c r="E119" s="28">
        <v>44473</v>
      </c>
      <c r="F119" s="34"/>
      <c r="G119" s="34">
        <v>14044.16</v>
      </c>
      <c r="H119" s="17"/>
      <c r="I119" s="16"/>
      <c r="J119" s="16"/>
      <c r="K119" s="17"/>
      <c r="N119" s="37"/>
      <c r="Q119" s="50"/>
    </row>
    <row r="120" spans="3:17">
      <c r="C120" s="17"/>
      <c r="D120" s="17"/>
      <c r="E120" s="28">
        <v>44489</v>
      </c>
      <c r="F120" s="34"/>
      <c r="G120" s="34">
        <v>36522.879999999997</v>
      </c>
      <c r="H120" s="17"/>
      <c r="I120" s="16"/>
      <c r="J120" s="16"/>
      <c r="K120" s="17"/>
      <c r="N120" s="37"/>
      <c r="Q120" s="50"/>
    </row>
    <row r="121" spans="3:17">
      <c r="C121" s="17"/>
      <c r="D121" s="17"/>
      <c r="E121" s="28">
        <v>44496</v>
      </c>
      <c r="F121" s="34"/>
      <c r="G121" s="34">
        <v>75188.570000000007</v>
      </c>
      <c r="H121" s="17"/>
      <c r="I121" s="16"/>
      <c r="J121" s="16"/>
      <c r="K121" s="17"/>
      <c r="N121" s="37"/>
      <c r="Q121" s="50"/>
    </row>
    <row r="122" spans="3:17">
      <c r="C122" s="17"/>
      <c r="D122" s="17"/>
      <c r="E122" s="28">
        <v>44505</v>
      </c>
      <c r="F122" s="34"/>
      <c r="G122" s="34">
        <v>7588.54</v>
      </c>
      <c r="H122" s="17"/>
      <c r="I122" s="16"/>
      <c r="J122" s="16"/>
      <c r="K122" s="17"/>
      <c r="N122" s="37"/>
      <c r="Q122" s="50"/>
    </row>
    <row r="123" spans="3:17">
      <c r="C123" s="17"/>
      <c r="D123" s="17"/>
      <c r="E123" s="28">
        <v>44547</v>
      </c>
      <c r="F123" s="34"/>
      <c r="G123" s="34">
        <v>57433.86</v>
      </c>
      <c r="H123" s="17"/>
      <c r="I123" s="16"/>
      <c r="J123" s="16"/>
      <c r="K123" s="17"/>
      <c r="N123" s="37"/>
      <c r="Q123" s="50"/>
    </row>
    <row r="124" spans="3:17">
      <c r="C124" s="17" t="s">
        <v>32</v>
      </c>
      <c r="D124" s="17"/>
      <c r="E124" s="28">
        <v>44585</v>
      </c>
      <c r="F124" s="34"/>
      <c r="G124" s="34">
        <v>-6872.07</v>
      </c>
      <c r="H124" s="17"/>
      <c r="I124" s="16"/>
      <c r="J124" s="16"/>
      <c r="K124" s="17"/>
      <c r="N124" s="37"/>
      <c r="Q124" s="50"/>
    </row>
    <row r="125" spans="3:17">
      <c r="C125" s="17"/>
      <c r="D125" s="17"/>
      <c r="E125" s="28">
        <v>44630</v>
      </c>
      <c r="F125" s="34"/>
      <c r="G125" s="34">
        <v>-8282.31</v>
      </c>
      <c r="H125" s="17"/>
      <c r="I125" s="16"/>
      <c r="J125" s="16"/>
      <c r="K125" s="17"/>
      <c r="N125" s="37"/>
      <c r="Q125" s="50"/>
    </row>
    <row r="126" spans="3:17">
      <c r="C126" s="17"/>
      <c r="D126" s="17"/>
      <c r="E126" s="28">
        <v>44741</v>
      </c>
      <c r="F126" s="34"/>
      <c r="G126" s="34">
        <v>-3492</v>
      </c>
      <c r="H126" s="17"/>
      <c r="I126" s="16"/>
      <c r="J126" s="16"/>
      <c r="K126" s="17"/>
      <c r="N126" s="37"/>
      <c r="Q126" s="50"/>
    </row>
    <row r="127" spans="3:17">
      <c r="C127" s="17"/>
      <c r="D127" s="17"/>
      <c r="E127" s="28">
        <v>44830</v>
      </c>
      <c r="F127" s="34"/>
      <c r="G127" s="34">
        <v>-3424.85</v>
      </c>
      <c r="H127" s="17"/>
      <c r="I127" s="16"/>
      <c r="J127" s="16"/>
      <c r="K127" s="17"/>
      <c r="N127" s="37"/>
      <c r="Q127" s="50"/>
    </row>
    <row r="128" spans="3:17">
      <c r="C128" s="17"/>
      <c r="D128" s="17"/>
      <c r="E128" s="28">
        <v>44925</v>
      </c>
      <c r="F128" s="34"/>
      <c r="G128" s="34">
        <v>-5640.92</v>
      </c>
      <c r="H128" s="17"/>
      <c r="I128" s="16"/>
      <c r="J128" s="16"/>
      <c r="K128" s="17"/>
      <c r="N128" s="37"/>
      <c r="Q128" s="50"/>
    </row>
    <row r="129" spans="3:17">
      <c r="C129" s="17" t="s">
        <v>23</v>
      </c>
      <c r="D129" s="17"/>
      <c r="E129" s="28">
        <v>44580</v>
      </c>
      <c r="F129" s="34"/>
      <c r="G129" s="34">
        <v>90440.08</v>
      </c>
      <c r="H129" s="17"/>
      <c r="I129" s="16"/>
      <c r="J129" s="16"/>
      <c r="K129" s="17"/>
      <c r="N129" s="37"/>
      <c r="Q129" s="50"/>
    </row>
    <row r="130" spans="3:17">
      <c r="C130" s="17"/>
      <c r="D130" s="17"/>
      <c r="E130" s="28">
        <v>44595</v>
      </c>
      <c r="F130" s="34"/>
      <c r="G130" s="34">
        <v>34837.279999999999</v>
      </c>
      <c r="H130" s="17"/>
      <c r="I130" s="16"/>
      <c r="J130" s="16"/>
      <c r="K130" s="17"/>
      <c r="N130" s="37"/>
      <c r="Q130" s="50"/>
    </row>
    <row r="131" spans="3:17">
      <c r="C131" s="17"/>
      <c r="D131" s="17"/>
      <c r="E131" s="28">
        <v>44630</v>
      </c>
      <c r="F131" s="34"/>
      <c r="G131" s="34">
        <v>48745.82</v>
      </c>
      <c r="H131" s="17"/>
      <c r="I131" s="16"/>
      <c r="J131" s="16"/>
      <c r="K131" s="17"/>
      <c r="N131" s="37"/>
      <c r="Q131" s="50"/>
    </row>
    <row r="132" spans="3:17">
      <c r="C132" s="17"/>
      <c r="D132" s="17"/>
      <c r="E132" s="28">
        <v>44655</v>
      </c>
      <c r="F132" s="34"/>
      <c r="G132" s="34">
        <v>88493.71</v>
      </c>
      <c r="H132" s="17"/>
      <c r="I132" s="16"/>
      <c r="J132" s="16"/>
      <c r="K132" s="17"/>
      <c r="N132" s="37"/>
      <c r="Q132" s="50"/>
    </row>
    <row r="133" spans="3:17">
      <c r="C133" s="17"/>
      <c r="D133" s="17"/>
      <c r="E133" s="28">
        <v>44690</v>
      </c>
      <c r="F133" s="34"/>
      <c r="G133" s="34">
        <v>44167.72</v>
      </c>
      <c r="H133" s="17"/>
      <c r="I133" s="16"/>
      <c r="J133" s="16"/>
      <c r="K133" s="17"/>
      <c r="N133" s="37"/>
      <c r="Q133" s="50"/>
    </row>
    <row r="134" spans="3:17">
      <c r="C134" s="17"/>
      <c r="D134" s="17"/>
      <c r="E134" s="28">
        <v>44714</v>
      </c>
      <c r="F134" s="34"/>
      <c r="G134" s="34">
        <v>66332.740000000005</v>
      </c>
      <c r="H134" s="17"/>
      <c r="I134" s="16"/>
      <c r="J134" s="16"/>
      <c r="K134" s="17"/>
      <c r="N134" s="37"/>
      <c r="Q134" s="50"/>
    </row>
    <row r="135" spans="3:17">
      <c r="C135" s="17"/>
      <c r="D135" s="17"/>
      <c r="E135" s="28">
        <v>44754</v>
      </c>
      <c r="F135" s="34"/>
      <c r="G135" s="34">
        <v>63791.21</v>
      </c>
      <c r="H135" s="17"/>
      <c r="I135" s="16"/>
      <c r="J135" s="16"/>
      <c r="K135" s="17"/>
      <c r="N135" s="37"/>
      <c r="Q135" s="50"/>
    </row>
    <row r="136" spans="3:17">
      <c r="C136" s="17"/>
      <c r="D136" s="17"/>
      <c r="E136" s="28">
        <v>44782</v>
      </c>
      <c r="F136" s="34"/>
      <c r="G136" s="34">
        <v>19406.66</v>
      </c>
      <c r="H136" s="17"/>
      <c r="I136" s="16"/>
      <c r="J136" s="16"/>
      <c r="K136" s="17"/>
      <c r="N136" s="37"/>
      <c r="Q136" s="50"/>
    </row>
    <row r="137" spans="3:17">
      <c r="C137" s="17"/>
      <c r="D137" s="17"/>
      <c r="E137" s="28">
        <v>44806</v>
      </c>
      <c r="F137" s="34"/>
      <c r="G137" s="34">
        <v>57189.52</v>
      </c>
      <c r="H137" s="17"/>
      <c r="I137" s="16"/>
      <c r="J137" s="16"/>
      <c r="K137" s="17"/>
      <c r="N137" s="37"/>
      <c r="Q137" s="50"/>
    </row>
    <row r="138" spans="3:17">
      <c r="C138" s="17"/>
      <c r="D138" s="17"/>
      <c r="E138" s="28">
        <v>44846</v>
      </c>
      <c r="F138" s="34"/>
      <c r="G138" s="34">
        <v>47881.279999999999</v>
      </c>
      <c r="H138" s="17"/>
      <c r="I138" s="16"/>
      <c r="J138" s="16"/>
      <c r="K138" s="17"/>
      <c r="N138" s="37"/>
      <c r="Q138" s="50"/>
    </row>
    <row r="139" spans="3:17">
      <c r="C139" s="17"/>
      <c r="D139" s="17"/>
      <c r="E139" s="28">
        <v>44868</v>
      </c>
      <c r="F139" s="34"/>
      <c r="G139" s="34">
        <v>23429.99</v>
      </c>
      <c r="H139" s="17"/>
      <c r="I139" s="16"/>
      <c r="J139" s="16"/>
      <c r="K139" s="17"/>
      <c r="N139" s="37"/>
      <c r="Q139" s="50"/>
    </row>
    <row r="140" spans="3:17">
      <c r="C140" s="17"/>
      <c r="D140" s="17"/>
      <c r="E140" s="28">
        <v>44901</v>
      </c>
      <c r="F140" s="34"/>
      <c r="G140" s="34">
        <v>15195.14</v>
      </c>
      <c r="H140" s="17"/>
      <c r="I140" s="16"/>
      <c r="J140" s="16"/>
      <c r="K140" s="17"/>
      <c r="N140" s="37"/>
      <c r="Q140" s="50"/>
    </row>
    <row r="141" spans="3:17">
      <c r="C141" s="17" t="s">
        <v>33</v>
      </c>
      <c r="D141" s="17"/>
      <c r="E141" s="28">
        <v>44965</v>
      </c>
      <c r="F141" s="34"/>
      <c r="G141" s="34">
        <v>-5596.15</v>
      </c>
      <c r="H141" s="17"/>
      <c r="I141" s="16"/>
      <c r="J141" s="16"/>
      <c r="K141" s="17"/>
      <c r="N141" s="37"/>
      <c r="Q141" s="50"/>
    </row>
    <row r="142" spans="3:17">
      <c r="C142" s="17"/>
      <c r="D142" s="17"/>
      <c r="E142" s="28">
        <v>45009</v>
      </c>
      <c r="F142" s="34"/>
      <c r="G142" s="34">
        <v>-3357.69</v>
      </c>
      <c r="H142" s="17"/>
      <c r="I142" s="16"/>
      <c r="J142" s="16"/>
      <c r="K142" s="17"/>
      <c r="N142" s="37"/>
      <c r="Q142" s="50"/>
    </row>
    <row r="143" spans="3:17">
      <c r="C143" s="17"/>
      <c r="D143" s="17"/>
      <c r="E143" s="28">
        <v>45022</v>
      </c>
      <c r="F143" s="34"/>
      <c r="G143" s="34">
        <v>-3962.08</v>
      </c>
      <c r="H143" s="17"/>
      <c r="I143" s="16"/>
      <c r="J143" s="16"/>
      <c r="K143" s="17"/>
      <c r="N143" s="37"/>
      <c r="Q143" s="50"/>
    </row>
    <row r="144" spans="3:17">
      <c r="C144" s="17"/>
      <c r="D144" s="17"/>
      <c r="E144" s="28">
        <v>45084</v>
      </c>
      <c r="F144" s="34"/>
      <c r="G144" s="34">
        <v>-9468.69</v>
      </c>
      <c r="H144" s="17"/>
      <c r="I144" s="16"/>
      <c r="J144" s="16"/>
      <c r="K144" s="17"/>
      <c r="N144" s="37"/>
      <c r="Q144" s="50"/>
    </row>
    <row r="145" spans="3:17">
      <c r="C145" s="17"/>
      <c r="D145" s="17"/>
      <c r="E145" s="28">
        <v>45279</v>
      </c>
      <c r="F145" s="34"/>
      <c r="G145" s="34">
        <v>-7342.15</v>
      </c>
      <c r="H145" s="17"/>
      <c r="I145" s="16"/>
      <c r="J145" s="16"/>
      <c r="K145" s="17"/>
      <c r="N145" s="37"/>
      <c r="Q145" s="50"/>
    </row>
    <row r="146" spans="3:17">
      <c r="C146" s="17" t="s">
        <v>24</v>
      </c>
      <c r="D146" s="17"/>
      <c r="E146" s="28">
        <v>44937</v>
      </c>
      <c r="F146" s="34"/>
      <c r="G146" s="34">
        <v>20857.32</v>
      </c>
      <c r="H146" s="17"/>
      <c r="I146" s="16"/>
      <c r="J146" s="16"/>
      <c r="K146" s="17"/>
      <c r="N146" s="37"/>
      <c r="Q146" s="50"/>
    </row>
    <row r="147" spans="3:17">
      <c r="C147" s="17"/>
      <c r="D147" s="17"/>
      <c r="E147" s="28">
        <v>44960</v>
      </c>
      <c r="F147" s="34"/>
      <c r="G147" s="34">
        <v>10126.299999999999</v>
      </c>
      <c r="H147" s="17"/>
      <c r="I147" s="16"/>
      <c r="J147" s="16"/>
      <c r="K147" s="17"/>
      <c r="N147" s="37"/>
      <c r="Q147" s="50"/>
    </row>
    <row r="148" spans="3:17">
      <c r="C148" s="17"/>
      <c r="D148" s="17"/>
      <c r="E148" s="28">
        <v>44994</v>
      </c>
      <c r="F148" s="34"/>
      <c r="G148" s="34">
        <v>23818.240000000002</v>
      </c>
      <c r="H148" s="17"/>
      <c r="I148" s="16"/>
      <c r="J148" s="16"/>
      <c r="K148" s="17"/>
      <c r="N148" s="37"/>
      <c r="Q148" s="50"/>
    </row>
    <row r="149" spans="3:17">
      <c r="C149" s="17"/>
      <c r="D149" s="17"/>
      <c r="E149" s="28">
        <v>45030</v>
      </c>
      <c r="F149" s="34"/>
      <c r="G149" s="34">
        <v>231560.75</v>
      </c>
      <c r="H149" s="17"/>
      <c r="I149" s="16"/>
      <c r="J149" s="16"/>
      <c r="K149" s="17"/>
      <c r="N149" s="37"/>
      <c r="Q149" s="50"/>
    </row>
    <row r="150" spans="3:17">
      <c r="C150" s="17"/>
      <c r="D150" s="17"/>
      <c r="E150" s="28">
        <v>45049</v>
      </c>
      <c r="F150" s="34"/>
      <c r="G150" s="34">
        <v>18891.080000000002</v>
      </c>
      <c r="H150" s="17"/>
      <c r="I150" s="16"/>
      <c r="J150" s="16"/>
      <c r="K150" s="17"/>
      <c r="N150" s="37"/>
      <c r="Q150" s="50"/>
    </row>
    <row r="151" spans="3:17">
      <c r="C151" s="17"/>
      <c r="D151" s="17"/>
      <c r="E151" s="28">
        <v>45091</v>
      </c>
      <c r="F151" s="34"/>
      <c r="G151" s="34">
        <v>180817.09</v>
      </c>
      <c r="H151" s="17"/>
      <c r="I151" s="16"/>
      <c r="J151" s="16"/>
      <c r="K151" s="17"/>
      <c r="N151" s="37"/>
      <c r="Q151" s="50"/>
    </row>
    <row r="152" spans="3:17">
      <c r="C152" s="17"/>
      <c r="D152" s="17"/>
      <c r="E152" s="28">
        <v>45114</v>
      </c>
      <c r="F152" s="34"/>
      <c r="G152" s="34">
        <v>12667.34</v>
      </c>
      <c r="H152" s="17"/>
      <c r="I152" s="16"/>
      <c r="J152" s="16"/>
      <c r="K152" s="17"/>
      <c r="N152" s="37"/>
      <c r="Q152" s="50"/>
    </row>
    <row r="153" spans="3:17">
      <c r="C153" s="17"/>
      <c r="D153" s="17"/>
      <c r="E153" s="28">
        <v>45154</v>
      </c>
      <c r="F153" s="34"/>
      <c r="G153" s="34">
        <v>162751.23000000001</v>
      </c>
      <c r="H153" s="17"/>
      <c r="I153" s="16"/>
      <c r="J153" s="16"/>
      <c r="K153" s="17"/>
      <c r="N153" s="37"/>
      <c r="Q153" s="50"/>
    </row>
    <row r="154" spans="3:17">
      <c r="C154" s="17"/>
      <c r="D154" s="17"/>
      <c r="E154" s="28">
        <v>45176</v>
      </c>
      <c r="F154" s="34"/>
      <c r="G154" s="34">
        <v>8633.4500000000007</v>
      </c>
      <c r="H154" s="17"/>
      <c r="I154" s="16"/>
      <c r="J154" s="16"/>
      <c r="K154" s="17"/>
      <c r="N154" s="37"/>
      <c r="Q154" s="50"/>
    </row>
    <row r="155" spans="3:17">
      <c r="C155" s="17"/>
      <c r="D155" s="17"/>
      <c r="E155" s="28">
        <v>45191</v>
      </c>
      <c r="F155" s="34"/>
      <c r="G155" s="34">
        <v>41528.080000000002</v>
      </c>
      <c r="H155" s="17"/>
      <c r="I155" s="16"/>
      <c r="J155" s="16"/>
      <c r="K155" s="17"/>
      <c r="N155" s="37"/>
      <c r="Q155" s="50"/>
    </row>
    <row r="156" spans="3:17">
      <c r="C156" s="17"/>
      <c r="D156" s="17"/>
      <c r="E156" s="28">
        <v>45198</v>
      </c>
      <c r="F156" s="34"/>
      <c r="G156" s="34">
        <v>18700.13</v>
      </c>
      <c r="H156" s="17"/>
      <c r="I156" s="16"/>
      <c r="J156" s="16"/>
      <c r="K156" s="17"/>
      <c r="N156" s="37"/>
      <c r="Q156" s="50"/>
    </row>
    <row r="157" spans="3:17">
      <c r="C157" s="17"/>
      <c r="D157" s="17"/>
      <c r="E157" s="28">
        <v>45238</v>
      </c>
      <c r="F157" s="34"/>
      <c r="G157" s="34">
        <v>13940.38</v>
      </c>
      <c r="H157" s="17"/>
      <c r="I157" s="16"/>
      <c r="J157" s="16"/>
      <c r="K157" s="17"/>
      <c r="N157" s="37"/>
      <c r="Q157" s="50"/>
    </row>
    <row r="158" spans="3:17">
      <c r="C158" s="17"/>
      <c r="D158" s="17"/>
      <c r="E158" s="28">
        <v>45267</v>
      </c>
      <c r="F158" s="34"/>
      <c r="G158" s="34">
        <v>33350.339999999997</v>
      </c>
      <c r="H158" s="17"/>
      <c r="I158" s="16"/>
      <c r="J158" s="16"/>
      <c r="K158" s="17"/>
      <c r="N158" s="37"/>
      <c r="Q158" s="50"/>
    </row>
    <row r="159" spans="3:17">
      <c r="C159" s="17" t="s">
        <v>36</v>
      </c>
      <c r="D159" s="17"/>
      <c r="E159" s="28">
        <v>45393</v>
      </c>
      <c r="F159" s="34"/>
      <c r="G159" s="34">
        <v>-4544.07</v>
      </c>
      <c r="H159" s="17"/>
      <c r="I159" s="16"/>
      <c r="J159" s="16"/>
      <c r="K159" s="17"/>
      <c r="N159" s="37"/>
      <c r="Q159" s="50"/>
    </row>
    <row r="160" spans="3:17">
      <c r="C160" s="17" t="s">
        <v>35</v>
      </c>
      <c r="D160" s="17"/>
      <c r="E160" s="28">
        <v>45300</v>
      </c>
      <c r="F160" s="34"/>
      <c r="G160" s="34">
        <v>12086.92</v>
      </c>
      <c r="H160" s="17"/>
      <c r="I160" s="16"/>
      <c r="J160" s="16"/>
      <c r="K160" s="17"/>
      <c r="N160" s="37"/>
      <c r="Q160" s="50"/>
    </row>
    <row r="161" spans="3:17">
      <c r="C161" s="17"/>
      <c r="D161" s="17"/>
      <c r="E161" s="28">
        <v>45327</v>
      </c>
      <c r="F161" s="34"/>
      <c r="G161" s="34">
        <v>5756.61</v>
      </c>
      <c r="H161" s="17"/>
      <c r="I161" s="16"/>
      <c r="J161" s="16"/>
      <c r="K161" s="17"/>
      <c r="N161" s="37"/>
      <c r="Q161" s="50"/>
    </row>
    <row r="162" spans="3:17">
      <c r="C162" s="17"/>
      <c r="D162" s="17"/>
      <c r="E162" s="28">
        <v>45358</v>
      </c>
      <c r="F162" s="34"/>
      <c r="G162" s="34">
        <v>4247.26</v>
      </c>
      <c r="H162" s="17"/>
      <c r="I162" s="16"/>
      <c r="J162" s="16"/>
      <c r="K162" s="17"/>
      <c r="N162" s="37"/>
      <c r="Q162" s="50"/>
    </row>
    <row r="163" spans="3:17">
      <c r="C163" s="17"/>
      <c r="D163" s="17"/>
      <c r="E163" s="28">
        <v>45385</v>
      </c>
      <c r="F163" s="34"/>
      <c r="G163" s="34">
        <v>1813.99</v>
      </c>
      <c r="H163" s="17"/>
      <c r="I163" s="16"/>
      <c r="J163" s="16"/>
      <c r="K163" s="17"/>
      <c r="N163" s="37"/>
      <c r="Q163" s="50"/>
    </row>
    <row r="164" spans="3:17">
      <c r="C164" s="17"/>
      <c r="D164" s="17"/>
      <c r="E164" s="28">
        <v>45418</v>
      </c>
      <c r="F164" s="34"/>
      <c r="G164" s="34">
        <v>4298.84</v>
      </c>
      <c r="H164" s="17"/>
      <c r="I164" s="16"/>
      <c r="J164" s="16"/>
      <c r="K164" s="17"/>
      <c r="N164" s="37"/>
      <c r="Q164" s="50"/>
    </row>
    <row r="165" spans="3:17">
      <c r="C165" s="17"/>
      <c r="D165" s="17"/>
      <c r="E165" s="28">
        <v>45450</v>
      </c>
      <c r="F165" s="34"/>
      <c r="G165" s="34">
        <v>6175.2</v>
      </c>
      <c r="H165" s="17"/>
      <c r="I165" s="16"/>
      <c r="J165" s="16"/>
      <c r="K165" s="17"/>
      <c r="N165" s="37"/>
      <c r="Q165" s="50"/>
    </row>
    <row r="166" spans="3:17" ht="4.5" customHeight="1">
      <c r="C166" s="17"/>
      <c r="D166" s="17"/>
      <c r="E166" s="28"/>
      <c r="F166" s="17"/>
      <c r="G166" s="34"/>
      <c r="H166" s="17"/>
      <c r="I166" s="16"/>
      <c r="J166" s="16"/>
      <c r="N166" s="37"/>
      <c r="Q166" s="50"/>
    </row>
    <row r="167" spans="3:17" ht="15.5">
      <c r="C167" s="17" t="s">
        <v>25</v>
      </c>
      <c r="D167" s="17"/>
      <c r="E167" s="28">
        <f>+E8</f>
        <v>45473</v>
      </c>
      <c r="F167" s="17"/>
      <c r="G167" s="35">
        <f>L167/0.97*C22</f>
        <v>1051855.27645953</v>
      </c>
      <c r="H167" s="17"/>
      <c r="I167" s="28"/>
      <c r="L167" s="59">
        <v>4558042664</v>
      </c>
      <c r="M167" s="12"/>
      <c r="N167" s="37"/>
      <c r="Q167" s="50"/>
    </row>
    <row r="168" spans="3:17">
      <c r="C168" s="17"/>
      <c r="D168" s="17"/>
      <c r="E168" s="17"/>
      <c r="F168" s="17"/>
      <c r="G168" s="17"/>
      <c r="H168" s="17"/>
      <c r="J168" s="16"/>
      <c r="N168" s="37"/>
    </row>
    <row r="169" spans="3:17">
      <c r="C169" t="s">
        <v>28</v>
      </c>
      <c r="G169" s="38">
        <f>+XIRR(G24:G167,E24:E167,0.1)</f>
        <v>0.16366394162178044</v>
      </c>
      <c r="H169" s="17"/>
      <c r="J169" s="34">
        <f>+SUMIF($G$24:$G$166,"&lt;0",$G$24:$G$166)+23052.4</f>
        <v>-1566749.7999999996</v>
      </c>
      <c r="K169" s="17" t="s">
        <v>26</v>
      </c>
    </row>
    <row r="170" spans="3:17">
      <c r="C170" s="17"/>
      <c r="D170" s="17"/>
      <c r="E170" s="17"/>
      <c r="F170" s="17"/>
      <c r="G170" s="17"/>
      <c r="H170" s="17"/>
      <c r="J170" s="34">
        <f>+SUMIF($G$24:$G$166,"&gt;0",$G$24:$G$166)-23052.4</f>
        <v>2147337.13</v>
      </c>
      <c r="K170" s="17" t="s">
        <v>27</v>
      </c>
    </row>
    <row r="171" spans="3:17">
      <c r="C171" s="17"/>
      <c r="D171" s="17"/>
      <c r="E171" s="17"/>
      <c r="F171" s="17"/>
      <c r="G171" s="17"/>
      <c r="H171" s="17"/>
    </row>
    <row r="172" spans="3:17">
      <c r="C172" s="17"/>
      <c r="D172" s="17"/>
      <c r="E172" s="39"/>
      <c r="F172" s="17"/>
      <c r="G172" s="39"/>
      <c r="H172" s="17"/>
      <c r="K172" s="39"/>
    </row>
    <row r="173" spans="3:17">
      <c r="C173" s="40"/>
      <c r="D173" s="40"/>
      <c r="E173" s="39"/>
      <c r="F173" s="40"/>
      <c r="G173" s="39"/>
      <c r="H173" s="17"/>
      <c r="K173" s="39"/>
    </row>
    <row r="174" spans="3:17">
      <c r="C174" s="40"/>
      <c r="D174" s="40"/>
      <c r="E174" s="39"/>
      <c r="F174" s="40"/>
      <c r="G174" s="39"/>
      <c r="H174" s="17"/>
      <c r="K174" s="39"/>
    </row>
    <row r="175" spans="3:17">
      <c r="C175" s="40"/>
      <c r="D175" s="40"/>
      <c r="E175" s="40"/>
      <c r="F175" s="40"/>
      <c r="G175" s="40"/>
      <c r="K175" s="39"/>
    </row>
    <row r="176" spans="3:17">
      <c r="C176" s="40"/>
      <c r="D176" s="40"/>
      <c r="E176" s="39"/>
      <c r="F176" s="39"/>
      <c r="G176" s="39"/>
      <c r="K176" s="39"/>
    </row>
    <row r="177" spans="3:11">
      <c r="C177" s="40"/>
      <c r="D177" s="40"/>
      <c r="E177" s="40"/>
      <c r="F177" s="40"/>
      <c r="G177" s="40"/>
      <c r="K177" s="37"/>
    </row>
    <row r="178" spans="3:11">
      <c r="C178" s="40"/>
      <c r="D178" s="40"/>
      <c r="E178" s="60"/>
      <c r="F178" s="42"/>
      <c r="G178" s="60"/>
    </row>
    <row r="179" spans="3:11">
      <c r="C179" s="40"/>
      <c r="D179" s="40"/>
      <c r="E179" s="42"/>
      <c r="F179" s="42"/>
      <c r="G179" s="42"/>
      <c r="K179" s="37"/>
    </row>
    <row r="180" spans="3:11">
      <c r="C180" s="40"/>
      <c r="D180" s="40"/>
      <c r="E180" s="42"/>
      <c r="F180" s="42"/>
      <c r="G180" s="42"/>
    </row>
    <row r="181" spans="3:11">
      <c r="C181" s="43"/>
      <c r="D181" s="40"/>
      <c r="E181" s="42"/>
      <c r="F181" s="42"/>
      <c r="G181" s="42"/>
    </row>
    <row r="182" spans="3:11">
      <c r="C182" s="43"/>
      <c r="D182" s="40"/>
      <c r="E182" s="42"/>
      <c r="F182" s="42"/>
      <c r="G182" s="42"/>
    </row>
    <row r="183" spans="3:11">
      <c r="C183" s="44"/>
      <c r="D183" s="40"/>
      <c r="E183" s="42"/>
      <c r="F183" s="42"/>
      <c r="G183" s="42"/>
    </row>
    <row r="184" spans="3:11">
      <c r="C184" s="40"/>
      <c r="D184" s="40"/>
      <c r="E184" s="42"/>
      <c r="F184" s="42"/>
      <c r="G184" s="42"/>
    </row>
    <row r="185" spans="3:11">
      <c r="C185" s="40"/>
      <c r="D185" s="40"/>
      <c r="E185" s="42"/>
      <c r="F185" s="42"/>
      <c r="G185" s="42"/>
    </row>
    <row r="186" spans="3:11">
      <c r="C186" s="40"/>
      <c r="D186" s="40"/>
      <c r="E186" s="42"/>
      <c r="F186" s="42"/>
      <c r="G186" s="42"/>
    </row>
    <row r="187" spans="3:11">
      <c r="C187" s="40"/>
      <c r="D187" s="40"/>
      <c r="E187" s="42"/>
      <c r="F187" s="42"/>
      <c r="G187" s="42"/>
    </row>
    <row r="188" spans="3:11">
      <c r="C188" s="40"/>
      <c r="D188" s="40"/>
      <c r="E188" s="42"/>
      <c r="F188" s="42"/>
      <c r="G188" s="42"/>
    </row>
    <row r="189" spans="3:11">
      <c r="C189" s="40"/>
      <c r="D189" s="40"/>
      <c r="E189" s="42"/>
      <c r="F189" s="42"/>
      <c r="G189" s="42"/>
    </row>
    <row r="190" spans="3:11" ht="5.15" customHeight="1">
      <c r="E190" s="85"/>
      <c r="F190" s="45"/>
      <c r="G190" s="85"/>
    </row>
    <row r="191" spans="3:11">
      <c r="E191" s="86"/>
      <c r="F191" s="46"/>
      <c r="G191" s="86"/>
    </row>
    <row r="192" spans="3:11">
      <c r="C192" s="17"/>
      <c r="D192" s="17"/>
      <c r="E192" s="47"/>
      <c r="F192" s="48"/>
      <c r="G192" s="47"/>
      <c r="H192" s="17"/>
    </row>
    <row r="193" spans="3:8">
      <c r="C193" s="17"/>
      <c r="D193" s="17"/>
      <c r="E193" s="47"/>
      <c r="F193" s="48"/>
      <c r="G193" s="47"/>
      <c r="H193" s="17"/>
    </row>
    <row r="194" spans="3:8">
      <c r="C194" s="17"/>
      <c r="D194" s="17"/>
      <c r="E194" s="47"/>
      <c r="F194" s="48"/>
      <c r="G194" s="47"/>
      <c r="H194" s="17"/>
    </row>
    <row r="195" spans="3:8">
      <c r="C195" s="17"/>
      <c r="D195" s="17"/>
      <c r="E195" s="49"/>
      <c r="F195" s="49"/>
      <c r="G195" s="49"/>
      <c r="H195" s="17"/>
    </row>
    <row r="196" spans="3:8">
      <c r="C196" s="17"/>
      <c r="D196" s="17"/>
      <c r="E196" s="17"/>
      <c r="F196" s="17"/>
      <c r="G196" s="17"/>
      <c r="H196" s="17"/>
    </row>
    <row r="197" spans="3:8">
      <c r="C197" s="17"/>
      <c r="D197" s="17"/>
      <c r="E197" s="17"/>
      <c r="F197" s="17"/>
      <c r="G197" s="17"/>
      <c r="H197" s="17"/>
    </row>
    <row r="198" spans="3:8">
      <c r="C198" s="17"/>
      <c r="D198" s="17"/>
      <c r="E198" s="17"/>
      <c r="F198" s="17"/>
      <c r="G198" s="17"/>
      <c r="H198" s="17"/>
    </row>
    <row r="199" spans="3:8">
      <c r="C199" s="17"/>
      <c r="D199" s="17"/>
      <c r="E199" s="17"/>
      <c r="F199" s="17"/>
      <c r="G199" s="17"/>
      <c r="H199" s="17"/>
    </row>
    <row r="200" spans="3:8">
      <c r="C200" s="17"/>
      <c r="D200" s="17"/>
      <c r="E200" s="17"/>
      <c r="F200" s="17"/>
      <c r="G200" s="17"/>
      <c r="H200" s="17"/>
    </row>
    <row r="201" spans="3:8">
      <c r="C201" s="17"/>
      <c r="D201" s="17"/>
      <c r="E201" s="17"/>
      <c r="F201" s="17"/>
      <c r="G201" s="17"/>
      <c r="H201" s="17"/>
    </row>
    <row r="202" spans="3:8">
      <c r="C202" s="17"/>
      <c r="D202" s="17"/>
      <c r="E202" s="17"/>
      <c r="F202" s="17"/>
      <c r="G202" s="17"/>
      <c r="H202" s="17"/>
    </row>
    <row r="203" spans="3:8">
      <c r="C203" s="17"/>
      <c r="D203" s="17"/>
      <c r="E203" s="17"/>
      <c r="F203" s="17"/>
      <c r="G203" s="17"/>
      <c r="H203" s="17"/>
    </row>
    <row r="204" spans="3:8">
      <c r="C204" s="17"/>
      <c r="D204" s="17"/>
      <c r="E204" s="17"/>
      <c r="F204" s="17"/>
      <c r="G204" s="17"/>
      <c r="H204" s="17"/>
    </row>
    <row r="205" spans="3:8">
      <c r="C205" s="17"/>
      <c r="D205" s="17"/>
      <c r="E205" s="17"/>
      <c r="F205" s="17"/>
      <c r="G205" s="17"/>
      <c r="H205" s="17"/>
    </row>
  </sheetData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F03E-0B2C-460F-8501-1F639136530A}">
  <sheetPr>
    <tabColor rgb="FF92D050"/>
    <pageSetUpPr fitToPage="1"/>
  </sheetPr>
  <dimension ref="B4:Q195"/>
  <sheetViews>
    <sheetView showGridLines="0" view="pageLayout" topLeftCell="A132" zoomScaleNormal="100" workbookViewId="0">
      <selection activeCell="L167" sqref="L167"/>
    </sheetView>
  </sheetViews>
  <sheetFormatPr defaultRowHeight="12.5"/>
  <cols>
    <col min="2" max="2" width="4.81640625" customWidth="1"/>
    <col min="3" max="3" width="48.81640625" customWidth="1"/>
    <col min="4" max="4" width="1.453125" customWidth="1"/>
    <col min="5" max="5" width="12.1796875" customWidth="1"/>
    <col min="6" max="6" width="1.453125" customWidth="1"/>
    <col min="7" max="7" width="12.1796875" customWidth="1"/>
    <col min="8" max="8" width="1.7265625" customWidth="1"/>
    <col min="9" max="9" width="7.453125" customWidth="1"/>
    <col min="10" max="10" width="11.7265625" customWidth="1"/>
    <col min="12" max="12" width="16.54296875" customWidth="1"/>
    <col min="13" max="13" width="16.7265625" customWidth="1"/>
    <col min="14" max="15" width="14" bestFit="1" customWidth="1"/>
    <col min="16" max="16" width="10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+'Fund X'!E8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7" ht="15.5">
      <c r="C17" s="18" t="s">
        <v>0</v>
      </c>
      <c r="D17" s="18"/>
      <c r="E17" s="19"/>
      <c r="F17" s="18"/>
      <c r="G17" s="19"/>
      <c r="H17" s="7"/>
      <c r="I17" s="50"/>
    </row>
    <row r="18" spans="3:17" ht="12.75" customHeight="1">
      <c r="C18" s="13" t="s">
        <v>1</v>
      </c>
      <c r="D18" s="13"/>
      <c r="E18" s="21">
        <f>G169</f>
        <v>0.14919460415840149</v>
      </c>
      <c r="F18" s="13"/>
      <c r="G18" s="20"/>
      <c r="H18" s="21"/>
      <c r="I18" s="50"/>
    </row>
    <row r="19" spans="3:17">
      <c r="C19" s="13" t="s">
        <v>2</v>
      </c>
      <c r="D19" s="13"/>
      <c r="E19" s="25">
        <f>-(G167+J170)/J169</f>
        <v>1.9077009137172489</v>
      </c>
      <c r="F19" s="13"/>
      <c r="G19" s="14"/>
      <c r="H19" s="15"/>
      <c r="N19" s="37"/>
      <c r="O19" s="36"/>
      <c r="P19" s="37"/>
    </row>
    <row r="20" spans="3:17">
      <c r="C20" s="13"/>
      <c r="D20" s="13"/>
      <c r="E20" s="13"/>
      <c r="F20" s="13"/>
      <c r="G20" s="15"/>
      <c r="N20" s="37"/>
      <c r="O20" s="36"/>
      <c r="P20" s="37"/>
    </row>
    <row r="21" spans="3:17" ht="15.5">
      <c r="C21" s="26" t="s">
        <v>29</v>
      </c>
      <c r="D21" s="27"/>
      <c r="E21" s="27"/>
      <c r="F21" s="27"/>
      <c r="I21" s="28"/>
      <c r="J21" s="17"/>
      <c r="L21" s="29"/>
      <c r="N21" s="37"/>
      <c r="O21" s="36"/>
      <c r="P21" s="37"/>
    </row>
    <row r="22" spans="3:17">
      <c r="C22" s="30">
        <v>1.0869090000000001E-3</v>
      </c>
      <c r="D22" s="17"/>
      <c r="E22" s="17"/>
      <c r="F22" s="17"/>
      <c r="G22" s="31"/>
      <c r="H22" s="17"/>
      <c r="I22" s="17"/>
      <c r="J22" s="17"/>
      <c r="N22" s="37"/>
      <c r="O22" s="36"/>
      <c r="P22" s="37"/>
      <c r="Q22" s="56"/>
    </row>
    <row r="23" spans="3:17">
      <c r="C23" s="17"/>
      <c r="D23" s="17"/>
      <c r="E23" s="28"/>
      <c r="F23" s="34"/>
      <c r="G23" s="34"/>
      <c r="H23" s="17"/>
      <c r="I23" s="16"/>
      <c r="N23" s="37"/>
      <c r="O23" s="36"/>
      <c r="P23" s="37"/>
    </row>
    <row r="24" spans="3:17">
      <c r="C24" s="17" t="s">
        <v>11</v>
      </c>
      <c r="D24" s="17"/>
      <c r="E24" s="28">
        <v>42089</v>
      </c>
      <c r="F24" s="34"/>
      <c r="G24" s="34">
        <v>-71700</v>
      </c>
      <c r="H24" s="17"/>
      <c r="I24" s="16"/>
      <c r="N24" s="37"/>
      <c r="O24" s="36"/>
      <c r="P24" s="37"/>
    </row>
    <row r="25" spans="3:17">
      <c r="C25" s="17"/>
      <c r="D25" s="17"/>
      <c r="E25" s="28">
        <v>42118</v>
      </c>
      <c r="F25" s="34"/>
      <c r="G25" s="34">
        <v>23052.400000000001</v>
      </c>
      <c r="H25" s="17"/>
      <c r="I25" s="16"/>
      <c r="N25" s="37"/>
      <c r="O25" s="36"/>
      <c r="P25" s="37"/>
    </row>
    <row r="26" spans="3:17">
      <c r="C26" s="17"/>
      <c r="D26" s="17"/>
      <c r="E26" s="28">
        <v>42180</v>
      </c>
      <c r="F26" s="34"/>
      <c r="G26" s="34">
        <v>-7095.93</v>
      </c>
      <c r="H26" s="17"/>
      <c r="I26" s="16"/>
      <c r="N26" s="37"/>
      <c r="O26" s="36"/>
      <c r="P26" s="37"/>
    </row>
    <row r="27" spans="3:17">
      <c r="C27" s="17"/>
      <c r="D27" s="17"/>
      <c r="E27" s="28">
        <v>42201</v>
      </c>
      <c r="F27" s="34"/>
      <c r="G27" s="34">
        <v>-2216.09</v>
      </c>
      <c r="H27" s="17"/>
      <c r="I27" s="16"/>
      <c r="N27" s="37"/>
      <c r="O27" s="36"/>
      <c r="P27" s="37"/>
    </row>
    <row r="28" spans="3:17">
      <c r="C28" s="17"/>
      <c r="E28" s="28">
        <v>42271</v>
      </c>
      <c r="G28" s="34">
        <v>-6961.62</v>
      </c>
      <c r="H28" s="17"/>
      <c r="I28" s="16"/>
      <c r="J28" s="16"/>
      <c r="K28" s="17"/>
      <c r="N28" s="37"/>
      <c r="O28" s="36"/>
      <c r="P28" s="37"/>
    </row>
    <row r="29" spans="3:17">
      <c r="C29" s="17"/>
      <c r="E29" s="28">
        <v>42324</v>
      </c>
      <c r="G29" s="34">
        <v>-10587.93</v>
      </c>
      <c r="H29" s="17"/>
      <c r="I29" s="16"/>
      <c r="J29" s="16"/>
      <c r="K29" s="17"/>
    </row>
    <row r="30" spans="3:17">
      <c r="C30" s="17"/>
      <c r="E30" s="28">
        <v>42367</v>
      </c>
      <c r="G30" s="34">
        <v>-28316.54</v>
      </c>
      <c r="H30" s="17"/>
      <c r="I30" s="16"/>
      <c r="J30" s="16"/>
      <c r="K30" s="17"/>
    </row>
    <row r="31" spans="3:17">
      <c r="C31" s="17" t="s">
        <v>13</v>
      </c>
      <c r="D31" s="17"/>
      <c r="E31" s="28">
        <v>42396</v>
      </c>
      <c r="G31" s="34">
        <v>-46425.69</v>
      </c>
      <c r="H31" s="17"/>
      <c r="I31" s="16"/>
      <c r="J31" s="16"/>
      <c r="K31" s="17"/>
    </row>
    <row r="32" spans="3:17">
      <c r="C32" s="17"/>
      <c r="D32" s="17"/>
      <c r="E32" s="28">
        <v>42453</v>
      </c>
      <c r="G32" s="34">
        <v>-10319.32</v>
      </c>
      <c r="H32" s="17"/>
      <c r="I32" s="16"/>
      <c r="J32" s="16"/>
      <c r="K32" s="17"/>
    </row>
    <row r="33" spans="3:11">
      <c r="C33" s="17"/>
      <c r="D33" s="17"/>
      <c r="E33" s="28">
        <v>42461</v>
      </c>
      <c r="G33" s="34">
        <v>-7476.46</v>
      </c>
      <c r="H33" s="17"/>
      <c r="I33" s="16"/>
      <c r="J33" s="16"/>
      <c r="K33" s="17"/>
    </row>
    <row r="34" spans="3:11">
      <c r="C34" s="17"/>
      <c r="D34" s="17"/>
      <c r="E34" s="28">
        <v>42500</v>
      </c>
      <c r="G34" s="34">
        <v>-6446.76</v>
      </c>
      <c r="H34" s="17"/>
      <c r="I34" s="16"/>
      <c r="J34" s="16"/>
      <c r="K34" s="17"/>
    </row>
    <row r="35" spans="3:11">
      <c r="C35" s="17"/>
      <c r="D35" s="17"/>
      <c r="E35" s="28">
        <v>42513</v>
      </c>
      <c r="G35" s="34">
        <v>-21354.92</v>
      </c>
      <c r="H35" s="17"/>
      <c r="I35" s="16"/>
      <c r="J35" s="16"/>
      <c r="K35" s="17"/>
    </row>
    <row r="36" spans="3:11">
      <c r="C36" s="17"/>
      <c r="D36" s="17"/>
      <c r="E36" s="28">
        <v>42524</v>
      </c>
      <c r="G36" s="34">
        <v>-50052</v>
      </c>
      <c r="H36" s="17"/>
      <c r="I36" s="16"/>
      <c r="J36" s="16"/>
      <c r="K36" s="17"/>
    </row>
    <row r="37" spans="3:11">
      <c r="C37" s="17"/>
      <c r="D37" s="17"/>
      <c r="E37" s="28">
        <v>42544</v>
      </c>
      <c r="G37" s="34">
        <v>-73690.16</v>
      </c>
      <c r="H37" s="17"/>
      <c r="I37" s="16"/>
      <c r="J37" s="16"/>
      <c r="K37" s="17"/>
    </row>
    <row r="38" spans="3:11">
      <c r="C38" s="17"/>
      <c r="D38" s="17"/>
      <c r="E38" s="28">
        <v>42564</v>
      </c>
      <c r="G38" s="34">
        <v>-8058.46</v>
      </c>
      <c r="H38" s="17"/>
      <c r="I38" s="16"/>
      <c r="J38" s="16"/>
      <c r="K38" s="17"/>
    </row>
    <row r="39" spans="3:11">
      <c r="C39" s="17"/>
      <c r="D39" s="17"/>
      <c r="E39" s="28">
        <v>42585</v>
      </c>
      <c r="G39" s="34">
        <v>-35860.160000000003</v>
      </c>
      <c r="H39" s="17"/>
      <c r="I39" s="16"/>
      <c r="J39" s="16"/>
      <c r="K39" s="17"/>
    </row>
    <row r="40" spans="3:11">
      <c r="C40" s="17"/>
      <c r="D40" s="17"/>
      <c r="E40" s="28">
        <v>42614</v>
      </c>
      <c r="G40" s="34">
        <v>-13676.99</v>
      </c>
      <c r="H40" s="17"/>
      <c r="I40" s="16"/>
      <c r="J40" s="16"/>
      <c r="K40" s="17"/>
    </row>
    <row r="41" spans="3:11">
      <c r="C41" s="17"/>
      <c r="D41" s="17"/>
      <c r="E41" s="28">
        <v>42641</v>
      </c>
      <c r="G41" s="34">
        <v>-20952</v>
      </c>
      <c r="H41" s="17"/>
      <c r="I41" s="16"/>
    </row>
    <row r="42" spans="3:11">
      <c r="C42" s="17"/>
      <c r="D42" s="17"/>
      <c r="E42" s="28">
        <v>42656</v>
      </c>
      <c r="G42" s="34">
        <v>-22362.23</v>
      </c>
      <c r="H42" s="17"/>
      <c r="I42" s="16"/>
    </row>
    <row r="43" spans="3:11">
      <c r="C43" s="17"/>
      <c r="D43" s="17"/>
      <c r="E43" s="28">
        <v>42704</v>
      </c>
      <c r="G43" s="34">
        <v>-19183.62</v>
      </c>
      <c r="H43" s="17"/>
      <c r="I43" s="16"/>
    </row>
    <row r="44" spans="3:11">
      <c r="C44" s="17"/>
      <c r="D44" s="17"/>
      <c r="E44" s="28">
        <v>42719</v>
      </c>
      <c r="G44" s="34">
        <v>-20593.849999999999</v>
      </c>
      <c r="H44" s="17"/>
      <c r="I44" s="16"/>
    </row>
    <row r="45" spans="3:11">
      <c r="C45" s="17"/>
      <c r="D45" s="17"/>
      <c r="E45" s="28">
        <v>42733</v>
      </c>
      <c r="G45" s="34">
        <v>-13318.84</v>
      </c>
      <c r="H45" s="17"/>
      <c r="I45" s="16"/>
    </row>
    <row r="46" spans="3:11">
      <c r="C46" s="17" t="s">
        <v>14</v>
      </c>
      <c r="D46" s="17"/>
      <c r="E46" s="28">
        <v>42716</v>
      </c>
      <c r="G46" s="34">
        <v>17585.47</v>
      </c>
      <c r="H46" s="17"/>
      <c r="I46" s="16"/>
      <c r="J46" s="16"/>
      <c r="K46" s="17"/>
    </row>
    <row r="47" spans="3:11">
      <c r="C47" s="17" t="s">
        <v>15</v>
      </c>
      <c r="D47" s="17"/>
      <c r="E47" s="28">
        <v>42754</v>
      </c>
      <c r="G47" s="34">
        <v>-12983.08</v>
      </c>
      <c r="H47" s="17"/>
      <c r="I47" s="16"/>
      <c r="J47" s="16"/>
      <c r="K47" s="17"/>
    </row>
    <row r="48" spans="3:11">
      <c r="C48" s="17"/>
      <c r="D48" s="17"/>
      <c r="E48" s="28">
        <v>42765</v>
      </c>
      <c r="G48" s="34">
        <v>-13251.7</v>
      </c>
      <c r="H48" s="17"/>
      <c r="I48" s="16"/>
      <c r="J48" s="16"/>
      <c r="K48" s="17"/>
    </row>
    <row r="49" spans="3:11">
      <c r="C49" s="17"/>
      <c r="D49" s="17"/>
      <c r="E49" s="28">
        <v>42773</v>
      </c>
      <c r="G49" s="34">
        <v>-22608.46</v>
      </c>
      <c r="H49" s="17"/>
      <c r="I49" s="16"/>
      <c r="J49" s="16"/>
      <c r="K49" s="17"/>
    </row>
    <row r="50" spans="3:11">
      <c r="C50" s="17"/>
      <c r="D50" s="17"/>
      <c r="E50" s="28">
        <v>42797</v>
      </c>
      <c r="G50" s="34">
        <v>-31629.46</v>
      </c>
      <c r="H50" s="17"/>
      <c r="I50" s="16"/>
      <c r="J50" s="16"/>
      <c r="K50" s="17"/>
    </row>
    <row r="51" spans="3:11">
      <c r="C51" s="17"/>
      <c r="D51" s="17"/>
      <c r="E51" s="28">
        <v>42817</v>
      </c>
      <c r="G51" s="34">
        <v>-18758.310000000001</v>
      </c>
      <c r="H51" s="17"/>
      <c r="I51" s="16"/>
      <c r="J51" s="16"/>
      <c r="K51" s="17"/>
    </row>
    <row r="52" spans="3:11">
      <c r="C52" s="17"/>
      <c r="D52" s="17"/>
      <c r="E52" s="28">
        <v>42828</v>
      </c>
      <c r="G52" s="34">
        <v>-16296</v>
      </c>
      <c r="H52" s="17"/>
      <c r="I52" s="16"/>
      <c r="J52" s="16"/>
      <c r="K52" s="17"/>
    </row>
    <row r="53" spans="3:11">
      <c r="C53" s="17"/>
      <c r="D53" s="17"/>
      <c r="E53" s="28">
        <v>42851</v>
      </c>
      <c r="G53" s="34">
        <v>-71496.45</v>
      </c>
      <c r="H53" s="17"/>
      <c r="I53" s="16"/>
      <c r="J53" s="16"/>
      <c r="K53" s="17"/>
    </row>
    <row r="54" spans="3:11">
      <c r="C54" s="17"/>
      <c r="D54" s="17"/>
      <c r="E54" s="28">
        <v>42863</v>
      </c>
      <c r="G54" s="34">
        <v>-15087.24</v>
      </c>
      <c r="H54" s="17"/>
      <c r="I54" s="16"/>
      <c r="J54" s="16"/>
      <c r="K54" s="17"/>
    </row>
    <row r="55" spans="3:11">
      <c r="C55" s="17"/>
      <c r="D55" s="17"/>
      <c r="E55" s="28">
        <v>42878</v>
      </c>
      <c r="G55" s="34">
        <v>-17057.080000000002</v>
      </c>
      <c r="H55" s="17"/>
      <c r="I55" s="16"/>
    </row>
    <row r="56" spans="3:11">
      <c r="C56" s="17"/>
      <c r="D56" s="17"/>
      <c r="E56" s="28">
        <v>42893</v>
      </c>
      <c r="G56" s="34">
        <v>-32032.38</v>
      </c>
      <c r="H56" s="17"/>
      <c r="I56" s="16"/>
    </row>
    <row r="57" spans="3:11">
      <c r="C57" s="17"/>
      <c r="D57" s="17"/>
      <c r="E57" s="28">
        <v>42907</v>
      </c>
      <c r="G57" s="34">
        <v>-16989.919999999998</v>
      </c>
      <c r="H57" s="17"/>
      <c r="I57" s="16"/>
    </row>
    <row r="58" spans="3:11">
      <c r="C58" s="17"/>
      <c r="D58" s="17"/>
      <c r="E58" s="28">
        <v>42915</v>
      </c>
      <c r="G58" s="34">
        <v>-38949.24</v>
      </c>
      <c r="H58" s="17"/>
      <c r="I58" s="16"/>
    </row>
    <row r="59" spans="3:11">
      <c r="C59" s="17"/>
      <c r="D59" s="17"/>
      <c r="E59" s="28">
        <v>42927</v>
      </c>
      <c r="G59" s="34">
        <v>-13878.47</v>
      </c>
      <c r="H59" s="17"/>
      <c r="I59" s="16"/>
    </row>
    <row r="60" spans="3:11">
      <c r="C60" s="17"/>
      <c r="D60" s="17"/>
      <c r="E60" s="28">
        <v>42957</v>
      </c>
      <c r="G60" s="34">
        <v>-21265.38</v>
      </c>
      <c r="H60" s="17"/>
      <c r="I60" s="16"/>
    </row>
    <row r="61" spans="3:11">
      <c r="C61" s="17"/>
      <c r="D61" s="17"/>
      <c r="E61" s="28">
        <v>42970</v>
      </c>
      <c r="G61" s="34">
        <v>-45910.85</v>
      </c>
      <c r="H61" s="17"/>
      <c r="I61" s="16"/>
    </row>
    <row r="62" spans="3:11">
      <c r="C62" s="17"/>
      <c r="D62" s="17"/>
      <c r="E62" s="28">
        <v>42993</v>
      </c>
      <c r="G62" s="34">
        <v>-16452.68</v>
      </c>
      <c r="H62" s="17"/>
      <c r="I62" s="16"/>
      <c r="J62" s="16"/>
      <c r="K62" s="17"/>
    </row>
    <row r="63" spans="3:11">
      <c r="C63" s="17"/>
      <c r="D63" s="17"/>
      <c r="E63" s="28">
        <v>43000</v>
      </c>
      <c r="G63" s="34">
        <v>-23817.22</v>
      </c>
      <c r="H63" s="17"/>
      <c r="I63" s="16"/>
      <c r="J63" s="16"/>
      <c r="K63" s="17"/>
    </row>
    <row r="64" spans="3:11">
      <c r="C64" s="17"/>
      <c r="D64" s="17"/>
      <c r="E64" s="28">
        <v>43012</v>
      </c>
      <c r="G64" s="34">
        <v>-23794.85</v>
      </c>
      <c r="H64" s="17"/>
      <c r="I64" s="16"/>
      <c r="J64" s="16"/>
      <c r="K64" s="17"/>
    </row>
    <row r="65" spans="3:12" ht="15.5">
      <c r="C65" s="17"/>
      <c r="D65" s="17"/>
      <c r="E65" s="28">
        <v>43027</v>
      </c>
      <c r="G65" s="34">
        <v>-23347.15</v>
      </c>
      <c r="H65" s="17"/>
      <c r="I65" s="16"/>
      <c r="J65" s="16"/>
      <c r="K65" s="17"/>
      <c r="L65" s="12"/>
    </row>
    <row r="66" spans="3:12">
      <c r="C66" s="17"/>
      <c r="D66" s="17"/>
      <c r="E66" s="28">
        <v>43046</v>
      </c>
      <c r="G66" s="34">
        <v>-23481.45</v>
      </c>
      <c r="H66" s="17"/>
      <c r="I66" s="16"/>
      <c r="J66" s="16"/>
      <c r="K66" s="17"/>
      <c r="L66" s="59"/>
    </row>
    <row r="67" spans="3:12">
      <c r="C67" s="17"/>
      <c r="D67" s="17"/>
      <c r="E67" s="28">
        <v>43056</v>
      </c>
      <c r="G67" s="34">
        <v>-21713.07</v>
      </c>
      <c r="H67" s="17"/>
      <c r="I67" s="16"/>
      <c r="J67" s="16"/>
      <c r="K67" s="17"/>
      <c r="L67" s="59"/>
    </row>
    <row r="68" spans="3:12">
      <c r="C68" s="17"/>
      <c r="D68" s="17"/>
      <c r="E68" s="28">
        <v>43083</v>
      </c>
      <c r="G68" s="34">
        <v>-20996.77</v>
      </c>
      <c r="H68" s="17"/>
      <c r="I68" s="16"/>
      <c r="J68" s="16"/>
      <c r="K68" s="17"/>
      <c r="L68" s="59"/>
    </row>
    <row r="69" spans="3:12">
      <c r="C69" s="17" t="s">
        <v>16</v>
      </c>
      <c r="D69" s="17"/>
      <c r="E69" s="28">
        <v>42780</v>
      </c>
      <c r="G69" s="34">
        <v>101364.7</v>
      </c>
      <c r="H69" s="17"/>
      <c r="I69" s="16"/>
      <c r="J69" s="16"/>
      <c r="K69" s="17"/>
      <c r="L69" s="59"/>
    </row>
    <row r="70" spans="3:12">
      <c r="C70" s="17"/>
      <c r="D70" s="17"/>
      <c r="E70" s="28">
        <v>42822</v>
      </c>
      <c r="G70" s="34">
        <v>70252.75</v>
      </c>
      <c r="H70" s="17"/>
      <c r="I70" s="16"/>
      <c r="J70" s="16"/>
      <c r="K70" s="17"/>
    </row>
    <row r="71" spans="3:12">
      <c r="C71" s="17"/>
      <c r="D71" s="17"/>
      <c r="E71" s="28">
        <v>42906</v>
      </c>
      <c r="G71" s="34">
        <v>12442.49</v>
      </c>
      <c r="H71" s="17"/>
      <c r="I71" s="16"/>
      <c r="J71" s="16"/>
      <c r="K71" s="17"/>
    </row>
    <row r="72" spans="3:12">
      <c r="C72" s="17"/>
      <c r="D72" s="17"/>
      <c r="E72" s="28">
        <v>42970</v>
      </c>
      <c r="G72" s="34">
        <v>4910.8500000000004</v>
      </c>
      <c r="H72" s="17"/>
      <c r="I72" s="16"/>
      <c r="J72" s="16"/>
      <c r="K72" s="17"/>
    </row>
    <row r="73" spans="3:12">
      <c r="C73" s="17" t="s">
        <v>17</v>
      </c>
      <c r="D73" s="17"/>
      <c r="E73" s="28">
        <v>43104</v>
      </c>
      <c r="G73" s="34">
        <v>-19586.53</v>
      </c>
      <c r="H73" s="17"/>
      <c r="I73" s="16"/>
      <c r="J73" s="16"/>
      <c r="K73" s="17"/>
    </row>
    <row r="74" spans="3:12">
      <c r="C74" s="17"/>
      <c r="D74" s="17"/>
      <c r="E74" s="28">
        <v>43157</v>
      </c>
      <c r="G74" s="34">
        <v>-18825.46</v>
      </c>
      <c r="H74" s="17"/>
      <c r="I74" s="16"/>
      <c r="J74" s="16"/>
      <c r="K74" s="17"/>
    </row>
    <row r="75" spans="3:12">
      <c r="C75" s="17"/>
      <c r="D75" s="17"/>
      <c r="E75" s="28">
        <v>43181</v>
      </c>
      <c r="G75" s="34">
        <v>-51798</v>
      </c>
      <c r="H75" s="17"/>
      <c r="I75" s="16"/>
      <c r="J75" s="16"/>
      <c r="K75" s="17"/>
    </row>
    <row r="76" spans="3:12">
      <c r="C76" s="17"/>
      <c r="D76" s="17"/>
      <c r="E76" s="28">
        <v>43256</v>
      </c>
      <c r="G76" s="34">
        <v>-20772.919999999998</v>
      </c>
      <c r="H76" s="17"/>
      <c r="I76" s="16"/>
      <c r="J76" s="16"/>
      <c r="K76" s="17"/>
    </row>
    <row r="77" spans="3:12">
      <c r="C77" s="17"/>
      <c r="D77" s="17"/>
      <c r="E77" s="28">
        <v>43278</v>
      </c>
      <c r="G77" s="34">
        <v>-16564.61</v>
      </c>
      <c r="H77" s="17"/>
      <c r="I77" s="16"/>
      <c r="J77" s="16"/>
      <c r="K77" s="17"/>
    </row>
    <row r="78" spans="3:12">
      <c r="C78" s="17"/>
      <c r="D78" s="17"/>
      <c r="E78" s="28">
        <v>43336</v>
      </c>
      <c r="G78" s="34">
        <v>-21511.63</v>
      </c>
      <c r="H78" s="17"/>
      <c r="I78" s="16"/>
      <c r="J78" s="16"/>
      <c r="K78" s="17"/>
    </row>
    <row r="79" spans="3:12">
      <c r="C79" s="17"/>
      <c r="D79" s="17"/>
      <c r="E79" s="28">
        <v>43367</v>
      </c>
      <c r="G79" s="34">
        <v>-36509.300000000003</v>
      </c>
      <c r="H79" s="17"/>
      <c r="I79" s="16"/>
      <c r="J79" s="16"/>
      <c r="K79" s="17"/>
    </row>
    <row r="80" spans="3:12">
      <c r="C80" s="17" t="s">
        <v>18</v>
      </c>
      <c r="D80" s="17"/>
      <c r="E80" s="28">
        <v>43439</v>
      </c>
      <c r="G80" s="34">
        <v>-22787.54</v>
      </c>
      <c r="H80" s="17"/>
      <c r="I80" s="16"/>
      <c r="J80" s="16"/>
      <c r="K80" s="17"/>
    </row>
    <row r="81" spans="3:11">
      <c r="D81" s="17"/>
      <c r="E81" s="28">
        <v>43167</v>
      </c>
      <c r="G81" s="34">
        <v>4586.18</v>
      </c>
      <c r="H81" s="17"/>
      <c r="I81" s="16"/>
      <c r="J81" s="16"/>
      <c r="K81" s="17"/>
    </row>
    <row r="82" spans="3:11">
      <c r="C82" s="17"/>
      <c r="D82" s="17"/>
      <c r="E82" s="28">
        <v>43255</v>
      </c>
      <c r="G82" s="34">
        <v>13656.12</v>
      </c>
      <c r="H82" s="17"/>
      <c r="I82" s="16"/>
      <c r="J82" s="16"/>
      <c r="K82" s="17"/>
    </row>
    <row r="83" spans="3:11">
      <c r="C83" s="17"/>
      <c r="D83" s="17"/>
      <c r="E83" s="28">
        <v>43444</v>
      </c>
      <c r="G83" s="34">
        <v>9094.49</v>
      </c>
      <c r="H83" s="17"/>
      <c r="I83" s="16"/>
      <c r="J83" s="16"/>
      <c r="K83" s="17"/>
    </row>
    <row r="84" spans="3:11">
      <c r="C84" s="17" t="s">
        <v>19</v>
      </c>
      <c r="D84" s="17"/>
      <c r="E84" s="28">
        <v>43481</v>
      </c>
      <c r="F84" s="34"/>
      <c r="G84" s="34">
        <v>-12983.08</v>
      </c>
      <c r="H84" s="17"/>
      <c r="I84" s="16"/>
      <c r="J84" s="16"/>
      <c r="K84" s="17"/>
    </row>
    <row r="85" spans="3:11">
      <c r="D85" s="17"/>
      <c r="E85" s="28">
        <v>43544</v>
      </c>
      <c r="F85" s="34"/>
      <c r="G85" s="34">
        <v>-14370.91</v>
      </c>
      <c r="H85" s="17"/>
      <c r="I85" s="16"/>
      <c r="J85" s="16"/>
      <c r="K85" s="17"/>
    </row>
    <row r="86" spans="3:11">
      <c r="D86" s="17"/>
      <c r="E86" s="28">
        <v>43591</v>
      </c>
      <c r="F86" s="34"/>
      <c r="G86" s="34">
        <v>-12826.38</v>
      </c>
      <c r="H86" s="17"/>
      <c r="I86" s="16"/>
      <c r="J86" s="16"/>
      <c r="K86" s="17"/>
    </row>
    <row r="87" spans="3:11">
      <c r="D87" s="17"/>
      <c r="E87" s="28">
        <v>43675</v>
      </c>
      <c r="F87" s="34"/>
      <c r="G87" s="34">
        <v>-20056.62</v>
      </c>
      <c r="H87" s="17"/>
      <c r="I87" s="16"/>
      <c r="J87" s="16"/>
      <c r="K87" s="17"/>
    </row>
    <row r="88" spans="3:11">
      <c r="D88" s="17"/>
      <c r="E88" s="28">
        <v>43707</v>
      </c>
      <c r="F88" s="34"/>
      <c r="G88" s="34">
        <v>-34427.54</v>
      </c>
      <c r="H88" s="17"/>
      <c r="I88" s="16"/>
      <c r="J88" s="16"/>
      <c r="K88" s="17"/>
    </row>
    <row r="89" spans="3:11">
      <c r="D89" s="17"/>
      <c r="E89" s="28">
        <v>43769</v>
      </c>
      <c r="F89" s="34"/>
      <c r="G89" s="34">
        <v>-15781.16</v>
      </c>
      <c r="H89" s="17"/>
      <c r="I89" s="16"/>
      <c r="J89" s="16"/>
      <c r="K89" s="17"/>
    </row>
    <row r="90" spans="3:11">
      <c r="D90" s="17"/>
      <c r="E90" s="28">
        <v>43804</v>
      </c>
      <c r="F90" s="34"/>
      <c r="G90" s="34">
        <v>-15758.78</v>
      </c>
      <c r="H90" s="17"/>
      <c r="I90" s="16"/>
      <c r="J90" s="16"/>
      <c r="K90" s="17"/>
    </row>
    <row r="91" spans="3:11">
      <c r="C91" s="17" t="s">
        <v>20</v>
      </c>
      <c r="D91" s="17"/>
      <c r="E91" s="28">
        <v>43550</v>
      </c>
      <c r="F91" s="34"/>
      <c r="G91" s="34">
        <v>4493.2700000000004</v>
      </c>
      <c r="H91" s="17"/>
      <c r="I91" s="16"/>
      <c r="J91" s="16"/>
      <c r="K91" s="17"/>
    </row>
    <row r="92" spans="3:11">
      <c r="C92" s="17"/>
      <c r="D92" s="17"/>
      <c r="E92" s="28">
        <v>43629</v>
      </c>
      <c r="F92" s="34"/>
      <c r="G92" s="34">
        <v>5024.01</v>
      </c>
      <c r="H92" s="17"/>
      <c r="I92" s="16"/>
      <c r="J92" s="16"/>
      <c r="K92" s="17"/>
    </row>
    <row r="93" spans="3:11">
      <c r="C93" s="17"/>
      <c r="D93" s="17"/>
      <c r="E93" s="28">
        <v>43760</v>
      </c>
      <c r="F93" s="34"/>
      <c r="G93" s="34">
        <v>27971.27</v>
      </c>
      <c r="H93" s="17"/>
      <c r="I93" s="16"/>
      <c r="J93" s="16"/>
      <c r="K93" s="17"/>
    </row>
    <row r="94" spans="3:11">
      <c r="C94" s="17"/>
      <c r="D94" s="17"/>
      <c r="E94" s="28">
        <v>43816</v>
      </c>
      <c r="F94" s="34"/>
      <c r="G94" s="34">
        <v>5278.68</v>
      </c>
      <c r="H94" s="17"/>
      <c r="I94" s="16"/>
      <c r="J94" s="16"/>
      <c r="K94" s="17"/>
    </row>
    <row r="95" spans="3:11">
      <c r="C95" s="17" t="s">
        <v>21</v>
      </c>
      <c r="D95" s="17"/>
      <c r="E95" s="28">
        <v>43896</v>
      </c>
      <c r="F95" s="34"/>
      <c r="G95" s="34">
        <v>-9759.68</v>
      </c>
      <c r="H95" s="17"/>
      <c r="I95" s="16"/>
      <c r="J95" s="16"/>
      <c r="K95" s="17"/>
    </row>
    <row r="96" spans="3:11">
      <c r="C96" s="17"/>
      <c r="D96" s="17"/>
      <c r="E96" s="28">
        <v>43922</v>
      </c>
      <c r="F96" s="34"/>
      <c r="G96" s="34">
        <v>-7297.39</v>
      </c>
      <c r="H96" s="17"/>
      <c r="I96" s="16"/>
      <c r="J96" s="16"/>
      <c r="K96" s="17"/>
    </row>
    <row r="97" spans="3:12">
      <c r="C97" s="17"/>
      <c r="D97" s="17"/>
      <c r="E97" s="28">
        <v>43979</v>
      </c>
      <c r="F97" s="34"/>
      <c r="G97" s="34">
        <v>-9513.4699999999993</v>
      </c>
      <c r="H97" s="17"/>
      <c r="I97" s="16"/>
      <c r="J97" s="16"/>
      <c r="K97" s="17"/>
    </row>
    <row r="98" spans="3:12">
      <c r="C98" s="17"/>
      <c r="D98" s="17"/>
      <c r="E98" s="28">
        <v>44015</v>
      </c>
      <c r="F98" s="34"/>
      <c r="G98" s="34">
        <v>-8259.92</v>
      </c>
      <c r="H98" s="17"/>
      <c r="I98" s="16"/>
      <c r="J98" s="16"/>
      <c r="K98" s="17"/>
    </row>
    <row r="99" spans="3:12">
      <c r="C99" s="17"/>
      <c r="D99" s="17"/>
      <c r="E99" s="28">
        <v>44109</v>
      </c>
      <c r="F99" s="34"/>
      <c r="G99" s="34">
        <v>-5842.39</v>
      </c>
      <c r="H99" s="17"/>
      <c r="I99" s="16"/>
      <c r="J99" s="16"/>
      <c r="K99" s="17"/>
    </row>
    <row r="100" spans="3:12">
      <c r="C100" s="17"/>
      <c r="D100" s="17"/>
      <c r="E100" s="28">
        <v>44160</v>
      </c>
      <c r="F100" s="34"/>
      <c r="G100" s="34">
        <v>-11080.38</v>
      </c>
      <c r="H100" s="17"/>
      <c r="I100" s="16"/>
      <c r="J100" s="16"/>
      <c r="K100" s="17"/>
    </row>
    <row r="101" spans="3:12">
      <c r="C101" s="17" t="s">
        <v>30</v>
      </c>
      <c r="D101" s="17"/>
      <c r="E101" s="28">
        <v>43885</v>
      </c>
      <c r="F101" s="34"/>
      <c r="G101" s="34">
        <v>16180.48</v>
      </c>
      <c r="H101" s="17"/>
      <c r="I101" s="16"/>
      <c r="J101" s="16"/>
      <c r="K101" s="17"/>
    </row>
    <row r="102" spans="3:12">
      <c r="C102" s="17"/>
      <c r="D102" s="17"/>
      <c r="E102" s="28">
        <v>44082</v>
      </c>
      <c r="F102" s="34"/>
      <c r="G102" s="34">
        <v>9793.01</v>
      </c>
      <c r="H102" s="17"/>
      <c r="I102" s="16"/>
      <c r="J102" s="16"/>
      <c r="K102" s="17"/>
    </row>
    <row r="103" spans="3:12" ht="12.75" customHeight="1">
      <c r="C103" s="17" t="s">
        <v>31</v>
      </c>
      <c r="D103" s="17"/>
      <c r="E103" s="28">
        <v>44201</v>
      </c>
      <c r="F103" s="34"/>
      <c r="G103" s="34">
        <v>-5909.54</v>
      </c>
      <c r="H103" s="17"/>
      <c r="I103" s="16"/>
      <c r="J103" s="16"/>
      <c r="K103" s="17"/>
    </row>
    <row r="104" spans="3:12" ht="12.75" customHeight="1">
      <c r="C104" s="17"/>
      <c r="D104" s="17"/>
      <c r="E104" s="28">
        <v>44246</v>
      </c>
      <c r="F104" s="34"/>
      <c r="G104" s="34">
        <v>-33576.92</v>
      </c>
      <c r="H104" s="17"/>
      <c r="I104" s="16"/>
      <c r="J104" s="16"/>
      <c r="K104" s="17"/>
      <c r="L104" s="12"/>
    </row>
    <row r="105" spans="3:12" ht="12.75" customHeight="1">
      <c r="C105" s="17"/>
      <c r="D105" s="17"/>
      <c r="E105" s="28">
        <v>44267</v>
      </c>
      <c r="F105" s="34"/>
      <c r="G105" s="34">
        <v>-3335.31</v>
      </c>
      <c r="H105" s="17"/>
      <c r="I105" s="16"/>
      <c r="J105" s="16"/>
      <c r="K105" s="17"/>
      <c r="L105" s="12"/>
    </row>
    <row r="106" spans="3:12" ht="12.75" customHeight="1">
      <c r="C106" s="17"/>
      <c r="D106" s="17"/>
      <c r="E106" s="28">
        <v>44285</v>
      </c>
      <c r="F106" s="34"/>
      <c r="G106" s="34">
        <v>-4208.3100000000004</v>
      </c>
      <c r="H106" s="17"/>
      <c r="I106" s="16"/>
      <c r="J106" s="16"/>
      <c r="K106" s="17"/>
      <c r="L106" s="12"/>
    </row>
    <row r="107" spans="3:12" ht="12.75" customHeight="1">
      <c r="C107" s="17"/>
      <c r="D107" s="17"/>
      <c r="E107" s="28">
        <v>44308</v>
      </c>
      <c r="F107" s="34"/>
      <c r="G107" s="34">
        <v>-11147.53</v>
      </c>
      <c r="H107" s="17"/>
      <c r="I107" s="16"/>
      <c r="J107" s="16"/>
      <c r="K107" s="17"/>
      <c r="L107" s="12"/>
    </row>
    <row r="108" spans="3:12" ht="12.75" customHeight="1">
      <c r="C108" s="17"/>
      <c r="D108" s="17"/>
      <c r="E108" s="28">
        <v>44348</v>
      </c>
      <c r="F108" s="34"/>
      <c r="G108" s="34">
        <v>-24690.23</v>
      </c>
      <c r="H108" s="17"/>
      <c r="I108" s="16"/>
      <c r="J108" s="16"/>
      <c r="K108" s="17"/>
      <c r="L108" s="12"/>
    </row>
    <row r="109" spans="3:12" ht="12.75" customHeight="1">
      <c r="C109" s="17"/>
      <c r="D109" s="17"/>
      <c r="E109" s="28">
        <v>44467</v>
      </c>
      <c r="F109" s="34"/>
      <c r="G109" s="34">
        <v>-3626.31</v>
      </c>
      <c r="H109" s="17"/>
      <c r="I109" s="16"/>
      <c r="J109" s="16"/>
      <c r="K109" s="17"/>
      <c r="L109" s="12"/>
    </row>
    <row r="110" spans="3:12" ht="12.75" customHeight="1">
      <c r="C110" s="17"/>
      <c r="D110" s="17"/>
      <c r="E110" s="28">
        <v>44546</v>
      </c>
      <c r="F110" s="34"/>
      <c r="G110" s="34">
        <v>-16564.61</v>
      </c>
      <c r="H110" s="17"/>
      <c r="I110" s="16"/>
      <c r="J110" s="16"/>
      <c r="K110" s="17"/>
      <c r="L110" s="12"/>
    </row>
    <row r="111" spans="3:12" ht="12.75" customHeight="1">
      <c r="C111" s="17" t="s">
        <v>22</v>
      </c>
      <c r="D111" s="17"/>
      <c r="E111" s="28">
        <v>44217</v>
      </c>
      <c r="F111" s="34"/>
      <c r="G111" s="34">
        <v>16848.900000000001</v>
      </c>
      <c r="H111" s="17"/>
      <c r="I111" s="16"/>
      <c r="J111" s="16"/>
      <c r="K111" s="17"/>
      <c r="L111" s="12"/>
    </row>
    <row r="112" spans="3:12" ht="12.75" customHeight="1">
      <c r="C112" s="17"/>
      <c r="D112" s="17"/>
      <c r="E112" s="28">
        <v>44256</v>
      </c>
      <c r="F112" s="34"/>
      <c r="G112" s="34">
        <v>127881.02</v>
      </c>
      <c r="H112" s="17"/>
      <c r="I112" s="16"/>
      <c r="J112" s="16"/>
      <c r="K112" s="17"/>
      <c r="L112" s="12"/>
    </row>
    <row r="113" spans="3:12" ht="12.75" customHeight="1">
      <c r="C113" s="17"/>
      <c r="D113" s="17"/>
      <c r="E113" s="28">
        <v>44279</v>
      </c>
      <c r="F113" s="34"/>
      <c r="G113" s="34">
        <v>27339.200000000001</v>
      </c>
      <c r="H113" s="17"/>
      <c r="I113" s="16"/>
      <c r="J113" s="16"/>
      <c r="K113" s="17"/>
      <c r="L113" s="12"/>
    </row>
    <row r="114" spans="3:12" ht="12.75" customHeight="1">
      <c r="C114" s="17"/>
      <c r="D114" s="17"/>
      <c r="E114" s="28">
        <v>44295</v>
      </c>
      <c r="F114" s="34"/>
      <c r="G114" s="34">
        <v>35769.089999999997</v>
      </c>
      <c r="H114" s="17"/>
      <c r="I114" s="16"/>
      <c r="J114" s="16"/>
      <c r="K114" s="17"/>
      <c r="L114" s="12"/>
    </row>
    <row r="115" spans="3:12" ht="12.75" customHeight="1">
      <c r="C115" s="17"/>
      <c r="D115" s="17"/>
      <c r="E115" s="28">
        <v>44371</v>
      </c>
      <c r="F115" s="34"/>
      <c r="G115" s="34">
        <v>5986.33</v>
      </c>
      <c r="H115" s="17"/>
      <c r="I115" s="16"/>
      <c r="J115" s="16"/>
      <c r="K115" s="17"/>
      <c r="L115" s="12"/>
    </row>
    <row r="116" spans="3:12" ht="12.75" customHeight="1">
      <c r="C116" s="17"/>
      <c r="D116" s="17"/>
      <c r="E116" s="28">
        <v>44386</v>
      </c>
      <c r="F116" s="34"/>
      <c r="G116" s="34">
        <v>8536.1200000000008</v>
      </c>
      <c r="H116" s="17"/>
      <c r="I116" s="16"/>
      <c r="J116" s="16"/>
      <c r="K116" s="17"/>
      <c r="L116" s="12"/>
    </row>
    <row r="117" spans="3:12" ht="12.75" customHeight="1">
      <c r="C117" s="17"/>
      <c r="D117" s="17"/>
      <c r="E117" s="28">
        <v>44417</v>
      </c>
      <c r="F117" s="34"/>
      <c r="G117" s="34">
        <v>9278.2199999999993</v>
      </c>
      <c r="H117" s="17"/>
      <c r="I117" s="16"/>
      <c r="J117" s="16"/>
      <c r="K117" s="17"/>
      <c r="L117" s="12"/>
    </row>
    <row r="118" spans="3:12" ht="12.75" customHeight="1">
      <c r="C118" s="17"/>
      <c r="D118" s="17"/>
      <c r="E118" s="28">
        <v>44446</v>
      </c>
      <c r="F118" s="34"/>
      <c r="G118" s="34">
        <v>8939.64</v>
      </c>
      <c r="H118" s="17"/>
      <c r="I118" s="16"/>
      <c r="J118" s="16"/>
      <c r="K118" s="17"/>
      <c r="L118" s="12"/>
    </row>
    <row r="119" spans="3:12" ht="12.75" customHeight="1">
      <c r="C119" s="17"/>
      <c r="D119" s="17"/>
      <c r="E119" s="28">
        <v>44473</v>
      </c>
      <c r="F119" s="34"/>
      <c r="G119" s="34">
        <v>14044.16</v>
      </c>
      <c r="H119" s="17"/>
      <c r="I119" s="16"/>
      <c r="J119" s="16"/>
      <c r="K119" s="17"/>
      <c r="L119" s="12"/>
    </row>
    <row r="120" spans="3:12" ht="12.75" customHeight="1">
      <c r="C120" s="17"/>
      <c r="D120" s="17"/>
      <c r="E120" s="28">
        <v>44489</v>
      </c>
      <c r="F120" s="34"/>
      <c r="G120" s="34">
        <v>36503.26</v>
      </c>
      <c r="H120" s="17"/>
      <c r="I120" s="16"/>
      <c r="J120" s="16"/>
      <c r="K120" s="17"/>
      <c r="L120" s="12"/>
    </row>
    <row r="121" spans="3:12" ht="12.75" customHeight="1">
      <c r="C121" s="17"/>
      <c r="D121" s="17"/>
      <c r="E121" s="28">
        <v>44496</v>
      </c>
      <c r="F121" s="34"/>
      <c r="G121" s="34">
        <v>75188.570000000007</v>
      </c>
      <c r="H121" s="17"/>
      <c r="I121" s="16"/>
      <c r="J121" s="16"/>
      <c r="K121" s="17"/>
      <c r="L121" s="12"/>
    </row>
    <row r="122" spans="3:12" ht="12.75" customHeight="1">
      <c r="C122" s="17"/>
      <c r="D122" s="17"/>
      <c r="E122" s="28">
        <v>44505</v>
      </c>
      <c r="F122" s="34"/>
      <c r="G122" s="34">
        <v>7588.54</v>
      </c>
      <c r="H122" s="17"/>
      <c r="I122" s="16"/>
      <c r="J122" s="16"/>
      <c r="K122" s="17"/>
      <c r="L122" s="12"/>
    </row>
    <row r="123" spans="3:12" ht="12.75" customHeight="1">
      <c r="C123" s="17"/>
      <c r="D123" s="17"/>
      <c r="E123" s="28">
        <v>44547</v>
      </c>
      <c r="F123" s="34"/>
      <c r="G123" s="34">
        <v>57433.86</v>
      </c>
      <c r="H123" s="17"/>
      <c r="I123" s="16"/>
      <c r="J123" s="16"/>
      <c r="K123" s="17"/>
      <c r="L123" s="12"/>
    </row>
    <row r="124" spans="3:12" ht="12.75" customHeight="1">
      <c r="C124" s="17" t="s">
        <v>32</v>
      </c>
      <c r="D124" s="17"/>
      <c r="E124" s="28">
        <v>44585</v>
      </c>
      <c r="F124" s="34"/>
      <c r="G124" s="34">
        <v>-6872.07</v>
      </c>
      <c r="H124" s="17"/>
      <c r="I124" s="16"/>
      <c r="J124" s="16"/>
      <c r="K124" s="17"/>
      <c r="L124" s="12"/>
    </row>
    <row r="125" spans="3:12" ht="12.75" customHeight="1">
      <c r="C125" s="17"/>
      <c r="D125" s="17"/>
      <c r="E125" s="28">
        <v>44630</v>
      </c>
      <c r="F125" s="34"/>
      <c r="G125" s="34">
        <v>-8282.31</v>
      </c>
      <c r="H125" s="17"/>
      <c r="I125" s="16"/>
      <c r="J125" s="16"/>
      <c r="K125" s="17"/>
      <c r="L125" s="12"/>
    </row>
    <row r="126" spans="3:12" ht="12.75" customHeight="1">
      <c r="C126" s="17"/>
      <c r="D126" s="17"/>
      <c r="E126" s="28">
        <v>44741</v>
      </c>
      <c r="F126" s="34"/>
      <c r="G126" s="34">
        <v>-3492</v>
      </c>
      <c r="H126" s="17"/>
      <c r="I126" s="16"/>
      <c r="J126" s="16"/>
      <c r="K126" s="17"/>
      <c r="L126" s="12"/>
    </row>
    <row r="127" spans="3:12" ht="12.75" customHeight="1">
      <c r="C127" s="17"/>
      <c r="D127" s="17"/>
      <c r="E127" s="28">
        <v>44830</v>
      </c>
      <c r="F127" s="34"/>
      <c r="G127" s="34">
        <v>-3424.85</v>
      </c>
      <c r="H127" s="17"/>
      <c r="I127" s="16"/>
      <c r="J127" s="16"/>
      <c r="K127" s="17"/>
      <c r="L127" s="12"/>
    </row>
    <row r="128" spans="3:12" ht="12.75" customHeight="1">
      <c r="C128" s="17"/>
      <c r="D128" s="17"/>
      <c r="E128" s="28">
        <v>44925</v>
      </c>
      <c r="F128" s="34"/>
      <c r="G128" s="34">
        <v>-5640.92</v>
      </c>
      <c r="H128" s="17"/>
      <c r="I128" s="16"/>
      <c r="J128" s="16"/>
      <c r="K128" s="17"/>
      <c r="L128" s="12"/>
    </row>
    <row r="129" spans="3:12" ht="12.75" customHeight="1">
      <c r="C129" s="17" t="s">
        <v>23</v>
      </c>
      <c r="D129" s="17"/>
      <c r="E129" s="28">
        <v>44580</v>
      </c>
      <c r="F129" s="34"/>
      <c r="G129" s="34">
        <v>90440.08</v>
      </c>
      <c r="H129" s="17"/>
      <c r="I129" s="16"/>
      <c r="J129" s="16"/>
      <c r="K129" s="17"/>
      <c r="L129" s="12"/>
    </row>
    <row r="130" spans="3:12" ht="12.75" customHeight="1">
      <c r="C130" s="17"/>
      <c r="D130" s="17"/>
      <c r="E130" s="28">
        <v>44595</v>
      </c>
      <c r="F130" s="34"/>
      <c r="G130" s="34">
        <v>34793.75</v>
      </c>
      <c r="H130" s="17"/>
      <c r="I130" s="16"/>
      <c r="J130" s="16"/>
      <c r="K130" s="17"/>
      <c r="L130" s="12"/>
    </row>
    <row r="131" spans="3:12" ht="12.75" customHeight="1">
      <c r="C131" s="17"/>
      <c r="D131" s="17"/>
      <c r="E131" s="28">
        <v>44630</v>
      </c>
      <c r="F131" s="34"/>
      <c r="G131" s="34">
        <v>48745.82</v>
      </c>
      <c r="H131" s="17"/>
      <c r="I131" s="16"/>
      <c r="J131" s="16"/>
      <c r="K131" s="17"/>
      <c r="L131" s="12"/>
    </row>
    <row r="132" spans="3:12" ht="12.75" customHeight="1">
      <c r="C132" s="17"/>
      <c r="D132" s="17"/>
      <c r="E132" s="28">
        <v>44655</v>
      </c>
      <c r="F132" s="34"/>
      <c r="G132" s="34">
        <v>87950.26</v>
      </c>
      <c r="H132" s="17"/>
      <c r="I132" s="16"/>
      <c r="J132" s="16"/>
      <c r="K132" s="17"/>
      <c r="L132" s="12"/>
    </row>
    <row r="133" spans="3:12" ht="12.75" customHeight="1">
      <c r="C133" s="17"/>
      <c r="D133" s="17"/>
      <c r="E133" s="28">
        <v>44690</v>
      </c>
      <c r="F133" s="34"/>
      <c r="G133" s="34">
        <v>44153.45</v>
      </c>
      <c r="H133" s="17"/>
      <c r="I133" s="16"/>
      <c r="J133" s="16"/>
      <c r="K133" s="17"/>
      <c r="L133" s="12"/>
    </row>
    <row r="134" spans="3:12" ht="12.75" customHeight="1">
      <c r="C134" s="17"/>
      <c r="D134" s="17"/>
      <c r="E134" s="28">
        <v>44714</v>
      </c>
      <c r="F134" s="34"/>
      <c r="G134" s="34">
        <v>63546.11</v>
      </c>
      <c r="H134" s="17"/>
      <c r="I134" s="16"/>
      <c r="J134" s="16"/>
      <c r="K134" s="17"/>
      <c r="L134" s="12"/>
    </row>
    <row r="135" spans="3:12" ht="12.75" customHeight="1">
      <c r="C135" s="17"/>
      <c r="D135" s="17"/>
      <c r="E135" s="28">
        <v>44754</v>
      </c>
      <c r="F135" s="34"/>
      <c r="G135" s="34">
        <v>63217.8</v>
      </c>
      <c r="H135" s="17"/>
      <c r="I135" s="16"/>
      <c r="J135" s="16"/>
      <c r="K135" s="17"/>
      <c r="L135" s="12"/>
    </row>
    <row r="136" spans="3:12" ht="12.75" customHeight="1">
      <c r="C136" s="17"/>
      <c r="D136" s="17"/>
      <c r="E136" s="28">
        <v>44782</v>
      </c>
      <c r="F136" s="34"/>
      <c r="G136" s="34">
        <v>13407.07</v>
      </c>
      <c r="H136" s="17"/>
      <c r="I136" s="16"/>
      <c r="J136" s="16"/>
      <c r="K136" s="17"/>
      <c r="L136" s="12"/>
    </row>
    <row r="137" spans="3:12" ht="12.75" customHeight="1">
      <c r="C137" s="17"/>
      <c r="D137" s="17"/>
      <c r="E137" s="28">
        <v>44806</v>
      </c>
      <c r="F137" s="34"/>
      <c r="G137" s="34">
        <v>62613.5</v>
      </c>
      <c r="H137" s="17"/>
      <c r="I137" s="16"/>
      <c r="J137" s="16"/>
      <c r="K137" s="17"/>
      <c r="L137" s="12"/>
    </row>
    <row r="138" spans="3:12" ht="12.75" customHeight="1">
      <c r="C138" s="17"/>
      <c r="D138" s="17"/>
      <c r="E138" s="28">
        <v>44846</v>
      </c>
      <c r="F138" s="34"/>
      <c r="G138" s="34">
        <v>47881.279999999999</v>
      </c>
      <c r="H138" s="17"/>
      <c r="I138" s="16"/>
      <c r="J138" s="16"/>
      <c r="K138" s="17"/>
      <c r="L138" s="12"/>
    </row>
    <row r="139" spans="3:12" ht="12.75" customHeight="1">
      <c r="C139" s="17"/>
      <c r="D139" s="17"/>
      <c r="E139" s="28">
        <v>44868</v>
      </c>
      <c r="F139" s="34"/>
      <c r="G139" s="34">
        <v>23429.99</v>
      </c>
      <c r="H139" s="17"/>
      <c r="I139" s="16"/>
      <c r="J139" s="16"/>
      <c r="K139" s="17"/>
      <c r="L139" s="12"/>
    </row>
    <row r="140" spans="3:12" ht="12.75" customHeight="1">
      <c r="C140" s="17"/>
      <c r="D140" s="17"/>
      <c r="E140" s="28">
        <v>44901</v>
      </c>
      <c r="F140" s="34"/>
      <c r="G140" s="34">
        <v>9699.5400000000009</v>
      </c>
      <c r="H140" s="17"/>
      <c r="I140" s="16"/>
      <c r="J140" s="16"/>
      <c r="K140" s="17"/>
      <c r="L140" s="12"/>
    </row>
    <row r="141" spans="3:12" ht="12.75" customHeight="1">
      <c r="C141" s="17" t="s">
        <v>33</v>
      </c>
      <c r="D141" s="17"/>
      <c r="E141" s="28">
        <v>44965</v>
      </c>
      <c r="F141" s="34"/>
      <c r="G141" s="34">
        <v>-5596.15</v>
      </c>
      <c r="H141" s="17"/>
      <c r="I141" s="16"/>
      <c r="J141" s="16"/>
      <c r="K141" s="17"/>
      <c r="L141" s="12"/>
    </row>
    <row r="142" spans="3:12" ht="12.75" customHeight="1">
      <c r="C142" s="17"/>
      <c r="D142" s="17"/>
      <c r="E142" s="28">
        <v>45009</v>
      </c>
      <c r="F142" s="34"/>
      <c r="G142" s="34">
        <v>-3357.69</v>
      </c>
      <c r="H142" s="17"/>
      <c r="I142" s="16"/>
      <c r="J142" s="16"/>
      <c r="K142" s="17"/>
      <c r="L142" s="12"/>
    </row>
    <row r="143" spans="3:12" ht="12.75" customHeight="1">
      <c r="C143" s="17"/>
      <c r="D143" s="17"/>
      <c r="E143" s="28">
        <v>45022</v>
      </c>
      <c r="F143" s="34"/>
      <c r="G143" s="34">
        <v>-3962.08</v>
      </c>
      <c r="H143" s="17"/>
      <c r="I143" s="16"/>
      <c r="J143" s="16"/>
      <c r="K143" s="17"/>
      <c r="L143" s="12"/>
    </row>
    <row r="144" spans="3:12" ht="12.75" customHeight="1">
      <c r="C144" s="17"/>
      <c r="D144" s="17"/>
      <c r="E144" s="28">
        <v>45084</v>
      </c>
      <c r="F144" s="34"/>
      <c r="G144" s="34">
        <v>-9468.69</v>
      </c>
      <c r="H144" s="17"/>
      <c r="I144" s="16"/>
      <c r="J144" s="16"/>
      <c r="K144" s="17"/>
      <c r="L144" s="12"/>
    </row>
    <row r="145" spans="3:12" ht="12.75" customHeight="1">
      <c r="C145" s="17"/>
      <c r="D145" s="17"/>
      <c r="E145" s="28">
        <v>45279</v>
      </c>
      <c r="F145" s="34"/>
      <c r="G145" s="34">
        <v>-7342.15</v>
      </c>
      <c r="H145" s="17"/>
      <c r="I145" s="16"/>
      <c r="J145" s="16"/>
      <c r="K145" s="17"/>
      <c r="L145" s="12"/>
    </row>
    <row r="146" spans="3:12" ht="12.75" customHeight="1">
      <c r="C146" s="17" t="s">
        <v>24</v>
      </c>
      <c r="D146" s="17"/>
      <c r="E146" s="28">
        <v>44937</v>
      </c>
      <c r="F146" s="34"/>
      <c r="G146" s="34">
        <v>20857.32</v>
      </c>
      <c r="H146" s="17"/>
      <c r="I146" s="16"/>
      <c r="J146" s="16"/>
      <c r="K146" s="17"/>
      <c r="L146" s="12"/>
    </row>
    <row r="147" spans="3:12" ht="12.75" customHeight="1">
      <c r="C147" s="17"/>
      <c r="D147" s="17"/>
      <c r="E147" s="28">
        <v>44960</v>
      </c>
      <c r="F147" s="34"/>
      <c r="G147" s="34">
        <v>10126.299999999999</v>
      </c>
      <c r="H147" s="17"/>
      <c r="I147" s="16"/>
      <c r="J147" s="16"/>
      <c r="K147" s="17"/>
      <c r="L147" s="12"/>
    </row>
    <row r="148" spans="3:12" ht="12.75" customHeight="1">
      <c r="C148" s="17"/>
      <c r="D148" s="17"/>
      <c r="E148" s="28">
        <v>44994</v>
      </c>
      <c r="F148" s="34"/>
      <c r="G148" s="34">
        <v>22712.6</v>
      </c>
      <c r="H148" s="17"/>
      <c r="I148" s="16"/>
      <c r="J148" s="16"/>
      <c r="K148" s="17"/>
      <c r="L148" s="12"/>
    </row>
    <row r="149" spans="3:12" ht="12.75" customHeight="1">
      <c r="C149" s="17"/>
      <c r="D149" s="17"/>
      <c r="E149" s="28">
        <v>45030</v>
      </c>
      <c r="F149" s="34"/>
      <c r="G149" s="34">
        <v>198953.47</v>
      </c>
      <c r="H149" s="17"/>
      <c r="I149" s="16"/>
      <c r="J149" s="16"/>
      <c r="K149" s="17"/>
      <c r="L149" s="12"/>
    </row>
    <row r="150" spans="3:12" ht="12.75" customHeight="1">
      <c r="C150" s="17"/>
      <c r="D150" s="17"/>
      <c r="E150" s="28">
        <v>45049</v>
      </c>
      <c r="F150" s="34"/>
      <c r="G150" s="34">
        <v>18891.080000000002</v>
      </c>
      <c r="H150" s="17"/>
      <c r="I150" s="16"/>
      <c r="J150" s="16"/>
      <c r="K150" s="17"/>
      <c r="L150" s="12"/>
    </row>
    <row r="151" spans="3:12" ht="12.75" customHeight="1">
      <c r="C151" s="17"/>
      <c r="D151" s="17"/>
      <c r="E151" s="28">
        <v>45091</v>
      </c>
      <c r="F151" s="34"/>
      <c r="G151" s="34">
        <v>148119.26999999999</v>
      </c>
      <c r="H151" s="17"/>
      <c r="I151" s="16"/>
      <c r="J151" s="16"/>
      <c r="K151" s="17"/>
      <c r="L151" s="12"/>
    </row>
    <row r="152" spans="3:12" ht="12.75" customHeight="1">
      <c r="C152" s="17"/>
      <c r="D152" s="17"/>
      <c r="E152" s="28">
        <v>45114</v>
      </c>
      <c r="F152" s="34"/>
      <c r="G152" s="34">
        <v>12558.65</v>
      </c>
      <c r="H152" s="17"/>
      <c r="I152" s="16"/>
      <c r="J152" s="16"/>
      <c r="K152" s="17"/>
      <c r="L152" s="12"/>
    </row>
    <row r="153" spans="3:12" ht="12.75" customHeight="1">
      <c r="C153" s="17"/>
      <c r="D153" s="17"/>
      <c r="E153" s="28">
        <v>45154</v>
      </c>
      <c r="F153" s="34"/>
      <c r="G153" s="34">
        <v>117101.04</v>
      </c>
      <c r="H153" s="17"/>
      <c r="I153" s="16"/>
      <c r="J153" s="16"/>
      <c r="K153" s="17"/>
      <c r="L153" s="12"/>
    </row>
    <row r="154" spans="3:12" ht="12.75" customHeight="1">
      <c r="C154" s="17"/>
      <c r="D154" s="17"/>
      <c r="E154" s="28">
        <v>45176</v>
      </c>
      <c r="F154" s="34"/>
      <c r="G154" s="34">
        <v>23850.18</v>
      </c>
      <c r="H154" s="17"/>
      <c r="I154" s="16"/>
      <c r="J154" s="16"/>
      <c r="K154" s="17"/>
      <c r="L154" s="12"/>
    </row>
    <row r="155" spans="3:12" ht="12.75" customHeight="1">
      <c r="C155" s="17"/>
      <c r="D155" s="17"/>
      <c r="E155" s="28">
        <v>45191</v>
      </c>
      <c r="F155" s="34"/>
      <c r="G155" s="34">
        <v>41528.080000000002</v>
      </c>
      <c r="H155" s="17"/>
      <c r="I155" s="16"/>
      <c r="J155" s="16"/>
      <c r="K155" s="17"/>
      <c r="L155" s="12"/>
    </row>
    <row r="156" spans="3:12" ht="12.75" customHeight="1">
      <c r="C156" s="17"/>
      <c r="D156" s="17"/>
      <c r="E156" s="28">
        <v>45198</v>
      </c>
      <c r="F156" s="34"/>
      <c r="G156" s="34">
        <v>18700.13</v>
      </c>
      <c r="H156" s="17"/>
      <c r="I156" s="16"/>
      <c r="J156" s="16"/>
      <c r="K156" s="17"/>
      <c r="L156" s="12"/>
    </row>
    <row r="157" spans="3:12" ht="12.75" customHeight="1">
      <c r="C157" s="17"/>
      <c r="D157" s="17"/>
      <c r="E157" s="28">
        <v>45238</v>
      </c>
      <c r="F157" s="34"/>
      <c r="G157" s="34">
        <v>13940.38</v>
      </c>
      <c r="H157" s="17"/>
      <c r="I157" s="16"/>
      <c r="J157" s="16"/>
      <c r="K157" s="17"/>
      <c r="L157" s="12"/>
    </row>
    <row r="158" spans="3:12" ht="12.75" customHeight="1">
      <c r="C158" s="17"/>
      <c r="D158" s="17"/>
      <c r="E158" s="28">
        <v>45267</v>
      </c>
      <c r="F158" s="34"/>
      <c r="G158" s="34">
        <v>33350.35</v>
      </c>
      <c r="H158" s="17"/>
      <c r="I158" s="16"/>
      <c r="J158" s="16"/>
      <c r="K158" s="17"/>
      <c r="L158" s="12"/>
    </row>
    <row r="159" spans="3:12" ht="12.75" customHeight="1">
      <c r="C159" s="17" t="s">
        <v>36</v>
      </c>
      <c r="D159" s="17"/>
      <c r="E159" s="28">
        <v>45393</v>
      </c>
      <c r="F159" s="34"/>
      <c r="G159" s="34">
        <v>-4544.07</v>
      </c>
      <c r="H159" s="17"/>
      <c r="I159" s="16"/>
      <c r="J159" s="16"/>
      <c r="K159" s="17"/>
      <c r="L159" s="12"/>
    </row>
    <row r="160" spans="3:12" ht="12.75" customHeight="1">
      <c r="C160" s="17" t="s">
        <v>35</v>
      </c>
      <c r="D160" s="17"/>
      <c r="E160" s="28">
        <v>45300</v>
      </c>
      <c r="F160" s="34"/>
      <c r="G160" s="34">
        <v>12656.29</v>
      </c>
      <c r="H160" s="17"/>
      <c r="I160" s="16"/>
      <c r="J160" s="16"/>
      <c r="K160" s="17"/>
      <c r="L160" s="12"/>
    </row>
    <row r="161" spans="3:13" ht="12.75" customHeight="1">
      <c r="C161" s="17"/>
      <c r="D161" s="17"/>
      <c r="E161" s="28">
        <v>45327</v>
      </c>
      <c r="F161" s="34"/>
      <c r="G161" s="34">
        <v>5187.2299999999996</v>
      </c>
      <c r="H161" s="17"/>
      <c r="I161" s="16"/>
      <c r="J161" s="16"/>
      <c r="K161" s="17"/>
      <c r="L161" s="12"/>
    </row>
    <row r="162" spans="3:13" ht="12.75" customHeight="1">
      <c r="C162" s="17"/>
      <c r="D162" s="17"/>
      <c r="E162" s="28">
        <v>45358</v>
      </c>
      <c r="F162" s="34"/>
      <c r="G162" s="34">
        <v>4247.26</v>
      </c>
      <c r="H162" s="17"/>
      <c r="I162" s="16"/>
      <c r="J162" s="16"/>
      <c r="K162" s="17"/>
      <c r="L162" s="12"/>
    </row>
    <row r="163" spans="3:13" ht="12.75" customHeight="1">
      <c r="C163" s="17"/>
      <c r="D163" s="17"/>
      <c r="E163" s="28">
        <v>45385</v>
      </c>
      <c r="F163" s="34"/>
      <c r="G163" s="34">
        <v>1813.99</v>
      </c>
      <c r="H163" s="17"/>
      <c r="I163" s="16"/>
      <c r="J163" s="16"/>
      <c r="K163" s="17"/>
      <c r="L163" s="12"/>
    </row>
    <row r="164" spans="3:13" ht="12.75" customHeight="1">
      <c r="C164" s="17"/>
      <c r="D164" s="17"/>
      <c r="E164" s="28">
        <v>45418</v>
      </c>
      <c r="F164" s="34"/>
      <c r="G164" s="34">
        <v>4135.8</v>
      </c>
      <c r="H164" s="17"/>
      <c r="I164" s="16"/>
      <c r="J164" s="16"/>
      <c r="K164" s="17"/>
      <c r="L164" s="12"/>
    </row>
    <row r="165" spans="3:13" ht="12.75" customHeight="1">
      <c r="C165" s="17"/>
      <c r="D165" s="17"/>
      <c r="E165" s="28">
        <v>45450</v>
      </c>
      <c r="F165" s="34"/>
      <c r="G165" s="34">
        <v>6175.2</v>
      </c>
      <c r="H165" s="17"/>
      <c r="I165" s="16"/>
      <c r="J165" s="16"/>
      <c r="K165" s="17"/>
      <c r="L165" s="12"/>
    </row>
    <row r="166" spans="3:13" ht="4.5" customHeight="1">
      <c r="C166" s="17"/>
      <c r="D166" s="17"/>
      <c r="E166" s="28"/>
      <c r="F166" s="17"/>
      <c r="G166" s="34"/>
      <c r="H166" s="17"/>
      <c r="I166" s="16"/>
      <c r="J166" s="16"/>
      <c r="L166" s="12"/>
    </row>
    <row r="167" spans="3:13" ht="15.5">
      <c r="C167" s="17" t="s">
        <v>25</v>
      </c>
      <c r="D167" s="17"/>
      <c r="E167" s="28">
        <f>+E8</f>
        <v>45473</v>
      </c>
      <c r="F167" s="17"/>
      <c r="G167" s="35">
        <f>L167*C22</f>
        <v>950136.09410332504</v>
      </c>
      <c r="H167" s="17"/>
      <c r="I167" s="28"/>
      <c r="L167" s="59">
        <v>874163425</v>
      </c>
      <c r="M167" s="12"/>
    </row>
    <row r="168" spans="3:13">
      <c r="C168" s="17"/>
      <c r="D168" s="17"/>
      <c r="E168" s="17"/>
      <c r="F168" s="17"/>
      <c r="G168" s="17"/>
      <c r="H168" s="17"/>
    </row>
    <row r="169" spans="3:13">
      <c r="C169" t="s">
        <v>28</v>
      </c>
      <c r="G169" s="38">
        <f>+XIRR(G24:G167,E24:E167,0.1)</f>
        <v>0.14919460415840149</v>
      </c>
      <c r="H169" s="17"/>
      <c r="J169" s="34">
        <f>+SUMIF($G$24:$G$166,"&lt;0",$G$24:$G$166)+23052.4</f>
        <v>-1566749.8099999996</v>
      </c>
      <c r="K169" s="17" t="s">
        <v>26</v>
      </c>
    </row>
    <row r="170" spans="3:13">
      <c r="C170" s="17"/>
      <c r="D170" s="17"/>
      <c r="E170" s="17"/>
      <c r="F170" s="17"/>
      <c r="G170" s="17"/>
      <c r="H170" s="17"/>
      <c r="J170" s="34">
        <f>+SUMIF($G$24:$G$166,"&gt;0",$G$24:$G$166)-23052.4</f>
        <v>2038753.9500000004</v>
      </c>
      <c r="K170" s="17" t="s">
        <v>27</v>
      </c>
    </row>
    <row r="171" spans="3:13">
      <c r="C171" s="17"/>
      <c r="D171" s="17"/>
      <c r="E171" s="17"/>
      <c r="F171" s="17"/>
      <c r="G171" s="17"/>
      <c r="H171" s="17"/>
    </row>
    <row r="172" spans="3:13">
      <c r="C172" s="40"/>
      <c r="D172" s="40"/>
      <c r="E172" s="39"/>
      <c r="F172" s="17"/>
      <c r="G172" s="39"/>
      <c r="H172" s="17"/>
    </row>
    <row r="173" spans="3:13">
      <c r="C173" s="40"/>
      <c r="D173" s="40"/>
      <c r="E173" s="39"/>
      <c r="F173" s="40"/>
      <c r="G173" s="39"/>
      <c r="H173" s="17"/>
    </row>
    <row r="174" spans="3:13">
      <c r="C174" s="40"/>
      <c r="D174" s="40"/>
      <c r="E174" s="39"/>
      <c r="F174" s="40"/>
      <c r="G174" s="39"/>
      <c r="H174" s="17"/>
    </row>
    <row r="175" spans="3:13">
      <c r="C175" s="40"/>
      <c r="D175" s="40"/>
      <c r="E175" s="40"/>
      <c r="F175" s="40"/>
      <c r="G175" s="40"/>
    </row>
    <row r="176" spans="3:13">
      <c r="C176" s="40"/>
      <c r="D176" s="40"/>
      <c r="E176" s="39"/>
      <c r="F176" s="39"/>
      <c r="G176" s="39"/>
    </row>
    <row r="177" spans="3:8">
      <c r="C177" s="40"/>
      <c r="D177" s="40"/>
      <c r="E177" s="40"/>
      <c r="F177" s="40"/>
      <c r="G177" s="40"/>
    </row>
    <row r="178" spans="3:8">
      <c r="C178" s="40"/>
      <c r="D178" s="40"/>
      <c r="E178" s="60"/>
      <c r="F178" s="42"/>
      <c r="G178" s="60"/>
      <c r="H178" s="17"/>
    </row>
    <row r="179" spans="3:8" s="55" customFormat="1">
      <c r="C179" s="40"/>
      <c r="D179" s="40"/>
      <c r="E179" s="42"/>
      <c r="F179" s="42"/>
      <c r="G179" s="42"/>
      <c r="H179" s="54"/>
    </row>
    <row r="180" spans="3:8" s="55" customFormat="1">
      <c r="C180" s="40"/>
      <c r="D180" s="40"/>
      <c r="E180" s="42"/>
      <c r="F180" s="42"/>
      <c r="G180" s="42"/>
      <c r="H180" s="54"/>
    </row>
    <row r="181" spans="3:8">
      <c r="C181" s="43"/>
      <c r="D181" s="40"/>
      <c r="E181" s="42"/>
      <c r="F181" s="42"/>
      <c r="G181" s="42"/>
      <c r="H181" s="17"/>
    </row>
    <row r="182" spans="3:8">
      <c r="C182" s="43"/>
      <c r="D182" s="40"/>
      <c r="E182" s="42"/>
      <c r="F182" s="42"/>
      <c r="G182" s="42"/>
      <c r="H182" s="17"/>
    </row>
    <row r="183" spans="3:8">
      <c r="C183" s="44"/>
      <c r="D183" s="40"/>
      <c r="E183" s="42"/>
      <c r="F183" s="42"/>
      <c r="G183" s="42"/>
      <c r="H183" s="17"/>
    </row>
    <row r="184" spans="3:8" s="55" customFormat="1">
      <c r="C184" s="40"/>
      <c r="D184" s="40"/>
      <c r="E184" s="42"/>
      <c r="F184" s="42"/>
      <c r="G184" s="42"/>
      <c r="H184" s="54"/>
    </row>
    <row r="185" spans="3:8">
      <c r="C185" s="40"/>
      <c r="D185" s="40"/>
      <c r="E185" s="42"/>
      <c r="F185" s="42"/>
      <c r="G185" s="42"/>
      <c r="H185" s="17"/>
    </row>
    <row r="186" spans="3:8">
      <c r="C186" s="40"/>
      <c r="D186" s="40"/>
      <c r="E186" s="42"/>
      <c r="F186" s="42"/>
      <c r="G186" s="42"/>
      <c r="H186" s="17"/>
    </row>
    <row r="187" spans="3:8">
      <c r="C187" s="40"/>
      <c r="D187" s="40"/>
      <c r="E187" s="42"/>
      <c r="F187" s="42"/>
      <c r="G187" s="42"/>
      <c r="H187" s="17"/>
    </row>
    <row r="188" spans="3:8">
      <c r="C188" s="40"/>
      <c r="D188" s="40"/>
      <c r="E188" s="42"/>
      <c r="F188" s="42"/>
      <c r="G188" s="42"/>
      <c r="H188" s="17"/>
    </row>
    <row r="189" spans="3:8">
      <c r="C189" s="40"/>
      <c r="D189" s="40"/>
      <c r="E189" s="42"/>
      <c r="F189" s="42"/>
      <c r="G189" s="42"/>
      <c r="H189" s="17"/>
    </row>
    <row r="190" spans="3:8" s="55" customFormat="1" ht="4.9000000000000004" customHeight="1">
      <c r="D190"/>
      <c r="E190" s="88"/>
      <c r="F190" s="45"/>
      <c r="G190" s="88"/>
      <c r="H190" s="54"/>
    </row>
    <row r="191" spans="3:8">
      <c r="C191" s="17"/>
      <c r="D191" s="17"/>
      <c r="E191" s="17"/>
      <c r="F191" s="17"/>
      <c r="G191" s="17"/>
      <c r="H191" s="17"/>
    </row>
    <row r="192" spans="3:8">
      <c r="C192" s="17"/>
      <c r="D192" s="17"/>
      <c r="E192" s="17"/>
      <c r="F192" s="17"/>
      <c r="G192" s="17"/>
      <c r="H192" s="17"/>
    </row>
    <row r="193" spans="3:8">
      <c r="C193" s="17"/>
      <c r="D193" s="17"/>
      <c r="E193" s="17"/>
      <c r="F193" s="17"/>
      <c r="G193" s="17"/>
      <c r="H193" s="17"/>
    </row>
    <row r="194" spans="3:8">
      <c r="C194" s="17"/>
      <c r="D194" s="17"/>
      <c r="E194" s="17"/>
      <c r="F194" s="17"/>
      <c r="G194" s="17"/>
      <c r="H194" s="17"/>
    </row>
    <row r="195" spans="3:8">
      <c r="C195" s="17"/>
      <c r="D195" s="17"/>
      <c r="E195" s="17"/>
      <c r="F195" s="17"/>
      <c r="G195" s="17"/>
      <c r="H195" s="17"/>
    </row>
  </sheetData>
  <pageMargins left="0.75" right="0.33" top="1" bottom="1" header="0.5" footer="0.5"/>
  <pageSetup scale="19" orientation="landscape" r:id="rId1"/>
  <headerFooter alignWithMargins="0">
    <oddHeader>&amp;C&amp;G</oddHeader>
    <oddFooter>&amp;C&amp;G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058D-65C6-42D9-9242-DCEAE3D67FFE}">
  <sheetPr>
    <tabColor rgb="FF92D050"/>
    <pageSetUpPr fitToPage="1"/>
  </sheetPr>
  <dimension ref="B4:O190"/>
  <sheetViews>
    <sheetView showGridLines="0" view="pageLayout" topLeftCell="A142" zoomScaleNormal="100" workbookViewId="0">
      <selection activeCell="A160" sqref="A160:XFD160"/>
    </sheetView>
  </sheetViews>
  <sheetFormatPr defaultRowHeight="12.5"/>
  <cols>
    <col min="2" max="2" width="4.81640625" customWidth="1"/>
    <col min="3" max="3" width="49" customWidth="1"/>
    <col min="4" max="4" width="1.453125" customWidth="1"/>
    <col min="5" max="5" width="12" customWidth="1"/>
    <col min="6" max="6" width="1.453125" customWidth="1"/>
    <col min="7" max="7" width="12.453125" bestFit="1" customWidth="1"/>
    <col min="8" max="8" width="2.453125" customWidth="1"/>
    <col min="9" max="9" width="7.453125" customWidth="1"/>
    <col min="10" max="10" width="11.7265625" customWidth="1"/>
    <col min="12" max="12" width="15.7265625" customWidth="1"/>
    <col min="13" max="14" width="14" bestFit="1" customWidth="1"/>
    <col min="15" max="15" width="11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+'Fund X'!E8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5" ht="15.5">
      <c r="C17" s="18" t="s">
        <v>0</v>
      </c>
      <c r="D17" s="18"/>
      <c r="E17" s="19"/>
      <c r="F17" s="18"/>
      <c r="G17" s="19"/>
      <c r="H17" s="7"/>
      <c r="I17" s="50"/>
    </row>
    <row r="18" spans="3:15" ht="12.75" customHeight="1">
      <c r="C18" s="13" t="s">
        <v>1</v>
      </c>
      <c r="D18" s="13"/>
      <c r="E18" s="21">
        <f>G169</f>
        <v>0.16335826516151433</v>
      </c>
      <c r="F18" s="13"/>
      <c r="G18" s="20"/>
      <c r="H18" s="21"/>
      <c r="I18" s="50"/>
      <c r="M18" s="37"/>
      <c r="N18" s="36"/>
      <c r="O18" s="36"/>
    </row>
    <row r="19" spans="3:15">
      <c r="C19" s="13" t="s">
        <v>2</v>
      </c>
      <c r="D19" s="13"/>
      <c r="E19" s="25">
        <f>-(G167+J170)/(J169)</f>
        <v>2.0406041662508128</v>
      </c>
      <c r="F19" s="13"/>
      <c r="G19" s="14"/>
      <c r="H19" s="15"/>
      <c r="M19" s="37"/>
      <c r="N19" s="36"/>
      <c r="O19" s="36"/>
    </row>
    <row r="20" spans="3:15">
      <c r="C20" s="13"/>
      <c r="D20" s="13"/>
      <c r="E20" s="13"/>
      <c r="F20" s="13"/>
      <c r="G20" s="15"/>
      <c r="M20" s="37"/>
      <c r="N20" s="36"/>
      <c r="O20" s="36"/>
    </row>
    <row r="21" spans="3:15" ht="15.5">
      <c r="C21" s="26" t="s">
        <v>29</v>
      </c>
      <c r="D21" s="27"/>
      <c r="E21" s="27"/>
      <c r="F21" s="27"/>
      <c r="I21" s="28"/>
      <c r="J21" s="17"/>
      <c r="L21" s="29"/>
      <c r="M21" s="37"/>
      <c r="N21" s="36"/>
      <c r="O21" s="36"/>
    </row>
    <row r="22" spans="3:15">
      <c r="C22" s="89">
        <v>9.9892420000000006E-3</v>
      </c>
      <c r="D22" s="17"/>
      <c r="E22" s="17"/>
      <c r="F22" s="17"/>
      <c r="G22" s="31"/>
      <c r="H22" s="17"/>
      <c r="I22" s="17"/>
      <c r="J22" s="17"/>
      <c r="M22" s="37"/>
      <c r="N22" s="36"/>
      <c r="O22" s="36"/>
    </row>
    <row r="23" spans="3:15">
      <c r="C23" s="17"/>
      <c r="D23" s="17"/>
      <c r="E23" s="28"/>
      <c r="F23" s="34"/>
      <c r="G23" s="34"/>
      <c r="H23" s="17"/>
      <c r="I23" s="16"/>
      <c r="M23" s="37"/>
      <c r="N23" s="36"/>
      <c r="O23" s="36"/>
    </row>
    <row r="24" spans="3:15">
      <c r="C24" s="17" t="s">
        <v>11</v>
      </c>
      <c r="D24" s="17"/>
      <c r="E24" s="28">
        <v>42089</v>
      </c>
      <c r="F24" s="34"/>
      <c r="G24" s="34">
        <v>-155350</v>
      </c>
      <c r="H24" s="17"/>
      <c r="I24" s="16"/>
      <c r="M24" s="37"/>
      <c r="N24" s="36"/>
      <c r="O24" s="36"/>
    </row>
    <row r="25" spans="3:15">
      <c r="C25" s="17"/>
      <c r="D25" s="17"/>
      <c r="E25" s="28">
        <v>42118</v>
      </c>
      <c r="F25" s="34"/>
      <c r="G25" s="34">
        <v>49946.86</v>
      </c>
      <c r="H25" s="17"/>
      <c r="I25" s="16"/>
      <c r="M25" s="37"/>
      <c r="N25" s="36"/>
      <c r="O25" s="36"/>
    </row>
    <row r="26" spans="3:15">
      <c r="C26" s="17"/>
      <c r="D26" s="17"/>
      <c r="E26" s="28">
        <v>42180</v>
      </c>
      <c r="F26" s="34"/>
      <c r="G26" s="34">
        <v>-15374.51</v>
      </c>
      <c r="H26" s="17"/>
      <c r="I26" s="16"/>
      <c r="M26" s="37"/>
      <c r="N26" s="36"/>
      <c r="O26" s="36"/>
    </row>
    <row r="27" spans="3:15">
      <c r="C27" s="17"/>
      <c r="D27" s="17"/>
      <c r="E27" s="28">
        <v>42201</v>
      </c>
      <c r="F27" s="34"/>
      <c r="G27" s="34">
        <v>-4801.51</v>
      </c>
      <c r="H27" s="17"/>
      <c r="I27" s="16"/>
      <c r="M27" s="37"/>
      <c r="N27" s="36"/>
      <c r="O27" s="36"/>
    </row>
    <row r="28" spans="3:15">
      <c r="C28" s="17"/>
      <c r="E28" s="28">
        <v>42271</v>
      </c>
      <c r="G28" s="34">
        <v>-15083.5</v>
      </c>
      <c r="H28" s="17"/>
      <c r="I28" s="16"/>
      <c r="J28" s="16"/>
      <c r="K28" s="17"/>
      <c r="M28" s="37"/>
      <c r="N28" s="36"/>
      <c r="O28" s="36"/>
    </row>
    <row r="29" spans="3:15">
      <c r="E29" s="28">
        <v>42324</v>
      </c>
      <c r="G29" s="34">
        <v>-22940.5</v>
      </c>
      <c r="H29" s="17"/>
      <c r="I29" s="16"/>
      <c r="J29" s="16"/>
      <c r="K29" s="17"/>
    </row>
    <row r="30" spans="3:15">
      <c r="E30" s="28">
        <v>42367</v>
      </c>
      <c r="G30" s="34">
        <v>-61352.5</v>
      </c>
      <c r="H30" s="17"/>
      <c r="I30" s="16"/>
      <c r="J30" s="16"/>
      <c r="K30" s="17"/>
    </row>
    <row r="31" spans="3:15">
      <c r="C31" s="17" t="s">
        <v>13</v>
      </c>
      <c r="D31" s="17"/>
      <c r="E31" s="28">
        <v>42396</v>
      </c>
      <c r="G31" s="34">
        <v>-100589</v>
      </c>
      <c r="H31" s="17"/>
      <c r="I31" s="16"/>
      <c r="J31" s="16"/>
      <c r="K31" s="17"/>
    </row>
    <row r="32" spans="3:15">
      <c r="C32" s="17"/>
      <c r="D32" s="17"/>
      <c r="E32" s="28">
        <v>42453</v>
      </c>
      <c r="G32" s="34">
        <v>-22358.5</v>
      </c>
      <c r="H32" s="17"/>
      <c r="I32" s="16"/>
      <c r="J32" s="16"/>
      <c r="K32" s="17"/>
    </row>
    <row r="33" spans="3:11">
      <c r="C33" s="17"/>
      <c r="D33" s="17"/>
      <c r="E33" s="28">
        <v>42461</v>
      </c>
      <c r="G33" s="34">
        <v>-16199</v>
      </c>
      <c r="H33" s="17"/>
      <c r="I33" s="16"/>
      <c r="J33" s="16"/>
      <c r="K33" s="17"/>
    </row>
    <row r="34" spans="3:11">
      <c r="C34" s="17"/>
      <c r="D34" s="17"/>
      <c r="E34" s="28">
        <v>42500</v>
      </c>
      <c r="G34" s="34">
        <v>-13968</v>
      </c>
      <c r="H34" s="17"/>
      <c r="I34" s="16"/>
      <c r="J34" s="16"/>
      <c r="K34" s="17"/>
    </row>
    <row r="35" spans="3:11">
      <c r="C35" s="17"/>
      <c r="D35" s="17"/>
      <c r="E35" s="28">
        <v>42513</v>
      </c>
      <c r="G35" s="34">
        <v>-46268.99</v>
      </c>
      <c r="H35" s="17"/>
      <c r="I35" s="16"/>
      <c r="J35" s="16"/>
      <c r="K35" s="17"/>
    </row>
    <row r="36" spans="3:11">
      <c r="C36" s="17"/>
      <c r="D36" s="17"/>
      <c r="E36" s="28">
        <v>42524</v>
      </c>
      <c r="G36" s="34">
        <v>-108446</v>
      </c>
      <c r="H36" s="17"/>
      <c r="I36" s="16"/>
      <c r="J36" s="16"/>
      <c r="K36" s="17"/>
    </row>
    <row r="37" spans="3:11">
      <c r="C37" s="17"/>
      <c r="D37" s="17"/>
      <c r="E37" s="28">
        <v>42544</v>
      </c>
      <c r="G37" s="34">
        <v>-159662</v>
      </c>
      <c r="H37" s="17"/>
      <c r="I37" s="16"/>
      <c r="J37" s="16"/>
      <c r="K37" s="17"/>
    </row>
    <row r="38" spans="3:11">
      <c r="C38" s="17"/>
      <c r="D38" s="17"/>
      <c r="E38" s="28">
        <v>42564</v>
      </c>
      <c r="G38" s="34">
        <v>-17460</v>
      </c>
      <c r="H38" s="17"/>
      <c r="I38" s="16"/>
      <c r="J38" s="16"/>
      <c r="K38" s="17"/>
    </row>
    <row r="39" spans="3:11">
      <c r="C39" s="17"/>
      <c r="D39" s="17"/>
      <c r="E39" s="28">
        <v>42585</v>
      </c>
      <c r="G39" s="34">
        <v>-77697.02</v>
      </c>
      <c r="H39" s="17"/>
      <c r="I39" s="16"/>
      <c r="J39" s="16"/>
      <c r="K39" s="17"/>
    </row>
    <row r="40" spans="3:11">
      <c r="C40" s="17"/>
      <c r="D40" s="17"/>
      <c r="E40" s="28">
        <v>42614</v>
      </c>
      <c r="G40" s="34">
        <v>-29633.49</v>
      </c>
      <c r="H40" s="17"/>
      <c r="I40" s="16"/>
      <c r="J40" s="16"/>
      <c r="K40" s="17"/>
    </row>
    <row r="41" spans="3:11">
      <c r="C41" s="17"/>
      <c r="D41" s="17"/>
      <c r="E41" s="28">
        <v>42641</v>
      </c>
      <c r="G41" s="34">
        <v>-45396</v>
      </c>
      <c r="H41" s="17"/>
      <c r="I41" s="16"/>
    </row>
    <row r="42" spans="3:11">
      <c r="C42" s="17"/>
      <c r="D42" s="17"/>
      <c r="E42" s="28">
        <v>42656</v>
      </c>
      <c r="G42" s="34">
        <v>-48451.5</v>
      </c>
      <c r="H42" s="17"/>
      <c r="I42" s="16"/>
    </row>
    <row r="43" spans="3:11">
      <c r="C43" s="17"/>
      <c r="D43" s="17"/>
      <c r="E43" s="28">
        <v>42704</v>
      </c>
      <c r="G43" s="34">
        <v>-41564.5</v>
      </c>
      <c r="H43" s="17"/>
      <c r="I43" s="16"/>
    </row>
    <row r="44" spans="3:11">
      <c r="C44" s="17"/>
      <c r="D44" s="17"/>
      <c r="E44" s="28">
        <v>42719</v>
      </c>
      <c r="G44" s="34">
        <v>-44620</v>
      </c>
      <c r="H44" s="17"/>
      <c r="I44" s="16"/>
    </row>
    <row r="45" spans="3:11">
      <c r="C45" s="17"/>
      <c r="D45" s="17"/>
      <c r="E45" s="28">
        <v>42733</v>
      </c>
      <c r="G45" s="34">
        <v>-28857.49</v>
      </c>
      <c r="H45" s="17"/>
      <c r="I45" s="16"/>
    </row>
    <row r="46" spans="3:11">
      <c r="C46" s="17" t="s">
        <v>14</v>
      </c>
      <c r="D46" s="17"/>
      <c r="E46" s="28">
        <v>42716</v>
      </c>
      <c r="G46" s="34">
        <v>37881.4</v>
      </c>
      <c r="H46" s="17"/>
      <c r="I46" s="16"/>
      <c r="J46" s="16"/>
      <c r="K46" s="17"/>
    </row>
    <row r="47" spans="3:11">
      <c r="C47" s="17" t="s">
        <v>15</v>
      </c>
      <c r="D47" s="17"/>
      <c r="E47" s="28">
        <v>42754</v>
      </c>
      <c r="G47" s="34">
        <v>-28130</v>
      </c>
      <c r="H47" s="17"/>
      <c r="I47" s="16"/>
      <c r="J47" s="16"/>
      <c r="K47" s="17"/>
    </row>
    <row r="48" spans="3:11">
      <c r="C48" s="17"/>
      <c r="D48" s="17"/>
      <c r="E48" s="28">
        <v>42765</v>
      </c>
      <c r="G48" s="34">
        <v>-28711.99</v>
      </c>
      <c r="H48" s="17"/>
      <c r="I48" s="16"/>
      <c r="J48" s="16"/>
      <c r="K48" s="17"/>
    </row>
    <row r="49" spans="3:11">
      <c r="C49" s="17"/>
      <c r="D49" s="17"/>
      <c r="E49" s="28">
        <v>42773</v>
      </c>
      <c r="G49" s="34">
        <v>-48985</v>
      </c>
      <c r="H49" s="17"/>
      <c r="I49" s="16"/>
      <c r="J49" s="16"/>
      <c r="K49" s="17"/>
    </row>
    <row r="50" spans="3:11">
      <c r="C50" s="17"/>
      <c r="D50" s="17"/>
      <c r="E50" s="28">
        <v>42797</v>
      </c>
      <c r="G50" s="34">
        <v>-68530.509999999995</v>
      </c>
      <c r="H50" s="17"/>
      <c r="I50" s="16"/>
      <c r="J50" s="16"/>
      <c r="K50" s="17"/>
    </row>
    <row r="51" spans="3:11">
      <c r="C51" s="17"/>
      <c r="D51" s="17"/>
      <c r="E51" s="28">
        <v>42817</v>
      </c>
      <c r="G51" s="34">
        <v>-40643</v>
      </c>
      <c r="H51" s="17"/>
      <c r="I51" s="16"/>
      <c r="J51" s="16"/>
      <c r="K51" s="17"/>
    </row>
    <row r="52" spans="3:11">
      <c r="C52" s="17"/>
      <c r="D52" s="17"/>
      <c r="E52" s="28">
        <v>42828</v>
      </c>
      <c r="G52" s="34">
        <v>-35308</v>
      </c>
      <c r="H52" s="17"/>
      <c r="I52" s="16"/>
      <c r="J52" s="16"/>
      <c r="K52" s="17"/>
    </row>
    <row r="53" spans="3:11">
      <c r="C53" s="17"/>
      <c r="D53" s="17"/>
      <c r="E53" s="28">
        <v>42851</v>
      </c>
      <c r="G53" s="34">
        <v>-154909</v>
      </c>
      <c r="H53" s="17"/>
      <c r="I53" s="16"/>
      <c r="J53" s="16"/>
      <c r="K53" s="17"/>
    </row>
    <row r="54" spans="3:11">
      <c r="C54" s="17"/>
      <c r="D54" s="17"/>
      <c r="E54" s="28">
        <v>42863</v>
      </c>
      <c r="G54" s="34">
        <v>-32689.01</v>
      </c>
      <c r="H54" s="17"/>
      <c r="I54" s="16"/>
      <c r="J54" s="16"/>
      <c r="K54" s="17"/>
    </row>
    <row r="55" spans="3:11">
      <c r="C55" s="17"/>
      <c r="D55" s="17"/>
      <c r="E55" s="28">
        <v>42878</v>
      </c>
      <c r="G55" s="34">
        <v>-36957</v>
      </c>
      <c r="H55" s="17"/>
      <c r="I55" s="16"/>
    </row>
    <row r="56" spans="3:11">
      <c r="C56" s="17"/>
      <c r="D56" s="17"/>
      <c r="E56" s="28">
        <v>42893</v>
      </c>
      <c r="G56" s="34">
        <v>-69403.5</v>
      </c>
      <c r="H56" s="17"/>
      <c r="I56" s="16"/>
    </row>
    <row r="57" spans="3:11">
      <c r="C57" s="17"/>
      <c r="D57" s="17"/>
      <c r="E57" s="28">
        <v>42907</v>
      </c>
      <c r="G57" s="34">
        <v>-36811.5</v>
      </c>
      <c r="H57" s="17"/>
      <c r="I57" s="16"/>
    </row>
    <row r="58" spans="3:11">
      <c r="C58" s="17"/>
      <c r="D58" s="17"/>
      <c r="E58" s="28">
        <v>42915</v>
      </c>
      <c r="G58" s="34">
        <v>-84390</v>
      </c>
      <c r="H58" s="17"/>
      <c r="I58" s="16"/>
    </row>
    <row r="59" spans="3:11">
      <c r="C59" s="17"/>
      <c r="D59" s="17"/>
      <c r="E59" s="28">
        <v>42927</v>
      </c>
      <c r="G59" s="34">
        <v>-30070</v>
      </c>
      <c r="H59" s="17"/>
      <c r="I59" s="16"/>
    </row>
    <row r="60" spans="3:11">
      <c r="C60" s="17"/>
      <c r="D60" s="17"/>
      <c r="E60" s="28">
        <v>42957</v>
      </c>
      <c r="G60" s="34">
        <v>-46075</v>
      </c>
      <c r="H60" s="17"/>
      <c r="I60" s="16"/>
    </row>
    <row r="61" spans="3:11">
      <c r="C61" s="17"/>
      <c r="D61" s="17"/>
      <c r="E61" s="28">
        <v>42970</v>
      </c>
      <c r="G61" s="34">
        <v>-99473.5</v>
      </c>
      <c r="H61" s="17"/>
      <c r="I61" s="16"/>
    </row>
    <row r="62" spans="3:11">
      <c r="C62" s="17"/>
      <c r="D62" s="17"/>
      <c r="E62" s="28">
        <v>42993</v>
      </c>
      <c r="G62" s="34">
        <v>-35647.5</v>
      </c>
      <c r="H62" s="17"/>
      <c r="I62" s="16"/>
      <c r="J62" s="16"/>
      <c r="K62" s="17"/>
    </row>
    <row r="63" spans="3:11">
      <c r="C63" s="17"/>
      <c r="D63" s="17"/>
      <c r="E63" s="28">
        <v>43000</v>
      </c>
      <c r="G63" s="34">
        <v>-51604</v>
      </c>
      <c r="H63" s="17"/>
      <c r="I63" s="16"/>
      <c r="J63" s="16"/>
      <c r="K63" s="17"/>
    </row>
    <row r="64" spans="3:11">
      <c r="C64" s="17"/>
      <c r="D64" s="17"/>
      <c r="E64" s="28">
        <v>43012</v>
      </c>
      <c r="G64" s="34">
        <v>-51555.5</v>
      </c>
      <c r="H64" s="17"/>
      <c r="I64" s="16"/>
      <c r="J64" s="16"/>
      <c r="K64" s="17"/>
    </row>
    <row r="65" spans="3:12" ht="15.5">
      <c r="C65" s="17"/>
      <c r="D65" s="17"/>
      <c r="E65" s="28">
        <v>43027</v>
      </c>
      <c r="G65" s="34">
        <v>-50585.5</v>
      </c>
      <c r="H65" s="17"/>
      <c r="I65" s="16"/>
      <c r="J65" s="16"/>
      <c r="K65" s="17"/>
      <c r="L65" s="12"/>
    </row>
    <row r="66" spans="3:12">
      <c r="C66" s="17"/>
      <c r="D66" s="17"/>
      <c r="E66" s="28">
        <v>43046</v>
      </c>
      <c r="G66" s="34">
        <v>-50876.49</v>
      </c>
      <c r="H66" s="17"/>
      <c r="I66" s="16"/>
      <c r="J66" s="16"/>
      <c r="K66" s="17"/>
      <c r="L66" s="59"/>
    </row>
    <row r="67" spans="3:12">
      <c r="C67" s="17"/>
      <c r="D67" s="17"/>
      <c r="E67" s="28">
        <v>43056</v>
      </c>
      <c r="G67" s="34">
        <v>-47045</v>
      </c>
      <c r="H67" s="17"/>
      <c r="I67" s="16"/>
      <c r="J67" s="16"/>
      <c r="K67" s="17"/>
      <c r="L67" s="59"/>
    </row>
    <row r="68" spans="3:12">
      <c r="C68" s="17"/>
      <c r="D68" s="17"/>
      <c r="E68" s="28">
        <v>43083</v>
      </c>
      <c r="G68" s="34">
        <v>-45493</v>
      </c>
      <c r="H68" s="17"/>
      <c r="I68" s="16"/>
      <c r="J68" s="16"/>
      <c r="K68" s="17"/>
      <c r="L68" s="59"/>
    </row>
    <row r="69" spans="3:12">
      <c r="C69" s="17" t="s">
        <v>16</v>
      </c>
      <c r="D69" s="17"/>
      <c r="E69" s="28">
        <v>42780</v>
      </c>
      <c r="G69" s="34">
        <v>219636.89</v>
      </c>
      <c r="H69" s="17"/>
      <c r="I69" s="16"/>
      <c r="J69" s="16"/>
      <c r="K69" s="17"/>
      <c r="L69" s="59"/>
    </row>
    <row r="70" spans="3:12">
      <c r="C70" s="17"/>
      <c r="D70" s="17"/>
      <c r="E70" s="28">
        <v>42822</v>
      </c>
      <c r="G70" s="34">
        <v>156941.24</v>
      </c>
      <c r="H70" s="17"/>
      <c r="I70" s="16"/>
      <c r="J70" s="16"/>
      <c r="K70" s="17"/>
    </row>
    <row r="71" spans="3:12">
      <c r="C71" s="17"/>
      <c r="D71" s="17"/>
      <c r="E71" s="28">
        <v>42906</v>
      </c>
      <c r="G71" s="34">
        <v>26826.13</v>
      </c>
      <c r="H71" s="17"/>
      <c r="I71" s="16"/>
      <c r="J71" s="16"/>
      <c r="K71" s="17"/>
    </row>
    <row r="72" spans="3:12">
      <c r="C72" s="17"/>
      <c r="D72" s="17"/>
      <c r="E72" s="28">
        <v>42970</v>
      </c>
      <c r="G72" s="34">
        <v>10515.41</v>
      </c>
      <c r="H72" s="17"/>
      <c r="I72" s="16"/>
      <c r="J72" s="16"/>
      <c r="K72" s="17"/>
    </row>
    <row r="73" spans="3:12">
      <c r="C73" s="17" t="s">
        <v>17</v>
      </c>
      <c r="D73" s="17"/>
      <c r="E73" s="28">
        <v>43104</v>
      </c>
      <c r="G73" s="34">
        <v>-42437.51</v>
      </c>
      <c r="H73" s="17"/>
      <c r="I73" s="16"/>
      <c r="J73" s="16"/>
      <c r="K73" s="17"/>
    </row>
    <row r="74" spans="3:12">
      <c r="C74" s="17"/>
      <c r="D74" s="17"/>
      <c r="E74" s="28">
        <v>43157</v>
      </c>
      <c r="G74" s="34">
        <v>-40788.5</v>
      </c>
      <c r="H74" s="17"/>
      <c r="I74" s="16"/>
      <c r="J74" s="16"/>
      <c r="K74" s="17"/>
    </row>
    <row r="75" spans="3:12">
      <c r="C75" s="17"/>
      <c r="D75" s="17"/>
      <c r="E75" s="28">
        <v>43181</v>
      </c>
      <c r="G75" s="34">
        <v>-112229</v>
      </c>
      <c r="H75" s="17"/>
      <c r="I75" s="16"/>
      <c r="J75" s="16"/>
      <c r="K75" s="17"/>
    </row>
    <row r="76" spans="3:12">
      <c r="C76" s="17"/>
      <c r="D76" s="17"/>
      <c r="E76" s="28">
        <v>43256</v>
      </c>
      <c r="G76" s="34">
        <v>-45007.99</v>
      </c>
      <c r="H76" s="17"/>
      <c r="I76" s="16"/>
      <c r="J76" s="16"/>
      <c r="K76" s="17"/>
    </row>
    <row r="77" spans="3:12">
      <c r="C77" s="17"/>
      <c r="D77" s="17"/>
      <c r="E77" s="28">
        <v>43278</v>
      </c>
      <c r="G77" s="34">
        <v>-35890.01</v>
      </c>
      <c r="H77" s="17"/>
      <c r="I77" s="16"/>
      <c r="J77" s="16"/>
      <c r="K77" s="17"/>
    </row>
    <row r="78" spans="3:12">
      <c r="C78" s="17"/>
      <c r="D78" s="17"/>
      <c r="E78" s="28">
        <v>43336</v>
      </c>
      <c r="G78" s="34">
        <v>-46608.51</v>
      </c>
      <c r="H78" s="17"/>
      <c r="I78" s="16"/>
      <c r="J78" s="16"/>
      <c r="K78" s="17"/>
    </row>
    <row r="79" spans="3:12">
      <c r="C79" s="17"/>
      <c r="D79" s="17"/>
      <c r="E79" s="28">
        <v>43367</v>
      </c>
      <c r="G79" s="34">
        <v>-79103.5</v>
      </c>
      <c r="H79" s="17"/>
      <c r="I79" s="16"/>
      <c r="J79" s="16"/>
      <c r="K79" s="17"/>
    </row>
    <row r="80" spans="3:12">
      <c r="C80" s="17"/>
      <c r="D80" s="17"/>
      <c r="E80" s="28">
        <v>43439</v>
      </c>
      <c r="G80" s="34">
        <v>-49373</v>
      </c>
      <c r="H80" s="17"/>
      <c r="I80" s="16"/>
      <c r="J80" s="16"/>
      <c r="K80" s="17"/>
    </row>
    <row r="81" spans="3:11">
      <c r="C81" s="17" t="s">
        <v>18</v>
      </c>
      <c r="D81" s="17"/>
      <c r="E81" s="28">
        <v>43167</v>
      </c>
      <c r="G81" s="34">
        <v>11812.57</v>
      </c>
      <c r="H81" s="17"/>
      <c r="I81" s="16"/>
      <c r="J81" s="16"/>
      <c r="K81" s="17"/>
    </row>
    <row r="82" spans="3:11">
      <c r="C82" s="17"/>
      <c r="D82" s="17"/>
      <c r="E82" s="28">
        <v>43255</v>
      </c>
      <c r="G82" s="34">
        <v>29353.119999999999</v>
      </c>
      <c r="H82" s="17"/>
      <c r="I82" s="16"/>
      <c r="J82" s="16"/>
      <c r="K82" s="17"/>
    </row>
    <row r="83" spans="3:11">
      <c r="C83" s="17"/>
      <c r="D83" s="17"/>
      <c r="E83" s="28">
        <v>43444</v>
      </c>
      <c r="G83" s="34">
        <v>17341.599999999999</v>
      </c>
      <c r="H83" s="17"/>
      <c r="I83" s="16"/>
      <c r="J83" s="16"/>
      <c r="K83" s="17"/>
    </row>
    <row r="84" spans="3:11">
      <c r="C84" s="17" t="s">
        <v>19</v>
      </c>
      <c r="D84" s="17"/>
      <c r="E84" s="28">
        <v>43481</v>
      </c>
      <c r="F84" s="34"/>
      <c r="G84" s="34">
        <v>-28129.99</v>
      </c>
      <c r="H84" s="17"/>
      <c r="I84" s="16"/>
      <c r="J84" s="16"/>
      <c r="K84" s="17"/>
    </row>
    <row r="85" spans="3:11">
      <c r="D85" s="17"/>
      <c r="E85" s="28">
        <v>43544</v>
      </c>
      <c r="F85" s="34"/>
      <c r="G85" s="34">
        <v>-31137</v>
      </c>
      <c r="H85" s="17"/>
      <c r="I85" s="16"/>
      <c r="J85" s="16"/>
      <c r="K85" s="17"/>
    </row>
    <row r="86" spans="3:11">
      <c r="D86" s="17"/>
      <c r="E86" s="28">
        <v>43591</v>
      </c>
      <c r="F86" s="34"/>
      <c r="G86" s="34">
        <v>-27790.5</v>
      </c>
      <c r="H86" s="17"/>
      <c r="I86" s="16"/>
      <c r="J86" s="16"/>
      <c r="K86" s="17"/>
    </row>
    <row r="87" spans="3:11">
      <c r="D87" s="17"/>
      <c r="E87" s="28">
        <v>43675</v>
      </c>
      <c r="F87" s="34"/>
      <c r="G87" s="34">
        <v>-43456</v>
      </c>
      <c r="H87" s="17"/>
      <c r="I87" s="16"/>
      <c r="J87" s="16"/>
      <c r="K87" s="17"/>
    </row>
    <row r="88" spans="3:11">
      <c r="D88" s="17"/>
      <c r="E88" s="28">
        <v>43707</v>
      </c>
      <c r="F88" s="34"/>
      <c r="G88" s="34">
        <v>-74593</v>
      </c>
      <c r="H88" s="17"/>
      <c r="I88" s="16"/>
      <c r="J88" s="16"/>
      <c r="K88" s="17"/>
    </row>
    <row r="89" spans="3:11">
      <c r="D89" s="17"/>
      <c r="E89" s="28">
        <v>43769</v>
      </c>
      <c r="F89" s="34"/>
      <c r="G89" s="34">
        <v>-34192.5</v>
      </c>
      <c r="H89" s="17"/>
      <c r="I89" s="16"/>
      <c r="J89" s="16"/>
      <c r="K89" s="17"/>
    </row>
    <row r="90" spans="3:11">
      <c r="D90" s="17"/>
      <c r="E90" s="28">
        <v>43804</v>
      </c>
      <c r="F90" s="34"/>
      <c r="G90" s="34">
        <v>-34144</v>
      </c>
      <c r="H90" s="17"/>
      <c r="I90" s="16"/>
      <c r="J90" s="16"/>
      <c r="K90" s="17"/>
    </row>
    <row r="91" spans="3:11">
      <c r="C91" s="17" t="s">
        <v>20</v>
      </c>
      <c r="D91" s="17"/>
      <c r="E91" s="28">
        <v>43550</v>
      </c>
      <c r="F91" s="34"/>
      <c r="G91" s="34">
        <v>9634.9599999999991</v>
      </c>
      <c r="H91" s="17"/>
      <c r="I91" s="16"/>
      <c r="J91" s="16"/>
      <c r="K91" s="17"/>
    </row>
    <row r="92" spans="3:11">
      <c r="C92" s="17"/>
      <c r="D92" s="17"/>
      <c r="E92" s="28">
        <v>43629</v>
      </c>
      <c r="F92" s="34"/>
      <c r="G92" s="34">
        <v>10836.58</v>
      </c>
      <c r="H92" s="17"/>
      <c r="I92" s="16"/>
      <c r="J92" s="16"/>
      <c r="K92" s="17"/>
    </row>
    <row r="93" spans="3:11">
      <c r="C93" s="17"/>
      <c r="D93" s="17"/>
      <c r="E93" s="28">
        <v>43760</v>
      </c>
      <c r="F93" s="34"/>
      <c r="G93" s="34">
        <v>60129.25</v>
      </c>
      <c r="H93" s="17"/>
      <c r="I93" s="16"/>
      <c r="J93" s="16"/>
      <c r="K93" s="17"/>
    </row>
    <row r="94" spans="3:11">
      <c r="C94" s="17"/>
      <c r="D94" s="17"/>
      <c r="E94" s="28">
        <v>43816</v>
      </c>
      <c r="F94" s="34"/>
      <c r="G94" s="34">
        <v>11437.15</v>
      </c>
      <c r="H94" s="17"/>
      <c r="I94" s="16"/>
      <c r="J94" s="16"/>
      <c r="K94" s="17"/>
    </row>
    <row r="95" spans="3:11">
      <c r="C95" s="17" t="s">
        <v>21</v>
      </c>
      <c r="D95" s="17"/>
      <c r="E95" s="28">
        <v>43896</v>
      </c>
      <c r="F95" s="34"/>
      <c r="G95" s="34">
        <v>-21146</v>
      </c>
      <c r="H95" s="17"/>
      <c r="I95" s="16"/>
      <c r="J95" s="16"/>
      <c r="K95" s="17"/>
    </row>
    <row r="96" spans="3:11">
      <c r="C96" s="17"/>
      <c r="D96" s="17"/>
      <c r="E96" s="28">
        <v>43922</v>
      </c>
      <c r="F96" s="34"/>
      <c r="G96" s="34">
        <v>-15811</v>
      </c>
      <c r="H96" s="17"/>
      <c r="I96" s="16"/>
      <c r="J96" s="16"/>
      <c r="K96" s="17"/>
    </row>
    <row r="97" spans="3:11">
      <c r="C97" s="17"/>
      <c r="D97" s="17"/>
      <c r="E97" s="28">
        <v>43979</v>
      </c>
      <c r="F97" s="34"/>
      <c r="G97" s="34">
        <v>-20612.5</v>
      </c>
      <c r="H97" s="17"/>
      <c r="I97" s="16"/>
      <c r="J97" s="16"/>
      <c r="K97" s="17"/>
    </row>
    <row r="98" spans="3:11">
      <c r="C98" s="17"/>
      <c r="D98" s="17"/>
      <c r="E98" s="28">
        <v>44015</v>
      </c>
      <c r="F98" s="34"/>
      <c r="G98" s="34">
        <v>-17896.5</v>
      </c>
      <c r="H98" s="17"/>
      <c r="I98" s="16"/>
      <c r="J98" s="16"/>
      <c r="K98" s="17"/>
    </row>
    <row r="99" spans="3:11">
      <c r="C99" s="17"/>
      <c r="D99" s="17"/>
      <c r="E99" s="28">
        <v>44109</v>
      </c>
      <c r="F99" s="34"/>
      <c r="G99" s="34">
        <v>-12658.5</v>
      </c>
      <c r="H99" s="17"/>
      <c r="I99" s="16"/>
      <c r="J99" s="16"/>
      <c r="K99" s="17"/>
    </row>
    <row r="100" spans="3:11">
      <c r="C100" s="17"/>
      <c r="D100" s="17"/>
      <c r="E100" s="28">
        <v>44160</v>
      </c>
      <c r="F100" s="34"/>
      <c r="G100" s="34">
        <v>-24007.5</v>
      </c>
      <c r="H100" s="17"/>
      <c r="I100" s="16"/>
      <c r="J100" s="16"/>
      <c r="K100" s="17"/>
    </row>
    <row r="101" spans="3:11">
      <c r="C101" s="17" t="s">
        <v>30</v>
      </c>
      <c r="D101" s="17"/>
      <c r="E101" s="28">
        <v>43885</v>
      </c>
      <c r="F101" s="34"/>
      <c r="G101" s="34">
        <v>36192.720000000001</v>
      </c>
      <c r="H101" s="17"/>
      <c r="I101" s="16"/>
      <c r="J101" s="16"/>
      <c r="K101" s="17"/>
    </row>
    <row r="102" spans="3:11">
      <c r="C102" s="17"/>
      <c r="D102" s="17"/>
      <c r="E102" s="28">
        <v>44082</v>
      </c>
      <c r="F102" s="34"/>
      <c r="G102" s="34">
        <v>21489.23</v>
      </c>
      <c r="H102" s="17"/>
      <c r="I102" s="16"/>
      <c r="J102" s="16"/>
      <c r="K102" s="17"/>
    </row>
    <row r="103" spans="3:11">
      <c r="C103" s="17" t="s">
        <v>31</v>
      </c>
      <c r="D103" s="17"/>
      <c r="E103" s="28">
        <v>44201</v>
      </c>
      <c r="F103" s="34"/>
      <c r="G103" s="34">
        <v>-12804</v>
      </c>
      <c r="H103" s="17"/>
      <c r="I103" s="16"/>
      <c r="J103" s="16"/>
      <c r="K103" s="17"/>
    </row>
    <row r="104" spans="3:11">
      <c r="C104" s="17"/>
      <c r="D104" s="17"/>
      <c r="E104" s="28">
        <v>44246</v>
      </c>
      <c r="F104" s="34"/>
      <c r="G104" s="34">
        <v>-72750</v>
      </c>
      <c r="H104" s="17"/>
      <c r="I104" s="16"/>
      <c r="J104" s="16"/>
      <c r="K104" s="17"/>
    </row>
    <row r="105" spans="3:11">
      <c r="C105" s="17"/>
      <c r="D105" s="17"/>
      <c r="E105" s="28">
        <v>44267</v>
      </c>
      <c r="F105" s="34"/>
      <c r="G105" s="34">
        <v>-7226.5</v>
      </c>
      <c r="H105" s="17"/>
      <c r="I105" s="16"/>
      <c r="J105" s="16"/>
      <c r="K105" s="17"/>
    </row>
    <row r="106" spans="3:11">
      <c r="C106" s="17"/>
      <c r="D106" s="17"/>
      <c r="E106" s="28">
        <v>44285</v>
      </c>
      <c r="F106" s="34"/>
      <c r="G106" s="34">
        <v>-9118</v>
      </c>
      <c r="H106" s="17"/>
      <c r="I106" s="16"/>
      <c r="J106" s="16"/>
      <c r="K106" s="17"/>
    </row>
    <row r="107" spans="3:11">
      <c r="C107" s="17"/>
      <c r="D107" s="17"/>
      <c r="E107" s="28">
        <v>44308</v>
      </c>
      <c r="F107" s="34"/>
      <c r="G107" s="34">
        <v>-24153</v>
      </c>
      <c r="H107" s="17"/>
      <c r="I107" s="16"/>
      <c r="J107" s="16"/>
      <c r="K107" s="17"/>
    </row>
    <row r="108" spans="3:11">
      <c r="C108" s="17"/>
      <c r="D108" s="17"/>
      <c r="E108" s="28">
        <v>44348</v>
      </c>
      <c r="F108" s="34"/>
      <c r="G108" s="34">
        <v>-53495.5</v>
      </c>
      <c r="H108" s="17"/>
      <c r="I108" s="16"/>
      <c r="J108" s="16"/>
      <c r="K108" s="17"/>
    </row>
    <row r="109" spans="3:11">
      <c r="C109" s="17"/>
      <c r="D109" s="17"/>
      <c r="E109" s="28">
        <v>44467</v>
      </c>
      <c r="F109" s="34"/>
      <c r="G109" s="34">
        <v>-7857</v>
      </c>
      <c r="H109" s="17"/>
      <c r="I109" s="16"/>
      <c r="J109" s="16"/>
      <c r="K109" s="17"/>
    </row>
    <row r="110" spans="3:11">
      <c r="C110" s="17"/>
      <c r="D110" s="17"/>
      <c r="E110" s="28">
        <v>44546</v>
      </c>
      <c r="F110" s="34"/>
      <c r="G110" s="34">
        <v>-35890</v>
      </c>
      <c r="H110" s="17"/>
      <c r="I110" s="16"/>
      <c r="J110" s="16"/>
      <c r="K110" s="17"/>
    </row>
    <row r="111" spans="3:11">
      <c r="C111" s="17" t="s">
        <v>22</v>
      </c>
      <c r="D111" s="17"/>
      <c r="E111" s="28">
        <v>44217</v>
      </c>
      <c r="F111" s="34"/>
      <c r="G111" s="34">
        <v>33239.26</v>
      </c>
      <c r="H111" s="17"/>
      <c r="I111" s="16"/>
      <c r="J111" s="16"/>
      <c r="K111" s="17"/>
    </row>
    <row r="112" spans="3:11">
      <c r="C112" s="17"/>
      <c r="D112" s="17"/>
      <c r="E112" s="28">
        <v>44256</v>
      </c>
      <c r="F112" s="34"/>
      <c r="G112" s="34">
        <v>276993.05</v>
      </c>
      <c r="H112" s="17"/>
      <c r="I112" s="16"/>
      <c r="J112" s="16"/>
      <c r="K112" s="17"/>
    </row>
    <row r="113" spans="3:11">
      <c r="C113" s="17"/>
      <c r="D113" s="17"/>
      <c r="E113" s="28">
        <v>44279</v>
      </c>
      <c r="F113" s="34"/>
      <c r="G113" s="34">
        <v>59234.92</v>
      </c>
      <c r="H113" s="17"/>
      <c r="I113" s="16"/>
      <c r="J113" s="16"/>
      <c r="K113" s="17"/>
    </row>
    <row r="114" spans="3:11">
      <c r="C114" s="17"/>
      <c r="D114" s="17"/>
      <c r="E114" s="28">
        <v>44295</v>
      </c>
      <c r="F114" s="34"/>
      <c r="G114" s="34">
        <v>77499.69</v>
      </c>
      <c r="H114" s="17"/>
      <c r="I114" s="16"/>
      <c r="J114" s="16"/>
      <c r="K114" s="17"/>
    </row>
    <row r="115" spans="3:11">
      <c r="C115" s="17"/>
      <c r="D115" s="17"/>
      <c r="E115" s="28">
        <v>44371</v>
      </c>
      <c r="F115" s="34"/>
      <c r="G115" s="34">
        <v>10182.89</v>
      </c>
      <c r="H115" s="17"/>
      <c r="I115" s="16"/>
      <c r="J115" s="16"/>
      <c r="K115" s="17"/>
    </row>
    <row r="116" spans="3:11">
      <c r="C116" s="17"/>
      <c r="D116" s="17"/>
      <c r="E116" s="28">
        <v>44386</v>
      </c>
      <c r="F116" s="34"/>
      <c r="G116" s="34">
        <v>18470.009999999998</v>
      </c>
      <c r="H116" s="17"/>
      <c r="I116" s="16"/>
      <c r="J116" s="16"/>
      <c r="K116" s="17"/>
    </row>
    <row r="117" spans="3:11">
      <c r="C117" s="17"/>
      <c r="D117" s="17"/>
      <c r="E117" s="28">
        <v>44417</v>
      </c>
      <c r="F117" s="34"/>
      <c r="G117" s="34">
        <v>20081.810000000001</v>
      </c>
      <c r="H117" s="17"/>
      <c r="I117" s="16"/>
      <c r="J117" s="16"/>
      <c r="K117" s="17"/>
    </row>
    <row r="118" spans="3:11">
      <c r="C118" s="17"/>
      <c r="D118" s="17"/>
      <c r="E118" s="28">
        <v>44446</v>
      </c>
      <c r="F118" s="34"/>
      <c r="G118" s="34">
        <v>19372.3</v>
      </c>
      <c r="H118" s="17"/>
      <c r="I118" s="16"/>
      <c r="J118" s="16"/>
      <c r="K118" s="17"/>
    </row>
    <row r="119" spans="3:11">
      <c r="C119" s="17"/>
      <c r="D119" s="17"/>
      <c r="E119" s="28">
        <v>44473</v>
      </c>
      <c r="F119" s="34"/>
      <c r="G119" s="34">
        <v>30429</v>
      </c>
      <c r="H119" s="17"/>
      <c r="I119" s="16"/>
      <c r="J119" s="16"/>
      <c r="K119" s="17"/>
    </row>
    <row r="120" spans="3:11">
      <c r="C120" s="17"/>
      <c r="D120" s="17"/>
      <c r="E120" s="28">
        <v>44489</v>
      </c>
      <c r="F120" s="34"/>
      <c r="G120" s="34">
        <v>79017.88</v>
      </c>
      <c r="H120" s="17"/>
      <c r="I120" s="16"/>
      <c r="J120" s="16"/>
      <c r="K120" s="17"/>
    </row>
    <row r="121" spans="3:11">
      <c r="C121" s="17"/>
      <c r="D121" s="17"/>
      <c r="E121" s="28">
        <v>44496</v>
      </c>
      <c r="F121" s="34"/>
      <c r="G121" s="34">
        <v>162908.57</v>
      </c>
      <c r="H121" s="17"/>
      <c r="I121" s="16"/>
      <c r="J121" s="16"/>
      <c r="K121" s="17"/>
    </row>
    <row r="122" spans="3:11">
      <c r="C122" s="17"/>
      <c r="D122" s="17"/>
      <c r="E122" s="28">
        <v>44505</v>
      </c>
      <c r="F122" s="34"/>
      <c r="G122" s="34">
        <v>16441.849999999999</v>
      </c>
      <c r="H122" s="17"/>
      <c r="I122" s="16"/>
      <c r="J122" s="16"/>
      <c r="K122" s="17"/>
    </row>
    <row r="123" spans="3:11">
      <c r="C123" s="17"/>
      <c r="D123" s="17"/>
      <c r="E123" s="28">
        <v>44547</v>
      </c>
      <c r="F123" s="34"/>
      <c r="G123" s="34">
        <v>124440.06</v>
      </c>
      <c r="H123" s="17"/>
      <c r="I123" s="16"/>
      <c r="J123" s="16"/>
      <c r="K123" s="17"/>
    </row>
    <row r="124" spans="3:11">
      <c r="C124" s="17" t="s">
        <v>32</v>
      </c>
      <c r="D124" s="17"/>
      <c r="E124" s="28">
        <v>44585</v>
      </c>
      <c r="F124" s="34"/>
      <c r="G124" s="34">
        <v>-14889.5</v>
      </c>
      <c r="H124" s="17"/>
      <c r="I124" s="16"/>
      <c r="J124" s="16"/>
      <c r="K124" s="17"/>
    </row>
    <row r="125" spans="3:11">
      <c r="C125" s="17"/>
      <c r="D125" s="17"/>
      <c r="E125" s="28">
        <v>44630</v>
      </c>
      <c r="F125" s="34"/>
      <c r="G125" s="34">
        <v>-17945</v>
      </c>
      <c r="H125" s="17"/>
      <c r="I125" s="16"/>
      <c r="J125" s="16"/>
      <c r="K125" s="17"/>
    </row>
    <row r="126" spans="3:11">
      <c r="C126" s="17"/>
      <c r="D126" s="17"/>
      <c r="E126" s="28">
        <v>44741</v>
      </c>
      <c r="F126" s="34"/>
      <c r="G126" s="34">
        <v>-7566</v>
      </c>
      <c r="H126" s="17"/>
      <c r="I126" s="16"/>
      <c r="J126" s="16"/>
      <c r="K126" s="17"/>
    </row>
    <row r="127" spans="3:11">
      <c r="C127" s="17"/>
      <c r="D127" s="17"/>
      <c r="E127" s="28">
        <v>44830</v>
      </c>
      <c r="F127" s="34"/>
      <c r="G127" s="34">
        <v>-7420.5</v>
      </c>
      <c r="H127" s="17"/>
      <c r="I127" s="16"/>
      <c r="J127" s="16"/>
      <c r="K127" s="17"/>
    </row>
    <row r="128" spans="3:11">
      <c r="C128" s="17"/>
      <c r="D128" s="17"/>
      <c r="E128" s="28">
        <v>44925</v>
      </c>
      <c r="F128" s="34"/>
      <c r="G128" s="34">
        <v>-12222</v>
      </c>
      <c r="H128" s="17"/>
      <c r="I128" s="16"/>
      <c r="J128" s="16"/>
      <c r="K128" s="17"/>
    </row>
    <row r="129" spans="3:11">
      <c r="C129" s="17" t="s">
        <v>23</v>
      </c>
      <c r="D129" s="17"/>
      <c r="E129" s="28">
        <v>44580</v>
      </c>
      <c r="F129" s="34"/>
      <c r="G129" s="34">
        <v>195953.5</v>
      </c>
      <c r="H129" s="17"/>
      <c r="I129" s="16"/>
      <c r="J129" s="16"/>
      <c r="K129" s="17"/>
    </row>
    <row r="130" spans="3:11">
      <c r="C130" s="17"/>
      <c r="D130" s="17"/>
      <c r="E130" s="28">
        <v>44595</v>
      </c>
      <c r="F130" s="34"/>
      <c r="G130" s="34">
        <v>75341.2</v>
      </c>
      <c r="H130" s="17"/>
      <c r="I130" s="16"/>
      <c r="J130" s="16"/>
      <c r="K130" s="17"/>
    </row>
    <row r="131" spans="3:11">
      <c r="C131" s="17"/>
      <c r="D131" s="17"/>
      <c r="E131" s="28">
        <v>44630</v>
      </c>
      <c r="F131" s="34"/>
      <c r="G131" s="34">
        <v>105615.95</v>
      </c>
      <c r="H131" s="17"/>
      <c r="I131" s="16"/>
      <c r="J131" s="16"/>
      <c r="K131" s="17"/>
    </row>
    <row r="132" spans="3:11">
      <c r="C132" s="17"/>
      <c r="D132" s="17"/>
      <c r="E132" s="28">
        <v>44655</v>
      </c>
      <c r="F132" s="34"/>
      <c r="G132" s="34">
        <v>191736.38</v>
      </c>
      <c r="H132" s="17"/>
      <c r="I132" s="16"/>
      <c r="J132" s="16"/>
      <c r="K132" s="17"/>
    </row>
    <row r="133" spans="3:11">
      <c r="C133" s="17"/>
      <c r="D133" s="17"/>
      <c r="E133" s="28">
        <v>44690</v>
      </c>
      <c r="F133" s="34"/>
      <c r="G133" s="34">
        <v>95616.97</v>
      </c>
      <c r="H133" s="17"/>
      <c r="I133" s="16"/>
      <c r="J133" s="16"/>
      <c r="K133" s="17"/>
    </row>
    <row r="134" spans="3:11">
      <c r="C134" s="17"/>
      <c r="D134" s="17"/>
      <c r="E134" s="28">
        <v>44714</v>
      </c>
      <c r="F134" s="34"/>
      <c r="G134" s="34">
        <v>143347.04999999999</v>
      </c>
      <c r="H134" s="17"/>
      <c r="I134" s="16"/>
      <c r="J134" s="16"/>
      <c r="K134" s="17"/>
    </row>
    <row r="135" spans="3:11">
      <c r="C135" s="17"/>
      <c r="D135" s="17"/>
      <c r="E135" s="28">
        <v>44754</v>
      </c>
      <c r="F135" s="34"/>
      <c r="G135" s="34">
        <v>138214.31</v>
      </c>
      <c r="H135" s="17"/>
      <c r="I135" s="16"/>
      <c r="J135" s="16"/>
      <c r="K135" s="17"/>
    </row>
    <row r="136" spans="3:11">
      <c r="C136" s="17"/>
      <c r="D136" s="17"/>
      <c r="E136" s="28">
        <v>44782</v>
      </c>
      <c r="F136" s="34"/>
      <c r="G136" s="34">
        <v>41814.620000000003</v>
      </c>
      <c r="H136" s="17"/>
      <c r="I136" s="16"/>
      <c r="J136" s="16"/>
      <c r="K136" s="17"/>
    </row>
    <row r="137" spans="3:11">
      <c r="C137" s="17"/>
      <c r="D137" s="17"/>
      <c r="E137" s="28">
        <v>44806</v>
      </c>
      <c r="F137" s="34"/>
      <c r="G137" s="34">
        <v>123851.67</v>
      </c>
      <c r="H137" s="17"/>
      <c r="I137" s="16"/>
      <c r="J137" s="16"/>
      <c r="K137" s="17"/>
    </row>
    <row r="138" spans="3:11">
      <c r="C138" s="17"/>
      <c r="D138" s="17"/>
      <c r="E138" s="28">
        <v>44846</v>
      </c>
      <c r="F138" s="34"/>
      <c r="G138" s="34">
        <v>103742.78</v>
      </c>
      <c r="H138" s="17"/>
      <c r="I138" s="16"/>
      <c r="J138" s="16"/>
      <c r="K138" s="17"/>
    </row>
    <row r="139" spans="3:11">
      <c r="C139" s="17"/>
      <c r="D139" s="17"/>
      <c r="E139" s="28">
        <v>44868</v>
      </c>
      <c r="F139" s="34"/>
      <c r="G139" s="34">
        <v>50764.98</v>
      </c>
      <c r="H139" s="17"/>
      <c r="I139" s="16"/>
      <c r="J139" s="16"/>
      <c r="K139" s="17"/>
    </row>
    <row r="140" spans="3:11">
      <c r="C140" s="17"/>
      <c r="D140" s="17"/>
      <c r="E140" s="28">
        <v>44901</v>
      </c>
      <c r="F140" s="34"/>
      <c r="G140" s="34">
        <v>33198.129999999997</v>
      </c>
      <c r="H140" s="17"/>
      <c r="I140" s="16"/>
      <c r="J140" s="16"/>
      <c r="K140" s="17"/>
    </row>
    <row r="141" spans="3:11">
      <c r="C141" s="17" t="s">
        <v>33</v>
      </c>
      <c r="D141" s="17"/>
      <c r="E141" s="28">
        <v>44965</v>
      </c>
      <c r="F141" s="34"/>
      <c r="G141" s="34">
        <v>-12125</v>
      </c>
      <c r="H141" s="17"/>
      <c r="I141" s="16"/>
      <c r="J141" s="16"/>
      <c r="K141" s="17"/>
    </row>
    <row r="142" spans="3:11">
      <c r="C142" s="17"/>
      <c r="D142" s="17"/>
      <c r="E142" s="28">
        <v>45009</v>
      </c>
      <c r="F142" s="34"/>
      <c r="G142" s="34">
        <v>-7275</v>
      </c>
      <c r="H142" s="17"/>
      <c r="I142" s="16"/>
      <c r="J142" s="16"/>
      <c r="K142" s="17"/>
    </row>
    <row r="143" spans="3:11">
      <c r="C143" s="17"/>
      <c r="D143" s="17"/>
      <c r="E143" s="28">
        <v>45022</v>
      </c>
      <c r="F143" s="34"/>
      <c r="G143" s="34">
        <v>-8584.5</v>
      </c>
      <c r="H143" s="17"/>
      <c r="I143" s="16"/>
      <c r="J143" s="16"/>
      <c r="K143" s="17"/>
    </row>
    <row r="144" spans="3:11">
      <c r="C144" s="17"/>
      <c r="D144" s="17"/>
      <c r="E144" s="28">
        <v>45084</v>
      </c>
      <c r="F144" s="34"/>
      <c r="G144" s="34">
        <v>-20515.5</v>
      </c>
      <c r="H144" s="17"/>
      <c r="I144" s="16"/>
      <c r="J144" s="16"/>
      <c r="K144" s="17"/>
    </row>
    <row r="145" spans="3:11">
      <c r="C145" s="17"/>
      <c r="D145" s="17"/>
      <c r="E145" s="28">
        <v>45279</v>
      </c>
      <c r="F145" s="34"/>
      <c r="G145" s="34">
        <v>-15908.01</v>
      </c>
      <c r="H145" s="17"/>
      <c r="I145" s="16"/>
      <c r="J145" s="16"/>
      <c r="K145" s="17"/>
    </row>
    <row r="146" spans="3:11">
      <c r="C146" s="17" t="s">
        <v>24</v>
      </c>
      <c r="D146" s="17"/>
      <c r="E146" s="28">
        <v>44937</v>
      </c>
      <c r="F146" s="34"/>
      <c r="G146" s="34">
        <v>45190.86</v>
      </c>
      <c r="H146" s="17"/>
      <c r="I146" s="16"/>
      <c r="J146" s="16"/>
      <c r="K146" s="17"/>
    </row>
    <row r="147" spans="3:11">
      <c r="C147" s="17"/>
      <c r="D147" s="17"/>
      <c r="E147" s="28">
        <v>44960</v>
      </c>
      <c r="F147" s="34"/>
      <c r="G147" s="34">
        <v>21940.34</v>
      </c>
      <c r="H147" s="17"/>
      <c r="I147" s="16"/>
      <c r="J147" s="16"/>
      <c r="K147" s="17"/>
    </row>
    <row r="148" spans="3:11">
      <c r="C148" s="17"/>
      <c r="D148" s="17"/>
      <c r="E148" s="28">
        <v>44994</v>
      </c>
      <c r="F148" s="34"/>
      <c r="G148" s="34">
        <v>51513.14</v>
      </c>
      <c r="H148" s="17"/>
      <c r="I148" s="16"/>
      <c r="J148" s="16"/>
      <c r="K148" s="17"/>
    </row>
    <row r="149" spans="3:11">
      <c r="C149" s="17"/>
      <c r="D149" s="17"/>
      <c r="E149" s="28">
        <v>45030</v>
      </c>
      <c r="F149" s="34"/>
      <c r="G149" s="34">
        <v>501714.97</v>
      </c>
      <c r="H149" s="17"/>
      <c r="I149" s="16"/>
      <c r="J149" s="16"/>
      <c r="K149" s="17"/>
    </row>
    <row r="150" spans="3:11">
      <c r="C150" s="17"/>
      <c r="D150" s="17"/>
      <c r="E150" s="28">
        <v>45049</v>
      </c>
      <c r="F150" s="34"/>
      <c r="G150" s="34">
        <v>40930.68</v>
      </c>
      <c r="H150" s="17"/>
      <c r="I150" s="16"/>
      <c r="J150" s="16"/>
      <c r="K150" s="17"/>
    </row>
    <row r="151" spans="3:11">
      <c r="C151" s="17"/>
      <c r="D151" s="17"/>
      <c r="E151" s="28">
        <v>45091</v>
      </c>
      <c r="F151" s="34"/>
      <c r="G151" s="34">
        <v>391060.28</v>
      </c>
      <c r="H151" s="17"/>
      <c r="I151" s="16"/>
      <c r="J151" s="16"/>
      <c r="K151" s="17"/>
    </row>
    <row r="152" spans="3:11">
      <c r="C152" s="17"/>
      <c r="D152" s="17"/>
      <c r="E152" s="28">
        <v>45114</v>
      </c>
      <c r="F152" s="34"/>
      <c r="G152" s="34">
        <v>26446.97</v>
      </c>
      <c r="H152" s="17"/>
      <c r="I152" s="16"/>
      <c r="J152" s="16"/>
      <c r="K152" s="17"/>
    </row>
    <row r="153" spans="3:11">
      <c r="C153" s="17"/>
      <c r="D153" s="17"/>
      <c r="E153" s="28">
        <v>45154</v>
      </c>
      <c r="F153" s="34"/>
      <c r="G153" s="34">
        <v>352627.63</v>
      </c>
      <c r="H153" s="17"/>
      <c r="I153" s="16"/>
      <c r="J153" s="16"/>
      <c r="K153" s="17"/>
    </row>
    <row r="154" spans="3:11">
      <c r="C154" s="17"/>
      <c r="D154" s="17"/>
      <c r="E154" s="28">
        <v>45176</v>
      </c>
      <c r="F154" s="34"/>
      <c r="G154" s="34">
        <v>18705.79</v>
      </c>
      <c r="H154" s="17"/>
      <c r="I154" s="16"/>
      <c r="J154" s="16"/>
      <c r="K154" s="17"/>
    </row>
    <row r="155" spans="3:11">
      <c r="C155" s="17"/>
      <c r="D155" s="17"/>
      <c r="E155" s="28">
        <v>45191</v>
      </c>
      <c r="F155" s="34"/>
      <c r="G155" s="34">
        <v>89977.53</v>
      </c>
      <c r="H155" s="17"/>
      <c r="I155" s="16"/>
      <c r="J155" s="16"/>
      <c r="K155" s="17"/>
    </row>
    <row r="156" spans="3:11">
      <c r="C156" s="17"/>
      <c r="D156" s="17"/>
      <c r="E156" s="28">
        <v>45198</v>
      </c>
      <c r="F156" s="34"/>
      <c r="G156" s="34">
        <v>40516.94</v>
      </c>
      <c r="H156" s="17"/>
      <c r="I156" s="16"/>
      <c r="J156" s="16"/>
      <c r="K156" s="17"/>
    </row>
    <row r="157" spans="3:11">
      <c r="C157" s="17"/>
      <c r="D157" s="17"/>
      <c r="E157" s="28">
        <v>45238</v>
      </c>
      <c r="F157" s="34"/>
      <c r="G157" s="34">
        <v>30204.13</v>
      </c>
      <c r="H157" s="17"/>
      <c r="I157" s="16"/>
      <c r="J157" s="16"/>
      <c r="K157" s="17"/>
    </row>
    <row r="158" spans="3:11">
      <c r="C158" s="17"/>
      <c r="D158" s="17"/>
      <c r="E158" s="28">
        <v>45267</v>
      </c>
      <c r="F158" s="34"/>
      <c r="G158" s="34">
        <v>72259.09</v>
      </c>
      <c r="H158" s="17"/>
      <c r="I158" s="16"/>
      <c r="J158" s="16"/>
      <c r="K158" s="17"/>
    </row>
    <row r="159" spans="3:11">
      <c r="C159" s="17" t="s">
        <v>36</v>
      </c>
      <c r="D159" s="17"/>
      <c r="E159" s="28">
        <v>45393</v>
      </c>
      <c r="F159" s="34"/>
      <c r="G159" s="34">
        <v>-9845.5</v>
      </c>
      <c r="H159" s="17"/>
      <c r="I159" s="16"/>
      <c r="J159" s="16"/>
      <c r="K159" s="17"/>
    </row>
    <row r="160" spans="3:11">
      <c r="C160" s="17" t="s">
        <v>35</v>
      </c>
      <c r="D160" s="17"/>
      <c r="E160" s="28">
        <v>45300</v>
      </c>
      <c r="F160" s="34"/>
      <c r="G160" s="34">
        <v>27421.97</v>
      </c>
      <c r="H160" s="17"/>
      <c r="I160" s="16"/>
      <c r="J160" s="16"/>
      <c r="K160" s="17"/>
    </row>
    <row r="161" spans="3:12">
      <c r="C161" s="17"/>
      <c r="D161" s="17"/>
      <c r="E161" s="28">
        <v>45327</v>
      </c>
      <c r="F161" s="34"/>
      <c r="G161" s="34">
        <v>11239.01</v>
      </c>
      <c r="H161" s="17"/>
      <c r="I161" s="16"/>
      <c r="J161" s="16"/>
      <c r="K161" s="17"/>
    </row>
    <row r="162" spans="3:12">
      <c r="C162" s="17"/>
      <c r="D162" s="17"/>
      <c r="E162" s="28">
        <v>45358</v>
      </c>
      <c r="F162" s="34"/>
      <c r="G162" s="34">
        <v>9202.3799999999992</v>
      </c>
      <c r="H162" s="17"/>
      <c r="I162" s="16"/>
      <c r="J162" s="16"/>
      <c r="K162" s="17"/>
    </row>
    <row r="163" spans="3:12">
      <c r="C163" s="17"/>
      <c r="D163" s="17"/>
      <c r="E163" s="28">
        <v>45385</v>
      </c>
      <c r="F163" s="34"/>
      <c r="G163" s="34">
        <v>3930.31</v>
      </c>
      <c r="H163" s="17"/>
      <c r="I163" s="16"/>
      <c r="J163" s="16"/>
      <c r="K163" s="17"/>
    </row>
    <row r="164" spans="3:12">
      <c r="C164" s="17"/>
      <c r="D164" s="17"/>
      <c r="E164" s="28">
        <v>45418</v>
      </c>
      <c r="F164" s="34"/>
      <c r="G164" s="34">
        <v>8315.23</v>
      </c>
      <c r="H164" s="17"/>
      <c r="I164" s="16"/>
      <c r="J164" s="16"/>
      <c r="K164" s="17"/>
    </row>
    <row r="165" spans="3:12">
      <c r="C165" s="17"/>
      <c r="D165" s="17"/>
      <c r="E165" s="28">
        <v>45450</v>
      </c>
      <c r="F165" s="34"/>
      <c r="G165" s="34">
        <v>13379.63</v>
      </c>
      <c r="H165" s="17"/>
      <c r="I165" s="16"/>
      <c r="J165" s="16"/>
      <c r="K165" s="17"/>
    </row>
    <row r="166" spans="3:12" ht="4.5" customHeight="1">
      <c r="C166" s="17"/>
      <c r="D166" s="17"/>
      <c r="E166" s="28"/>
      <c r="F166" s="17"/>
      <c r="G166" s="34"/>
      <c r="H166" s="17"/>
      <c r="I166" s="16"/>
      <c r="J166" s="16"/>
    </row>
    <row r="167" spans="3:12">
      <c r="C167" s="17" t="s">
        <v>25</v>
      </c>
      <c r="D167" s="17"/>
      <c r="E167" s="28">
        <f>+E8</f>
        <v>45473</v>
      </c>
      <c r="F167" s="17"/>
      <c r="G167" s="35">
        <f>L167*C22</f>
        <v>2282971.2844597902</v>
      </c>
      <c r="H167" s="17"/>
      <c r="I167" s="28"/>
      <c r="L167" s="59">
        <v>228542995</v>
      </c>
    </row>
    <row r="168" spans="3:12">
      <c r="C168" s="17"/>
      <c r="D168" s="17"/>
      <c r="E168" s="17"/>
      <c r="F168" s="17"/>
      <c r="G168" s="17"/>
      <c r="H168" s="17"/>
    </row>
    <row r="169" spans="3:12">
      <c r="C169" t="s">
        <v>28</v>
      </c>
      <c r="G169" s="38">
        <f>+XIRR(G24:G167,E24:E167,0.1)</f>
        <v>0.16335826516151433</v>
      </c>
      <c r="H169" s="17"/>
      <c r="J169" s="34">
        <f>+SUMIF($G$24:$G$166,"&lt;0",$G$24:$G$166)+49946.86</f>
        <v>-3394624.67</v>
      </c>
      <c r="K169" s="17" t="s">
        <v>26</v>
      </c>
    </row>
    <row r="170" spans="3:12">
      <c r="C170" s="17"/>
      <c r="D170" s="17"/>
      <c r="E170" s="17"/>
      <c r="F170" s="17"/>
      <c r="G170" s="17"/>
      <c r="H170" s="17"/>
      <c r="J170" s="34">
        <f>+SUMIF($G$24:$G$166,"&gt;0",$G$24:$G$166)-49946.86</f>
        <v>4644113.96</v>
      </c>
      <c r="K170" s="17" t="s">
        <v>27</v>
      </c>
    </row>
    <row r="171" spans="3:12">
      <c r="C171" s="17"/>
      <c r="D171" s="17"/>
      <c r="E171" s="17"/>
      <c r="F171" s="17"/>
      <c r="G171" s="17"/>
      <c r="H171" s="17"/>
    </row>
    <row r="172" spans="3:12">
      <c r="C172" s="40"/>
      <c r="D172" s="40"/>
      <c r="E172" s="39"/>
      <c r="F172" s="17"/>
      <c r="G172" s="39"/>
      <c r="H172" s="17"/>
    </row>
    <row r="173" spans="3:12">
      <c r="C173" s="40"/>
      <c r="D173" s="40"/>
      <c r="E173" s="39"/>
      <c r="F173" s="40"/>
      <c r="G173" s="39"/>
      <c r="H173" s="17"/>
    </row>
    <row r="174" spans="3:12">
      <c r="C174" s="40"/>
      <c r="D174" s="40"/>
      <c r="E174" s="39"/>
      <c r="F174" s="40"/>
      <c r="G174" s="39"/>
      <c r="H174" s="17"/>
    </row>
    <row r="175" spans="3:12">
      <c r="C175" s="40"/>
      <c r="D175" s="40"/>
      <c r="E175" s="40"/>
      <c r="F175" s="40"/>
      <c r="G175" s="40"/>
    </row>
    <row r="176" spans="3:12">
      <c r="C176" s="40"/>
      <c r="D176" s="40"/>
      <c r="E176" s="39"/>
      <c r="F176" s="39"/>
      <c r="G176" s="39"/>
    </row>
    <row r="177" spans="3:8">
      <c r="C177" s="40"/>
      <c r="D177" s="40"/>
      <c r="E177" s="40"/>
      <c r="F177" s="40"/>
      <c r="G177" s="40"/>
    </row>
    <row r="178" spans="3:8">
      <c r="C178" s="40"/>
      <c r="D178" s="40"/>
      <c r="E178" s="60"/>
      <c r="F178" s="42"/>
      <c r="G178" s="60"/>
      <c r="H178" s="17"/>
    </row>
    <row r="179" spans="3:8">
      <c r="C179" s="40"/>
      <c r="D179" s="40"/>
      <c r="E179" s="42"/>
      <c r="F179" s="42"/>
      <c r="G179" s="42"/>
      <c r="H179" s="17"/>
    </row>
    <row r="180" spans="3:8">
      <c r="C180" s="40"/>
      <c r="D180" s="40"/>
      <c r="E180" s="42"/>
      <c r="F180" s="42"/>
      <c r="G180" s="42"/>
      <c r="H180" s="17"/>
    </row>
    <row r="181" spans="3:8">
      <c r="C181" s="43"/>
      <c r="D181" s="40"/>
      <c r="E181" s="42"/>
      <c r="F181" s="42"/>
      <c r="G181" s="42"/>
      <c r="H181" s="17"/>
    </row>
    <row r="182" spans="3:8">
      <c r="C182" s="43"/>
      <c r="D182" s="40"/>
      <c r="E182" s="42"/>
      <c r="F182" s="42"/>
      <c r="G182" s="42"/>
      <c r="H182" s="17"/>
    </row>
    <row r="183" spans="3:8">
      <c r="C183" s="44"/>
      <c r="D183" s="40"/>
      <c r="E183" s="42"/>
      <c r="F183" s="42"/>
      <c r="G183" s="42"/>
      <c r="H183" s="17"/>
    </row>
    <row r="184" spans="3:8">
      <c r="C184" s="40"/>
      <c r="D184" s="40"/>
      <c r="E184" s="42"/>
      <c r="F184" s="42"/>
      <c r="G184" s="42"/>
      <c r="H184" s="17"/>
    </row>
    <row r="185" spans="3:8">
      <c r="C185" s="40"/>
      <c r="D185" s="40"/>
      <c r="E185" s="42"/>
      <c r="F185" s="42"/>
      <c r="G185" s="42"/>
      <c r="H185" s="17"/>
    </row>
    <row r="186" spans="3:8">
      <c r="C186" s="40"/>
      <c r="D186" s="40"/>
      <c r="E186" s="42"/>
      <c r="F186" s="42"/>
      <c r="G186" s="42"/>
      <c r="H186" s="17"/>
    </row>
    <row r="187" spans="3:8">
      <c r="C187" s="40"/>
      <c r="D187" s="40"/>
      <c r="E187" s="42"/>
      <c r="F187" s="42"/>
      <c r="G187" s="42"/>
      <c r="H187" s="17"/>
    </row>
    <row r="188" spans="3:8">
      <c r="C188" s="40"/>
      <c r="D188" s="40"/>
      <c r="E188" s="42"/>
      <c r="F188" s="42"/>
      <c r="G188" s="42"/>
      <c r="H188" s="17"/>
    </row>
    <row r="189" spans="3:8">
      <c r="C189" s="40"/>
      <c r="D189" s="40"/>
      <c r="E189" s="42"/>
      <c r="F189" s="42"/>
      <c r="G189" s="42"/>
      <c r="H189" s="17"/>
    </row>
    <row r="190" spans="3:8" ht="4.9000000000000004" customHeight="1">
      <c r="C190" s="17"/>
      <c r="D190" s="17"/>
      <c r="E190" s="17"/>
      <c r="F190" s="17"/>
      <c r="G190" s="17"/>
      <c r="H190" s="17"/>
    </row>
  </sheetData>
  <pageMargins left="0.7" right="0.7" top="0.75" bottom="0.75" header="0.3" footer="0.3"/>
  <pageSetup scale="23" orientation="landscape" r:id="rId1"/>
  <headerFooter>
    <oddHeader>&amp;C&amp;G</oddHeader>
    <oddFooter>&amp;C&amp;G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F4FF-4420-40B5-859F-0507EC394192}">
  <sheetPr>
    <tabColor rgb="FF92D050"/>
    <pageSetUpPr fitToPage="1"/>
  </sheetPr>
  <dimension ref="B4:N172"/>
  <sheetViews>
    <sheetView showGridLines="0" view="pageLayout" topLeftCell="A110" zoomScaleNormal="100" workbookViewId="0">
      <selection activeCell="L134" sqref="L134"/>
    </sheetView>
  </sheetViews>
  <sheetFormatPr defaultRowHeight="12.5"/>
  <cols>
    <col min="2" max="2" width="4.81640625" customWidth="1"/>
    <col min="3" max="3" width="45.1796875" customWidth="1"/>
    <col min="4" max="4" width="2" customWidth="1"/>
    <col min="5" max="5" width="10.54296875" customWidth="1"/>
    <col min="6" max="6" width="2.26953125" customWidth="1"/>
    <col min="7" max="7" width="14.54296875" customWidth="1"/>
    <col min="8" max="8" width="2.453125" customWidth="1"/>
    <col min="9" max="9" width="7.453125" customWidth="1"/>
    <col min="10" max="10" width="11.7265625" customWidth="1"/>
    <col min="11" max="11" width="19" customWidth="1"/>
    <col min="12" max="12" width="15.453125" bestFit="1" customWidth="1"/>
    <col min="13" max="13" width="5.1796875" customWidth="1"/>
    <col min="14" max="14" width="16.5429687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62"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4" ht="15.5">
      <c r="C17" s="18" t="s">
        <v>0</v>
      </c>
      <c r="D17" s="18"/>
      <c r="E17" s="19"/>
      <c r="F17" s="18"/>
      <c r="G17" s="19"/>
      <c r="H17" s="7"/>
      <c r="I17" s="50"/>
    </row>
    <row r="18" spans="3:14" ht="12.75" customHeight="1">
      <c r="C18" s="13" t="s">
        <v>1</v>
      </c>
      <c r="D18" s="13"/>
      <c r="E18" s="21">
        <f>G136</f>
        <v>0.22160022854804992</v>
      </c>
      <c r="F18" s="13"/>
      <c r="G18" s="20"/>
      <c r="H18" s="21"/>
      <c r="I18" s="50"/>
    </row>
    <row r="19" spans="3:14">
      <c r="C19" s="13" t="s">
        <v>2</v>
      </c>
      <c r="D19" s="13"/>
      <c r="E19" s="25">
        <f>-(G134+J137)/J136</f>
        <v>1.8470877548214417</v>
      </c>
      <c r="F19" s="13"/>
      <c r="G19" s="14"/>
      <c r="H19" s="15"/>
    </row>
    <row r="20" spans="3:14">
      <c r="C20" s="13"/>
      <c r="D20" s="13"/>
      <c r="E20" s="13"/>
      <c r="F20" s="13"/>
      <c r="G20" s="15"/>
    </row>
    <row r="21" spans="3:14" ht="15.5">
      <c r="C21" s="26" t="s">
        <v>29</v>
      </c>
      <c r="D21" s="27"/>
      <c r="E21" s="27"/>
      <c r="F21" s="27"/>
      <c r="I21" s="28"/>
      <c r="J21" s="17"/>
      <c r="L21" s="12"/>
    </row>
    <row r="22" spans="3:14">
      <c r="C22" s="30">
        <f>2000000/6961190721.65</f>
        <v>2.8730716912837915E-4</v>
      </c>
      <c r="D22" s="17"/>
      <c r="E22" s="17"/>
      <c r="F22" s="17"/>
      <c r="G22" s="31"/>
      <c r="H22" s="17"/>
      <c r="I22" s="17"/>
      <c r="J22" s="16"/>
      <c r="K22" s="17"/>
      <c r="L22" s="59"/>
      <c r="M22" s="90"/>
    </row>
    <row r="23" spans="3:14">
      <c r="C23" s="17"/>
      <c r="D23" s="17"/>
      <c r="E23" s="28"/>
      <c r="F23" s="34"/>
      <c r="G23" s="34"/>
      <c r="H23" s="17"/>
      <c r="I23" s="16"/>
      <c r="J23" s="16"/>
      <c r="K23" s="17"/>
      <c r="L23" s="59"/>
      <c r="M23" s="90"/>
      <c r="N23" s="91"/>
    </row>
    <row r="24" spans="3:14">
      <c r="C24" s="17" t="s">
        <v>15</v>
      </c>
      <c r="D24" s="17"/>
      <c r="E24" s="28">
        <v>42933</v>
      </c>
      <c r="F24" s="34"/>
      <c r="G24" s="34">
        <v>-33800</v>
      </c>
      <c r="H24" s="17"/>
      <c r="I24" s="16"/>
      <c r="J24" s="16"/>
      <c r="K24" s="17"/>
      <c r="L24" s="59"/>
      <c r="M24" s="90"/>
      <c r="N24" s="37"/>
    </row>
    <row r="25" spans="3:14">
      <c r="C25" s="17"/>
      <c r="D25" s="17"/>
      <c r="E25" s="28">
        <v>43010</v>
      </c>
      <c r="F25" s="34"/>
      <c r="G25" s="34">
        <v>-8200</v>
      </c>
      <c r="H25" s="17"/>
      <c r="I25" s="16"/>
      <c r="J25" s="16"/>
      <c r="K25" s="17"/>
      <c r="L25" s="59"/>
      <c r="M25" s="90"/>
      <c r="N25" s="37"/>
    </row>
    <row r="26" spans="3:14">
      <c r="C26" s="17"/>
      <c r="D26" s="17"/>
      <c r="E26" s="28">
        <v>43052</v>
      </c>
      <c r="F26" s="34"/>
      <c r="G26" s="34">
        <v>-3600</v>
      </c>
      <c r="H26" s="17"/>
      <c r="I26" s="16"/>
      <c r="J26" s="16"/>
      <c r="K26" s="17"/>
      <c r="L26" s="91"/>
      <c r="M26" s="91"/>
      <c r="N26" s="37"/>
    </row>
    <row r="27" spans="3:14">
      <c r="C27" s="17"/>
      <c r="D27" s="17"/>
      <c r="E27" s="28">
        <v>43087</v>
      </c>
      <c r="F27" s="34"/>
      <c r="G27" s="34">
        <v>-15835.83</v>
      </c>
      <c r="H27" s="17"/>
      <c r="I27" s="16"/>
      <c r="J27" s="16"/>
      <c r="N27" s="37"/>
    </row>
    <row r="28" spans="3:14">
      <c r="C28" s="17"/>
      <c r="D28" s="17"/>
      <c r="E28" s="28">
        <v>43096</v>
      </c>
      <c r="F28" s="34"/>
      <c r="G28" s="34">
        <v>-9710.99</v>
      </c>
      <c r="H28" s="17"/>
      <c r="I28" s="16"/>
      <c r="J28" s="16"/>
      <c r="K28" s="17"/>
      <c r="N28" s="37"/>
    </row>
    <row r="29" spans="3:14">
      <c r="C29" s="17" t="s">
        <v>17</v>
      </c>
      <c r="D29" s="17"/>
      <c r="E29" s="28">
        <v>43182</v>
      </c>
      <c r="F29" s="34"/>
      <c r="G29" s="34">
        <v>-70246.61</v>
      </c>
      <c r="H29" s="17"/>
      <c r="I29" s="16"/>
      <c r="J29" s="16"/>
      <c r="K29" s="17"/>
      <c r="N29" s="37"/>
    </row>
    <row r="30" spans="3:14">
      <c r="C30" s="17"/>
      <c r="D30" s="17"/>
      <c r="E30" s="28">
        <v>43276</v>
      </c>
      <c r="F30" s="34"/>
      <c r="G30" s="34">
        <v>-24938.27</v>
      </c>
      <c r="H30" s="17"/>
      <c r="I30" s="16"/>
      <c r="J30" s="16"/>
      <c r="K30" s="17"/>
      <c r="N30" s="37"/>
    </row>
    <row r="31" spans="3:14">
      <c r="C31" s="17"/>
      <c r="D31" s="17"/>
      <c r="E31" s="28">
        <v>43363</v>
      </c>
      <c r="F31" s="34"/>
      <c r="G31" s="34">
        <v>-18588.78</v>
      </c>
      <c r="H31" s="17"/>
      <c r="I31" s="16"/>
      <c r="J31" s="16"/>
      <c r="K31" s="17"/>
      <c r="N31" s="37"/>
    </row>
    <row r="32" spans="3:14">
      <c r="C32" s="17"/>
      <c r="D32" s="17"/>
      <c r="E32" s="28">
        <v>43398</v>
      </c>
      <c r="F32" s="34"/>
      <c r="G32" s="34">
        <v>-16290.31</v>
      </c>
      <c r="H32" s="17"/>
      <c r="I32" s="16"/>
      <c r="J32" s="16"/>
      <c r="K32" s="17"/>
      <c r="N32" s="37"/>
    </row>
    <row r="33" spans="3:14">
      <c r="C33" s="17"/>
      <c r="D33" s="17"/>
      <c r="E33" s="28">
        <v>43433</v>
      </c>
      <c r="F33" s="34"/>
      <c r="G33" s="34">
        <v>-13216.14</v>
      </c>
      <c r="H33" s="17"/>
      <c r="I33" s="16"/>
      <c r="J33" s="16"/>
      <c r="K33" s="17"/>
      <c r="N33" s="37"/>
    </row>
    <row r="34" spans="3:14">
      <c r="C34" s="17" t="s">
        <v>19</v>
      </c>
      <c r="D34" s="17"/>
      <c r="E34" s="28">
        <v>43468</v>
      </c>
      <c r="F34" s="34"/>
      <c r="G34" s="34">
        <v>-22438.69</v>
      </c>
      <c r="H34" s="17"/>
      <c r="I34" s="16"/>
      <c r="J34" s="16"/>
      <c r="K34" s="17"/>
      <c r="N34" s="37"/>
    </row>
    <row r="35" spans="3:14">
      <c r="C35" s="17"/>
      <c r="D35" s="17"/>
      <c r="E35" s="28">
        <v>43495</v>
      </c>
      <c r="F35" s="34"/>
      <c r="G35" s="34">
        <v>-36976.44</v>
      </c>
      <c r="H35" s="17"/>
      <c r="I35" s="16"/>
      <c r="J35" s="16"/>
      <c r="K35" s="17"/>
      <c r="N35" s="37"/>
    </row>
    <row r="36" spans="3:14">
      <c r="C36" s="17"/>
      <c r="D36" s="17"/>
      <c r="E36" s="28">
        <v>43510</v>
      </c>
      <c r="F36" s="34"/>
      <c r="G36" s="34">
        <v>-14853.79</v>
      </c>
      <c r="H36" s="17"/>
      <c r="I36" s="16"/>
      <c r="J36" s="16"/>
      <c r="K36" s="17"/>
      <c r="N36" s="37"/>
    </row>
    <row r="37" spans="3:14">
      <c r="C37" s="17"/>
      <c r="D37" s="17"/>
      <c r="E37" s="28">
        <v>43559</v>
      </c>
      <c r="F37" s="34"/>
      <c r="G37" s="34">
        <v>-20599.93</v>
      </c>
      <c r="H37" s="17"/>
      <c r="I37" s="16"/>
      <c r="J37" s="16"/>
      <c r="K37" s="17"/>
      <c r="N37" s="37"/>
    </row>
    <row r="38" spans="3:14">
      <c r="C38" s="17"/>
      <c r="D38" s="17"/>
      <c r="E38" s="28">
        <v>43593</v>
      </c>
      <c r="F38" s="34"/>
      <c r="G38" s="34">
        <v>-20542.46</v>
      </c>
      <c r="H38" s="17"/>
      <c r="I38" s="16"/>
      <c r="J38" s="16"/>
      <c r="K38" s="17"/>
      <c r="N38" s="37"/>
    </row>
    <row r="39" spans="3:14">
      <c r="C39" s="17"/>
      <c r="D39" s="17"/>
      <c r="E39" s="28">
        <v>43642</v>
      </c>
      <c r="F39" s="34"/>
      <c r="G39" s="34">
        <v>-32810.49</v>
      </c>
      <c r="H39" s="17"/>
      <c r="I39" s="16"/>
      <c r="J39" s="16"/>
      <c r="K39" s="17"/>
      <c r="N39" s="37"/>
    </row>
    <row r="40" spans="3:14">
      <c r="C40" s="17"/>
      <c r="D40" s="17"/>
      <c r="E40" s="28">
        <v>43656</v>
      </c>
      <c r="F40" s="34"/>
      <c r="G40" s="34">
        <v>-24363.64</v>
      </c>
      <c r="H40" s="17"/>
      <c r="I40" s="16"/>
      <c r="J40" s="16"/>
      <c r="K40" s="17"/>
      <c r="N40" s="37"/>
    </row>
    <row r="41" spans="3:14">
      <c r="C41" s="17"/>
      <c r="D41" s="17"/>
      <c r="E41" s="28">
        <v>43684</v>
      </c>
      <c r="F41" s="34"/>
      <c r="G41" s="34">
        <v>-21260.73</v>
      </c>
      <c r="H41" s="17"/>
      <c r="I41" s="16"/>
      <c r="J41" s="16"/>
      <c r="K41" s="17"/>
      <c r="N41" s="37"/>
    </row>
    <row r="42" spans="3:14">
      <c r="C42" s="17"/>
      <c r="D42" s="17"/>
      <c r="E42" s="28">
        <v>43768</v>
      </c>
      <c r="F42" s="34"/>
      <c r="G42" s="34">
        <v>-21030.880000000001</v>
      </c>
      <c r="H42" s="17"/>
      <c r="I42" s="16"/>
      <c r="J42" s="16"/>
      <c r="K42" s="17"/>
      <c r="N42" s="37"/>
    </row>
    <row r="43" spans="3:14">
      <c r="C43" s="17"/>
      <c r="D43" s="17"/>
      <c r="E43" s="28">
        <v>43817</v>
      </c>
      <c r="F43" s="34"/>
      <c r="G43" s="34">
        <v>-161696.48000000001</v>
      </c>
      <c r="H43" s="17"/>
      <c r="I43" s="16"/>
      <c r="J43" s="16"/>
      <c r="K43" s="17"/>
      <c r="N43" s="37"/>
    </row>
    <row r="44" spans="3:14">
      <c r="C44" s="17" t="s">
        <v>21</v>
      </c>
      <c r="D44" s="17"/>
      <c r="E44" s="28">
        <v>44006</v>
      </c>
      <c r="F44" s="34"/>
      <c r="G44" s="34">
        <v>-11980.7</v>
      </c>
      <c r="H44" s="17"/>
      <c r="I44" s="16"/>
      <c r="J44" s="16"/>
      <c r="K44" s="17"/>
      <c r="N44" s="37"/>
    </row>
    <row r="45" spans="3:14">
      <c r="C45" s="17"/>
      <c r="D45" s="17"/>
      <c r="E45" s="28">
        <v>44026</v>
      </c>
      <c r="F45" s="34"/>
      <c r="G45" s="34">
        <v>-29621.37</v>
      </c>
      <c r="H45" s="17"/>
      <c r="I45" s="16"/>
      <c r="J45" s="16"/>
      <c r="K45" s="17"/>
      <c r="N45" s="37"/>
    </row>
    <row r="46" spans="3:14">
      <c r="C46" s="17"/>
      <c r="D46" s="17"/>
      <c r="E46" s="28">
        <v>44106</v>
      </c>
      <c r="F46" s="34"/>
      <c r="G46" s="34">
        <v>-10170.67</v>
      </c>
      <c r="H46" s="17"/>
      <c r="I46" s="16"/>
      <c r="J46" s="16"/>
      <c r="K46" s="17"/>
      <c r="N46" s="37"/>
    </row>
    <row r="47" spans="3:14">
      <c r="C47" s="17"/>
      <c r="D47" s="17"/>
      <c r="E47" s="28">
        <v>44182</v>
      </c>
      <c r="F47" s="34"/>
      <c r="G47" s="34">
        <v>-41228.58</v>
      </c>
      <c r="H47" s="17"/>
      <c r="I47" s="16"/>
      <c r="J47" s="16"/>
      <c r="K47" s="17"/>
      <c r="N47" s="37"/>
    </row>
    <row r="48" spans="3:14">
      <c r="C48" s="17"/>
      <c r="D48" s="17"/>
      <c r="E48" s="28">
        <v>44188</v>
      </c>
      <c r="F48" s="34"/>
      <c r="G48" s="34">
        <v>-9596.06</v>
      </c>
      <c r="H48" s="17"/>
      <c r="I48" s="16"/>
      <c r="J48" s="16"/>
      <c r="K48" s="17"/>
      <c r="N48" s="37"/>
    </row>
    <row r="49" spans="3:14">
      <c r="C49" s="17" t="s">
        <v>31</v>
      </c>
      <c r="D49" s="17"/>
      <c r="E49" s="28">
        <v>44246</v>
      </c>
      <c r="F49" s="34"/>
      <c r="G49" s="34">
        <v>-8849.07</v>
      </c>
      <c r="H49" s="17"/>
      <c r="I49" s="16"/>
      <c r="J49" s="16"/>
      <c r="K49" s="17"/>
      <c r="N49" s="37"/>
    </row>
    <row r="50" spans="3:14">
      <c r="C50" s="17"/>
      <c r="D50" s="17"/>
      <c r="E50" s="28">
        <v>44250</v>
      </c>
      <c r="F50" s="34"/>
      <c r="G50" s="34">
        <v>-9337.48</v>
      </c>
      <c r="H50" s="17"/>
      <c r="I50" s="16"/>
      <c r="J50" s="16"/>
      <c r="K50" s="17"/>
      <c r="N50" s="37"/>
    </row>
    <row r="51" spans="3:14">
      <c r="C51" s="17"/>
      <c r="D51" s="17"/>
      <c r="E51" s="28">
        <v>44274</v>
      </c>
      <c r="F51" s="34"/>
      <c r="G51" s="34">
        <v>-14710.13</v>
      </c>
      <c r="H51" s="17"/>
      <c r="I51" s="16"/>
      <c r="J51" s="16"/>
      <c r="K51" s="17"/>
      <c r="N51" s="37"/>
    </row>
    <row r="52" spans="3:14">
      <c r="C52" s="17"/>
      <c r="D52" s="17"/>
      <c r="E52" s="28">
        <v>44305</v>
      </c>
      <c r="F52" s="34"/>
      <c r="G52" s="34">
        <v>-163880.01</v>
      </c>
      <c r="H52" s="17"/>
      <c r="I52" s="16"/>
      <c r="J52" s="16"/>
      <c r="K52" s="17"/>
      <c r="N52" s="37"/>
    </row>
    <row r="53" spans="3:14">
      <c r="C53" s="17"/>
      <c r="D53" s="17"/>
      <c r="E53" s="28">
        <v>44362</v>
      </c>
      <c r="F53" s="34"/>
      <c r="G53" s="34">
        <v>25713.99</v>
      </c>
      <c r="H53" s="17"/>
      <c r="I53" s="16"/>
      <c r="J53" s="16"/>
      <c r="K53" s="17"/>
      <c r="N53" s="37"/>
    </row>
    <row r="54" spans="3:14">
      <c r="C54" s="17"/>
      <c r="D54" s="17"/>
      <c r="E54" s="28">
        <v>44400</v>
      </c>
      <c r="F54" s="34"/>
      <c r="G54" s="34">
        <v>-20111.5</v>
      </c>
      <c r="H54" s="17"/>
      <c r="I54" s="16"/>
      <c r="J54" s="16"/>
      <c r="K54" s="17"/>
      <c r="N54" s="37"/>
    </row>
    <row r="55" spans="3:14">
      <c r="C55" s="17"/>
      <c r="D55" s="17"/>
      <c r="E55" s="28">
        <v>44407</v>
      </c>
      <c r="F55" s="34"/>
      <c r="G55" s="34">
        <v>-21548.04</v>
      </c>
      <c r="H55" s="17"/>
      <c r="I55" s="16"/>
      <c r="J55" s="16"/>
      <c r="K55" s="17"/>
      <c r="N55" s="37"/>
    </row>
    <row r="56" spans="3:14">
      <c r="C56" s="17"/>
      <c r="D56" s="17"/>
      <c r="E56" s="28">
        <v>44440</v>
      </c>
      <c r="F56" s="34"/>
      <c r="G56" s="34">
        <v>-10285.59</v>
      </c>
      <c r="H56" s="17"/>
      <c r="I56" s="16"/>
      <c r="J56" s="16"/>
      <c r="K56" s="17"/>
      <c r="N56" s="37"/>
    </row>
    <row r="57" spans="3:14">
      <c r="C57" s="17"/>
      <c r="D57" s="17"/>
      <c r="E57" s="28">
        <v>44453</v>
      </c>
      <c r="F57" s="34"/>
      <c r="G57" s="34">
        <v>-16979.849999999999</v>
      </c>
      <c r="H57" s="17"/>
      <c r="I57" s="16"/>
      <c r="J57" s="16"/>
      <c r="K57" s="17"/>
      <c r="N57" s="37"/>
    </row>
    <row r="58" spans="3:14">
      <c r="C58" s="17"/>
      <c r="D58" s="17"/>
      <c r="E58" s="28">
        <v>44473</v>
      </c>
      <c r="F58" s="34"/>
      <c r="G58" s="34">
        <v>-10831.48</v>
      </c>
      <c r="H58" s="17"/>
      <c r="I58" s="16"/>
      <c r="J58" s="16"/>
      <c r="K58" s="17"/>
      <c r="N58" s="37"/>
    </row>
    <row r="59" spans="3:14">
      <c r="C59" s="17"/>
      <c r="D59" s="17"/>
      <c r="E59" s="28">
        <v>44496</v>
      </c>
      <c r="F59" s="34"/>
      <c r="G59" s="34">
        <v>-12354.21</v>
      </c>
      <c r="H59" s="17"/>
      <c r="I59" s="16"/>
      <c r="J59" s="16"/>
      <c r="K59" s="17"/>
      <c r="N59" s="37"/>
    </row>
    <row r="60" spans="3:14">
      <c r="C60" s="17"/>
      <c r="D60" s="17"/>
      <c r="E60" s="28">
        <v>44537</v>
      </c>
      <c r="F60" s="34"/>
      <c r="G60" s="34">
        <v>-48928.42</v>
      </c>
      <c r="H60" s="17"/>
      <c r="I60" s="16"/>
      <c r="J60" s="16"/>
      <c r="K60" s="17"/>
      <c r="N60" s="37"/>
    </row>
    <row r="61" spans="3:14">
      <c r="C61" s="17"/>
      <c r="D61" s="17"/>
      <c r="E61" s="28">
        <v>44550</v>
      </c>
      <c r="F61" s="34"/>
      <c r="G61" s="34">
        <v>-115928.44</v>
      </c>
      <c r="H61" s="17"/>
      <c r="I61" s="16"/>
      <c r="J61" s="16"/>
      <c r="K61" s="17"/>
      <c r="N61" s="37"/>
    </row>
    <row r="62" spans="3:14">
      <c r="C62" s="17" t="s">
        <v>22</v>
      </c>
      <c r="D62" s="17"/>
      <c r="E62" s="28">
        <v>44396</v>
      </c>
      <c r="F62" s="34"/>
      <c r="G62" s="34">
        <v>5204.6899999999996</v>
      </c>
      <c r="H62" s="17"/>
      <c r="I62" s="16"/>
      <c r="J62" s="16"/>
      <c r="K62" s="17"/>
      <c r="N62" s="37"/>
    </row>
    <row r="63" spans="3:14">
      <c r="C63" s="17"/>
      <c r="D63" s="17"/>
      <c r="E63" s="28">
        <v>44476</v>
      </c>
      <c r="F63" s="34"/>
      <c r="G63" s="34">
        <v>4954.93</v>
      </c>
      <c r="H63" s="17"/>
      <c r="I63" s="16"/>
      <c r="J63" s="16"/>
      <c r="K63" s="17"/>
      <c r="N63" s="37"/>
    </row>
    <row r="64" spans="3:14">
      <c r="C64" s="17"/>
      <c r="D64" s="17"/>
      <c r="E64" s="28">
        <v>44512</v>
      </c>
      <c r="F64" s="34"/>
      <c r="G64" s="34">
        <v>15882.82</v>
      </c>
      <c r="H64" s="17"/>
      <c r="I64" s="16"/>
      <c r="J64" s="16"/>
      <c r="K64" s="17"/>
      <c r="N64" s="37"/>
    </row>
    <row r="65" spans="3:14">
      <c r="C65" s="17" t="s">
        <v>32</v>
      </c>
      <c r="D65" s="17"/>
      <c r="E65" s="28">
        <v>44565</v>
      </c>
      <c r="F65" s="34"/>
      <c r="G65" s="34">
        <v>-5717.42</v>
      </c>
      <c r="H65" s="17"/>
      <c r="I65" s="16"/>
      <c r="J65" s="16"/>
      <c r="K65" s="17"/>
      <c r="N65" s="37"/>
    </row>
    <row r="66" spans="3:14">
      <c r="C66" s="17"/>
      <c r="D66" s="17"/>
      <c r="E66" s="28">
        <v>44602</v>
      </c>
      <c r="F66" s="34"/>
      <c r="G66" s="34">
        <v>-17669.400000000001</v>
      </c>
      <c r="H66" s="17"/>
      <c r="I66" s="16"/>
      <c r="J66" s="16"/>
      <c r="K66" s="17"/>
      <c r="N66" s="37"/>
    </row>
    <row r="67" spans="3:14">
      <c r="C67" s="17"/>
      <c r="D67" s="17"/>
      <c r="E67" s="28">
        <v>44628</v>
      </c>
      <c r="F67" s="34"/>
      <c r="G67" s="34">
        <v>-13158.66</v>
      </c>
      <c r="H67" s="17"/>
      <c r="I67" s="16"/>
      <c r="J67" s="16"/>
      <c r="K67" s="17"/>
      <c r="N67" s="37"/>
    </row>
    <row r="68" spans="3:14">
      <c r="C68" s="17"/>
      <c r="D68" s="17"/>
      <c r="E68" s="28">
        <v>44641</v>
      </c>
      <c r="F68" s="34"/>
      <c r="G68" s="34">
        <v>-86192.15</v>
      </c>
      <c r="H68" s="17"/>
      <c r="I68" s="16"/>
      <c r="J68" s="16"/>
      <c r="K68" s="17"/>
      <c r="N68" s="37"/>
    </row>
    <row r="69" spans="3:14">
      <c r="C69" s="17"/>
      <c r="D69" s="17"/>
      <c r="E69" s="28">
        <v>44645</v>
      </c>
      <c r="F69" s="34"/>
      <c r="G69" s="34">
        <v>-186088.86</v>
      </c>
      <c r="H69" s="17"/>
      <c r="I69" s="16"/>
      <c r="J69" s="16"/>
      <c r="K69" s="17"/>
      <c r="N69" s="37"/>
    </row>
    <row r="70" spans="3:14">
      <c r="C70" s="17"/>
      <c r="D70" s="17"/>
      <c r="E70" s="28">
        <v>44670</v>
      </c>
      <c r="F70" s="34"/>
      <c r="G70" s="34">
        <v>77659.12</v>
      </c>
      <c r="H70" s="17"/>
      <c r="I70" s="16"/>
      <c r="J70" s="16"/>
      <c r="K70" s="17"/>
      <c r="N70" s="37"/>
    </row>
    <row r="71" spans="3:14">
      <c r="C71" s="17"/>
      <c r="D71" s="17"/>
      <c r="E71" s="28">
        <v>44694</v>
      </c>
      <c r="F71" s="34"/>
      <c r="G71" s="34">
        <v>-3936.11</v>
      </c>
      <c r="H71" s="17"/>
      <c r="I71" s="16"/>
      <c r="J71" s="16"/>
      <c r="K71" s="17"/>
      <c r="N71" s="37"/>
    </row>
    <row r="72" spans="3:14">
      <c r="C72" s="17"/>
      <c r="D72" s="17"/>
      <c r="E72" s="28">
        <v>44701</v>
      </c>
      <c r="F72" s="34"/>
      <c r="G72" s="34">
        <v>-10027.02</v>
      </c>
      <c r="H72" s="17"/>
      <c r="I72" s="16"/>
      <c r="J72" s="16"/>
      <c r="K72" s="17"/>
      <c r="N72" s="37"/>
    </row>
    <row r="73" spans="3:14">
      <c r="C73" s="17"/>
      <c r="D73" s="17"/>
      <c r="E73" s="28">
        <v>44727</v>
      </c>
      <c r="F73" s="34"/>
      <c r="G73" s="34">
        <v>-32207.13</v>
      </c>
      <c r="H73" s="17"/>
      <c r="I73" s="16"/>
      <c r="J73" s="16"/>
      <c r="K73" s="17"/>
      <c r="N73" s="37"/>
    </row>
    <row r="74" spans="3:14">
      <c r="C74" s="17"/>
      <c r="D74" s="17"/>
      <c r="E74" s="28">
        <v>44750</v>
      </c>
      <c r="F74" s="34"/>
      <c r="G74" s="34">
        <v>-31316.48</v>
      </c>
      <c r="H74" s="17"/>
      <c r="I74" s="16"/>
      <c r="J74" s="16"/>
      <c r="K74" s="17"/>
      <c r="N74" s="37"/>
    </row>
    <row r="75" spans="3:14">
      <c r="C75" s="17"/>
      <c r="D75" s="17"/>
      <c r="E75" s="28">
        <v>44764</v>
      </c>
      <c r="F75" s="34"/>
      <c r="G75" s="34">
        <v>-4539.45</v>
      </c>
      <c r="H75" s="17"/>
      <c r="I75" s="16"/>
      <c r="J75" s="16"/>
      <c r="K75" s="17"/>
      <c r="N75" s="37"/>
    </row>
    <row r="76" spans="3:14">
      <c r="C76" s="17"/>
      <c r="D76" s="17"/>
      <c r="E76" s="28">
        <v>44790</v>
      </c>
      <c r="F76" s="34"/>
      <c r="G76" s="34">
        <v>-5343.92</v>
      </c>
      <c r="H76" s="17"/>
      <c r="I76" s="16"/>
      <c r="J76" s="16"/>
      <c r="K76" s="17"/>
      <c r="N76" s="37"/>
    </row>
    <row r="77" spans="3:14">
      <c r="C77" s="17"/>
      <c r="D77" s="17"/>
      <c r="E77" s="28">
        <v>44797</v>
      </c>
      <c r="F77" s="34"/>
      <c r="G77" s="34">
        <v>-15485.86</v>
      </c>
      <c r="H77" s="17"/>
      <c r="I77" s="16"/>
      <c r="J77" s="16"/>
      <c r="K77" s="17"/>
      <c r="N77" s="37"/>
    </row>
    <row r="78" spans="3:14">
      <c r="C78" s="17"/>
      <c r="D78" s="17"/>
      <c r="E78" s="28">
        <v>44806</v>
      </c>
      <c r="F78" s="34"/>
      <c r="G78" s="34">
        <v>-13733.29</v>
      </c>
      <c r="H78" s="17"/>
      <c r="I78" s="16"/>
      <c r="J78" s="16"/>
      <c r="K78" s="17"/>
      <c r="N78" s="37"/>
    </row>
    <row r="79" spans="3:14">
      <c r="C79" s="17"/>
      <c r="D79" s="17"/>
      <c r="E79" s="28">
        <v>44818</v>
      </c>
      <c r="F79" s="34"/>
      <c r="G79" s="34">
        <v>-39677.120000000003</v>
      </c>
      <c r="H79" s="17"/>
      <c r="I79" s="16"/>
      <c r="J79" s="16"/>
      <c r="K79" s="17"/>
      <c r="N79" s="37"/>
    </row>
    <row r="80" spans="3:14">
      <c r="C80" s="17"/>
      <c r="D80" s="17"/>
      <c r="E80" s="28">
        <v>44833</v>
      </c>
      <c r="F80" s="34"/>
      <c r="G80" s="34">
        <v>-14078.05</v>
      </c>
      <c r="H80" s="17"/>
      <c r="I80" s="16"/>
      <c r="J80" s="16"/>
      <c r="K80" s="17"/>
      <c r="N80" s="37"/>
    </row>
    <row r="81" spans="3:14">
      <c r="C81" s="17"/>
      <c r="D81" s="17"/>
      <c r="E81" s="28">
        <v>44838</v>
      </c>
      <c r="F81" s="34"/>
      <c r="G81" s="34">
        <v>-30454.57</v>
      </c>
      <c r="H81" s="17"/>
      <c r="I81" s="16"/>
      <c r="J81" s="16"/>
      <c r="K81" s="17"/>
      <c r="N81" s="37"/>
    </row>
    <row r="82" spans="3:14">
      <c r="C82" s="17"/>
      <c r="D82" s="17"/>
      <c r="E82" s="28">
        <v>44847</v>
      </c>
      <c r="F82" s="34"/>
      <c r="G82" s="34">
        <v>-17382.09</v>
      </c>
      <c r="H82" s="17"/>
      <c r="I82" s="16"/>
      <c r="J82" s="16"/>
      <c r="K82" s="17"/>
      <c r="N82" s="37"/>
    </row>
    <row r="83" spans="3:14">
      <c r="C83" s="17"/>
      <c r="D83" s="17"/>
      <c r="E83" s="28">
        <v>44858</v>
      </c>
      <c r="F83" s="34"/>
      <c r="G83" s="34">
        <v>-9050.17</v>
      </c>
      <c r="H83" s="17"/>
      <c r="I83" s="16"/>
      <c r="J83" s="16"/>
      <c r="K83" s="17"/>
      <c r="N83" s="37"/>
    </row>
    <row r="84" spans="3:14">
      <c r="C84" s="17"/>
      <c r="D84" s="17"/>
      <c r="E84" s="28">
        <v>44866</v>
      </c>
      <c r="F84" s="34"/>
      <c r="G84" s="34">
        <v>-5372.65</v>
      </c>
      <c r="H84" s="17"/>
      <c r="I84" s="16"/>
      <c r="J84" s="16"/>
      <c r="K84" s="17"/>
      <c r="N84" s="37"/>
    </row>
    <row r="85" spans="3:14">
      <c r="C85" s="17"/>
      <c r="D85" s="17"/>
      <c r="E85" s="28">
        <v>44893</v>
      </c>
      <c r="F85" s="34"/>
      <c r="G85" s="34">
        <v>-25685.26</v>
      </c>
      <c r="H85" s="17"/>
      <c r="I85" s="16"/>
      <c r="J85" s="16"/>
      <c r="K85" s="17"/>
      <c r="N85" s="37"/>
    </row>
    <row r="86" spans="3:14">
      <c r="C86" s="17"/>
      <c r="D86" s="17"/>
      <c r="E86" s="28">
        <v>44902</v>
      </c>
      <c r="F86" s="34"/>
      <c r="G86" s="34">
        <v>-14336.63</v>
      </c>
      <c r="H86" s="17"/>
      <c r="I86" s="16"/>
      <c r="J86" s="16"/>
      <c r="K86" s="17"/>
      <c r="N86" s="37"/>
    </row>
    <row r="87" spans="3:14">
      <c r="C87" s="17"/>
      <c r="D87" s="17"/>
      <c r="E87" s="28">
        <v>44909</v>
      </c>
      <c r="F87" s="34"/>
      <c r="G87" s="34">
        <v>-55996.17</v>
      </c>
      <c r="H87" s="17"/>
      <c r="I87" s="16"/>
      <c r="J87" s="16"/>
      <c r="K87" s="17"/>
      <c r="N87" s="37"/>
    </row>
    <row r="88" spans="3:14">
      <c r="C88" s="17" t="s">
        <v>23</v>
      </c>
      <c r="D88" s="17"/>
      <c r="E88" s="28">
        <v>44575</v>
      </c>
      <c r="F88" s="34"/>
      <c r="G88" s="34">
        <v>20090.68</v>
      </c>
      <c r="H88" s="17"/>
      <c r="I88" s="16"/>
      <c r="J88" s="16"/>
      <c r="K88" s="17"/>
      <c r="N88" s="37"/>
    </row>
    <row r="89" spans="3:14">
      <c r="C89" s="17"/>
      <c r="D89" s="17"/>
      <c r="E89" s="28">
        <v>44601</v>
      </c>
      <c r="F89" s="34"/>
      <c r="G89" s="34">
        <v>15699.9</v>
      </c>
      <c r="H89" s="17"/>
      <c r="I89" s="16"/>
      <c r="J89" s="16"/>
      <c r="K89" s="17"/>
      <c r="N89" s="37"/>
    </row>
    <row r="90" spans="3:14">
      <c r="C90" s="17"/>
      <c r="D90" s="17"/>
      <c r="E90" s="28">
        <v>44628</v>
      </c>
      <c r="F90" s="34"/>
      <c r="G90" s="34">
        <v>40970.06</v>
      </c>
      <c r="H90" s="17"/>
      <c r="I90" s="16"/>
      <c r="J90" s="16"/>
      <c r="K90" s="17"/>
      <c r="N90" s="37"/>
    </row>
    <row r="91" spans="3:14">
      <c r="C91" s="17"/>
      <c r="D91" s="17"/>
      <c r="E91" s="28">
        <v>44659</v>
      </c>
      <c r="F91" s="34"/>
      <c r="G91" s="34">
        <v>20791.02</v>
      </c>
      <c r="H91" s="17"/>
      <c r="I91" s="16"/>
      <c r="J91" s="16"/>
      <c r="K91" s="17"/>
      <c r="N91" s="37"/>
    </row>
    <row r="92" spans="3:14">
      <c r="C92" s="17"/>
      <c r="D92" s="17"/>
      <c r="E92" s="28">
        <v>44692</v>
      </c>
      <c r="F92" s="34"/>
      <c r="G92" s="34">
        <v>17582.41</v>
      </c>
      <c r="H92" s="17"/>
      <c r="I92" s="16"/>
      <c r="J92" s="16"/>
      <c r="K92" s="17"/>
      <c r="N92" s="37"/>
    </row>
    <row r="93" spans="3:14">
      <c r="C93" s="17"/>
      <c r="D93" s="17"/>
      <c r="E93" s="28">
        <v>44719</v>
      </c>
      <c r="F93" s="34"/>
      <c r="G93" s="34">
        <v>21829.37</v>
      </c>
      <c r="H93" s="17"/>
      <c r="I93" s="16"/>
      <c r="J93" s="16"/>
      <c r="K93" s="17"/>
      <c r="N93" s="37"/>
    </row>
    <row r="94" spans="3:14">
      <c r="C94" s="17"/>
      <c r="D94" s="17"/>
      <c r="E94" s="28">
        <v>44761</v>
      </c>
      <c r="F94" s="34"/>
      <c r="G94" s="34">
        <v>33935.96</v>
      </c>
      <c r="H94" s="17"/>
      <c r="I94" s="16"/>
      <c r="J94" s="16"/>
      <c r="K94" s="17"/>
      <c r="N94" s="37"/>
    </row>
    <row r="95" spans="3:14">
      <c r="C95" s="17"/>
      <c r="D95" s="17"/>
      <c r="E95" s="28">
        <v>44776</v>
      </c>
      <c r="F95" s="34"/>
      <c r="G95" s="34">
        <v>29980.31</v>
      </c>
      <c r="H95" s="17"/>
      <c r="I95" s="16"/>
      <c r="J95" s="16"/>
      <c r="K95" s="17"/>
      <c r="N95" s="37"/>
    </row>
    <row r="96" spans="3:14">
      <c r="C96" s="17"/>
      <c r="D96" s="17"/>
      <c r="E96" s="28">
        <v>44817</v>
      </c>
      <c r="F96" s="34"/>
      <c r="G96" s="34">
        <v>10413.17</v>
      </c>
      <c r="H96" s="17"/>
      <c r="I96" s="16"/>
      <c r="J96" s="16"/>
      <c r="K96" s="17"/>
      <c r="N96" s="37"/>
    </row>
    <row r="97" spans="3:14">
      <c r="C97" s="17"/>
      <c r="D97" s="17"/>
      <c r="E97" s="28">
        <v>44841</v>
      </c>
      <c r="F97" s="34"/>
      <c r="G97" s="34">
        <v>7569.79</v>
      </c>
      <c r="H97" s="17"/>
      <c r="I97" s="16"/>
      <c r="J97" s="16"/>
      <c r="K97" s="17"/>
      <c r="N97" s="37"/>
    </row>
    <row r="98" spans="3:14">
      <c r="C98" s="17"/>
      <c r="D98" s="17"/>
      <c r="E98" s="28">
        <v>44872</v>
      </c>
      <c r="F98" s="34"/>
      <c r="G98" s="34">
        <v>5737.35</v>
      </c>
      <c r="H98" s="17"/>
      <c r="I98" s="16"/>
      <c r="J98" s="16"/>
      <c r="K98" s="17"/>
      <c r="N98" s="37"/>
    </row>
    <row r="99" spans="3:14">
      <c r="C99" s="17"/>
      <c r="D99" s="17"/>
      <c r="E99" s="28">
        <v>44902</v>
      </c>
      <c r="F99" s="34"/>
      <c r="G99" s="34">
        <v>9742.93</v>
      </c>
      <c r="H99" s="17"/>
      <c r="I99" s="16"/>
      <c r="J99" s="16"/>
      <c r="K99" s="17"/>
      <c r="N99" s="37"/>
    </row>
    <row r="100" spans="3:14">
      <c r="C100" s="17" t="s">
        <v>33</v>
      </c>
      <c r="D100" s="17"/>
      <c r="E100" s="28">
        <v>44960</v>
      </c>
      <c r="F100" s="34"/>
      <c r="G100" s="34">
        <v>-9596.06</v>
      </c>
      <c r="H100" s="17"/>
      <c r="I100" s="16"/>
      <c r="J100" s="16"/>
      <c r="K100" s="17"/>
      <c r="N100" s="37"/>
    </row>
    <row r="101" spans="3:14">
      <c r="C101" s="17"/>
      <c r="D101" s="17"/>
      <c r="E101" s="28">
        <v>44979</v>
      </c>
      <c r="F101" s="34"/>
      <c r="G101" s="34">
        <v>-11176.25</v>
      </c>
      <c r="H101" s="17"/>
      <c r="I101" s="16"/>
      <c r="J101" s="16"/>
      <c r="K101" s="17"/>
      <c r="N101" s="37"/>
    </row>
    <row r="102" spans="3:14">
      <c r="C102" s="17"/>
      <c r="D102" s="17"/>
      <c r="E102" s="28">
        <v>45013</v>
      </c>
      <c r="F102" s="34"/>
      <c r="G102" s="34">
        <v>-22984.57</v>
      </c>
      <c r="H102" s="17"/>
      <c r="I102" s="16"/>
      <c r="J102" s="16"/>
      <c r="K102" s="17"/>
      <c r="N102" s="37"/>
    </row>
    <row r="103" spans="3:14">
      <c r="C103" s="17"/>
      <c r="D103" s="17"/>
      <c r="E103" s="28">
        <v>45022</v>
      </c>
      <c r="F103" s="34"/>
      <c r="G103" s="34">
        <v>-13819.48</v>
      </c>
      <c r="H103" s="17"/>
      <c r="I103" s="16"/>
      <c r="J103" s="16"/>
      <c r="K103" s="17"/>
      <c r="N103" s="37"/>
    </row>
    <row r="104" spans="3:14">
      <c r="C104" s="17"/>
      <c r="D104" s="17"/>
      <c r="E104" s="28">
        <v>45028</v>
      </c>
      <c r="F104" s="34"/>
      <c r="G104" s="34">
        <v>-4194.6899999999996</v>
      </c>
      <c r="H104" s="17"/>
      <c r="I104" s="16"/>
      <c r="J104" s="16"/>
      <c r="K104" s="17"/>
      <c r="N104" s="37"/>
    </row>
    <row r="105" spans="3:14">
      <c r="C105" s="17"/>
      <c r="D105" s="17"/>
      <c r="E105" s="28">
        <v>45047</v>
      </c>
      <c r="F105" s="34"/>
      <c r="G105" s="34">
        <v>-49876.52</v>
      </c>
      <c r="H105" s="17"/>
      <c r="I105" s="16"/>
      <c r="J105" s="16"/>
      <c r="K105" s="17"/>
      <c r="N105" s="37"/>
    </row>
    <row r="106" spans="3:14">
      <c r="C106" s="17"/>
      <c r="D106" s="17"/>
      <c r="E106" s="28">
        <v>45061</v>
      </c>
      <c r="F106" s="34"/>
      <c r="G106" s="34">
        <v>-15083.62</v>
      </c>
      <c r="H106" s="17"/>
      <c r="I106" s="16"/>
      <c r="J106" s="16"/>
      <c r="K106" s="17"/>
      <c r="N106" s="37"/>
    </row>
    <row r="107" spans="3:14">
      <c r="C107" s="17"/>
      <c r="D107" s="17"/>
      <c r="E107" s="28">
        <v>45182</v>
      </c>
      <c r="F107" s="34"/>
      <c r="G107" s="34">
        <v>-9050.18</v>
      </c>
      <c r="H107" s="17"/>
      <c r="I107" s="16"/>
      <c r="J107" s="16"/>
      <c r="K107" s="17"/>
      <c r="N107" s="37"/>
    </row>
    <row r="108" spans="3:14">
      <c r="C108" s="17"/>
      <c r="D108" s="17"/>
      <c r="E108" s="28">
        <v>45198</v>
      </c>
      <c r="F108" s="34"/>
      <c r="G108" s="34">
        <v>-5257.72</v>
      </c>
      <c r="H108" s="17"/>
      <c r="I108" s="16"/>
      <c r="J108" s="16"/>
      <c r="K108" s="17"/>
      <c r="N108" s="37"/>
    </row>
    <row r="109" spans="3:14">
      <c r="C109" s="17"/>
      <c r="D109" s="17"/>
      <c r="E109" s="28">
        <v>45229</v>
      </c>
      <c r="F109" s="34"/>
      <c r="G109" s="34">
        <v>-27495.3</v>
      </c>
      <c r="H109" s="17"/>
      <c r="I109" s="16"/>
      <c r="J109" s="16"/>
      <c r="K109" s="17"/>
      <c r="N109" s="37"/>
    </row>
    <row r="110" spans="3:14">
      <c r="C110" s="17"/>
      <c r="D110" s="17"/>
      <c r="E110" s="28">
        <v>45244</v>
      </c>
      <c r="F110" s="34"/>
      <c r="G110" s="34">
        <v>-15600.79</v>
      </c>
      <c r="H110" s="17"/>
      <c r="I110" s="16"/>
      <c r="J110" s="16"/>
      <c r="K110" s="17"/>
      <c r="N110" s="37"/>
    </row>
    <row r="111" spans="3:14">
      <c r="C111" s="17"/>
      <c r="D111" s="17"/>
      <c r="E111" s="28">
        <v>45280</v>
      </c>
      <c r="F111" s="34"/>
      <c r="G111" s="34">
        <v>-13129.94</v>
      </c>
      <c r="H111" s="17"/>
      <c r="I111" s="16"/>
      <c r="J111" s="16"/>
      <c r="K111" s="17"/>
      <c r="N111" s="37"/>
    </row>
    <row r="112" spans="3:14">
      <c r="C112" s="17" t="s">
        <v>24</v>
      </c>
      <c r="D112" s="17"/>
      <c r="E112" s="28">
        <v>44939</v>
      </c>
      <c r="F112" s="34"/>
      <c r="G112" s="34">
        <v>8083.49</v>
      </c>
      <c r="H112" s="17"/>
      <c r="I112" s="16"/>
      <c r="J112" s="16"/>
      <c r="K112" s="17"/>
      <c r="N112" s="37"/>
    </row>
    <row r="113" spans="3:14">
      <c r="C113" s="17"/>
      <c r="D113" s="17"/>
      <c r="E113" s="28">
        <v>44966</v>
      </c>
      <c r="F113" s="34"/>
      <c r="G113" s="34">
        <v>8423.23</v>
      </c>
      <c r="H113" s="17"/>
      <c r="I113" s="16"/>
      <c r="J113" s="16"/>
      <c r="K113" s="17"/>
      <c r="N113" s="37"/>
    </row>
    <row r="114" spans="3:14">
      <c r="C114" s="17"/>
      <c r="D114" s="17"/>
      <c r="E114" s="28">
        <v>44995</v>
      </c>
      <c r="F114" s="34"/>
      <c r="G114" s="34">
        <v>12010.54</v>
      </c>
      <c r="H114" s="17"/>
      <c r="I114" s="16"/>
      <c r="J114" s="16"/>
      <c r="K114" s="17"/>
      <c r="N114" s="37"/>
    </row>
    <row r="115" spans="3:14">
      <c r="C115" s="17"/>
      <c r="D115" s="17"/>
      <c r="E115" s="28">
        <v>45027</v>
      </c>
      <c r="F115" s="34"/>
      <c r="G115" s="34">
        <v>17176.38</v>
      </c>
      <c r="H115" s="17"/>
      <c r="I115" s="16"/>
      <c r="J115" s="16"/>
      <c r="K115" s="17"/>
      <c r="N115" s="37"/>
    </row>
    <row r="116" spans="3:14">
      <c r="C116" s="17"/>
      <c r="D116" s="17"/>
      <c r="E116" s="28">
        <v>45055</v>
      </c>
      <c r="F116" s="34"/>
      <c r="G116" s="34">
        <v>10405.26</v>
      </c>
      <c r="H116" s="17"/>
      <c r="I116" s="16"/>
      <c r="J116" s="16"/>
      <c r="K116" s="17"/>
      <c r="N116" s="37"/>
    </row>
    <row r="117" spans="3:14">
      <c r="C117" s="17"/>
      <c r="D117" s="17"/>
      <c r="E117" s="28">
        <v>45090</v>
      </c>
      <c r="F117" s="34"/>
      <c r="G117" s="34">
        <v>335778.39</v>
      </c>
      <c r="H117" s="17"/>
      <c r="I117" s="16"/>
      <c r="J117" s="16"/>
      <c r="K117" s="17"/>
      <c r="N117" s="37"/>
    </row>
    <row r="118" spans="3:14">
      <c r="C118" s="17"/>
      <c r="D118" s="17"/>
      <c r="E118" s="28">
        <v>45113</v>
      </c>
      <c r="F118" s="34"/>
      <c r="G118" s="34">
        <v>125016.43</v>
      </c>
      <c r="H118" s="17"/>
      <c r="I118" s="16"/>
      <c r="J118" s="16"/>
      <c r="K118" s="17"/>
      <c r="N118" s="37"/>
    </row>
    <row r="119" spans="3:14">
      <c r="C119" s="17"/>
      <c r="D119" s="17"/>
      <c r="E119" s="28">
        <v>45141</v>
      </c>
      <c r="F119" s="34"/>
      <c r="G119" s="34">
        <v>10153.36</v>
      </c>
      <c r="H119" s="17"/>
      <c r="I119" s="16"/>
      <c r="J119" s="16"/>
      <c r="K119" s="17"/>
      <c r="N119" s="37"/>
    </row>
    <row r="120" spans="3:14">
      <c r="C120" s="17"/>
      <c r="D120" s="17"/>
      <c r="E120" s="28">
        <v>45177</v>
      </c>
      <c r="F120" s="34"/>
      <c r="G120" s="34">
        <v>16426.349999999999</v>
      </c>
      <c r="H120" s="17"/>
      <c r="I120" s="16"/>
      <c r="J120" s="16"/>
      <c r="K120" s="17"/>
      <c r="N120" s="37"/>
    </row>
    <row r="121" spans="3:14">
      <c r="C121" s="17"/>
      <c r="D121" s="17"/>
      <c r="E121" s="28">
        <v>45189</v>
      </c>
      <c r="F121" s="34"/>
      <c r="G121" s="34">
        <v>68757.990000000005</v>
      </c>
      <c r="H121" s="17"/>
      <c r="I121" s="16"/>
      <c r="J121" s="16"/>
      <c r="K121" s="17"/>
      <c r="N121" s="37"/>
    </row>
    <row r="122" spans="3:14">
      <c r="C122" s="17"/>
      <c r="D122" s="17"/>
      <c r="E122" s="28">
        <v>45197</v>
      </c>
      <c r="F122" s="34"/>
      <c r="G122" s="34">
        <v>15314.73</v>
      </c>
      <c r="H122" s="17"/>
      <c r="I122" s="16"/>
      <c r="J122" s="16"/>
      <c r="K122" s="17"/>
      <c r="N122" s="37"/>
    </row>
    <row r="123" spans="3:14">
      <c r="C123" s="17"/>
      <c r="D123" s="17"/>
      <c r="E123" s="28">
        <v>45243</v>
      </c>
      <c r="F123" s="34"/>
      <c r="G123" s="34">
        <v>22020.61</v>
      </c>
      <c r="H123" s="17"/>
      <c r="I123" s="16"/>
      <c r="J123" s="16"/>
      <c r="K123" s="17"/>
      <c r="N123" s="37"/>
    </row>
    <row r="124" spans="3:14">
      <c r="C124" s="17"/>
      <c r="D124" s="17"/>
      <c r="E124" s="28">
        <v>45273</v>
      </c>
      <c r="F124" s="34"/>
      <c r="G124" s="34">
        <v>68229.75</v>
      </c>
      <c r="H124" s="17"/>
      <c r="I124" s="16"/>
      <c r="J124" s="16"/>
      <c r="K124" s="17"/>
      <c r="N124" s="37"/>
    </row>
    <row r="125" spans="3:14">
      <c r="C125" s="17" t="s">
        <v>36</v>
      </c>
      <c r="D125" s="17"/>
      <c r="E125" s="28">
        <v>45390</v>
      </c>
      <c r="F125" s="34"/>
      <c r="G125" s="34">
        <v>-12555.33</v>
      </c>
      <c r="H125" s="17"/>
      <c r="I125" s="16"/>
      <c r="J125" s="16"/>
      <c r="K125" s="17"/>
      <c r="N125" s="37"/>
    </row>
    <row r="126" spans="3:14">
      <c r="C126" s="17"/>
      <c r="D126" s="17"/>
      <c r="E126" s="28">
        <v>45432</v>
      </c>
      <c r="F126" s="34"/>
      <c r="G126" s="34">
        <v>-42521.48</v>
      </c>
      <c r="H126" s="17"/>
      <c r="I126" s="16"/>
      <c r="J126" s="16"/>
      <c r="K126" s="17"/>
      <c r="N126" s="37"/>
    </row>
    <row r="127" spans="3:14">
      <c r="C127" s="17" t="s">
        <v>35</v>
      </c>
      <c r="D127" s="17"/>
      <c r="E127" s="28">
        <v>45303</v>
      </c>
      <c r="F127" s="34"/>
      <c r="G127" s="34">
        <v>59885.87</v>
      </c>
      <c r="H127" s="17"/>
      <c r="I127" s="16"/>
      <c r="J127" s="16"/>
      <c r="K127" s="17"/>
      <c r="N127" s="37"/>
    </row>
    <row r="128" spans="3:14">
      <c r="C128" s="17"/>
      <c r="D128" s="17"/>
      <c r="E128" s="28">
        <v>45331</v>
      </c>
      <c r="F128" s="34"/>
      <c r="G128" s="34">
        <v>14665.67</v>
      </c>
      <c r="H128" s="17"/>
      <c r="I128" s="16"/>
      <c r="J128" s="16"/>
      <c r="K128" s="17"/>
      <c r="N128" s="37"/>
    </row>
    <row r="129" spans="3:14">
      <c r="C129" s="17"/>
      <c r="D129" s="17"/>
      <c r="E129" s="28">
        <v>45362</v>
      </c>
      <c r="F129" s="34"/>
      <c r="G129" s="34">
        <v>28244.71</v>
      </c>
      <c r="H129" s="17"/>
      <c r="I129" s="16"/>
      <c r="J129" s="16"/>
      <c r="K129" s="17"/>
      <c r="N129" s="37"/>
    </row>
    <row r="130" spans="3:14">
      <c r="C130" s="17"/>
      <c r="D130" s="17"/>
      <c r="E130" s="28">
        <v>45386</v>
      </c>
      <c r="F130" s="34"/>
      <c r="G130" s="34">
        <v>17461.419999999998</v>
      </c>
      <c r="H130" s="17"/>
      <c r="I130" s="16"/>
      <c r="J130" s="16"/>
      <c r="K130" s="17"/>
      <c r="N130" s="37"/>
    </row>
    <row r="131" spans="3:14">
      <c r="C131" s="17"/>
      <c r="D131" s="17"/>
      <c r="E131" s="28">
        <v>45419</v>
      </c>
      <c r="F131" s="34"/>
      <c r="G131" s="34">
        <v>19642.599999999999</v>
      </c>
      <c r="H131" s="17"/>
      <c r="I131" s="16"/>
      <c r="J131" s="16"/>
      <c r="K131" s="17"/>
      <c r="N131" s="37"/>
    </row>
    <row r="132" spans="3:14">
      <c r="C132" s="17"/>
      <c r="D132" s="17"/>
      <c r="E132" s="28">
        <v>45448</v>
      </c>
      <c r="F132" s="34"/>
      <c r="G132" s="34">
        <v>35036.730000000003</v>
      </c>
      <c r="H132" s="17"/>
      <c r="I132" s="16"/>
      <c r="J132" s="16"/>
      <c r="K132" s="17"/>
      <c r="N132" s="37"/>
    </row>
    <row r="133" spans="3:14" ht="4.5" customHeight="1">
      <c r="C133" s="17"/>
      <c r="D133" s="17"/>
      <c r="E133" s="28"/>
      <c r="F133" s="17"/>
      <c r="G133" s="34"/>
      <c r="H133" s="17"/>
      <c r="I133" s="16"/>
    </row>
    <row r="134" spans="3:14">
      <c r="C134" s="17" t="s">
        <v>25</v>
      </c>
      <c r="D134" s="17"/>
      <c r="E134" s="28">
        <f>+E8</f>
        <v>45473</v>
      </c>
      <c r="F134" s="17"/>
      <c r="G134" s="35">
        <f>L134/0.97*C22</f>
        <v>2418704.297685592</v>
      </c>
      <c r="H134" s="17"/>
      <c r="I134" s="28"/>
      <c r="L134" s="59">
        <v>8165975029</v>
      </c>
      <c r="N134" s="37"/>
    </row>
    <row r="135" spans="3:14">
      <c r="C135" s="17"/>
      <c r="D135" s="17"/>
      <c r="E135" s="17"/>
      <c r="F135" s="17"/>
      <c r="G135" s="17"/>
      <c r="H135" s="17"/>
      <c r="J135" s="16"/>
    </row>
    <row r="136" spans="3:14">
      <c r="C136" t="s">
        <v>28</v>
      </c>
      <c r="G136" s="38">
        <f>XIRR(G24:G134,E24:E134,0.1)</f>
        <v>0.22160022854804992</v>
      </c>
      <c r="H136" s="17"/>
      <c r="J136" s="34">
        <f>+SUMIF($G$24:$G$133,"&lt;0",$G$24:$G$133)+G53+G70</f>
        <v>-1933759.3399999994</v>
      </c>
      <c r="K136" s="17" t="s">
        <v>26</v>
      </c>
    </row>
    <row r="137" spans="3:14">
      <c r="C137" s="17"/>
      <c r="D137" s="17"/>
      <c r="E137" s="17"/>
      <c r="F137" s="17"/>
      <c r="G137" s="17"/>
      <c r="H137" s="17"/>
      <c r="J137" s="34">
        <f>+SUMIF($G$24:$G$133,"&gt;0",$G$24:$G$133)-G53-G70</f>
        <v>1153118.8999999999</v>
      </c>
      <c r="K137" s="17" t="s">
        <v>27</v>
      </c>
    </row>
    <row r="138" spans="3:14">
      <c r="C138" s="17"/>
      <c r="D138" s="17"/>
      <c r="E138" s="17"/>
      <c r="F138" s="17"/>
      <c r="G138" s="17"/>
      <c r="H138" s="17"/>
    </row>
    <row r="139" spans="3:14">
      <c r="C139" s="17"/>
      <c r="D139" s="17"/>
      <c r="E139" s="11"/>
      <c r="F139" s="17"/>
      <c r="G139" s="40"/>
      <c r="H139" s="17"/>
      <c r="K139" s="39"/>
    </row>
    <row r="140" spans="3:14">
      <c r="D140" s="40"/>
      <c r="E140" s="11"/>
      <c r="F140" s="40"/>
      <c r="G140" s="39"/>
      <c r="H140" s="17"/>
      <c r="K140" s="39"/>
    </row>
    <row r="141" spans="3:14">
      <c r="C141" s="40"/>
      <c r="D141" s="40"/>
      <c r="E141" s="39"/>
      <c r="F141" s="40"/>
      <c r="G141" s="39"/>
      <c r="H141" s="17"/>
      <c r="K141" s="39"/>
    </row>
    <row r="142" spans="3:14">
      <c r="C142" s="40"/>
      <c r="D142" s="40"/>
      <c r="E142" s="2"/>
      <c r="F142" s="2"/>
      <c r="G142" s="2"/>
      <c r="K142" s="39"/>
    </row>
    <row r="143" spans="3:14">
      <c r="C143" s="40"/>
      <c r="D143" s="40"/>
      <c r="E143" s="39"/>
      <c r="F143" s="39"/>
      <c r="G143" s="39"/>
      <c r="K143" s="39"/>
    </row>
    <row r="144" spans="3:14">
      <c r="C144" s="40"/>
      <c r="D144" s="40"/>
      <c r="E144" s="40"/>
      <c r="F144" s="40"/>
      <c r="G144" s="40"/>
      <c r="K144" s="37"/>
    </row>
    <row r="145" spans="3:11">
      <c r="C145" s="40"/>
      <c r="D145" s="40"/>
      <c r="E145" s="60"/>
      <c r="F145" s="41"/>
      <c r="G145" s="60"/>
    </row>
    <row r="146" spans="3:11">
      <c r="C146" s="40"/>
      <c r="D146" s="40"/>
      <c r="E146" s="42"/>
      <c r="F146" s="41"/>
      <c r="G146" s="42"/>
      <c r="K146" s="37"/>
    </row>
    <row r="147" spans="3:11">
      <c r="C147" s="40"/>
      <c r="D147" s="40"/>
      <c r="E147" s="42"/>
      <c r="F147" s="41"/>
      <c r="G147" s="42"/>
    </row>
    <row r="148" spans="3:11">
      <c r="C148" s="43"/>
      <c r="D148" s="40"/>
      <c r="E148" s="42"/>
      <c r="F148" s="41"/>
      <c r="G148" s="42"/>
    </row>
    <row r="149" spans="3:11">
      <c r="C149" s="43"/>
      <c r="D149" s="40"/>
      <c r="E149" s="42"/>
      <c r="F149" s="41"/>
      <c r="G149" s="42"/>
    </row>
    <row r="150" spans="3:11">
      <c r="C150" s="44"/>
      <c r="D150" s="40"/>
      <c r="E150" s="42"/>
      <c r="F150" s="41"/>
      <c r="G150" s="42"/>
    </row>
    <row r="151" spans="3:11">
      <c r="C151" s="40"/>
      <c r="D151" s="40"/>
      <c r="E151" s="42"/>
      <c r="F151" s="41"/>
      <c r="G151" s="42"/>
    </row>
    <row r="152" spans="3:11">
      <c r="C152" s="40"/>
      <c r="D152" s="40"/>
      <c r="E152" s="42"/>
      <c r="F152" s="41"/>
      <c r="G152" s="42"/>
    </row>
    <row r="153" spans="3:11">
      <c r="C153" s="40"/>
      <c r="D153" s="40"/>
      <c r="E153" s="42"/>
      <c r="F153" s="41"/>
      <c r="G153" s="42"/>
    </row>
    <row r="154" spans="3:11">
      <c r="C154" s="40"/>
      <c r="D154" s="40"/>
      <c r="E154" s="42"/>
      <c r="F154" s="41"/>
      <c r="G154" s="42"/>
    </row>
    <row r="155" spans="3:11">
      <c r="C155" s="40"/>
      <c r="D155" s="40"/>
      <c r="E155" s="42"/>
      <c r="F155" s="41"/>
      <c r="G155" s="42"/>
    </row>
    <row r="156" spans="3:11">
      <c r="C156" s="40"/>
      <c r="D156" s="40"/>
      <c r="E156" s="42"/>
      <c r="F156" s="41"/>
      <c r="G156" s="42"/>
    </row>
    <row r="157" spans="3:11" ht="5.15" customHeight="1">
      <c r="E157" s="85"/>
      <c r="F157" s="45"/>
      <c r="G157" s="85"/>
    </row>
    <row r="158" spans="3:11">
      <c r="E158" s="86"/>
      <c r="F158" s="46"/>
      <c r="G158" s="86"/>
    </row>
    <row r="159" spans="3:11">
      <c r="C159" s="17"/>
      <c r="D159" s="17"/>
      <c r="E159" s="47"/>
      <c r="F159" s="48"/>
      <c r="G159" s="47"/>
      <c r="H159" s="17"/>
    </row>
    <row r="160" spans="3:11">
      <c r="C160" s="17"/>
      <c r="D160" s="17"/>
      <c r="E160" s="47"/>
      <c r="F160" s="48"/>
      <c r="G160" s="47"/>
      <c r="H160" s="17"/>
    </row>
    <row r="161" spans="3:8">
      <c r="C161" s="17"/>
      <c r="D161" s="17"/>
      <c r="E161" s="47"/>
      <c r="F161" s="48"/>
      <c r="G161" s="47"/>
      <c r="H161" s="17"/>
    </row>
    <row r="162" spans="3:8">
      <c r="C162" s="17"/>
      <c r="D162" s="17"/>
      <c r="E162" s="49"/>
      <c r="F162" s="49"/>
      <c r="G162" s="49"/>
      <c r="H162" s="17"/>
    </row>
    <row r="163" spans="3:8">
      <c r="C163" s="17"/>
      <c r="D163" s="17"/>
      <c r="E163" s="17"/>
      <c r="F163" s="17"/>
      <c r="G163" s="17"/>
      <c r="H163" s="17"/>
    </row>
    <row r="164" spans="3:8">
      <c r="C164" s="17"/>
      <c r="D164" s="17"/>
      <c r="E164" s="17"/>
      <c r="F164" s="17"/>
      <c r="G164" s="17"/>
      <c r="H164" s="17"/>
    </row>
    <row r="165" spans="3:8">
      <c r="C165" s="17"/>
      <c r="D165" s="17"/>
      <c r="E165" s="17"/>
      <c r="F165" s="17"/>
      <c r="G165" s="17"/>
      <c r="H165" s="17"/>
    </row>
    <row r="166" spans="3:8">
      <c r="C166" s="17"/>
      <c r="D166" s="17"/>
      <c r="E166" s="17"/>
      <c r="F166" s="17"/>
      <c r="G166" s="17"/>
      <c r="H166" s="17"/>
    </row>
    <row r="167" spans="3:8">
      <c r="C167" s="17"/>
      <c r="D167" s="17"/>
      <c r="E167" s="17"/>
      <c r="F167" s="17"/>
      <c r="G167" s="17"/>
      <c r="H167" s="17"/>
    </row>
    <row r="168" spans="3:8">
      <c r="C168" s="17"/>
      <c r="D168" s="17"/>
      <c r="E168" s="17"/>
      <c r="F168" s="17"/>
      <c r="G168" s="17"/>
      <c r="H168" s="17"/>
    </row>
    <row r="169" spans="3:8">
      <c r="C169" s="17"/>
      <c r="D169" s="17"/>
      <c r="E169" s="17"/>
      <c r="F169" s="17"/>
      <c r="G169" s="17"/>
      <c r="H169" s="17"/>
    </row>
    <row r="170" spans="3:8">
      <c r="C170" s="17"/>
      <c r="D170" s="17"/>
      <c r="E170" s="17"/>
      <c r="F170" s="17"/>
      <c r="G170" s="17"/>
      <c r="H170" s="17"/>
    </row>
    <row r="171" spans="3:8">
      <c r="C171" s="17"/>
      <c r="D171" s="17"/>
      <c r="E171" s="17"/>
      <c r="F171" s="17"/>
      <c r="G171" s="17"/>
      <c r="H171" s="17"/>
    </row>
    <row r="172" spans="3:8">
      <c r="C172" s="17"/>
      <c r="D172" s="17"/>
      <c r="E172" s="17"/>
      <c r="F172" s="17"/>
      <c r="G172" s="17"/>
      <c r="H172" s="17"/>
    </row>
  </sheetData>
  <mergeCells count="1">
    <mergeCell ref="E142:G142"/>
  </mergeCells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2BBB-C412-4772-81EF-20FC317E7EBF}">
  <sheetPr>
    <tabColor rgb="FF92D050"/>
    <pageSetUpPr fitToPage="1"/>
  </sheetPr>
  <dimension ref="B4:L172"/>
  <sheetViews>
    <sheetView showGridLines="0" view="pageLayout" topLeftCell="A102" zoomScaleNormal="100" workbookViewId="0">
      <selection activeCell="C125" sqref="C125:E132"/>
    </sheetView>
  </sheetViews>
  <sheetFormatPr defaultRowHeight="12.5"/>
  <cols>
    <col min="2" max="2" width="4.81640625" customWidth="1"/>
    <col min="3" max="3" width="41.453125" customWidth="1"/>
    <col min="4" max="4" width="2" customWidth="1"/>
    <col min="5" max="5" width="10.54296875" customWidth="1"/>
    <col min="6" max="6" width="2.26953125" customWidth="1"/>
    <col min="7" max="7" width="14.81640625" customWidth="1"/>
    <col min="8" max="8" width="2.453125" customWidth="1"/>
    <col min="9" max="9" width="7.453125" customWidth="1"/>
    <col min="10" max="10" width="12.54296875" bestFit="1" customWidth="1"/>
    <col min="11" max="11" width="10.1796875" customWidth="1"/>
    <col min="12" max="12" width="15" customWidth="1"/>
  </cols>
  <sheetData>
    <row r="4" spans="2:9" ht="18">
      <c r="B4" s="3" t="s">
        <v>34</v>
      </c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62">
        <f>'Fund XI'!E8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50"/>
    </row>
    <row r="18" spans="3:12" ht="12.75" customHeight="1">
      <c r="C18" s="13" t="s">
        <v>1</v>
      </c>
      <c r="D18" s="13"/>
      <c r="E18" s="21">
        <f>G136</f>
        <v>0.20284774899482727</v>
      </c>
      <c r="F18" s="13"/>
      <c r="G18" s="20"/>
      <c r="H18" s="21"/>
      <c r="I18" s="50"/>
    </row>
    <row r="19" spans="3:12">
      <c r="C19" s="13" t="s">
        <v>2</v>
      </c>
      <c r="D19" s="13"/>
      <c r="E19" s="25">
        <f>-(G134+J137)/J136</f>
        <v>1.7493065004923005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12"/>
    </row>
    <row r="22" spans="3:12">
      <c r="C22" s="30">
        <v>2.7350044E-2</v>
      </c>
      <c r="D22" s="17"/>
      <c r="E22" s="17"/>
      <c r="F22" s="17"/>
      <c r="G22" s="31"/>
      <c r="H22" s="17"/>
      <c r="I22" s="17"/>
      <c r="J22" s="16"/>
      <c r="K22" s="17"/>
      <c r="L22" s="59"/>
    </row>
    <row r="23" spans="3:12">
      <c r="C23" s="17"/>
      <c r="D23" s="17"/>
      <c r="E23" s="28"/>
      <c r="F23" s="34"/>
      <c r="G23" s="34"/>
      <c r="H23" s="17"/>
      <c r="I23" s="16"/>
      <c r="J23" s="16"/>
      <c r="K23" s="17"/>
      <c r="L23" s="59"/>
    </row>
    <row r="24" spans="3:12">
      <c r="C24" s="17" t="s">
        <v>15</v>
      </c>
      <c r="D24" s="17"/>
      <c r="E24" s="28">
        <v>42933</v>
      </c>
      <c r="F24" s="34"/>
      <c r="G24" s="34">
        <v>-422500</v>
      </c>
      <c r="H24" s="17"/>
      <c r="I24" s="16"/>
      <c r="J24" s="16"/>
      <c r="K24" s="17"/>
      <c r="L24" s="59"/>
    </row>
    <row r="25" spans="3:12">
      <c r="C25" s="17"/>
      <c r="D25" s="17"/>
      <c r="E25" s="28">
        <v>43010</v>
      </c>
      <c r="F25" s="34"/>
      <c r="G25" s="34">
        <v>-102500</v>
      </c>
      <c r="H25" s="17"/>
      <c r="I25" s="16"/>
      <c r="J25" s="16"/>
      <c r="K25" s="17"/>
      <c r="L25" s="59"/>
    </row>
    <row r="26" spans="3:12">
      <c r="C26" s="17"/>
      <c r="D26" s="17"/>
      <c r="E26" s="28">
        <v>43052</v>
      </c>
      <c r="F26" s="34"/>
      <c r="G26" s="34">
        <v>-45000</v>
      </c>
      <c r="H26" s="17"/>
      <c r="I26" s="16"/>
      <c r="J26" s="16"/>
      <c r="K26" s="17"/>
    </row>
    <row r="27" spans="3:12">
      <c r="C27" s="17"/>
      <c r="D27" s="17"/>
      <c r="E27" s="28">
        <v>43087</v>
      </c>
      <c r="F27" s="34"/>
      <c r="G27" s="34">
        <v>-197947.88</v>
      </c>
      <c r="H27" s="17"/>
      <c r="I27" s="16"/>
      <c r="J27" s="16"/>
    </row>
    <row r="28" spans="3:12">
      <c r="C28" s="17"/>
      <c r="D28" s="17"/>
      <c r="E28" s="28">
        <v>43096</v>
      </c>
      <c r="F28" s="34"/>
      <c r="G28" s="34">
        <v>-121387.29</v>
      </c>
      <c r="H28" s="17"/>
      <c r="I28" s="16"/>
      <c r="J28" s="16"/>
      <c r="K28" s="17"/>
    </row>
    <row r="29" spans="3:12">
      <c r="C29" s="17" t="s">
        <v>17</v>
      </c>
      <c r="D29" s="17"/>
      <c r="E29" s="28">
        <v>43182</v>
      </c>
      <c r="F29" s="34"/>
      <c r="G29" s="34">
        <v>-878082.53</v>
      </c>
      <c r="H29" s="17"/>
      <c r="I29" s="16"/>
      <c r="J29" s="16"/>
      <c r="K29" s="17"/>
    </row>
    <row r="30" spans="3:12">
      <c r="C30" s="17"/>
      <c r="D30" s="17"/>
      <c r="E30" s="28">
        <v>43276</v>
      </c>
      <c r="F30" s="34"/>
      <c r="G30" s="34">
        <v>-311728.27</v>
      </c>
      <c r="H30" s="17"/>
      <c r="I30" s="16"/>
      <c r="J30" s="16"/>
      <c r="K30" s="17"/>
    </row>
    <row r="31" spans="3:12">
      <c r="C31" s="17"/>
      <c r="D31" s="17"/>
      <c r="E31" s="28">
        <v>43363</v>
      </c>
      <c r="F31" s="34"/>
      <c r="G31" s="34">
        <v>-232359.67</v>
      </c>
      <c r="H31" s="17"/>
      <c r="I31" s="16"/>
      <c r="J31" s="16"/>
      <c r="K31" s="17"/>
    </row>
    <row r="32" spans="3:12">
      <c r="C32" s="17"/>
      <c r="D32" s="17"/>
      <c r="E32" s="28">
        <v>43398</v>
      </c>
      <c r="F32" s="34"/>
      <c r="G32" s="34">
        <v>-203628.95</v>
      </c>
      <c r="H32" s="17"/>
      <c r="I32" s="16"/>
      <c r="J32" s="16"/>
      <c r="K32" s="17"/>
    </row>
    <row r="33" spans="3:11">
      <c r="C33" s="17"/>
      <c r="D33" s="17"/>
      <c r="E33" s="28">
        <v>43433</v>
      </c>
      <c r="F33" s="34"/>
      <c r="G33" s="34">
        <v>-165201.60999999999</v>
      </c>
      <c r="H33" s="17"/>
      <c r="I33" s="16"/>
      <c r="J33" s="16"/>
      <c r="K33" s="17"/>
    </row>
    <row r="34" spans="3:11">
      <c r="C34" s="17" t="s">
        <v>19</v>
      </c>
      <c r="D34" s="17"/>
      <c r="E34" s="28">
        <v>43468</v>
      </c>
      <c r="F34" s="34"/>
      <c r="G34" s="34">
        <v>-280483.64</v>
      </c>
      <c r="H34" s="17"/>
      <c r="I34" s="16"/>
      <c r="J34" s="16"/>
      <c r="K34" s="17"/>
    </row>
    <row r="35" spans="3:11">
      <c r="C35" s="17"/>
      <c r="D35" s="17"/>
      <c r="E35" s="28">
        <v>43495</v>
      </c>
      <c r="F35" s="34"/>
      <c r="G35" s="34">
        <v>-462205.41</v>
      </c>
      <c r="H35" s="17"/>
      <c r="I35" s="16"/>
      <c r="J35" s="16"/>
      <c r="K35" s="17"/>
    </row>
    <row r="36" spans="3:11">
      <c r="C36" s="17"/>
      <c r="D36" s="17"/>
      <c r="E36" s="28">
        <v>43510</v>
      </c>
      <c r="F36" s="34"/>
      <c r="G36" s="34">
        <v>-185672.25</v>
      </c>
      <c r="H36" s="17"/>
      <c r="I36" s="16"/>
      <c r="J36" s="16"/>
      <c r="K36" s="17"/>
    </row>
    <row r="37" spans="3:11">
      <c r="C37" s="17"/>
      <c r="D37" s="17"/>
      <c r="E37" s="28">
        <v>43559</v>
      </c>
      <c r="F37" s="34"/>
      <c r="G37" s="34">
        <v>-257499.03</v>
      </c>
      <c r="H37" s="17"/>
      <c r="I37" s="16"/>
      <c r="J37" s="16"/>
      <c r="K37" s="17"/>
    </row>
    <row r="38" spans="3:11">
      <c r="C38" s="17"/>
      <c r="D38" s="17"/>
      <c r="E38" s="28">
        <v>43593</v>
      </c>
      <c r="F38" s="34"/>
      <c r="G38" s="34">
        <v>-256780.77</v>
      </c>
      <c r="H38" s="17"/>
      <c r="I38" s="16"/>
      <c r="J38" s="16"/>
      <c r="K38" s="17"/>
    </row>
    <row r="39" spans="3:11">
      <c r="C39" s="17"/>
      <c r="D39" s="17"/>
      <c r="E39" s="28">
        <v>43642</v>
      </c>
      <c r="F39" s="34"/>
      <c r="G39" s="34">
        <v>-410130.99</v>
      </c>
      <c r="H39" s="17"/>
      <c r="I39" s="16"/>
      <c r="J39" s="16"/>
      <c r="K39" s="17"/>
    </row>
    <row r="40" spans="3:11">
      <c r="C40" s="17"/>
      <c r="D40" s="17"/>
      <c r="E40" s="28">
        <v>43656</v>
      </c>
      <c r="F40" s="34"/>
      <c r="G40" s="34">
        <v>-304545.62</v>
      </c>
      <c r="H40" s="17"/>
      <c r="I40" s="16"/>
      <c r="J40" s="16"/>
      <c r="K40" s="17"/>
    </row>
    <row r="41" spans="3:11">
      <c r="C41" s="17"/>
      <c r="D41" s="17"/>
      <c r="E41" s="28">
        <v>43684</v>
      </c>
      <c r="F41" s="34"/>
      <c r="G41" s="34">
        <v>-265759.15999999997</v>
      </c>
      <c r="H41" s="17"/>
      <c r="I41" s="16"/>
      <c r="J41" s="16"/>
      <c r="K41" s="17"/>
    </row>
    <row r="42" spans="3:11">
      <c r="C42" s="17"/>
      <c r="D42" s="17"/>
      <c r="E42" s="28">
        <v>43768</v>
      </c>
      <c r="F42" s="34"/>
      <c r="G42" s="34">
        <v>-262886.05</v>
      </c>
      <c r="H42" s="17"/>
      <c r="I42" s="16"/>
      <c r="J42" s="16"/>
      <c r="K42" s="17"/>
    </row>
    <row r="43" spans="3:11">
      <c r="C43" s="17"/>
      <c r="D43" s="17"/>
      <c r="E43" s="28">
        <v>43817</v>
      </c>
      <c r="F43" s="34"/>
      <c r="G43" s="34">
        <v>-2021205.94</v>
      </c>
      <c r="H43" s="17"/>
      <c r="I43" s="16"/>
      <c r="J43" s="16"/>
      <c r="K43" s="17"/>
    </row>
    <row r="44" spans="3:11">
      <c r="C44" s="17" t="s">
        <v>21</v>
      </c>
      <c r="D44" s="17"/>
      <c r="E44" s="28">
        <v>44006</v>
      </c>
      <c r="F44" s="34"/>
      <c r="G44" s="34">
        <v>-149758.87</v>
      </c>
      <c r="H44" s="17"/>
      <c r="I44" s="16"/>
      <c r="J44" s="16"/>
      <c r="K44" s="17"/>
    </row>
    <row r="45" spans="3:11">
      <c r="C45" s="17"/>
      <c r="D45" s="17"/>
      <c r="E45" s="28">
        <v>44026</v>
      </c>
      <c r="F45" s="34"/>
      <c r="G45" s="34">
        <v>-370267.11</v>
      </c>
      <c r="H45" s="17"/>
      <c r="I45" s="16"/>
      <c r="J45" s="16"/>
      <c r="K45" s="17"/>
    </row>
    <row r="46" spans="3:11">
      <c r="C46" s="17"/>
      <c r="D46" s="17"/>
      <c r="E46" s="28">
        <v>44105</v>
      </c>
      <c r="F46" s="34"/>
      <c r="G46" s="34">
        <v>-127133.42</v>
      </c>
      <c r="H46" s="17"/>
      <c r="I46" s="16"/>
      <c r="J46" s="16"/>
      <c r="K46" s="17"/>
    </row>
    <row r="47" spans="3:11">
      <c r="C47" s="17"/>
      <c r="D47" s="17"/>
      <c r="E47" s="28">
        <v>44182</v>
      </c>
      <c r="F47" s="34"/>
      <c r="G47" s="34">
        <v>-515357.25</v>
      </c>
      <c r="H47" s="17"/>
      <c r="I47" s="16"/>
      <c r="J47" s="16"/>
      <c r="K47" s="17"/>
    </row>
    <row r="48" spans="3:11">
      <c r="C48" s="17"/>
      <c r="D48" s="17"/>
      <c r="E48" s="28">
        <v>44188</v>
      </c>
      <c r="F48" s="34"/>
      <c r="G48" s="34">
        <v>-119950.73</v>
      </c>
      <c r="H48" s="17"/>
      <c r="I48" s="16"/>
      <c r="J48" s="16"/>
      <c r="K48" s="17"/>
    </row>
    <row r="49" spans="3:11">
      <c r="C49" s="17" t="s">
        <v>31</v>
      </c>
      <c r="D49" s="17"/>
      <c r="E49" s="28">
        <v>44246</v>
      </c>
      <c r="F49" s="34"/>
      <c r="G49" s="34">
        <v>-110613.25</v>
      </c>
      <c r="H49" s="17"/>
      <c r="I49" s="16"/>
      <c r="J49" s="16"/>
      <c r="K49" s="17"/>
    </row>
    <row r="50" spans="3:11">
      <c r="C50" s="17"/>
      <c r="D50" s="17"/>
      <c r="E50" s="28">
        <v>44250</v>
      </c>
      <c r="F50" s="34"/>
      <c r="G50" s="34">
        <v>-116718.53</v>
      </c>
      <c r="H50" s="17"/>
      <c r="I50" s="16"/>
      <c r="J50" s="16"/>
      <c r="K50" s="17"/>
    </row>
    <row r="51" spans="3:11">
      <c r="C51" s="17"/>
      <c r="D51" s="17"/>
      <c r="E51" s="28">
        <v>44274</v>
      </c>
      <c r="F51" s="34"/>
      <c r="G51" s="34">
        <v>-183876.57</v>
      </c>
      <c r="H51" s="17"/>
      <c r="I51" s="16"/>
      <c r="J51" s="16"/>
      <c r="K51" s="17"/>
    </row>
    <row r="52" spans="3:11">
      <c r="C52" s="17"/>
      <c r="D52" s="17"/>
      <c r="E52" s="28">
        <v>44305</v>
      </c>
      <c r="F52" s="34"/>
      <c r="G52" s="34">
        <v>-2048500.12</v>
      </c>
      <c r="H52" s="17"/>
      <c r="I52" s="16"/>
      <c r="J52" s="16"/>
      <c r="K52" s="17"/>
    </row>
    <row r="53" spans="3:11">
      <c r="C53" s="17"/>
      <c r="D53" s="17"/>
      <c r="E53" s="28">
        <v>44362</v>
      </c>
      <c r="F53" s="34"/>
      <c r="G53" s="34">
        <v>321424.89</v>
      </c>
      <c r="H53" s="17"/>
      <c r="I53" s="16"/>
      <c r="J53" s="16"/>
      <c r="K53" s="17"/>
    </row>
    <row r="54" spans="3:11">
      <c r="C54" s="17"/>
      <c r="D54" s="17"/>
      <c r="E54" s="28">
        <v>44400</v>
      </c>
      <c r="F54" s="34"/>
      <c r="G54" s="34">
        <v>-251393.78</v>
      </c>
      <c r="H54" s="17"/>
      <c r="I54" s="16"/>
      <c r="J54" s="16"/>
      <c r="K54" s="17"/>
    </row>
    <row r="55" spans="3:11">
      <c r="C55" s="17"/>
      <c r="D55" s="17"/>
      <c r="E55" s="28">
        <v>44407</v>
      </c>
      <c r="F55" s="34"/>
      <c r="G55" s="34">
        <v>-269350.46999999997</v>
      </c>
      <c r="H55" s="17"/>
      <c r="I55" s="16"/>
      <c r="J55" s="16"/>
      <c r="K55" s="17"/>
    </row>
    <row r="56" spans="3:11">
      <c r="C56" s="17"/>
      <c r="D56" s="17"/>
      <c r="E56" s="28">
        <v>44440</v>
      </c>
      <c r="F56" s="34"/>
      <c r="G56" s="34">
        <v>-128569.95</v>
      </c>
      <c r="H56" s="17"/>
      <c r="I56" s="16"/>
      <c r="J56" s="16"/>
      <c r="K56" s="17"/>
    </row>
    <row r="57" spans="3:11">
      <c r="C57" s="17"/>
      <c r="D57" s="17"/>
      <c r="E57" s="28">
        <v>44453</v>
      </c>
      <c r="F57" s="34"/>
      <c r="G57" s="34">
        <v>-212248.17</v>
      </c>
      <c r="H57" s="17"/>
      <c r="I57" s="16"/>
      <c r="J57" s="16"/>
      <c r="K57" s="17"/>
    </row>
    <row r="58" spans="3:11">
      <c r="C58" s="17"/>
      <c r="D58" s="17"/>
      <c r="E58" s="28">
        <v>44473</v>
      </c>
      <c r="F58" s="34"/>
      <c r="G58" s="34">
        <v>-135393.5</v>
      </c>
      <c r="H58" s="17"/>
      <c r="I58" s="16"/>
      <c r="J58" s="16"/>
      <c r="K58" s="17"/>
    </row>
    <row r="59" spans="3:11">
      <c r="C59" s="17"/>
      <c r="D59" s="17"/>
      <c r="E59" s="28">
        <v>44496</v>
      </c>
      <c r="F59" s="34"/>
      <c r="G59" s="34">
        <v>-154427.59</v>
      </c>
      <c r="H59" s="17"/>
      <c r="I59" s="16"/>
      <c r="J59" s="16"/>
      <c r="K59" s="17"/>
    </row>
    <row r="60" spans="3:11">
      <c r="C60" s="17"/>
      <c r="D60" s="17"/>
      <c r="E60" s="28">
        <v>44537</v>
      </c>
      <c r="F60" s="34"/>
      <c r="G60" s="34">
        <v>-611605.14</v>
      </c>
      <c r="H60" s="17"/>
      <c r="I60" s="16"/>
      <c r="J60" s="16"/>
      <c r="K60" s="17"/>
    </row>
    <row r="61" spans="3:11">
      <c r="C61" s="17"/>
      <c r="D61" s="17"/>
      <c r="E61" s="28">
        <v>44550</v>
      </c>
      <c r="F61" s="34"/>
      <c r="G61" s="34">
        <v>-1449105.54</v>
      </c>
      <c r="H61" s="17"/>
      <c r="I61" s="16"/>
      <c r="J61" s="16"/>
      <c r="K61" s="17"/>
    </row>
    <row r="62" spans="3:11">
      <c r="C62" s="17" t="s">
        <v>22</v>
      </c>
      <c r="D62" s="17"/>
      <c r="E62" s="28">
        <v>44396</v>
      </c>
      <c r="F62" s="34"/>
      <c r="G62" s="34">
        <v>58254.94</v>
      </c>
      <c r="H62" s="17"/>
      <c r="I62" s="16"/>
      <c r="J62" s="16"/>
      <c r="K62" s="17"/>
    </row>
    <row r="63" spans="3:11">
      <c r="C63" s="17"/>
      <c r="D63" s="17"/>
      <c r="E63" s="28">
        <v>44476</v>
      </c>
      <c r="F63" s="34"/>
      <c r="G63" s="34">
        <v>53658.19</v>
      </c>
      <c r="H63" s="17"/>
      <c r="I63" s="16"/>
      <c r="J63" s="16"/>
      <c r="K63" s="17"/>
    </row>
    <row r="64" spans="3:11">
      <c r="C64" s="17"/>
      <c r="D64" s="17"/>
      <c r="E64" s="28">
        <v>44512</v>
      </c>
      <c r="F64" s="34"/>
      <c r="G64" s="34">
        <v>198424.12</v>
      </c>
      <c r="H64" s="17"/>
      <c r="I64" s="16"/>
      <c r="J64" s="16"/>
      <c r="K64" s="17"/>
    </row>
    <row r="65" spans="3:11">
      <c r="C65" s="17" t="s">
        <v>32</v>
      </c>
      <c r="D65" s="17"/>
      <c r="E65" s="28">
        <v>44565</v>
      </c>
      <c r="F65" s="34"/>
      <c r="G65" s="34">
        <v>-71467.649999999994</v>
      </c>
      <c r="H65" s="17"/>
      <c r="I65" s="16"/>
      <c r="J65" s="16"/>
      <c r="K65" s="17"/>
    </row>
    <row r="66" spans="3:11">
      <c r="C66" s="17"/>
      <c r="D66" s="17"/>
      <c r="E66" s="28">
        <v>44602</v>
      </c>
      <c r="F66" s="34"/>
      <c r="G66" s="34">
        <v>-220867.36</v>
      </c>
      <c r="H66" s="17"/>
      <c r="I66" s="16"/>
      <c r="J66" s="16"/>
      <c r="K66" s="17"/>
    </row>
    <row r="67" spans="3:11">
      <c r="C67" s="17"/>
      <c r="D67" s="17"/>
      <c r="E67" s="28">
        <v>44628</v>
      </c>
      <c r="F67" s="34"/>
      <c r="G67" s="34">
        <v>-164483.35999999999</v>
      </c>
      <c r="H67" s="17"/>
      <c r="I67" s="16"/>
      <c r="J67" s="16"/>
      <c r="K67" s="17"/>
    </row>
    <row r="68" spans="3:11">
      <c r="C68" s="17"/>
      <c r="D68" s="17"/>
      <c r="E68" s="28">
        <v>44641</v>
      </c>
      <c r="F68" s="34"/>
      <c r="G68" s="34">
        <v>-1077401.8700000001</v>
      </c>
      <c r="H68" s="17"/>
      <c r="I68" s="16"/>
      <c r="J68" s="16"/>
      <c r="K68" s="17"/>
    </row>
    <row r="69" spans="3:11">
      <c r="C69" s="17"/>
      <c r="D69" s="17"/>
      <c r="E69" s="28">
        <v>44645</v>
      </c>
      <c r="F69" s="34"/>
      <c r="G69" s="34">
        <v>-2326110.6800000002</v>
      </c>
      <c r="H69" s="17"/>
      <c r="I69" s="16"/>
      <c r="J69" s="16"/>
      <c r="K69" s="17"/>
    </row>
    <row r="70" spans="3:11">
      <c r="C70" s="17"/>
      <c r="D70" s="17"/>
      <c r="E70" s="28">
        <v>44670</v>
      </c>
      <c r="F70" s="34"/>
      <c r="G70" s="34">
        <v>970739.1</v>
      </c>
      <c r="H70" s="17"/>
      <c r="I70" s="16"/>
      <c r="J70" s="16"/>
      <c r="K70" s="17"/>
    </row>
    <row r="71" spans="3:11">
      <c r="C71" s="17"/>
      <c r="D71" s="17"/>
      <c r="E71" s="28">
        <v>44694</v>
      </c>
      <c r="F71" s="34"/>
      <c r="G71" s="34">
        <v>-49201.35</v>
      </c>
      <c r="H71" s="17"/>
      <c r="I71" s="16"/>
      <c r="J71" s="16"/>
      <c r="K71" s="17"/>
    </row>
    <row r="72" spans="3:11">
      <c r="C72" s="17"/>
      <c r="D72" s="17"/>
      <c r="E72" s="28">
        <v>44701</v>
      </c>
      <c r="F72" s="34"/>
      <c r="G72" s="34">
        <v>-125337.73</v>
      </c>
      <c r="H72" s="17"/>
      <c r="I72" s="16"/>
      <c r="J72" s="16"/>
      <c r="K72" s="17"/>
    </row>
    <row r="73" spans="3:11">
      <c r="C73" s="17"/>
      <c r="D73" s="17"/>
      <c r="E73" s="28">
        <v>44727</v>
      </c>
      <c r="F73" s="34"/>
      <c r="G73" s="34">
        <v>-402589.17</v>
      </c>
      <c r="H73" s="17"/>
      <c r="I73" s="16"/>
      <c r="J73" s="16"/>
      <c r="K73" s="17"/>
    </row>
    <row r="74" spans="3:11">
      <c r="C74" s="17"/>
      <c r="D74" s="17"/>
      <c r="E74" s="28">
        <v>44750</v>
      </c>
      <c r="F74" s="34"/>
      <c r="G74" s="34">
        <v>-391456.02</v>
      </c>
      <c r="H74" s="17"/>
      <c r="I74" s="16"/>
      <c r="J74" s="16"/>
      <c r="K74" s="17"/>
    </row>
    <row r="75" spans="3:11">
      <c r="C75" s="17"/>
      <c r="D75" s="17"/>
      <c r="E75" s="28">
        <v>44764</v>
      </c>
      <c r="F75" s="34"/>
      <c r="G75" s="34">
        <v>-56743.17</v>
      </c>
      <c r="H75" s="17"/>
      <c r="I75" s="16"/>
      <c r="J75" s="16"/>
      <c r="K75" s="17"/>
    </row>
    <row r="76" spans="3:11">
      <c r="C76" s="17"/>
      <c r="D76" s="17"/>
      <c r="E76" s="28">
        <v>44790</v>
      </c>
      <c r="F76" s="34"/>
      <c r="G76" s="34">
        <v>-66798.92</v>
      </c>
      <c r="H76" s="17"/>
      <c r="I76" s="16"/>
      <c r="J76" s="16"/>
      <c r="K76" s="17"/>
    </row>
    <row r="77" spans="3:11">
      <c r="C77" s="17"/>
      <c r="D77" s="17"/>
      <c r="E77" s="28">
        <v>44797</v>
      </c>
      <c r="F77" s="34"/>
      <c r="G77" s="34">
        <v>-193573.22</v>
      </c>
      <c r="H77" s="17"/>
      <c r="I77" s="16"/>
      <c r="J77" s="16"/>
      <c r="K77" s="17"/>
    </row>
    <row r="78" spans="3:11">
      <c r="C78" s="17"/>
      <c r="D78" s="17"/>
      <c r="E78" s="28">
        <v>44806</v>
      </c>
      <c r="F78" s="34"/>
      <c r="G78" s="34">
        <v>-171666.04</v>
      </c>
      <c r="H78" s="17"/>
      <c r="I78" s="16"/>
      <c r="J78" s="16"/>
      <c r="K78" s="17"/>
    </row>
    <row r="79" spans="3:11">
      <c r="C79" s="17"/>
      <c r="D79" s="17"/>
      <c r="E79" s="28">
        <v>44818</v>
      </c>
      <c r="F79" s="34"/>
      <c r="G79" s="34">
        <v>-495963.99</v>
      </c>
      <c r="H79" s="17"/>
      <c r="I79" s="16"/>
      <c r="J79" s="16"/>
      <c r="K79" s="17"/>
    </row>
    <row r="80" spans="3:11">
      <c r="C80" s="17"/>
      <c r="D80" s="17"/>
      <c r="E80" s="28">
        <v>44833</v>
      </c>
      <c r="F80" s="34"/>
      <c r="G80" s="34">
        <v>-175975.64</v>
      </c>
      <c r="H80" s="17"/>
      <c r="I80" s="16"/>
      <c r="J80" s="16"/>
      <c r="K80" s="17"/>
    </row>
    <row r="81" spans="3:11">
      <c r="C81" s="17"/>
      <c r="D81" s="17"/>
      <c r="E81" s="28">
        <v>44838</v>
      </c>
      <c r="F81" s="34"/>
      <c r="G81" s="34">
        <v>-380682</v>
      </c>
      <c r="H81" s="17"/>
      <c r="I81" s="16"/>
      <c r="J81" s="16"/>
      <c r="K81" s="17"/>
    </row>
    <row r="82" spans="3:11">
      <c r="C82" s="17"/>
      <c r="D82" s="17"/>
      <c r="E82" s="28">
        <v>44847</v>
      </c>
      <c r="F82" s="34"/>
      <c r="G82" s="34">
        <v>-217276.05</v>
      </c>
      <c r="H82" s="17"/>
      <c r="I82" s="16"/>
      <c r="J82" s="16"/>
      <c r="K82" s="17"/>
    </row>
    <row r="83" spans="3:11">
      <c r="C83" s="17"/>
      <c r="D83" s="17"/>
      <c r="E83" s="28">
        <v>44858</v>
      </c>
      <c r="F83" s="34"/>
      <c r="G83" s="34">
        <v>-113127.21</v>
      </c>
      <c r="H83" s="17"/>
      <c r="I83" s="16"/>
      <c r="J83" s="16"/>
      <c r="K83" s="17"/>
    </row>
    <row r="84" spans="3:11">
      <c r="C84" s="17"/>
      <c r="D84" s="17"/>
      <c r="E84" s="28">
        <v>44866</v>
      </c>
      <c r="F84" s="34"/>
      <c r="G84" s="34">
        <v>-67158.05</v>
      </c>
      <c r="H84" s="17"/>
      <c r="I84" s="16"/>
      <c r="J84" s="16"/>
      <c r="K84" s="17"/>
    </row>
    <row r="85" spans="3:11">
      <c r="C85" s="17"/>
      <c r="D85" s="17"/>
      <c r="E85" s="28">
        <v>44893</v>
      </c>
      <c r="F85" s="34"/>
      <c r="G85" s="34">
        <v>-321065.76</v>
      </c>
      <c r="H85" s="17"/>
      <c r="I85" s="16"/>
      <c r="J85" s="16"/>
      <c r="K85" s="17"/>
    </row>
    <row r="86" spans="3:11">
      <c r="C86" s="17"/>
      <c r="D86" s="17"/>
      <c r="E86" s="28">
        <v>44902</v>
      </c>
      <c r="F86" s="34"/>
      <c r="G86" s="34">
        <v>-179207.84</v>
      </c>
      <c r="H86" s="17"/>
      <c r="I86" s="16"/>
      <c r="J86" s="16"/>
      <c r="K86" s="17"/>
    </row>
    <row r="87" spans="3:11">
      <c r="C87" s="17"/>
      <c r="D87" s="17"/>
      <c r="E87" s="28">
        <v>44909</v>
      </c>
      <c r="F87" s="34"/>
      <c r="G87" s="34">
        <v>-699952.1</v>
      </c>
      <c r="H87" s="17"/>
      <c r="I87" s="16"/>
      <c r="J87" s="16"/>
      <c r="K87" s="17"/>
    </row>
    <row r="88" spans="3:11">
      <c r="C88" s="17" t="s">
        <v>23</v>
      </c>
      <c r="D88" s="17"/>
      <c r="E88" s="28">
        <v>44575</v>
      </c>
      <c r="F88" s="34"/>
      <c r="G88" s="34">
        <v>251133.34</v>
      </c>
      <c r="H88" s="17"/>
      <c r="I88" s="16"/>
      <c r="J88" s="16"/>
      <c r="K88" s="17"/>
    </row>
    <row r="89" spans="3:11">
      <c r="C89" s="17"/>
      <c r="D89" s="17"/>
      <c r="E89" s="28">
        <v>44601</v>
      </c>
      <c r="F89" s="34"/>
      <c r="G89" s="34">
        <v>195115.32</v>
      </c>
      <c r="H89" s="17"/>
      <c r="I89" s="16"/>
      <c r="J89" s="16"/>
      <c r="K89" s="17"/>
    </row>
    <row r="90" spans="3:11">
      <c r="C90" s="17"/>
      <c r="D90" s="17"/>
      <c r="E90" s="28">
        <v>44628</v>
      </c>
      <c r="F90" s="34"/>
      <c r="G90" s="34">
        <v>512125.65</v>
      </c>
      <c r="H90" s="17"/>
      <c r="I90" s="16"/>
      <c r="J90" s="16"/>
      <c r="K90" s="17"/>
    </row>
    <row r="91" spans="3:11">
      <c r="C91" s="17"/>
      <c r="D91" s="17"/>
      <c r="E91" s="28">
        <v>44659</v>
      </c>
      <c r="F91" s="34"/>
      <c r="G91" s="34">
        <v>259887.72</v>
      </c>
      <c r="H91" s="17"/>
      <c r="I91" s="16"/>
      <c r="J91" s="16"/>
      <c r="K91" s="17"/>
    </row>
    <row r="92" spans="3:11">
      <c r="C92" s="17"/>
      <c r="D92" s="17"/>
      <c r="E92" s="28">
        <v>44692</v>
      </c>
      <c r="F92" s="34"/>
      <c r="G92" s="34">
        <v>219484.73</v>
      </c>
      <c r="H92" s="17"/>
      <c r="I92" s="16"/>
      <c r="J92" s="16"/>
      <c r="K92" s="17"/>
    </row>
    <row r="93" spans="3:11">
      <c r="C93" s="17"/>
      <c r="D93" s="17"/>
      <c r="E93" s="28">
        <v>44719</v>
      </c>
      <c r="F93" s="34"/>
      <c r="G93" s="34">
        <v>271197.34999999998</v>
      </c>
      <c r="H93" s="17"/>
      <c r="I93" s="16"/>
      <c r="J93" s="16"/>
      <c r="K93" s="17"/>
    </row>
    <row r="94" spans="3:11">
      <c r="C94" s="17"/>
      <c r="D94" s="17"/>
      <c r="E94" s="28">
        <v>44761</v>
      </c>
      <c r="F94" s="34"/>
      <c r="G94" s="34">
        <v>424199.43</v>
      </c>
      <c r="H94" s="17"/>
      <c r="I94" s="16"/>
      <c r="J94" s="16"/>
      <c r="K94" s="17"/>
    </row>
    <row r="95" spans="3:11">
      <c r="C95" s="17"/>
      <c r="D95" s="17"/>
      <c r="E95" s="28">
        <v>44776</v>
      </c>
      <c r="F95" s="34"/>
      <c r="G95" s="34">
        <v>373876.58</v>
      </c>
      <c r="H95" s="17"/>
      <c r="I95" s="16"/>
      <c r="J95" s="16"/>
      <c r="K95" s="17"/>
    </row>
    <row r="96" spans="3:11">
      <c r="C96" s="17"/>
      <c r="D96" s="17"/>
      <c r="E96" s="28">
        <v>44817</v>
      </c>
      <c r="F96" s="34"/>
      <c r="G96" s="34">
        <v>129981.04</v>
      </c>
      <c r="H96" s="17"/>
      <c r="I96" s="16"/>
      <c r="J96" s="16"/>
      <c r="K96" s="17"/>
    </row>
    <row r="97" spans="3:11">
      <c r="C97" s="17"/>
      <c r="D97" s="17"/>
      <c r="E97" s="28">
        <v>44841</v>
      </c>
      <c r="F97" s="34"/>
      <c r="G97" s="34">
        <v>94622.35</v>
      </c>
      <c r="H97" s="17"/>
      <c r="I97" s="16"/>
      <c r="J97" s="16"/>
      <c r="K97" s="17"/>
    </row>
    <row r="98" spans="3:11">
      <c r="C98" s="17"/>
      <c r="D98" s="17"/>
      <c r="E98" s="28">
        <v>44872</v>
      </c>
      <c r="F98" s="34"/>
      <c r="G98" s="34">
        <v>71716.91</v>
      </c>
      <c r="H98" s="17"/>
      <c r="I98" s="16"/>
      <c r="J98" s="16"/>
      <c r="K98" s="17"/>
    </row>
    <row r="99" spans="3:11">
      <c r="C99" s="17"/>
      <c r="D99" s="17"/>
      <c r="E99" s="28">
        <v>44902</v>
      </c>
      <c r="F99" s="34"/>
      <c r="G99" s="34">
        <v>120626.61</v>
      </c>
      <c r="H99" s="17"/>
      <c r="I99" s="16"/>
      <c r="J99" s="16"/>
      <c r="K99" s="17"/>
    </row>
    <row r="100" spans="3:11">
      <c r="C100" s="17" t="s">
        <v>33</v>
      </c>
      <c r="D100" s="17"/>
      <c r="E100" s="28">
        <v>44960</v>
      </c>
      <c r="F100" s="34"/>
      <c r="G100" s="34">
        <v>-119950.76</v>
      </c>
      <c r="H100" s="17"/>
      <c r="I100" s="16"/>
      <c r="J100" s="16"/>
      <c r="K100" s="17"/>
    </row>
    <row r="101" spans="3:11">
      <c r="C101" s="17"/>
      <c r="D101" s="17"/>
      <c r="E101" s="28">
        <v>44979</v>
      </c>
      <c r="F101" s="34"/>
      <c r="G101" s="34">
        <v>-139703.10999999999</v>
      </c>
      <c r="H101" s="17"/>
      <c r="I101" s="16"/>
      <c r="J101" s="16"/>
      <c r="K101" s="17"/>
    </row>
    <row r="102" spans="3:11">
      <c r="C102" s="17"/>
      <c r="D102" s="17"/>
      <c r="E102" s="28">
        <v>45013</v>
      </c>
      <c r="F102" s="34"/>
      <c r="G102" s="34">
        <v>-287307.18</v>
      </c>
      <c r="H102" s="17"/>
      <c r="I102" s="16"/>
      <c r="J102" s="16"/>
      <c r="K102" s="17"/>
    </row>
    <row r="103" spans="3:11">
      <c r="C103" s="17"/>
      <c r="D103" s="17"/>
      <c r="E103" s="28">
        <v>45022</v>
      </c>
      <c r="F103" s="34"/>
      <c r="G103" s="34">
        <v>-172743.44</v>
      </c>
      <c r="H103" s="17"/>
      <c r="I103" s="16"/>
      <c r="J103" s="16"/>
      <c r="K103" s="17"/>
    </row>
    <row r="104" spans="3:11">
      <c r="C104" s="17"/>
      <c r="D104" s="17"/>
      <c r="E104" s="28">
        <v>45028</v>
      </c>
      <c r="F104" s="34"/>
      <c r="G104" s="34">
        <v>-52433.55</v>
      </c>
      <c r="H104" s="17"/>
      <c r="I104" s="16"/>
      <c r="J104" s="16"/>
      <c r="K104" s="17"/>
    </row>
    <row r="105" spans="3:11">
      <c r="C105" s="17"/>
      <c r="D105" s="17"/>
      <c r="E105" s="28">
        <v>45047</v>
      </c>
      <c r="F105" s="34"/>
      <c r="G105" s="34">
        <v>-623456.56000000006</v>
      </c>
      <c r="H105" s="17"/>
      <c r="I105" s="16"/>
      <c r="J105" s="16"/>
      <c r="K105" s="17"/>
    </row>
    <row r="106" spans="3:11">
      <c r="C106" s="17"/>
      <c r="D106" s="17"/>
      <c r="E106" s="28">
        <v>45061</v>
      </c>
      <c r="F106" s="34"/>
      <c r="G106" s="34">
        <v>-188545.35</v>
      </c>
      <c r="H106" s="17"/>
      <c r="I106" s="16"/>
      <c r="J106" s="16"/>
      <c r="K106" s="17"/>
    </row>
    <row r="107" spans="3:11">
      <c r="C107" s="17"/>
      <c r="D107" s="17"/>
      <c r="E107" s="28">
        <v>45182</v>
      </c>
      <c r="F107" s="34"/>
      <c r="G107" s="34">
        <v>-113127.18</v>
      </c>
      <c r="H107" s="17"/>
      <c r="I107" s="16"/>
      <c r="J107" s="16"/>
      <c r="K107" s="17"/>
    </row>
    <row r="108" spans="3:11">
      <c r="C108" s="17"/>
      <c r="D108" s="17"/>
      <c r="E108" s="28">
        <v>45198</v>
      </c>
      <c r="F108" s="34"/>
      <c r="G108" s="34">
        <v>-65721.52</v>
      </c>
      <c r="H108" s="17"/>
      <c r="I108" s="16"/>
      <c r="J108" s="16"/>
      <c r="K108" s="17"/>
    </row>
    <row r="109" spans="3:11">
      <c r="C109" s="17"/>
      <c r="D109" s="17"/>
      <c r="E109" s="28">
        <v>45229</v>
      </c>
      <c r="F109" s="34"/>
      <c r="G109" s="34">
        <v>-343691.2</v>
      </c>
      <c r="H109" s="17"/>
      <c r="I109" s="16"/>
      <c r="J109" s="16"/>
      <c r="K109" s="17"/>
    </row>
    <row r="110" spans="3:11">
      <c r="C110" s="17"/>
      <c r="D110" s="17"/>
      <c r="E110" s="28">
        <v>45244</v>
      </c>
      <c r="F110" s="34"/>
      <c r="G110" s="34">
        <v>-195009.75</v>
      </c>
      <c r="H110" s="17"/>
      <c r="I110" s="16"/>
      <c r="J110" s="16"/>
      <c r="K110" s="17"/>
    </row>
    <row r="111" spans="3:11">
      <c r="C111" s="17"/>
      <c r="D111" s="17"/>
      <c r="E111" s="28">
        <v>45280</v>
      </c>
      <c r="F111" s="34"/>
      <c r="G111" s="34">
        <v>-164124.22</v>
      </c>
      <c r="H111" s="17"/>
      <c r="I111" s="16"/>
      <c r="J111" s="16"/>
      <c r="K111" s="17"/>
    </row>
    <row r="112" spans="3:11">
      <c r="C112" s="17" t="s">
        <v>24</v>
      </c>
      <c r="D112" s="17"/>
      <c r="E112" s="28">
        <v>44939</v>
      </c>
      <c r="F112" s="34"/>
      <c r="G112" s="34">
        <v>101043.53</v>
      </c>
      <c r="H112" s="17"/>
      <c r="I112" s="16"/>
      <c r="J112" s="16"/>
      <c r="K112" s="17"/>
    </row>
    <row r="113" spans="3:11">
      <c r="C113" s="17"/>
      <c r="D113" s="17"/>
      <c r="E113" s="28">
        <v>44966</v>
      </c>
      <c r="F113" s="34"/>
      <c r="G113" s="34">
        <v>105290.37</v>
      </c>
      <c r="H113" s="17"/>
      <c r="I113" s="16"/>
      <c r="J113" s="16"/>
      <c r="K113" s="17"/>
    </row>
    <row r="114" spans="3:11">
      <c r="C114" s="17"/>
      <c r="D114" s="17"/>
      <c r="E114" s="28">
        <v>44995</v>
      </c>
      <c r="F114" s="34"/>
      <c r="G114" s="34">
        <v>150131.69</v>
      </c>
      <c r="H114" s="17"/>
      <c r="I114" s="16"/>
      <c r="J114" s="16"/>
      <c r="K114" s="17"/>
    </row>
    <row r="115" spans="3:11">
      <c r="C115" s="17"/>
      <c r="D115" s="17"/>
      <c r="E115" s="28">
        <v>45027</v>
      </c>
      <c r="F115" s="34"/>
      <c r="G115" s="34">
        <v>206979.39</v>
      </c>
      <c r="H115" s="17"/>
      <c r="I115" s="16"/>
      <c r="J115" s="16"/>
      <c r="K115" s="17"/>
    </row>
    <row r="116" spans="3:11">
      <c r="C116" s="17"/>
      <c r="D116" s="17"/>
      <c r="E116" s="28">
        <v>45055</v>
      </c>
      <c r="F116" s="34"/>
      <c r="G116" s="34">
        <v>130065.72</v>
      </c>
      <c r="H116" s="17"/>
      <c r="I116" s="16"/>
      <c r="J116" s="16"/>
      <c r="K116" s="17"/>
    </row>
    <row r="117" spans="3:11">
      <c r="C117" s="17"/>
      <c r="D117" s="17"/>
      <c r="E117" s="28">
        <v>45090</v>
      </c>
      <c r="F117" s="34"/>
      <c r="G117" s="34">
        <v>4187884.91</v>
      </c>
      <c r="H117" s="17"/>
      <c r="I117" s="16"/>
      <c r="J117" s="16"/>
      <c r="K117" s="17"/>
    </row>
    <row r="118" spans="3:11">
      <c r="C118" s="17"/>
      <c r="D118" s="17"/>
      <c r="E118" s="28">
        <v>45113</v>
      </c>
      <c r="F118" s="34"/>
      <c r="G118" s="34">
        <v>1532931.51</v>
      </c>
      <c r="H118" s="17"/>
      <c r="I118" s="16"/>
      <c r="J118" s="16"/>
      <c r="K118" s="17"/>
    </row>
    <row r="119" spans="3:11">
      <c r="C119" s="17"/>
      <c r="D119" s="17"/>
      <c r="E119" s="28">
        <v>45141</v>
      </c>
      <c r="F119" s="34"/>
      <c r="G119" s="34">
        <v>126916.88</v>
      </c>
      <c r="H119" s="17"/>
      <c r="I119" s="16"/>
      <c r="J119" s="16"/>
      <c r="K119" s="17"/>
    </row>
    <row r="120" spans="3:11">
      <c r="C120" s="17"/>
      <c r="D120" s="17"/>
      <c r="E120" s="28">
        <v>45177</v>
      </c>
      <c r="F120" s="34"/>
      <c r="G120" s="34">
        <v>205329.37</v>
      </c>
      <c r="H120" s="17"/>
      <c r="I120" s="16"/>
      <c r="J120" s="16"/>
      <c r="K120" s="17"/>
    </row>
    <row r="121" spans="3:11">
      <c r="C121" s="17"/>
      <c r="D121" s="17"/>
      <c r="E121" s="28">
        <v>45189</v>
      </c>
      <c r="F121" s="34"/>
      <c r="G121" s="34">
        <v>859474.96</v>
      </c>
      <c r="H121" s="17"/>
      <c r="I121" s="16"/>
      <c r="J121" s="16"/>
      <c r="K121" s="17"/>
    </row>
    <row r="122" spans="3:11">
      <c r="C122" s="17"/>
      <c r="D122" s="17"/>
      <c r="E122" s="28">
        <v>45197</v>
      </c>
      <c r="F122" s="34"/>
      <c r="G122" s="34">
        <v>191434.23999999999</v>
      </c>
      <c r="H122" s="17"/>
      <c r="I122" s="16"/>
      <c r="J122" s="16"/>
      <c r="K122" s="17"/>
    </row>
    <row r="123" spans="3:11">
      <c r="C123" s="17"/>
      <c r="D123" s="17"/>
      <c r="E123" s="28">
        <v>45243</v>
      </c>
      <c r="F123" s="34"/>
      <c r="G123" s="34">
        <v>275257.7</v>
      </c>
      <c r="H123" s="17"/>
      <c r="I123" s="16"/>
      <c r="J123" s="16"/>
      <c r="K123" s="17"/>
    </row>
    <row r="124" spans="3:11">
      <c r="C124" s="17"/>
      <c r="D124" s="17"/>
      <c r="E124" s="28">
        <v>45273</v>
      </c>
      <c r="F124" s="34"/>
      <c r="G124" s="34">
        <v>724115.57</v>
      </c>
      <c r="H124" s="17"/>
      <c r="I124" s="16"/>
      <c r="J124" s="16"/>
      <c r="K124" s="17"/>
    </row>
    <row r="125" spans="3:11">
      <c r="C125" s="17" t="s">
        <v>36</v>
      </c>
      <c r="D125" s="17"/>
      <c r="E125" s="28">
        <v>45390</v>
      </c>
      <c r="F125" s="34"/>
      <c r="G125" s="34">
        <v>-156941.57</v>
      </c>
      <c r="H125" s="17"/>
      <c r="I125" s="16"/>
      <c r="J125" s="16"/>
      <c r="K125" s="17"/>
    </row>
    <row r="126" spans="3:11">
      <c r="C126" s="17"/>
      <c r="D126" s="17"/>
      <c r="E126" s="28">
        <v>45432</v>
      </c>
      <c r="F126" s="34"/>
      <c r="G126" s="34">
        <v>-531518.27</v>
      </c>
      <c r="H126" s="17"/>
      <c r="I126" s="16"/>
      <c r="J126" s="16"/>
      <c r="K126" s="17"/>
    </row>
    <row r="127" spans="3:11">
      <c r="C127" s="17" t="s">
        <v>35</v>
      </c>
      <c r="D127" s="17"/>
      <c r="E127" s="28">
        <v>45303</v>
      </c>
      <c r="F127" s="34"/>
      <c r="G127" s="34">
        <v>748573.45</v>
      </c>
      <c r="H127" s="17"/>
      <c r="I127" s="16"/>
      <c r="J127" s="16"/>
      <c r="K127" s="17"/>
    </row>
    <row r="128" spans="3:11">
      <c r="C128" s="17"/>
      <c r="D128" s="17"/>
      <c r="E128" s="28">
        <v>45331</v>
      </c>
      <c r="F128" s="34"/>
      <c r="G128" s="34">
        <v>183320.82</v>
      </c>
      <c r="H128" s="17"/>
      <c r="I128" s="16"/>
      <c r="J128" s="16"/>
      <c r="K128" s="17"/>
    </row>
    <row r="129" spans="3:12">
      <c r="C129" s="17"/>
      <c r="D129" s="17"/>
      <c r="E129" s="28">
        <v>45362</v>
      </c>
      <c r="F129" s="34"/>
      <c r="G129" s="34">
        <v>353058.9</v>
      </c>
      <c r="H129" s="17"/>
      <c r="I129" s="16"/>
      <c r="J129" s="16"/>
      <c r="K129" s="17"/>
    </row>
    <row r="130" spans="3:12">
      <c r="C130" s="17"/>
      <c r="D130" s="17"/>
      <c r="E130" s="28">
        <v>45386</v>
      </c>
      <c r="F130" s="34"/>
      <c r="G130" s="34">
        <v>192516.59</v>
      </c>
      <c r="H130" s="17"/>
      <c r="I130" s="16"/>
      <c r="J130" s="16"/>
      <c r="K130" s="17"/>
    </row>
    <row r="131" spans="3:12">
      <c r="C131" s="17"/>
      <c r="D131" s="17"/>
      <c r="E131" s="28">
        <v>45419</v>
      </c>
      <c r="F131" s="34"/>
      <c r="G131" s="34">
        <v>237291.02</v>
      </c>
      <c r="H131" s="17"/>
      <c r="I131" s="16"/>
      <c r="J131" s="16"/>
      <c r="K131" s="17"/>
    </row>
    <row r="132" spans="3:12">
      <c r="C132" s="17"/>
      <c r="D132" s="17"/>
      <c r="E132" s="28">
        <v>45448</v>
      </c>
      <c r="F132" s="34"/>
      <c r="G132" s="34">
        <v>437959.01</v>
      </c>
      <c r="H132" s="17"/>
      <c r="I132" s="16"/>
      <c r="J132" s="16"/>
      <c r="K132" s="17"/>
    </row>
    <row r="133" spans="3:12" ht="5.25" customHeight="1">
      <c r="C133" s="17"/>
      <c r="D133" s="17"/>
      <c r="E133" s="28"/>
      <c r="F133" s="17"/>
      <c r="G133" s="34"/>
      <c r="H133" s="17"/>
      <c r="I133" s="16"/>
    </row>
    <row r="134" spans="3:12">
      <c r="C134" s="17" t="s">
        <v>25</v>
      </c>
      <c r="D134" s="17"/>
      <c r="E134" s="28">
        <f>+E8</f>
        <v>45473</v>
      </c>
      <c r="F134" s="17"/>
      <c r="G134" s="35">
        <f>L134*C22</f>
        <v>28100339.151904244</v>
      </c>
      <c r="H134" s="17"/>
      <c r="I134" s="28"/>
      <c r="L134" s="59">
        <v>1027433051</v>
      </c>
    </row>
    <row r="135" spans="3:12">
      <c r="C135" s="17"/>
      <c r="D135" s="17"/>
      <c r="E135" s="17"/>
      <c r="F135" s="17"/>
      <c r="G135" s="17"/>
      <c r="H135" s="17"/>
      <c r="J135" s="16"/>
    </row>
    <row r="136" spans="3:12">
      <c r="C136" t="s">
        <v>28</v>
      </c>
      <c r="G136" s="38">
        <f>+XIRR(G24:G134,E24:E134,0.1)</f>
        <v>0.20284774899482727</v>
      </c>
      <c r="H136" s="17"/>
      <c r="J136" s="34">
        <f>+SUMIF($G$24:$G$133,"&lt;0",$G$24:$G$133)+G53+G70</f>
        <v>-24171989.900000006</v>
      </c>
      <c r="K136" s="17" t="s">
        <v>26</v>
      </c>
    </row>
    <row r="137" spans="3:12">
      <c r="C137" s="17"/>
      <c r="D137" s="17"/>
      <c r="E137" s="17"/>
      <c r="F137" s="17"/>
      <c r="G137" s="17"/>
      <c r="H137" s="17"/>
      <c r="J137" s="34">
        <f>+SUMIF($G$24:$G$133,"&gt;0",$G$24:$G$133)-G53-G70</f>
        <v>14183879.91</v>
      </c>
      <c r="K137" s="17" t="s">
        <v>27</v>
      </c>
    </row>
    <row r="138" spans="3:12">
      <c r="C138" s="17"/>
      <c r="D138" s="17"/>
      <c r="E138" s="17"/>
      <c r="F138" s="17"/>
      <c r="G138" s="16"/>
      <c r="H138" s="17"/>
    </row>
    <row r="139" spans="3:12">
      <c r="C139" s="17"/>
      <c r="D139" s="17"/>
      <c r="E139" s="39"/>
      <c r="F139" s="17"/>
      <c r="G139" s="39"/>
      <c r="H139" s="17"/>
      <c r="K139" s="39"/>
    </row>
    <row r="140" spans="3:12">
      <c r="C140" s="40"/>
      <c r="D140" s="40"/>
      <c r="E140" s="39"/>
      <c r="F140" s="40"/>
      <c r="G140" s="39"/>
      <c r="H140" s="17"/>
      <c r="K140" s="39"/>
    </row>
    <row r="141" spans="3:12">
      <c r="C141" s="40"/>
      <c r="D141" s="40"/>
      <c r="E141" s="39"/>
      <c r="F141" s="40"/>
      <c r="G141" s="39"/>
      <c r="H141" s="17"/>
      <c r="K141" s="39"/>
    </row>
    <row r="142" spans="3:12">
      <c r="C142" s="40"/>
      <c r="D142" s="2"/>
      <c r="E142" s="2"/>
      <c r="F142" s="2"/>
      <c r="G142" s="2"/>
      <c r="K142" s="39"/>
    </row>
    <row r="143" spans="3:12">
      <c r="C143" s="40"/>
      <c r="D143" s="40"/>
      <c r="E143" s="39"/>
      <c r="F143" s="39"/>
      <c r="G143" s="39"/>
      <c r="K143" s="39"/>
    </row>
    <row r="144" spans="3:12">
      <c r="C144" s="40"/>
      <c r="D144" s="40"/>
      <c r="E144" s="40"/>
      <c r="F144" s="40"/>
      <c r="G144" s="40"/>
      <c r="K144" s="37"/>
    </row>
    <row r="145" spans="3:11">
      <c r="C145" s="40"/>
      <c r="D145" s="40"/>
      <c r="E145" s="60"/>
      <c r="F145" s="41"/>
      <c r="G145" s="60"/>
    </row>
    <row r="146" spans="3:11">
      <c r="C146" s="40"/>
      <c r="D146" s="40"/>
      <c r="E146" s="42"/>
      <c r="F146" s="41"/>
      <c r="G146" s="42"/>
      <c r="K146" s="37"/>
    </row>
    <row r="147" spans="3:11">
      <c r="C147" s="40"/>
      <c r="D147" s="40"/>
      <c r="E147" s="42"/>
      <c r="F147" s="41"/>
      <c r="G147" s="42"/>
    </row>
    <row r="148" spans="3:11">
      <c r="C148" s="43"/>
      <c r="D148" s="40"/>
      <c r="E148" s="42"/>
      <c r="F148" s="41"/>
      <c r="G148" s="42"/>
    </row>
    <row r="149" spans="3:11">
      <c r="C149" s="43"/>
      <c r="D149" s="40"/>
      <c r="E149" s="42"/>
      <c r="F149" s="41"/>
      <c r="G149" s="42"/>
    </row>
    <row r="150" spans="3:11">
      <c r="C150" s="44"/>
      <c r="D150" s="40"/>
      <c r="E150" s="42"/>
      <c r="F150" s="41"/>
      <c r="G150" s="42"/>
    </row>
    <row r="151" spans="3:11">
      <c r="C151" s="40"/>
      <c r="D151" s="40"/>
      <c r="E151" s="42"/>
      <c r="F151" s="41"/>
      <c r="G151" s="42"/>
    </row>
    <row r="152" spans="3:11">
      <c r="C152" s="40"/>
      <c r="D152" s="40"/>
      <c r="E152" s="42"/>
      <c r="F152" s="41"/>
      <c r="G152" s="42"/>
    </row>
    <row r="153" spans="3:11">
      <c r="C153" s="40"/>
      <c r="D153" s="40"/>
      <c r="E153" s="42"/>
      <c r="F153" s="41"/>
      <c r="G153" s="42"/>
    </row>
    <row r="154" spans="3:11">
      <c r="C154" s="40"/>
      <c r="D154" s="40"/>
      <c r="E154" s="42"/>
      <c r="F154" s="41"/>
      <c r="G154" s="42"/>
    </row>
    <row r="155" spans="3:11">
      <c r="C155" s="40"/>
      <c r="D155" s="40"/>
      <c r="E155" s="42"/>
      <c r="F155" s="41"/>
      <c r="G155" s="42"/>
    </row>
    <row r="156" spans="3:11">
      <c r="C156" s="40"/>
      <c r="D156" s="40"/>
      <c r="E156" s="42"/>
      <c r="F156" s="41"/>
      <c r="G156" s="42"/>
    </row>
    <row r="157" spans="3:11" ht="5.15" customHeight="1">
      <c r="E157" s="85"/>
      <c r="F157" s="45"/>
      <c r="G157" s="85"/>
    </row>
    <row r="158" spans="3:11">
      <c r="E158" s="86"/>
      <c r="F158" s="46"/>
      <c r="G158" s="86"/>
    </row>
    <row r="159" spans="3:11">
      <c r="C159" s="17"/>
      <c r="D159" s="17"/>
      <c r="E159" s="47"/>
      <c r="F159" s="48"/>
      <c r="G159" s="47"/>
      <c r="H159" s="17"/>
    </row>
    <row r="160" spans="3:11">
      <c r="C160" s="17"/>
      <c r="D160" s="17"/>
      <c r="E160" s="47"/>
      <c r="F160" s="48"/>
      <c r="G160" s="47"/>
      <c r="H160" s="17"/>
    </row>
    <row r="161" spans="3:8">
      <c r="C161" s="17"/>
      <c r="D161" s="17"/>
      <c r="E161" s="47"/>
      <c r="F161" s="48"/>
      <c r="G161" s="47"/>
      <c r="H161" s="17"/>
    </row>
    <row r="162" spans="3:8">
      <c r="C162" s="17"/>
      <c r="D162" s="17"/>
      <c r="E162" s="49"/>
      <c r="F162" s="49"/>
      <c r="G162" s="49"/>
      <c r="H162" s="17"/>
    </row>
    <row r="163" spans="3:8">
      <c r="C163" s="17"/>
      <c r="D163" s="17"/>
      <c r="E163" s="17"/>
      <c r="F163" s="17"/>
      <c r="G163" s="17"/>
      <c r="H163" s="17"/>
    </row>
    <row r="164" spans="3:8">
      <c r="C164" s="17"/>
      <c r="D164" s="17"/>
      <c r="E164" s="17"/>
      <c r="F164" s="17"/>
      <c r="G164" s="17"/>
      <c r="H164" s="17"/>
    </row>
    <row r="165" spans="3:8">
      <c r="C165" s="17"/>
      <c r="D165" s="17"/>
      <c r="E165" s="17"/>
      <c r="F165" s="17"/>
      <c r="G165" s="17"/>
      <c r="H165" s="17"/>
    </row>
    <row r="166" spans="3:8">
      <c r="C166" s="17"/>
      <c r="D166" s="17"/>
      <c r="E166" s="17"/>
      <c r="F166" s="17"/>
      <c r="G166" s="17"/>
      <c r="H166" s="17"/>
    </row>
    <row r="167" spans="3:8">
      <c r="C167" s="17"/>
      <c r="D167" s="17"/>
      <c r="E167" s="17"/>
      <c r="F167" s="17"/>
      <c r="G167" s="17"/>
      <c r="H167" s="17"/>
    </row>
    <row r="168" spans="3:8">
      <c r="C168" s="17"/>
      <c r="D168" s="17"/>
      <c r="E168" s="17"/>
      <c r="F168" s="17"/>
      <c r="G168" s="17"/>
      <c r="H168" s="17"/>
    </row>
    <row r="169" spans="3:8">
      <c r="C169" s="17"/>
      <c r="D169" s="17"/>
      <c r="E169" s="17"/>
      <c r="F169" s="17"/>
      <c r="G169" s="17"/>
      <c r="H169" s="17"/>
    </row>
    <row r="170" spans="3:8">
      <c r="C170" s="17"/>
      <c r="D170" s="17"/>
      <c r="E170" s="17"/>
      <c r="F170" s="17"/>
      <c r="G170" s="17"/>
      <c r="H170" s="17"/>
    </row>
    <row r="171" spans="3:8">
      <c r="C171" s="17"/>
      <c r="D171" s="17"/>
      <c r="E171" s="17"/>
      <c r="F171" s="17"/>
      <c r="G171" s="17"/>
      <c r="H171" s="17"/>
    </row>
    <row r="172" spans="3:8">
      <c r="C172" s="17"/>
      <c r="D172" s="17"/>
      <c r="E172" s="17"/>
      <c r="F172" s="17"/>
      <c r="G172" s="17"/>
      <c r="H172" s="17"/>
    </row>
  </sheetData>
  <mergeCells count="1">
    <mergeCell ref="D142:G142"/>
  </mergeCells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4936-AEB5-4B53-AA7F-3C8835E7C45E}">
  <sheetPr>
    <tabColor rgb="FF92D050"/>
    <pageSetUpPr fitToPage="1"/>
  </sheetPr>
  <dimension ref="B4:L172"/>
  <sheetViews>
    <sheetView showGridLines="0" view="pageLayout" topLeftCell="A113" zoomScaleNormal="100" workbookViewId="0">
      <selection activeCell="L134" sqref="L134"/>
    </sheetView>
  </sheetViews>
  <sheetFormatPr defaultRowHeight="12.5"/>
  <cols>
    <col min="2" max="2" width="4.81640625" customWidth="1"/>
    <col min="3" max="3" width="45.26953125" customWidth="1"/>
    <col min="4" max="4" width="2" customWidth="1"/>
    <col min="5" max="5" width="10.54296875" customWidth="1"/>
    <col min="6" max="6" width="2.26953125" customWidth="1"/>
    <col min="7" max="7" width="15" customWidth="1"/>
    <col min="8" max="8" width="2.453125" customWidth="1"/>
    <col min="9" max="9" width="7.453125" customWidth="1"/>
    <col min="10" max="10" width="11.7265625" customWidth="1"/>
    <col min="11" max="11" width="16.54296875" bestFit="1" customWidth="1"/>
    <col min="12" max="12" width="17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62">
        <f>'Fund XI'!E8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50"/>
    </row>
    <row r="18" spans="3:12" ht="12.75" customHeight="1">
      <c r="C18" s="13" t="s">
        <v>1</v>
      </c>
      <c r="D18" s="13"/>
      <c r="E18" s="21">
        <f>G136</f>
        <v>0.22131164669990538</v>
      </c>
      <c r="F18" s="13"/>
      <c r="G18" s="20"/>
      <c r="H18" s="21"/>
      <c r="I18" s="50"/>
    </row>
    <row r="19" spans="3:12">
      <c r="C19" s="13" t="s">
        <v>2</v>
      </c>
      <c r="D19" s="13"/>
      <c r="E19" s="25">
        <f>-(G134+J137)/J136</f>
        <v>1.8461387202127084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12"/>
    </row>
    <row r="22" spans="3:12">
      <c r="C22" s="30">
        <v>1.2144909000000001E-2</v>
      </c>
      <c r="D22" s="17"/>
      <c r="E22" s="17"/>
      <c r="F22" s="17"/>
      <c r="G22" s="31"/>
      <c r="H22" s="17"/>
      <c r="I22" s="17"/>
      <c r="J22" s="16"/>
      <c r="K22" s="17"/>
      <c r="L22" s="59"/>
    </row>
    <row r="23" spans="3:12">
      <c r="C23" s="17"/>
      <c r="D23" s="17"/>
      <c r="E23" s="28"/>
      <c r="F23" s="34"/>
      <c r="G23" s="34"/>
      <c r="H23" s="17"/>
      <c r="I23" s="16"/>
      <c r="J23" s="16"/>
      <c r="K23" s="17"/>
      <c r="L23" s="59"/>
    </row>
    <row r="24" spans="3:12">
      <c r="C24" s="17" t="s">
        <v>15</v>
      </c>
      <c r="D24" s="17"/>
      <c r="E24" s="28">
        <v>42933</v>
      </c>
      <c r="F24" s="34"/>
      <c r="G24" s="34">
        <v>-118300</v>
      </c>
      <c r="H24" s="17"/>
      <c r="I24" s="16"/>
      <c r="J24" s="16"/>
      <c r="K24" s="17"/>
      <c r="L24" s="59"/>
    </row>
    <row r="25" spans="3:12">
      <c r="C25" s="17"/>
      <c r="D25" s="17"/>
      <c r="E25" s="28">
        <v>43010</v>
      </c>
      <c r="F25" s="34"/>
      <c r="G25" s="34">
        <v>-28700</v>
      </c>
      <c r="H25" s="17"/>
      <c r="I25" s="16"/>
      <c r="J25" s="16"/>
      <c r="K25" s="17"/>
      <c r="L25" s="59"/>
    </row>
    <row r="26" spans="3:12">
      <c r="C26" s="17"/>
      <c r="D26" s="17"/>
      <c r="E26" s="28">
        <v>43052</v>
      </c>
      <c r="F26" s="34"/>
      <c r="G26" s="34">
        <v>-12600</v>
      </c>
      <c r="H26" s="17"/>
      <c r="I26" s="16"/>
      <c r="J26" s="16"/>
      <c r="K26" s="17"/>
    </row>
    <row r="27" spans="3:12">
      <c r="C27" s="17"/>
      <c r="D27" s="17"/>
      <c r="E27" s="28">
        <v>43087</v>
      </c>
      <c r="F27" s="34"/>
      <c r="G27" s="34">
        <v>-55425.4</v>
      </c>
      <c r="H27" s="17"/>
      <c r="I27" s="16"/>
      <c r="J27" s="16"/>
    </row>
    <row r="28" spans="3:12">
      <c r="C28" s="17"/>
      <c r="D28" s="17"/>
      <c r="E28" s="28">
        <v>43096</v>
      </c>
      <c r="F28" s="34"/>
      <c r="G28" s="34">
        <v>-33988.44</v>
      </c>
      <c r="H28" s="17"/>
      <c r="I28" s="16"/>
      <c r="J28" s="16"/>
      <c r="K28" s="17"/>
    </row>
    <row r="29" spans="3:12">
      <c r="C29" s="17" t="s">
        <v>17</v>
      </c>
      <c r="D29" s="17"/>
      <c r="E29" s="28">
        <v>43182</v>
      </c>
      <c r="F29" s="34"/>
      <c r="G29" s="34">
        <v>-245863.11</v>
      </c>
      <c r="H29" s="17"/>
      <c r="I29" s="16"/>
      <c r="J29" s="16"/>
      <c r="K29" s="17"/>
    </row>
    <row r="30" spans="3:12">
      <c r="C30" s="17"/>
      <c r="D30" s="17"/>
      <c r="E30" s="28">
        <v>43276</v>
      </c>
      <c r="F30" s="34"/>
      <c r="G30" s="34">
        <v>-87283.92</v>
      </c>
      <c r="H30" s="17"/>
      <c r="I30" s="16"/>
      <c r="J30" s="16"/>
      <c r="K30" s="17"/>
    </row>
    <row r="31" spans="3:12">
      <c r="C31" s="17"/>
      <c r="D31" s="17"/>
      <c r="E31" s="28">
        <v>43363</v>
      </c>
      <c r="F31" s="34"/>
      <c r="G31" s="34">
        <v>-65060.71</v>
      </c>
      <c r="H31" s="17"/>
      <c r="I31" s="16"/>
      <c r="J31" s="16"/>
      <c r="K31" s="17"/>
    </row>
    <row r="32" spans="3:12">
      <c r="C32" s="17"/>
      <c r="D32" s="17"/>
      <c r="E32" s="28">
        <v>43398</v>
      </c>
      <c r="F32" s="34"/>
      <c r="G32" s="34">
        <v>-57016.11</v>
      </c>
      <c r="H32" s="17"/>
      <c r="I32" s="16"/>
      <c r="J32" s="16"/>
      <c r="K32" s="17"/>
    </row>
    <row r="33" spans="3:11">
      <c r="C33" s="17"/>
      <c r="D33" s="17"/>
      <c r="E33" s="28">
        <v>43433</v>
      </c>
      <c r="F33" s="34"/>
      <c r="G33" s="34">
        <v>-46256.45</v>
      </c>
      <c r="H33" s="17"/>
      <c r="I33" s="16"/>
      <c r="J33" s="16"/>
      <c r="K33" s="17"/>
    </row>
    <row r="34" spans="3:11">
      <c r="C34" s="17" t="s">
        <v>19</v>
      </c>
      <c r="D34" s="17"/>
      <c r="E34" s="28">
        <v>43468</v>
      </c>
      <c r="F34" s="34"/>
      <c r="G34" s="34">
        <v>-78535.399999999994</v>
      </c>
      <c r="H34" s="17"/>
      <c r="I34" s="16"/>
      <c r="J34" s="16"/>
      <c r="K34" s="17"/>
    </row>
    <row r="35" spans="3:11">
      <c r="C35" s="17"/>
      <c r="D35" s="17"/>
      <c r="E35" s="28">
        <v>43495</v>
      </c>
      <c r="F35" s="34"/>
      <c r="G35" s="34">
        <v>-129417.52</v>
      </c>
      <c r="H35" s="17"/>
      <c r="I35" s="16"/>
      <c r="J35" s="16"/>
      <c r="K35" s="17"/>
    </row>
    <row r="36" spans="3:11">
      <c r="C36" s="17"/>
      <c r="D36" s="17"/>
      <c r="E36" s="28">
        <v>43510</v>
      </c>
      <c r="F36" s="34"/>
      <c r="G36" s="34">
        <v>-51988.23</v>
      </c>
      <c r="H36" s="17"/>
      <c r="I36" s="16"/>
      <c r="J36" s="16"/>
      <c r="K36" s="17"/>
    </row>
    <row r="37" spans="3:11">
      <c r="C37" s="17"/>
      <c r="D37" s="17"/>
      <c r="E37" s="28">
        <v>43559</v>
      </c>
      <c r="F37" s="34"/>
      <c r="G37" s="34">
        <v>-72099.73</v>
      </c>
      <c r="H37" s="17"/>
      <c r="I37" s="16"/>
      <c r="J37" s="16"/>
      <c r="K37" s="17"/>
    </row>
    <row r="38" spans="3:11">
      <c r="C38" s="17"/>
      <c r="D38" s="17"/>
      <c r="E38" s="28">
        <v>43593</v>
      </c>
      <c r="F38" s="34"/>
      <c r="G38" s="34">
        <v>-71898.61</v>
      </c>
      <c r="H38" s="17"/>
      <c r="I38" s="16"/>
      <c r="J38" s="16"/>
      <c r="K38" s="17"/>
    </row>
    <row r="39" spans="3:11">
      <c r="C39" s="17"/>
      <c r="D39" s="17"/>
      <c r="E39" s="28">
        <v>43642</v>
      </c>
      <c r="F39" s="34"/>
      <c r="G39" s="34">
        <v>-114836.68</v>
      </c>
      <c r="H39" s="17"/>
      <c r="I39" s="16"/>
      <c r="J39" s="16"/>
      <c r="K39" s="17"/>
    </row>
    <row r="40" spans="3:11">
      <c r="C40" s="17"/>
      <c r="D40" s="17"/>
      <c r="E40" s="28">
        <v>43656</v>
      </c>
      <c r="F40" s="34"/>
      <c r="G40" s="34">
        <v>-85272.77</v>
      </c>
      <c r="H40" s="17"/>
      <c r="I40" s="16"/>
      <c r="J40" s="16"/>
      <c r="K40" s="17"/>
    </row>
    <row r="41" spans="3:11">
      <c r="C41" s="17"/>
      <c r="D41" s="17"/>
      <c r="E41" s="28">
        <v>43684</v>
      </c>
      <c r="F41" s="34"/>
      <c r="G41" s="34">
        <v>-74412.539999999994</v>
      </c>
      <c r="H41" s="17"/>
      <c r="I41" s="16"/>
      <c r="J41" s="16"/>
      <c r="K41" s="17"/>
    </row>
    <row r="42" spans="3:11">
      <c r="C42" s="17"/>
      <c r="D42" s="17"/>
      <c r="E42" s="28">
        <v>43768</v>
      </c>
      <c r="F42" s="34"/>
      <c r="G42" s="34">
        <v>-73608.09</v>
      </c>
      <c r="H42" s="17"/>
      <c r="I42" s="16"/>
      <c r="J42" s="16"/>
      <c r="K42" s="17"/>
    </row>
    <row r="43" spans="3:11">
      <c r="C43" s="17"/>
      <c r="D43" s="17"/>
      <c r="E43" s="28">
        <v>43817</v>
      </c>
      <c r="F43" s="34"/>
      <c r="G43" s="34">
        <v>-565937.67000000004</v>
      </c>
      <c r="H43" s="17"/>
      <c r="I43" s="16"/>
      <c r="J43" s="16"/>
      <c r="K43" s="17"/>
    </row>
    <row r="44" spans="3:11">
      <c r="C44" s="17" t="s">
        <v>21</v>
      </c>
      <c r="D44" s="17"/>
      <c r="E44" s="28">
        <v>44006</v>
      </c>
      <c r="F44" s="34"/>
      <c r="G44" s="34">
        <v>-41932.49</v>
      </c>
      <c r="H44" s="17"/>
      <c r="I44" s="16"/>
      <c r="J44" s="16"/>
      <c r="K44" s="17"/>
    </row>
    <row r="45" spans="3:11">
      <c r="C45" s="17"/>
      <c r="D45" s="17"/>
      <c r="E45" s="28">
        <v>44026</v>
      </c>
      <c r="F45" s="34"/>
      <c r="G45" s="34">
        <v>-103674.79</v>
      </c>
      <c r="H45" s="17"/>
      <c r="I45" s="16"/>
      <c r="J45" s="16"/>
      <c r="K45" s="17"/>
    </row>
    <row r="46" spans="3:11">
      <c r="C46" s="17"/>
      <c r="D46" s="17"/>
      <c r="E46" s="28">
        <v>44105</v>
      </c>
      <c r="F46" s="34"/>
      <c r="G46" s="34">
        <v>-35597.360000000001</v>
      </c>
      <c r="H46" s="17"/>
      <c r="I46" s="16"/>
      <c r="J46" s="16"/>
      <c r="K46" s="17"/>
    </row>
    <row r="47" spans="3:11">
      <c r="C47" s="17"/>
      <c r="D47" s="17"/>
      <c r="E47" s="28">
        <v>44182</v>
      </c>
      <c r="F47" s="34"/>
      <c r="G47" s="34">
        <v>-144300.01999999999</v>
      </c>
      <c r="H47" s="17"/>
      <c r="I47" s="16"/>
      <c r="J47" s="16"/>
      <c r="K47" s="17"/>
    </row>
    <row r="48" spans="3:11">
      <c r="C48" s="17"/>
      <c r="D48" s="17"/>
      <c r="E48" s="28">
        <v>44188</v>
      </c>
      <c r="F48" s="34"/>
      <c r="G48" s="34">
        <v>-33586.21</v>
      </c>
      <c r="H48" s="17"/>
      <c r="I48" s="16"/>
      <c r="J48" s="16"/>
      <c r="K48" s="17"/>
    </row>
    <row r="49" spans="3:11">
      <c r="C49" s="17" t="s">
        <v>31</v>
      </c>
      <c r="D49" s="17"/>
      <c r="E49" s="28">
        <v>44246</v>
      </c>
      <c r="F49" s="34"/>
      <c r="G49" s="34">
        <v>-30971.71</v>
      </c>
      <c r="H49" s="17"/>
      <c r="I49" s="16"/>
      <c r="J49" s="16"/>
      <c r="K49" s="17"/>
    </row>
    <row r="50" spans="3:11">
      <c r="C50" s="17"/>
      <c r="D50" s="17"/>
      <c r="E50" s="28">
        <v>44250</v>
      </c>
      <c r="F50" s="34"/>
      <c r="G50" s="34">
        <v>-32681.18</v>
      </c>
      <c r="H50" s="17"/>
      <c r="I50" s="16"/>
      <c r="J50" s="16"/>
      <c r="K50" s="17"/>
    </row>
    <row r="51" spans="3:11">
      <c r="C51" s="17"/>
      <c r="D51" s="17"/>
      <c r="E51" s="28">
        <v>44274</v>
      </c>
      <c r="F51" s="34"/>
      <c r="G51" s="34">
        <v>-51485.45</v>
      </c>
      <c r="H51" s="17"/>
      <c r="I51" s="16"/>
      <c r="J51" s="16"/>
      <c r="K51" s="17"/>
    </row>
    <row r="52" spans="3:11">
      <c r="C52" s="17"/>
      <c r="D52" s="17"/>
      <c r="E52" s="28">
        <v>44305</v>
      </c>
      <c r="F52" s="34"/>
      <c r="G52" s="34">
        <v>-573580.03</v>
      </c>
      <c r="H52" s="17"/>
      <c r="I52" s="16"/>
      <c r="J52" s="16"/>
      <c r="K52" s="17"/>
    </row>
    <row r="53" spans="3:11">
      <c r="C53" s="17"/>
      <c r="D53" s="17"/>
      <c r="E53" s="28">
        <v>44362</v>
      </c>
      <c r="F53" s="34"/>
      <c r="G53" s="34">
        <v>89998.97</v>
      </c>
      <c r="H53" s="17"/>
      <c r="I53" s="16"/>
      <c r="J53" s="16"/>
      <c r="K53" s="17"/>
    </row>
    <row r="54" spans="3:11">
      <c r="C54" s="17"/>
      <c r="D54" s="17"/>
      <c r="E54" s="28">
        <v>44400</v>
      </c>
      <c r="F54" s="34"/>
      <c r="G54" s="34">
        <v>-70390.259999999995</v>
      </c>
      <c r="H54" s="17"/>
      <c r="I54" s="16"/>
      <c r="J54" s="16"/>
      <c r="K54" s="17"/>
    </row>
    <row r="55" spans="3:11">
      <c r="C55" s="17"/>
      <c r="D55" s="17"/>
      <c r="E55" s="28">
        <v>44407</v>
      </c>
      <c r="F55" s="34"/>
      <c r="G55" s="34">
        <v>-75418.13</v>
      </c>
      <c r="H55" s="17"/>
      <c r="I55" s="16"/>
      <c r="J55" s="16"/>
      <c r="K55" s="17"/>
    </row>
    <row r="56" spans="3:11">
      <c r="C56" s="17"/>
      <c r="D56" s="17"/>
      <c r="E56" s="28">
        <v>44440</v>
      </c>
      <c r="F56" s="34"/>
      <c r="G56" s="34">
        <v>-35999.589999999997</v>
      </c>
      <c r="H56" s="17"/>
      <c r="I56" s="16"/>
      <c r="J56" s="16"/>
      <c r="K56" s="17"/>
    </row>
    <row r="57" spans="3:11">
      <c r="C57" s="17"/>
      <c r="D57" s="17"/>
      <c r="E57" s="28">
        <v>44453</v>
      </c>
      <c r="F57" s="34"/>
      <c r="G57" s="34">
        <v>-59429.49</v>
      </c>
      <c r="H57" s="17"/>
      <c r="I57" s="16"/>
      <c r="J57" s="16"/>
      <c r="K57" s="17"/>
    </row>
    <row r="58" spans="3:11">
      <c r="C58" s="17"/>
      <c r="D58" s="17"/>
      <c r="E58" s="28">
        <v>44473</v>
      </c>
      <c r="F58" s="34"/>
      <c r="G58" s="34">
        <v>-37910.19</v>
      </c>
      <c r="H58" s="17"/>
      <c r="I58" s="16"/>
      <c r="J58" s="16"/>
      <c r="K58" s="17"/>
    </row>
    <row r="59" spans="3:11">
      <c r="C59" s="17"/>
      <c r="D59" s="17"/>
      <c r="E59" s="28">
        <v>44496</v>
      </c>
      <c r="F59" s="34"/>
      <c r="G59" s="34">
        <v>-43239.73</v>
      </c>
      <c r="H59" s="17"/>
      <c r="I59" s="16"/>
      <c r="J59" s="16"/>
      <c r="K59" s="17"/>
    </row>
    <row r="60" spans="3:11">
      <c r="C60" s="17"/>
      <c r="D60" s="17"/>
      <c r="E60" s="28">
        <v>44537</v>
      </c>
      <c r="F60" s="34"/>
      <c r="G60" s="34">
        <v>-171249.44</v>
      </c>
      <c r="H60" s="17"/>
      <c r="I60" s="16"/>
      <c r="J60" s="16"/>
      <c r="K60" s="17"/>
    </row>
    <row r="61" spans="3:11">
      <c r="C61" s="17"/>
      <c r="D61" s="17"/>
      <c r="E61" s="28">
        <v>44550</v>
      </c>
      <c r="F61" s="34"/>
      <c r="G61" s="34">
        <v>-405749.55</v>
      </c>
      <c r="H61" s="17"/>
      <c r="I61" s="16"/>
      <c r="J61" s="16"/>
      <c r="K61" s="17"/>
    </row>
    <row r="62" spans="3:11">
      <c r="C62" s="17" t="s">
        <v>22</v>
      </c>
      <c r="D62" s="17"/>
      <c r="E62" s="28">
        <v>44396</v>
      </c>
      <c r="F62" s="34"/>
      <c r="G62" s="34">
        <v>14478.55</v>
      </c>
      <c r="H62" s="17"/>
      <c r="I62" s="16"/>
      <c r="J62" s="16"/>
      <c r="K62" s="17"/>
    </row>
    <row r="63" spans="3:11">
      <c r="C63" s="17"/>
      <c r="D63" s="17"/>
      <c r="E63" s="28">
        <v>44476</v>
      </c>
      <c r="F63" s="34"/>
      <c r="G63" s="34">
        <v>17147.060000000001</v>
      </c>
      <c r="H63" s="17"/>
      <c r="I63" s="16"/>
      <c r="J63" s="16"/>
      <c r="K63" s="17"/>
    </row>
    <row r="64" spans="3:11">
      <c r="C64" s="17"/>
      <c r="D64" s="17"/>
      <c r="E64" s="28">
        <v>44512</v>
      </c>
      <c r="F64" s="34"/>
      <c r="G64" s="34">
        <v>55569.08</v>
      </c>
      <c r="H64" s="17"/>
      <c r="I64" s="16"/>
      <c r="J64" s="16"/>
      <c r="K64" s="17"/>
    </row>
    <row r="65" spans="3:11">
      <c r="C65" s="17" t="s">
        <v>32</v>
      </c>
      <c r="D65" s="17"/>
      <c r="E65" s="28">
        <v>44565</v>
      </c>
      <c r="F65" s="34"/>
      <c r="G65" s="34">
        <v>-20010.939999999999</v>
      </c>
      <c r="H65" s="17"/>
      <c r="I65" s="16"/>
      <c r="J65" s="16"/>
      <c r="K65" s="17"/>
    </row>
    <row r="66" spans="3:11">
      <c r="C66" s="17"/>
      <c r="D66" s="17"/>
      <c r="E66" s="28">
        <v>44602</v>
      </c>
      <c r="F66" s="34"/>
      <c r="G66" s="34">
        <v>-61842.87</v>
      </c>
      <c r="H66" s="17"/>
      <c r="I66" s="16"/>
      <c r="J66" s="16"/>
      <c r="K66" s="17"/>
    </row>
    <row r="67" spans="3:11">
      <c r="C67" s="17"/>
      <c r="D67" s="17"/>
      <c r="E67" s="28">
        <v>44628</v>
      </c>
      <c r="F67" s="34"/>
      <c r="G67" s="34">
        <v>-46055.35</v>
      </c>
      <c r="H67" s="17"/>
      <c r="I67" s="16"/>
      <c r="J67" s="16"/>
      <c r="K67" s="17"/>
    </row>
    <row r="68" spans="3:11">
      <c r="C68" s="17"/>
      <c r="D68" s="17"/>
      <c r="E68" s="28">
        <v>44641</v>
      </c>
      <c r="F68" s="34"/>
      <c r="G68" s="34">
        <v>-301672.53000000003</v>
      </c>
      <c r="H68" s="17"/>
      <c r="I68" s="16"/>
      <c r="J68" s="16"/>
      <c r="K68" s="17"/>
    </row>
    <row r="69" spans="3:11">
      <c r="C69" s="17"/>
      <c r="D69" s="17"/>
      <c r="E69" s="28">
        <v>44645</v>
      </c>
      <c r="F69" s="34"/>
      <c r="G69" s="34">
        <v>-651310.98</v>
      </c>
      <c r="H69" s="17"/>
      <c r="I69" s="16"/>
      <c r="J69" s="16"/>
      <c r="K69" s="17"/>
    </row>
    <row r="70" spans="3:11">
      <c r="C70" s="17"/>
      <c r="D70" s="17"/>
      <c r="E70" s="28">
        <v>44670</v>
      </c>
      <c r="F70" s="34"/>
      <c r="G70" s="34">
        <v>271806.95</v>
      </c>
      <c r="H70" s="17"/>
      <c r="I70" s="16"/>
      <c r="J70" s="16"/>
      <c r="K70" s="17"/>
    </row>
    <row r="71" spans="3:11">
      <c r="C71" s="17"/>
      <c r="D71" s="17"/>
      <c r="E71" s="28">
        <v>44694</v>
      </c>
      <c r="F71" s="34"/>
      <c r="G71" s="34">
        <v>-13776.38</v>
      </c>
      <c r="H71" s="17"/>
      <c r="I71" s="16"/>
      <c r="J71" s="16"/>
      <c r="K71" s="17"/>
    </row>
    <row r="72" spans="3:11">
      <c r="C72" s="17"/>
      <c r="D72" s="17"/>
      <c r="E72" s="28">
        <v>44701</v>
      </c>
      <c r="F72" s="34"/>
      <c r="G72" s="34">
        <v>-35094.57</v>
      </c>
      <c r="H72" s="17"/>
      <c r="I72" s="16"/>
      <c r="J72" s="16"/>
      <c r="K72" s="17"/>
    </row>
    <row r="73" spans="3:11">
      <c r="C73" s="17"/>
      <c r="D73" s="17"/>
      <c r="E73" s="28">
        <v>44727</v>
      </c>
      <c r="F73" s="34"/>
      <c r="G73" s="34">
        <v>-112724.96</v>
      </c>
      <c r="H73" s="17"/>
      <c r="I73" s="16"/>
      <c r="J73" s="16"/>
      <c r="K73" s="17"/>
    </row>
    <row r="74" spans="3:11">
      <c r="C74" s="17"/>
      <c r="D74" s="17"/>
      <c r="E74" s="28">
        <v>44750</v>
      </c>
      <c r="F74" s="34"/>
      <c r="G74" s="34">
        <v>-109607.67999999999</v>
      </c>
      <c r="H74" s="17"/>
      <c r="I74" s="16"/>
      <c r="J74" s="16"/>
      <c r="K74" s="17"/>
    </row>
    <row r="75" spans="3:11">
      <c r="C75" s="17"/>
      <c r="D75" s="17"/>
      <c r="E75" s="28">
        <v>44764</v>
      </c>
      <c r="F75" s="34"/>
      <c r="G75" s="34">
        <v>-15888.08</v>
      </c>
      <c r="H75" s="17"/>
      <c r="I75" s="16"/>
      <c r="J75" s="16"/>
      <c r="K75" s="17"/>
    </row>
    <row r="76" spans="3:11">
      <c r="C76" s="17"/>
      <c r="D76" s="17"/>
      <c r="E76" s="28">
        <v>44790</v>
      </c>
      <c r="F76" s="34"/>
      <c r="G76" s="34">
        <v>-18703.689999999999</v>
      </c>
      <c r="H76" s="17"/>
      <c r="I76" s="16"/>
      <c r="J76" s="16"/>
      <c r="K76" s="17"/>
    </row>
    <row r="77" spans="3:11">
      <c r="C77" s="17"/>
      <c r="D77" s="17"/>
      <c r="E77" s="28">
        <v>44797</v>
      </c>
      <c r="F77" s="34"/>
      <c r="G77" s="34">
        <v>-54200.49</v>
      </c>
      <c r="H77" s="17"/>
      <c r="I77" s="16"/>
      <c r="J77" s="16"/>
      <c r="K77" s="17"/>
    </row>
    <row r="78" spans="3:11">
      <c r="C78" s="17"/>
      <c r="D78" s="17"/>
      <c r="E78" s="28">
        <v>44806</v>
      </c>
      <c r="F78" s="34"/>
      <c r="G78" s="34">
        <v>-48066.5</v>
      </c>
      <c r="H78" s="17"/>
      <c r="I78" s="16"/>
      <c r="J78" s="16"/>
      <c r="K78" s="17"/>
    </row>
    <row r="79" spans="3:11">
      <c r="C79" s="17"/>
      <c r="D79" s="17"/>
      <c r="E79" s="28">
        <v>44818</v>
      </c>
      <c r="F79" s="34"/>
      <c r="G79" s="34">
        <v>-138869.93</v>
      </c>
      <c r="H79" s="17"/>
      <c r="I79" s="16"/>
      <c r="J79" s="16"/>
      <c r="K79" s="17"/>
    </row>
    <row r="80" spans="3:11">
      <c r="C80" s="17"/>
      <c r="D80" s="17"/>
      <c r="E80" s="28">
        <v>44833</v>
      </c>
      <c r="F80" s="34"/>
      <c r="G80" s="34">
        <v>-49273.18</v>
      </c>
      <c r="H80" s="17"/>
      <c r="I80" s="16"/>
      <c r="J80" s="16"/>
      <c r="K80" s="17"/>
    </row>
    <row r="81" spans="3:11">
      <c r="C81" s="17"/>
      <c r="D81" s="17"/>
      <c r="E81" s="28">
        <v>44838</v>
      </c>
      <c r="F81" s="34"/>
      <c r="G81" s="34">
        <v>-106590.96</v>
      </c>
      <c r="H81" s="17"/>
      <c r="I81" s="16"/>
      <c r="J81" s="16"/>
      <c r="K81" s="17"/>
    </row>
    <row r="82" spans="3:11">
      <c r="C82" s="17"/>
      <c r="D82" s="17"/>
      <c r="E82" s="28">
        <v>44847</v>
      </c>
      <c r="F82" s="34"/>
      <c r="G82" s="34">
        <v>-60837.3</v>
      </c>
      <c r="H82" s="17"/>
      <c r="I82" s="16"/>
      <c r="J82" s="16"/>
      <c r="K82" s="17"/>
    </row>
    <row r="83" spans="3:11">
      <c r="C83" s="17"/>
      <c r="D83" s="17"/>
      <c r="E83" s="28">
        <v>44858</v>
      </c>
      <c r="F83" s="34"/>
      <c r="G83" s="34">
        <v>-31675.62</v>
      </c>
      <c r="H83" s="17"/>
      <c r="I83" s="16"/>
      <c r="J83" s="16"/>
      <c r="K83" s="17"/>
    </row>
    <row r="84" spans="3:11">
      <c r="C84" s="17"/>
      <c r="D84" s="17"/>
      <c r="E84" s="28">
        <v>44866</v>
      </c>
      <c r="F84" s="34"/>
      <c r="G84" s="34">
        <v>-18804.25</v>
      </c>
      <c r="H84" s="17"/>
      <c r="I84" s="16"/>
      <c r="J84" s="16"/>
      <c r="K84" s="17"/>
    </row>
    <row r="85" spans="3:11">
      <c r="C85" s="17"/>
      <c r="D85" s="17"/>
      <c r="E85" s="28">
        <v>44893</v>
      </c>
      <c r="F85" s="34"/>
      <c r="G85" s="34">
        <v>-89898.41</v>
      </c>
      <c r="H85" s="17"/>
      <c r="I85" s="16"/>
      <c r="J85" s="16"/>
      <c r="K85" s="17"/>
    </row>
    <row r="86" spans="3:11">
      <c r="C86" s="17"/>
      <c r="D86" s="17"/>
      <c r="E86" s="28">
        <v>44902</v>
      </c>
      <c r="F86" s="34"/>
      <c r="G86" s="34">
        <v>-50178.2</v>
      </c>
      <c r="H86" s="17"/>
      <c r="I86" s="16"/>
      <c r="J86" s="16"/>
      <c r="K86" s="17"/>
    </row>
    <row r="87" spans="3:11">
      <c r="C87" s="17"/>
      <c r="D87" s="17"/>
      <c r="E87" s="28">
        <v>44909</v>
      </c>
      <c r="F87" s="34"/>
      <c r="G87" s="34">
        <v>-195986.58</v>
      </c>
      <c r="H87" s="17"/>
      <c r="I87" s="16"/>
      <c r="J87" s="16"/>
      <c r="K87" s="17"/>
    </row>
    <row r="88" spans="3:11">
      <c r="C88" s="17" t="s">
        <v>23</v>
      </c>
      <c r="D88" s="17"/>
      <c r="E88" s="28">
        <v>44575</v>
      </c>
      <c r="F88" s="34"/>
      <c r="G88" s="34">
        <v>70317.36</v>
      </c>
      <c r="H88" s="17"/>
      <c r="I88" s="16"/>
      <c r="J88" s="16"/>
      <c r="K88" s="17"/>
    </row>
    <row r="89" spans="3:11">
      <c r="C89" s="17"/>
      <c r="D89" s="17"/>
      <c r="E89" s="28">
        <v>44601</v>
      </c>
      <c r="F89" s="34"/>
      <c r="G89" s="34">
        <v>54777.98</v>
      </c>
      <c r="H89" s="17"/>
      <c r="I89" s="16"/>
      <c r="J89" s="16"/>
      <c r="K89" s="17"/>
    </row>
    <row r="90" spans="3:11">
      <c r="C90" s="17"/>
      <c r="D90" s="17"/>
      <c r="E90" s="28">
        <v>44628</v>
      </c>
      <c r="F90" s="34"/>
      <c r="G90" s="34">
        <v>143395.19</v>
      </c>
      <c r="H90" s="17"/>
      <c r="I90" s="16"/>
      <c r="J90" s="16"/>
      <c r="K90" s="17"/>
    </row>
    <row r="91" spans="3:11">
      <c r="C91" s="17"/>
      <c r="D91" s="17"/>
      <c r="E91" s="28">
        <v>44659</v>
      </c>
      <c r="F91" s="34"/>
      <c r="G91" s="34">
        <v>72768.56</v>
      </c>
      <c r="H91" s="17"/>
      <c r="I91" s="16"/>
      <c r="J91" s="16"/>
      <c r="K91" s="17"/>
    </row>
    <row r="92" spans="3:11">
      <c r="C92" s="17"/>
      <c r="D92" s="17"/>
      <c r="E92" s="28">
        <v>44692</v>
      </c>
      <c r="F92" s="34"/>
      <c r="G92" s="34">
        <v>61434.59</v>
      </c>
      <c r="H92" s="17"/>
      <c r="I92" s="16"/>
      <c r="J92" s="16"/>
      <c r="K92" s="17"/>
    </row>
    <row r="93" spans="3:11">
      <c r="C93" s="17"/>
      <c r="D93" s="17"/>
      <c r="E93" s="28">
        <v>44719</v>
      </c>
      <c r="F93" s="34"/>
      <c r="G93" s="34">
        <v>76039.47</v>
      </c>
      <c r="H93" s="17"/>
      <c r="I93" s="16"/>
      <c r="J93" s="16"/>
      <c r="K93" s="17"/>
    </row>
    <row r="94" spans="3:11">
      <c r="C94" s="17"/>
      <c r="D94" s="17"/>
      <c r="E94" s="28">
        <v>44761</v>
      </c>
      <c r="F94" s="34"/>
      <c r="G94" s="34">
        <v>118775.84</v>
      </c>
      <c r="H94" s="17"/>
      <c r="I94" s="16"/>
      <c r="J94" s="16"/>
      <c r="K94" s="17"/>
    </row>
    <row r="95" spans="3:11">
      <c r="C95" s="17"/>
      <c r="D95" s="17"/>
      <c r="E95" s="28">
        <v>44776</v>
      </c>
      <c r="F95" s="34"/>
      <c r="G95" s="34">
        <v>104734.96</v>
      </c>
      <c r="H95" s="17"/>
      <c r="I95" s="16"/>
      <c r="J95" s="16"/>
      <c r="K95" s="17"/>
    </row>
    <row r="96" spans="3:11">
      <c r="C96" s="17"/>
      <c r="D96" s="17"/>
      <c r="E96" s="28">
        <v>44817</v>
      </c>
      <c r="F96" s="34"/>
      <c r="G96" s="34">
        <v>36369.32</v>
      </c>
      <c r="H96" s="17"/>
      <c r="I96" s="16"/>
      <c r="J96" s="16"/>
      <c r="K96" s="17"/>
    </row>
    <row r="97" spans="3:11">
      <c r="C97" s="17"/>
      <c r="D97" s="17"/>
      <c r="E97" s="28">
        <v>44841</v>
      </c>
      <c r="F97" s="34"/>
      <c r="G97" s="34">
        <v>26494.26</v>
      </c>
      <c r="H97" s="17"/>
      <c r="I97" s="16"/>
      <c r="J97" s="16"/>
      <c r="K97" s="17"/>
    </row>
    <row r="98" spans="3:11">
      <c r="C98" s="17"/>
      <c r="D98" s="17"/>
      <c r="E98" s="28">
        <v>44872</v>
      </c>
      <c r="F98" s="34"/>
      <c r="G98" s="34">
        <v>20080.73</v>
      </c>
      <c r="H98" s="17"/>
      <c r="I98" s="16"/>
      <c r="J98" s="16"/>
      <c r="K98" s="17"/>
    </row>
    <row r="99" spans="3:11">
      <c r="C99" s="17"/>
      <c r="D99" s="17"/>
      <c r="E99" s="28">
        <v>44902</v>
      </c>
      <c r="F99" s="34"/>
      <c r="G99" s="34">
        <v>33882.870000000003</v>
      </c>
      <c r="H99" s="17"/>
      <c r="I99" s="16"/>
      <c r="J99" s="16"/>
      <c r="K99" s="17"/>
    </row>
    <row r="100" spans="3:11">
      <c r="C100" s="17" t="s">
        <v>33</v>
      </c>
      <c r="D100" s="17"/>
      <c r="E100" s="28">
        <v>44960</v>
      </c>
      <c r="F100" s="34"/>
      <c r="G100" s="34">
        <v>-33586.21</v>
      </c>
      <c r="H100" s="17"/>
      <c r="I100" s="16"/>
      <c r="J100" s="16"/>
      <c r="K100" s="17"/>
    </row>
    <row r="101" spans="3:11">
      <c r="C101" s="17"/>
      <c r="D101" s="17"/>
      <c r="E101" s="28">
        <v>44979</v>
      </c>
      <c r="F101" s="34"/>
      <c r="G101" s="34">
        <v>-39116.870000000003</v>
      </c>
      <c r="H101" s="17"/>
      <c r="I101" s="16"/>
      <c r="J101" s="16"/>
      <c r="K101" s="17"/>
    </row>
    <row r="102" spans="3:11">
      <c r="C102" s="17"/>
      <c r="D102" s="17"/>
      <c r="E102" s="28">
        <v>45013</v>
      </c>
      <c r="F102" s="34"/>
      <c r="G102" s="34">
        <v>-80446.009999999995</v>
      </c>
      <c r="H102" s="17"/>
      <c r="I102" s="16"/>
      <c r="J102" s="16"/>
      <c r="K102" s="17"/>
    </row>
    <row r="103" spans="3:11">
      <c r="C103" s="17"/>
      <c r="D103" s="17"/>
      <c r="E103" s="28">
        <v>45022</v>
      </c>
      <c r="F103" s="34"/>
      <c r="G103" s="34">
        <v>-48368.160000000003</v>
      </c>
      <c r="H103" s="17"/>
      <c r="I103" s="16"/>
      <c r="J103" s="16"/>
      <c r="K103" s="17"/>
    </row>
    <row r="104" spans="3:11">
      <c r="C104" s="17"/>
      <c r="D104" s="17"/>
      <c r="E104" s="28">
        <v>45028</v>
      </c>
      <c r="F104" s="34"/>
      <c r="G104" s="34">
        <v>-14681.39</v>
      </c>
      <c r="H104" s="17"/>
      <c r="I104" s="16"/>
      <c r="J104" s="16"/>
      <c r="K104" s="17"/>
    </row>
    <row r="105" spans="3:11">
      <c r="C105" s="17"/>
      <c r="D105" s="17"/>
      <c r="E105" s="28">
        <v>45047</v>
      </c>
      <c r="F105" s="34"/>
      <c r="G105" s="34">
        <v>-174567.84</v>
      </c>
      <c r="H105" s="17"/>
      <c r="I105" s="16"/>
      <c r="J105" s="16"/>
      <c r="K105" s="17"/>
    </row>
    <row r="106" spans="3:11">
      <c r="C106" s="17"/>
      <c r="D106" s="17"/>
      <c r="E106" s="28">
        <v>45061</v>
      </c>
      <c r="F106" s="34"/>
      <c r="G106" s="34">
        <v>-52792.69</v>
      </c>
      <c r="H106" s="17"/>
      <c r="I106" s="16"/>
      <c r="J106" s="16"/>
      <c r="K106" s="17"/>
    </row>
    <row r="107" spans="3:11">
      <c r="C107" s="17"/>
      <c r="D107" s="17"/>
      <c r="E107" s="28">
        <v>45182</v>
      </c>
      <c r="F107" s="34"/>
      <c r="G107" s="34">
        <v>-31675.62</v>
      </c>
      <c r="H107" s="17"/>
      <c r="I107" s="16"/>
      <c r="J107" s="16"/>
      <c r="K107" s="17"/>
    </row>
    <row r="108" spans="3:11">
      <c r="C108" s="17"/>
      <c r="D108" s="17"/>
      <c r="E108" s="28">
        <v>45198</v>
      </c>
      <c r="F108" s="34"/>
      <c r="G108" s="34">
        <v>-18402.02</v>
      </c>
      <c r="H108" s="17"/>
      <c r="I108" s="16"/>
      <c r="J108" s="16"/>
      <c r="K108" s="17"/>
    </row>
    <row r="109" spans="3:11">
      <c r="C109" s="17"/>
      <c r="D109" s="17"/>
      <c r="E109" s="28">
        <v>45229</v>
      </c>
      <c r="F109" s="34"/>
      <c r="G109" s="34">
        <v>-96233.53</v>
      </c>
      <c r="H109" s="17"/>
      <c r="I109" s="16"/>
      <c r="J109" s="16"/>
      <c r="K109" s="17"/>
    </row>
    <row r="110" spans="3:11">
      <c r="C110" s="17"/>
      <c r="D110" s="17"/>
      <c r="E110" s="28">
        <v>45244</v>
      </c>
      <c r="F110" s="34"/>
      <c r="G110" s="34">
        <v>-54602.720000000001</v>
      </c>
      <c r="H110" s="17"/>
      <c r="I110" s="16"/>
      <c r="J110" s="16"/>
      <c r="K110" s="17"/>
    </row>
    <row r="111" spans="3:11">
      <c r="C111" s="17"/>
      <c r="D111" s="17"/>
      <c r="E111" s="28">
        <v>45280</v>
      </c>
      <c r="F111" s="34"/>
      <c r="G111" s="34">
        <v>-45954.78</v>
      </c>
      <c r="H111" s="17"/>
      <c r="I111" s="16"/>
      <c r="J111" s="16"/>
      <c r="K111" s="17"/>
    </row>
    <row r="112" spans="3:11">
      <c r="C112" s="17" t="s">
        <v>24</v>
      </c>
      <c r="D112" s="17"/>
      <c r="E112" s="28">
        <v>44939</v>
      </c>
      <c r="F112" s="34"/>
      <c r="G112" s="34">
        <v>28292.19</v>
      </c>
      <c r="H112" s="17"/>
      <c r="I112" s="16"/>
      <c r="J112" s="16"/>
      <c r="K112" s="17"/>
    </row>
    <row r="113" spans="3:11">
      <c r="C113" s="17"/>
      <c r="D113" s="17"/>
      <c r="E113" s="28">
        <v>44966</v>
      </c>
      <c r="F113" s="34"/>
      <c r="G113" s="34">
        <v>29481.31</v>
      </c>
      <c r="H113" s="17"/>
      <c r="I113" s="16"/>
      <c r="J113" s="16"/>
      <c r="K113" s="17"/>
    </row>
    <row r="114" spans="3:11">
      <c r="C114" s="17"/>
      <c r="D114" s="17"/>
      <c r="E114" s="28">
        <v>44995</v>
      </c>
      <c r="F114" s="34"/>
      <c r="G114" s="34">
        <v>42036.88</v>
      </c>
      <c r="H114" s="17"/>
      <c r="I114" s="16"/>
      <c r="J114" s="16"/>
      <c r="K114" s="17"/>
    </row>
    <row r="115" spans="3:11">
      <c r="C115" s="17"/>
      <c r="D115" s="17"/>
      <c r="E115" s="28">
        <v>45027</v>
      </c>
      <c r="F115" s="34"/>
      <c r="G115" s="34">
        <v>60117.34</v>
      </c>
      <c r="H115" s="17"/>
      <c r="I115" s="16"/>
      <c r="J115" s="16"/>
      <c r="K115" s="17"/>
    </row>
    <row r="116" spans="3:11">
      <c r="C116" s="17"/>
      <c r="D116" s="17"/>
      <c r="E116" s="28">
        <v>45055</v>
      </c>
      <c r="F116" s="34"/>
      <c r="G116" s="34">
        <v>36418.400000000001</v>
      </c>
      <c r="H116" s="17"/>
      <c r="I116" s="16"/>
      <c r="J116" s="16"/>
      <c r="K116" s="17"/>
    </row>
    <row r="117" spans="3:11">
      <c r="C117" s="17"/>
      <c r="D117" s="17"/>
      <c r="E117" s="28">
        <v>45090</v>
      </c>
      <c r="F117" s="34"/>
      <c r="G117" s="34">
        <v>1174373.8999999999</v>
      </c>
      <c r="H117" s="17"/>
      <c r="I117" s="16"/>
      <c r="J117" s="16"/>
      <c r="K117" s="17"/>
    </row>
    <row r="118" spans="3:11">
      <c r="C118" s="17"/>
      <c r="D118" s="17"/>
      <c r="E118" s="28">
        <v>45113</v>
      </c>
      <c r="F118" s="34"/>
      <c r="G118" s="34">
        <v>436343</v>
      </c>
      <c r="H118" s="17"/>
      <c r="I118" s="16"/>
      <c r="J118" s="16"/>
      <c r="K118" s="17"/>
    </row>
    <row r="119" spans="3:11">
      <c r="C119" s="17"/>
      <c r="D119" s="17"/>
      <c r="E119" s="28">
        <v>45141</v>
      </c>
      <c r="F119" s="34"/>
      <c r="G119" s="34">
        <v>35536.730000000003</v>
      </c>
      <c r="H119" s="17"/>
      <c r="I119" s="16"/>
      <c r="J119" s="16"/>
      <c r="K119" s="17"/>
    </row>
    <row r="120" spans="3:11">
      <c r="C120" s="17"/>
      <c r="D120" s="17"/>
      <c r="E120" s="28">
        <v>45177</v>
      </c>
      <c r="F120" s="34"/>
      <c r="G120" s="34">
        <v>57492.22</v>
      </c>
      <c r="H120" s="17"/>
      <c r="I120" s="16"/>
      <c r="J120" s="16"/>
      <c r="K120" s="17"/>
    </row>
    <row r="121" spans="3:11">
      <c r="C121" s="17"/>
      <c r="D121" s="17"/>
      <c r="E121" s="28">
        <v>45189</v>
      </c>
      <c r="F121" s="34"/>
      <c r="G121" s="34">
        <v>240652.99</v>
      </c>
      <c r="H121" s="17"/>
      <c r="I121" s="16"/>
      <c r="J121" s="16"/>
      <c r="K121" s="17"/>
    </row>
    <row r="122" spans="3:11">
      <c r="C122" s="17"/>
      <c r="D122" s="17"/>
      <c r="E122" s="28">
        <v>45197</v>
      </c>
      <c r="F122" s="34"/>
      <c r="G122" s="34">
        <v>53601.58</v>
      </c>
      <c r="H122" s="17"/>
      <c r="I122" s="16"/>
      <c r="J122" s="16"/>
      <c r="K122" s="17"/>
    </row>
    <row r="123" spans="3:11">
      <c r="C123" s="17"/>
      <c r="D123" s="17"/>
      <c r="E123" s="28">
        <v>45243</v>
      </c>
      <c r="F123" s="34"/>
      <c r="G123" s="34">
        <v>77072.160000000003</v>
      </c>
      <c r="H123" s="17"/>
      <c r="I123" s="16"/>
      <c r="J123" s="16"/>
      <c r="K123" s="17"/>
    </row>
    <row r="124" spans="3:11">
      <c r="C124" s="17"/>
      <c r="D124" s="17"/>
      <c r="E124" s="28">
        <v>45273</v>
      </c>
      <c r="F124" s="34"/>
      <c r="G124" s="34">
        <v>238804.16</v>
      </c>
      <c r="H124" s="17"/>
      <c r="I124" s="16"/>
      <c r="J124" s="16"/>
      <c r="K124" s="17"/>
    </row>
    <row r="125" spans="3:11">
      <c r="C125" s="17" t="s">
        <v>36</v>
      </c>
      <c r="D125" s="17"/>
      <c r="E125" s="28">
        <v>45390</v>
      </c>
      <c r="F125" s="34"/>
      <c r="G125" s="34">
        <v>-43943.63</v>
      </c>
      <c r="H125" s="17"/>
      <c r="I125" s="16"/>
      <c r="J125" s="16"/>
      <c r="K125" s="17"/>
    </row>
    <row r="126" spans="3:11">
      <c r="C126" s="17"/>
      <c r="D126" s="17"/>
      <c r="E126" s="28">
        <v>45432</v>
      </c>
      <c r="F126" s="34"/>
      <c r="G126" s="34">
        <v>-148825.10999999999</v>
      </c>
      <c r="H126" s="17"/>
      <c r="I126" s="16"/>
      <c r="J126" s="16"/>
      <c r="K126" s="17"/>
    </row>
    <row r="127" spans="3:11">
      <c r="C127" s="17" t="s">
        <v>35</v>
      </c>
      <c r="D127" s="17"/>
      <c r="E127" s="28">
        <v>45303</v>
      </c>
      <c r="F127" s="34"/>
      <c r="G127" s="34">
        <v>209600.57</v>
      </c>
      <c r="H127" s="17"/>
      <c r="I127" s="16"/>
      <c r="J127" s="16"/>
      <c r="K127" s="17"/>
    </row>
    <row r="128" spans="3:11">
      <c r="C128" s="17"/>
      <c r="D128" s="17"/>
      <c r="E128" s="28">
        <v>45331</v>
      </c>
      <c r="F128" s="34"/>
      <c r="G128" s="34">
        <v>51329.82</v>
      </c>
      <c r="H128" s="17"/>
      <c r="I128" s="16"/>
      <c r="J128" s="16"/>
      <c r="K128" s="17"/>
    </row>
    <row r="129" spans="3:12">
      <c r="C129" s="17"/>
      <c r="D129" s="17"/>
      <c r="E129" s="28">
        <v>45362</v>
      </c>
      <c r="F129" s="34"/>
      <c r="G129" s="34">
        <v>98856.5</v>
      </c>
      <c r="H129" s="17"/>
      <c r="I129" s="16"/>
      <c r="J129" s="16"/>
      <c r="K129" s="17"/>
    </row>
    <row r="130" spans="3:12">
      <c r="C130" s="17"/>
      <c r="D130" s="17"/>
      <c r="E130" s="28">
        <v>45386</v>
      </c>
      <c r="F130" s="34"/>
      <c r="G130" s="34">
        <v>61115</v>
      </c>
      <c r="H130" s="17"/>
      <c r="I130" s="16"/>
      <c r="J130" s="16"/>
      <c r="K130" s="17"/>
    </row>
    <row r="131" spans="3:12">
      <c r="C131" s="17"/>
      <c r="D131" s="17"/>
      <c r="E131" s="28">
        <v>45419</v>
      </c>
      <c r="F131" s="34"/>
      <c r="G131" s="34">
        <v>67766.7</v>
      </c>
      <c r="H131" s="17"/>
      <c r="I131" s="16"/>
      <c r="J131" s="16"/>
      <c r="K131" s="17"/>
    </row>
    <row r="132" spans="3:12">
      <c r="C132" s="17"/>
      <c r="D132" s="17"/>
      <c r="E132" s="28">
        <v>45448</v>
      </c>
      <c r="F132" s="34"/>
      <c r="G132" s="34">
        <v>122628.52</v>
      </c>
      <c r="H132" s="17"/>
      <c r="I132" s="16"/>
      <c r="J132" s="16"/>
      <c r="K132" s="17"/>
    </row>
    <row r="133" spans="3:12" ht="4.5" customHeight="1">
      <c r="C133" s="17"/>
      <c r="D133" s="17"/>
      <c r="E133" s="28"/>
      <c r="F133" s="17"/>
      <c r="G133" s="34"/>
      <c r="H133" s="17"/>
      <c r="I133" s="16"/>
    </row>
    <row r="134" spans="3:12">
      <c r="C134" s="17" t="s">
        <v>25</v>
      </c>
      <c r="D134" s="17"/>
      <c r="E134" s="28">
        <f>+E8</f>
        <v>45473</v>
      </c>
      <c r="F134" s="17"/>
      <c r="G134" s="35">
        <f>L134*C22</f>
        <v>8467171.1152539421</v>
      </c>
      <c r="H134" s="17"/>
      <c r="I134" s="28"/>
      <c r="L134" s="59">
        <v>697178638</v>
      </c>
    </row>
    <row r="135" spans="3:12">
      <c r="C135" s="17"/>
      <c r="D135" s="17"/>
      <c r="E135" s="17"/>
      <c r="F135" s="17"/>
      <c r="G135" s="17"/>
      <c r="H135" s="17"/>
      <c r="J135" s="16"/>
    </row>
    <row r="136" spans="3:12">
      <c r="C136" t="s">
        <v>28</v>
      </c>
      <c r="G136" s="38">
        <f>+XIRR(G24:G134,E24:E134,0.1)</f>
        <v>0.22131164669990538</v>
      </c>
      <c r="H136" s="17"/>
      <c r="J136" s="34">
        <f>+SUMIF($G$24:$G$133,"&lt;0",$G$24:$G$133)+G53+G70</f>
        <v>-6768157.1100000003</v>
      </c>
      <c r="K136" s="17" t="s">
        <v>26</v>
      </c>
    </row>
    <row r="137" spans="3:12">
      <c r="C137" s="17"/>
      <c r="D137" s="17"/>
      <c r="E137" s="17"/>
      <c r="F137" s="17"/>
      <c r="G137" s="17"/>
      <c r="H137" s="17"/>
      <c r="J137" s="34">
        <f>+SUMIF($G$24:$G$133,"&gt;0",$G$24:$G$133)-G53-G70</f>
        <v>4027785.79</v>
      </c>
      <c r="K137" s="17" t="s">
        <v>27</v>
      </c>
    </row>
    <row r="138" spans="3:12">
      <c r="C138" s="17"/>
      <c r="D138" s="17"/>
      <c r="E138" s="17"/>
      <c r="F138" s="17"/>
      <c r="G138" s="16"/>
      <c r="H138" s="17"/>
    </row>
    <row r="139" spans="3:12">
      <c r="C139" s="17"/>
      <c r="D139" s="17"/>
      <c r="E139" s="39"/>
      <c r="F139" s="17"/>
      <c r="G139" s="39"/>
      <c r="H139" s="17"/>
      <c r="K139" s="39"/>
    </row>
    <row r="140" spans="3:12">
      <c r="C140" s="40"/>
      <c r="D140" s="40"/>
      <c r="E140" s="39"/>
      <c r="F140" s="40"/>
      <c r="G140" s="39"/>
      <c r="H140" s="17"/>
      <c r="K140" s="39"/>
    </row>
    <row r="141" spans="3:12">
      <c r="C141" s="40"/>
      <c r="D141" s="40"/>
      <c r="E141" s="39"/>
      <c r="F141" s="40"/>
      <c r="G141" s="39"/>
      <c r="H141" s="17"/>
      <c r="K141" s="39"/>
    </row>
    <row r="142" spans="3:12">
      <c r="C142" s="40"/>
      <c r="D142" s="40"/>
      <c r="E142" s="2"/>
      <c r="F142" s="2"/>
      <c r="G142" s="2"/>
      <c r="K142" s="39"/>
    </row>
    <row r="143" spans="3:12">
      <c r="C143" s="40"/>
      <c r="D143" s="40"/>
      <c r="E143" s="39"/>
      <c r="F143" s="39"/>
      <c r="G143" s="39"/>
      <c r="K143" s="39"/>
    </row>
    <row r="144" spans="3:12">
      <c r="C144" s="40"/>
      <c r="D144" s="40"/>
      <c r="E144" s="40"/>
      <c r="F144" s="40"/>
      <c r="G144" s="40"/>
      <c r="K144" s="37"/>
    </row>
    <row r="145" spans="3:11">
      <c r="C145" s="40"/>
      <c r="D145" s="40"/>
      <c r="E145" s="60"/>
      <c r="F145" s="41"/>
      <c r="G145" s="60"/>
    </row>
    <row r="146" spans="3:11">
      <c r="C146" s="40"/>
      <c r="D146" s="40"/>
      <c r="E146" s="42"/>
      <c r="F146" s="41"/>
      <c r="G146" s="42"/>
      <c r="K146" s="37"/>
    </row>
    <row r="147" spans="3:11">
      <c r="C147" s="40"/>
      <c r="D147" s="40"/>
      <c r="E147" s="42"/>
      <c r="F147" s="41"/>
      <c r="G147" s="42"/>
    </row>
    <row r="148" spans="3:11">
      <c r="C148" s="43"/>
      <c r="D148" s="40"/>
      <c r="E148" s="42"/>
      <c r="F148" s="41"/>
      <c r="G148" s="42"/>
    </row>
    <row r="149" spans="3:11">
      <c r="C149" s="43"/>
      <c r="D149" s="40"/>
      <c r="E149" s="42"/>
      <c r="F149" s="41"/>
      <c r="G149" s="42"/>
    </row>
    <row r="150" spans="3:11">
      <c r="C150" s="44"/>
      <c r="D150" s="40"/>
      <c r="E150" s="42"/>
      <c r="F150" s="41"/>
      <c r="G150" s="42"/>
    </row>
    <row r="151" spans="3:11">
      <c r="C151" s="40"/>
      <c r="D151" s="40"/>
      <c r="E151" s="42"/>
      <c r="F151" s="41"/>
      <c r="G151" s="42"/>
    </row>
    <row r="152" spans="3:11">
      <c r="C152" s="40"/>
      <c r="D152" s="40"/>
      <c r="E152" s="42"/>
      <c r="F152" s="41"/>
      <c r="G152" s="42"/>
    </row>
    <row r="153" spans="3:11">
      <c r="C153" s="40"/>
      <c r="D153" s="40"/>
      <c r="E153" s="42"/>
      <c r="F153" s="41"/>
      <c r="G153" s="42"/>
    </row>
    <row r="154" spans="3:11">
      <c r="C154" s="40"/>
      <c r="D154" s="40"/>
      <c r="E154" s="42"/>
      <c r="F154" s="41"/>
      <c r="G154" s="42"/>
    </row>
    <row r="155" spans="3:11">
      <c r="C155" s="40"/>
      <c r="D155" s="40"/>
      <c r="E155" s="42"/>
      <c r="F155" s="41"/>
      <c r="G155" s="42"/>
    </row>
    <row r="156" spans="3:11">
      <c r="C156" s="40"/>
      <c r="D156" s="40"/>
      <c r="E156" s="42"/>
      <c r="F156" s="41"/>
      <c r="G156" s="42"/>
    </row>
    <row r="157" spans="3:11" ht="5.15" customHeight="1">
      <c r="E157" s="85"/>
      <c r="F157" s="45"/>
      <c r="G157" s="85"/>
    </row>
    <row r="158" spans="3:11">
      <c r="E158" s="86"/>
      <c r="F158" s="46"/>
      <c r="G158" s="86"/>
    </row>
    <row r="159" spans="3:11">
      <c r="C159" s="17"/>
      <c r="D159" s="17"/>
      <c r="E159" s="47"/>
      <c r="F159" s="48"/>
      <c r="G159" s="47"/>
      <c r="H159" s="17"/>
    </row>
    <row r="160" spans="3:11">
      <c r="C160" s="17"/>
      <c r="D160" s="17"/>
      <c r="E160" s="47"/>
      <c r="F160" s="48"/>
      <c r="G160" s="47"/>
      <c r="H160" s="17"/>
    </row>
    <row r="161" spans="3:8">
      <c r="C161" s="17"/>
      <c r="D161" s="17"/>
      <c r="E161" s="47"/>
      <c r="F161" s="48"/>
      <c r="G161" s="47"/>
      <c r="H161" s="17"/>
    </row>
    <row r="162" spans="3:8">
      <c r="C162" s="17"/>
      <c r="D162" s="17"/>
      <c r="E162" s="49"/>
      <c r="F162" s="49"/>
      <c r="G162" s="49"/>
      <c r="H162" s="17"/>
    </row>
    <row r="163" spans="3:8">
      <c r="C163" s="17"/>
      <c r="D163" s="17"/>
      <c r="E163" s="17"/>
      <c r="F163" s="17"/>
      <c r="G163" s="17"/>
      <c r="H163" s="17"/>
    </row>
    <row r="164" spans="3:8">
      <c r="C164" s="17"/>
      <c r="D164" s="17"/>
      <c r="E164" s="17"/>
      <c r="F164" s="17"/>
      <c r="G164" s="17"/>
      <c r="H164" s="17"/>
    </row>
    <row r="165" spans="3:8">
      <c r="C165" s="17"/>
      <c r="D165" s="17"/>
      <c r="E165" s="17"/>
      <c r="F165" s="17"/>
      <c r="G165" s="17"/>
      <c r="H165" s="17"/>
    </row>
    <row r="166" spans="3:8">
      <c r="C166" s="17"/>
      <c r="D166" s="17"/>
      <c r="E166" s="17"/>
      <c r="F166" s="17"/>
      <c r="G166" s="17"/>
      <c r="H166" s="17"/>
    </row>
    <row r="167" spans="3:8">
      <c r="C167" s="17"/>
      <c r="D167" s="17"/>
      <c r="E167" s="17"/>
      <c r="F167" s="17"/>
      <c r="G167" s="17"/>
      <c r="H167" s="17"/>
    </row>
    <row r="168" spans="3:8">
      <c r="C168" s="17"/>
      <c r="D168" s="17"/>
      <c r="E168" s="17"/>
      <c r="F168" s="17"/>
      <c r="G168" s="17"/>
      <c r="H168" s="17"/>
    </row>
    <row r="169" spans="3:8">
      <c r="C169" s="17"/>
      <c r="D169" s="17"/>
      <c r="E169" s="17"/>
      <c r="F169" s="17"/>
      <c r="G169" s="17"/>
      <c r="H169" s="17"/>
    </row>
    <row r="170" spans="3:8">
      <c r="C170" s="17"/>
      <c r="D170" s="17"/>
      <c r="E170" s="17"/>
      <c r="F170" s="17"/>
      <c r="G170" s="17"/>
      <c r="H170" s="17"/>
    </row>
    <row r="171" spans="3:8">
      <c r="C171" s="17"/>
      <c r="D171" s="17"/>
      <c r="E171" s="17"/>
      <c r="F171" s="17"/>
      <c r="G171" s="17"/>
      <c r="H171" s="17"/>
    </row>
    <row r="172" spans="3:8">
      <c r="C172" s="17"/>
      <c r="D172" s="17"/>
      <c r="E172" s="17"/>
      <c r="F172" s="17"/>
      <c r="G172" s="17"/>
      <c r="H172" s="17"/>
    </row>
  </sheetData>
  <mergeCells count="1">
    <mergeCell ref="E142:G142"/>
  </mergeCells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33FB-D5AC-4FB2-A464-98EBD51763F1}">
  <sheetPr>
    <tabColor rgb="FF92D050"/>
    <pageSetUpPr fitToPage="1"/>
  </sheetPr>
  <dimension ref="B4:S74"/>
  <sheetViews>
    <sheetView showGridLines="0" view="pageLayout" topLeftCell="A4" zoomScaleNormal="100" workbookViewId="0">
      <selection activeCell="C21" sqref="C21:C22"/>
    </sheetView>
  </sheetViews>
  <sheetFormatPr defaultRowHeight="12.5"/>
  <cols>
    <col min="2" max="2" width="4.81640625" customWidth="1"/>
    <col min="3" max="3" width="45.1796875" customWidth="1"/>
    <col min="4" max="4" width="2" customWidth="1"/>
    <col min="5" max="5" width="10.54296875" customWidth="1"/>
    <col min="6" max="6" width="2.26953125" customWidth="1"/>
    <col min="7" max="7" width="15.54296875" customWidth="1"/>
    <col min="8" max="8" width="2.453125" customWidth="1"/>
    <col min="9" max="9" width="16.81640625" bestFit="1" customWidth="1"/>
    <col min="10" max="10" width="23" bestFit="1" customWidth="1"/>
    <col min="11" max="11" width="19" customWidth="1"/>
    <col min="12" max="12" width="24" bestFit="1" customWidth="1"/>
    <col min="13" max="13" width="5.1796875" customWidth="1"/>
    <col min="14" max="14" width="11.26953125" bestFit="1" customWidth="1"/>
    <col min="16" max="16" width="17.7265625" bestFit="1" customWidth="1"/>
    <col min="17" max="17" width="17.26953125" bestFit="1" customWidth="1"/>
    <col min="18" max="19" width="12.81640625" bestFit="1" customWidth="1"/>
  </cols>
  <sheetData>
    <row r="4" spans="2:18" ht="18">
      <c r="B4" s="3"/>
      <c r="C4" s="3"/>
      <c r="D4" s="3"/>
      <c r="E4" s="3"/>
      <c r="F4" s="3"/>
    </row>
    <row r="6" spans="2:18">
      <c r="C6" s="4"/>
      <c r="D6" s="4"/>
      <c r="E6" s="4"/>
      <c r="F6" s="4"/>
    </row>
    <row r="7" spans="2:18" ht="13">
      <c r="B7" s="5"/>
      <c r="C7" s="6"/>
      <c r="D7" s="6"/>
      <c r="E7" s="6"/>
      <c r="F7" s="6"/>
    </row>
    <row r="8" spans="2:18" ht="15.5">
      <c r="C8" s="7"/>
      <c r="D8" s="7"/>
      <c r="E8" s="62">
        <v>45473</v>
      </c>
      <c r="F8" s="9"/>
      <c r="G8" s="10"/>
      <c r="H8" s="10"/>
      <c r="I8" s="93"/>
      <c r="J8" s="93"/>
      <c r="K8" s="93"/>
      <c r="L8" s="93"/>
    </row>
    <row r="9" spans="2:18" ht="15.5">
      <c r="C9" s="7"/>
      <c r="D9" s="7"/>
      <c r="E9" s="7"/>
      <c r="F9" s="7"/>
      <c r="G9" s="12"/>
      <c r="I9" s="93"/>
      <c r="J9" s="93"/>
      <c r="K9" s="94"/>
      <c r="L9" s="93"/>
      <c r="Q9" s="95"/>
    </row>
    <row r="10" spans="2:18">
      <c r="C10" s="13"/>
      <c r="D10" s="13"/>
      <c r="E10" s="14"/>
      <c r="F10" s="13"/>
      <c r="G10" s="59"/>
      <c r="H10" s="15"/>
      <c r="I10" s="96"/>
      <c r="J10" s="92"/>
      <c r="K10" s="92"/>
      <c r="L10" s="92"/>
      <c r="R10" s="97"/>
    </row>
    <row r="11" spans="2:18">
      <c r="C11" s="13"/>
      <c r="D11" s="13"/>
      <c r="E11" s="14"/>
      <c r="F11" s="13"/>
      <c r="G11" s="14"/>
      <c r="H11" s="15"/>
      <c r="I11" s="96"/>
      <c r="R11" s="97"/>
    </row>
    <row r="12" spans="2:18" ht="15.5">
      <c r="C12" s="18"/>
      <c r="D12" s="18"/>
      <c r="E12" s="19"/>
      <c r="F12" s="18"/>
      <c r="G12" s="19"/>
      <c r="H12" s="7"/>
      <c r="I12" s="96"/>
    </row>
    <row r="13" spans="2:18">
      <c r="C13" s="13"/>
      <c r="D13" s="13"/>
      <c r="E13" s="20"/>
      <c r="F13" s="13"/>
      <c r="G13" s="59"/>
      <c r="H13" s="21"/>
      <c r="I13" s="96"/>
      <c r="J13" s="92"/>
      <c r="K13" s="92"/>
      <c r="L13" s="92"/>
    </row>
    <row r="14" spans="2:18">
      <c r="C14" s="13"/>
      <c r="D14" s="13"/>
      <c r="E14" s="22"/>
      <c r="F14" s="13"/>
      <c r="G14" s="59"/>
      <c r="H14" s="23"/>
      <c r="I14" s="24"/>
    </row>
    <row r="15" spans="2:18">
      <c r="C15" s="13"/>
      <c r="D15" s="13"/>
      <c r="E15" s="14"/>
      <c r="F15" s="13"/>
      <c r="G15" s="14"/>
      <c r="H15" s="15"/>
      <c r="I15" s="24"/>
    </row>
    <row r="16" spans="2:18" ht="15.5">
      <c r="C16" s="7"/>
      <c r="D16" s="7"/>
      <c r="E16" s="19"/>
      <c r="F16" s="7"/>
      <c r="G16" s="19"/>
      <c r="H16" s="7"/>
      <c r="I16" s="24"/>
      <c r="Q16" s="95"/>
    </row>
    <row r="17" spans="3:19" ht="15.5">
      <c r="C17" s="18" t="s">
        <v>0</v>
      </c>
      <c r="D17" s="18"/>
      <c r="E17" s="19"/>
      <c r="F17" s="18"/>
      <c r="G17" s="19"/>
      <c r="H17" s="7"/>
      <c r="I17" s="50"/>
      <c r="R17" s="98"/>
      <c r="S17" s="98"/>
    </row>
    <row r="18" spans="3:19" ht="12.75" customHeight="1">
      <c r="C18" s="13" t="s">
        <v>1</v>
      </c>
      <c r="D18" s="13"/>
      <c r="E18" s="21">
        <f>G38</f>
        <v>0.69209448099136361</v>
      </c>
      <c r="F18" s="13"/>
      <c r="G18" s="20"/>
      <c r="H18" s="21"/>
      <c r="I18" s="50"/>
      <c r="R18" s="96"/>
      <c r="S18" s="92"/>
    </row>
    <row r="19" spans="3:19">
      <c r="C19" s="13" t="s">
        <v>2</v>
      </c>
      <c r="D19" s="13"/>
      <c r="E19" s="25">
        <f>-(G36+J39)/J38</f>
        <v>1.4204930133822131</v>
      </c>
      <c r="F19" s="13"/>
      <c r="G19" s="14"/>
      <c r="H19" s="15"/>
      <c r="R19" s="96"/>
      <c r="S19" s="92"/>
    </row>
    <row r="20" spans="3:19">
      <c r="C20" s="13"/>
      <c r="D20" s="13"/>
      <c r="E20" s="13"/>
      <c r="F20" s="13"/>
      <c r="G20" s="15"/>
    </row>
    <row r="21" spans="3:19" ht="15.5">
      <c r="C21" s="26" t="s">
        <v>29</v>
      </c>
      <c r="D21" s="27"/>
      <c r="E21" s="27"/>
      <c r="F21" s="27"/>
      <c r="I21" s="28"/>
      <c r="J21" s="17"/>
      <c r="L21" s="12"/>
    </row>
    <row r="22" spans="3:19">
      <c r="C22" s="30">
        <v>1</v>
      </c>
      <c r="D22" s="17"/>
      <c r="E22" s="17"/>
      <c r="F22" s="17"/>
      <c r="G22" s="31"/>
      <c r="H22" s="17"/>
      <c r="I22" s="17"/>
      <c r="J22" s="16"/>
      <c r="K22" s="17"/>
      <c r="L22" s="59"/>
      <c r="M22" s="59"/>
      <c r="N22" s="99"/>
      <c r="O22" s="99"/>
      <c r="P22" s="99"/>
    </row>
    <row r="23" spans="3:19">
      <c r="C23" s="17"/>
      <c r="D23" s="17"/>
      <c r="E23" s="28"/>
      <c r="F23" s="34"/>
      <c r="G23" s="34"/>
      <c r="H23" s="17"/>
      <c r="I23" s="16"/>
      <c r="J23" s="16"/>
      <c r="K23" s="17"/>
      <c r="L23" s="59"/>
      <c r="M23" s="59"/>
      <c r="N23" s="97"/>
    </row>
    <row r="24" spans="3:19">
      <c r="C24" s="17" t="s">
        <v>33</v>
      </c>
      <c r="D24" s="17"/>
      <c r="E24" s="28">
        <v>45083</v>
      </c>
      <c r="F24" s="34"/>
      <c r="G24" s="34">
        <v>-500811079.32999998</v>
      </c>
      <c r="H24" s="17"/>
      <c r="I24" s="16"/>
      <c r="J24" s="16"/>
      <c r="K24" s="17"/>
      <c r="L24" s="59"/>
      <c r="M24" s="59"/>
      <c r="N24" s="97"/>
      <c r="P24" s="92"/>
    </row>
    <row r="25" spans="3:19">
      <c r="C25" s="17"/>
      <c r="D25" s="17"/>
      <c r="E25" s="28">
        <v>45119</v>
      </c>
      <c r="F25" s="34"/>
      <c r="G25" s="34">
        <v>-44193507.960000001</v>
      </c>
      <c r="H25" s="17"/>
      <c r="I25" s="16"/>
      <c r="J25" s="16"/>
      <c r="K25" s="17"/>
      <c r="L25" s="59"/>
      <c r="M25" s="59"/>
      <c r="N25" s="97"/>
      <c r="P25" s="92"/>
    </row>
    <row r="26" spans="3:19">
      <c r="C26" s="17"/>
      <c r="D26" s="17"/>
      <c r="E26" s="28">
        <v>45142</v>
      </c>
      <c r="F26" s="34"/>
      <c r="G26" s="34">
        <f>-198857476.16-3845352.53</f>
        <v>-202702828.69</v>
      </c>
      <c r="H26" s="17"/>
      <c r="I26" s="16"/>
      <c r="J26" s="16"/>
      <c r="K26" s="17"/>
      <c r="L26" s="91"/>
      <c r="M26" s="91"/>
      <c r="N26" s="97"/>
      <c r="P26" s="92"/>
    </row>
    <row r="27" spans="3:19">
      <c r="C27" s="17"/>
      <c r="D27" s="17"/>
      <c r="E27" s="28">
        <v>45146</v>
      </c>
      <c r="F27" s="34"/>
      <c r="G27" s="34">
        <v>259204888.66999999</v>
      </c>
      <c r="H27" s="17"/>
      <c r="I27" s="16"/>
      <c r="J27" s="16"/>
      <c r="P27" s="92"/>
    </row>
    <row r="28" spans="3:19">
      <c r="C28" s="17"/>
      <c r="D28" s="17"/>
      <c r="E28" s="28">
        <v>45239</v>
      </c>
      <c r="F28" s="34"/>
      <c r="G28" s="34">
        <f>-87193668.87+3105142.88</f>
        <v>-84088525.99000001</v>
      </c>
      <c r="H28" s="17"/>
      <c r="I28" s="16"/>
      <c r="J28" s="16"/>
      <c r="P28" s="96"/>
    </row>
    <row r="29" spans="3:19" ht="13">
      <c r="C29" s="17" t="s">
        <v>36</v>
      </c>
      <c r="D29" s="17"/>
      <c r="E29" s="28">
        <v>45327</v>
      </c>
      <c r="F29" s="34"/>
      <c r="G29" s="34">
        <v>-68426622.400000006</v>
      </c>
      <c r="H29" s="17"/>
      <c r="I29" s="16"/>
      <c r="J29" s="16"/>
      <c r="K29" s="17"/>
      <c r="P29" s="37"/>
      <c r="Q29" s="100"/>
    </row>
    <row r="30" spans="3:19" ht="13">
      <c r="C30" s="17"/>
      <c r="D30" s="17"/>
      <c r="E30" s="28">
        <v>45357</v>
      </c>
      <c r="F30" s="34"/>
      <c r="G30" s="34">
        <v>99078815.510000005</v>
      </c>
      <c r="H30" s="17"/>
      <c r="I30" s="16"/>
      <c r="J30" s="16"/>
      <c r="K30" s="17"/>
      <c r="P30" s="37"/>
      <c r="Q30" s="100"/>
    </row>
    <row r="31" spans="3:19" ht="13">
      <c r="C31" s="17"/>
      <c r="D31" s="17"/>
      <c r="E31" s="28">
        <v>45383</v>
      </c>
      <c r="F31" s="34"/>
      <c r="G31" s="34">
        <v>-80702625</v>
      </c>
      <c r="H31" s="17"/>
      <c r="I31" s="16"/>
      <c r="J31" s="16"/>
      <c r="K31" s="17"/>
      <c r="P31" s="37"/>
      <c r="Q31" s="100"/>
    </row>
    <row r="32" spans="3:19" ht="13">
      <c r="C32" s="17"/>
      <c r="D32" s="17"/>
      <c r="E32" s="28">
        <v>45407</v>
      </c>
      <c r="F32" s="34"/>
      <c r="G32" s="34">
        <v>-52042125</v>
      </c>
      <c r="H32" s="17"/>
      <c r="I32" s="16"/>
      <c r="J32" s="16"/>
      <c r="K32" s="17"/>
      <c r="P32" s="37"/>
      <c r="Q32" s="100"/>
    </row>
    <row r="33" spans="3:17" ht="13">
      <c r="C33" s="17"/>
      <c r="D33" s="17"/>
      <c r="E33" s="28">
        <v>45413</v>
      </c>
      <c r="F33" s="34"/>
      <c r="G33" s="34">
        <v>-38413113.810000002</v>
      </c>
      <c r="H33" s="17"/>
      <c r="I33" s="16"/>
      <c r="J33" s="16"/>
      <c r="K33" s="17"/>
      <c r="P33" s="37"/>
      <c r="Q33" s="100"/>
    </row>
    <row r="34" spans="3:17" ht="13">
      <c r="C34" s="17"/>
      <c r="D34" s="17"/>
      <c r="E34" s="28">
        <v>45443</v>
      </c>
      <c r="F34" s="34"/>
      <c r="G34" s="34">
        <v>-336611508.00999999</v>
      </c>
      <c r="H34" s="17"/>
      <c r="I34" s="16"/>
      <c r="J34" s="16"/>
      <c r="K34" s="17"/>
      <c r="P34" s="37"/>
      <c r="Q34" s="100"/>
    </row>
    <row r="35" spans="3:17" ht="4.5" customHeight="1">
      <c r="C35" s="17"/>
      <c r="D35" s="17"/>
      <c r="E35" s="28"/>
      <c r="F35" s="17"/>
      <c r="G35" s="34"/>
      <c r="H35" s="17"/>
      <c r="I35" s="16"/>
    </row>
    <row r="36" spans="3:17">
      <c r="C36" s="17" t="s">
        <v>25</v>
      </c>
      <c r="D36" s="17"/>
      <c r="E36" s="28">
        <f>+E8</f>
        <v>45473</v>
      </c>
      <c r="F36" s="17"/>
      <c r="G36" s="35">
        <v>1491103209.6600001</v>
      </c>
      <c r="H36" s="17"/>
      <c r="I36" s="28"/>
      <c r="L36" s="59"/>
    </row>
    <row r="37" spans="3:17">
      <c r="C37" s="17"/>
      <c r="D37" s="17"/>
      <c r="E37" s="17"/>
      <c r="F37" s="17"/>
      <c r="G37" s="17"/>
      <c r="H37" s="17"/>
      <c r="J37" s="16"/>
    </row>
    <row r="38" spans="3:17">
      <c r="C38" t="s">
        <v>28</v>
      </c>
      <c r="G38" s="38">
        <f>XIRR(G24:G36,E24:E36,0.1)</f>
        <v>0.69209448099136361</v>
      </c>
      <c r="H38" s="17"/>
      <c r="J38" s="34">
        <f>+SUMIF($G$24:$G$35,"&lt;0",$G$24:$G$35)+G27+G30</f>
        <v>-1049708232.01</v>
      </c>
      <c r="K38" s="17" t="s">
        <v>26</v>
      </c>
      <c r="N38" s="37"/>
    </row>
    <row r="39" spans="3:17">
      <c r="C39" s="17"/>
      <c r="D39" s="17"/>
      <c r="E39" s="17"/>
      <c r="F39" s="17"/>
      <c r="G39" s="17"/>
      <c r="H39" s="17"/>
      <c r="J39" s="34">
        <f>+SUMIF($G$24:$G$35,"&gt;0",$G$24:$G$35)-G27-G30</f>
        <v>0</v>
      </c>
      <c r="K39" s="17" t="s">
        <v>27</v>
      </c>
    </row>
    <row r="40" spans="3:17">
      <c r="C40" s="17"/>
      <c r="D40" s="17"/>
      <c r="E40" s="17"/>
      <c r="F40" s="17"/>
      <c r="G40" s="17"/>
      <c r="H40" s="17"/>
    </row>
    <row r="41" spans="3:17">
      <c r="C41" s="17"/>
      <c r="D41" s="17"/>
      <c r="E41" s="11"/>
      <c r="F41" s="17"/>
      <c r="G41" s="40"/>
      <c r="H41" s="17"/>
      <c r="K41" s="39"/>
    </row>
    <row r="42" spans="3:17">
      <c r="D42" s="40"/>
      <c r="E42" s="11"/>
      <c r="F42" s="40"/>
      <c r="G42" s="39"/>
      <c r="H42" s="17"/>
      <c r="K42" s="39"/>
    </row>
    <row r="43" spans="3:17">
      <c r="C43" s="40"/>
      <c r="D43" s="40"/>
      <c r="E43" s="39"/>
      <c r="F43" s="40"/>
      <c r="G43" s="39"/>
      <c r="H43" s="17"/>
      <c r="K43" s="39"/>
    </row>
    <row r="44" spans="3:17">
      <c r="C44" s="40"/>
      <c r="D44" s="40"/>
      <c r="E44" s="2"/>
      <c r="F44" s="2"/>
      <c r="G44" s="2"/>
      <c r="K44" s="39"/>
    </row>
    <row r="45" spans="3:17">
      <c r="C45" s="40"/>
      <c r="D45" s="40"/>
      <c r="E45" s="39"/>
      <c r="F45" s="39"/>
      <c r="G45" s="39"/>
      <c r="K45" s="39"/>
    </row>
    <row r="46" spans="3:17">
      <c r="C46" s="40"/>
      <c r="D46" s="40"/>
      <c r="E46" s="40"/>
      <c r="F46" s="40"/>
      <c r="G46" s="40"/>
      <c r="K46" s="37"/>
    </row>
    <row r="47" spans="3:17">
      <c r="C47" s="40"/>
      <c r="D47" s="40"/>
      <c r="E47" s="60"/>
      <c r="F47" s="41"/>
      <c r="G47" s="60"/>
    </row>
    <row r="48" spans="3:17">
      <c r="C48" s="40"/>
      <c r="D48" s="40"/>
      <c r="E48" s="42"/>
      <c r="F48" s="41"/>
      <c r="G48" s="42"/>
      <c r="K48" s="37"/>
    </row>
    <row r="49" spans="3:8">
      <c r="C49" s="40"/>
      <c r="D49" s="40"/>
      <c r="E49" s="42"/>
      <c r="F49" s="41"/>
      <c r="G49" s="42"/>
    </row>
    <row r="50" spans="3:8">
      <c r="C50" s="43"/>
      <c r="D50" s="40"/>
      <c r="E50" s="42"/>
      <c r="F50" s="41"/>
      <c r="G50" s="42"/>
    </row>
    <row r="51" spans="3:8">
      <c r="C51" s="43"/>
      <c r="D51" s="40"/>
      <c r="E51" s="42"/>
      <c r="F51" s="41"/>
      <c r="G51" s="42"/>
    </row>
    <row r="52" spans="3:8">
      <c r="C52" s="44"/>
      <c r="D52" s="40"/>
      <c r="E52" s="42"/>
      <c r="F52" s="41"/>
      <c r="G52" s="42"/>
    </row>
    <row r="53" spans="3:8">
      <c r="C53" s="40"/>
      <c r="D53" s="40"/>
      <c r="E53" s="42"/>
      <c r="F53" s="41"/>
      <c r="G53" s="42"/>
    </row>
    <row r="54" spans="3:8">
      <c r="C54" s="40"/>
      <c r="D54" s="40"/>
      <c r="E54" s="42"/>
      <c r="F54" s="41"/>
      <c r="G54" s="42"/>
    </row>
    <row r="55" spans="3:8">
      <c r="C55" s="40"/>
      <c r="D55" s="40"/>
      <c r="E55" s="42"/>
      <c r="F55" s="41"/>
      <c r="G55" s="42"/>
    </row>
    <row r="56" spans="3:8">
      <c r="C56" s="40"/>
      <c r="D56" s="40"/>
      <c r="E56" s="42"/>
      <c r="F56" s="41"/>
      <c r="G56" s="42"/>
    </row>
    <row r="57" spans="3:8">
      <c r="C57" s="40"/>
      <c r="D57" s="40"/>
      <c r="E57" s="42"/>
      <c r="F57" s="41"/>
      <c r="G57" s="42"/>
    </row>
    <row r="58" spans="3:8">
      <c r="C58" s="40"/>
      <c r="D58" s="40"/>
      <c r="E58" s="42"/>
      <c r="F58" s="41"/>
      <c r="G58" s="42"/>
    </row>
    <row r="59" spans="3:8" ht="5.15" customHeight="1">
      <c r="E59" s="85"/>
      <c r="F59" s="45"/>
      <c r="G59" s="85"/>
    </row>
    <row r="60" spans="3:8">
      <c r="E60" s="86"/>
      <c r="F60" s="46"/>
      <c r="G60" s="86"/>
    </row>
    <row r="61" spans="3:8">
      <c r="C61" s="17"/>
      <c r="D61" s="17"/>
      <c r="E61" s="47"/>
      <c r="F61" s="48"/>
      <c r="G61" s="47"/>
      <c r="H61" s="17"/>
    </row>
    <row r="62" spans="3:8">
      <c r="C62" s="17"/>
      <c r="D62" s="17"/>
      <c r="E62" s="47"/>
      <c r="F62" s="48"/>
      <c r="G62" s="47"/>
      <c r="H62" s="17"/>
    </row>
    <row r="63" spans="3:8">
      <c r="C63" s="17"/>
      <c r="D63" s="17"/>
      <c r="E63" s="47"/>
      <c r="F63" s="48"/>
      <c r="G63" s="47"/>
      <c r="H63" s="17"/>
    </row>
    <row r="64" spans="3:8">
      <c r="C64" s="17"/>
      <c r="D64" s="17"/>
      <c r="E64" s="49"/>
      <c r="F64" s="49"/>
      <c r="G64" s="49"/>
      <c r="H64" s="17"/>
    </row>
    <row r="65" spans="3:8">
      <c r="C65" s="17"/>
      <c r="D65" s="17"/>
      <c r="E65" s="17"/>
      <c r="F65" s="17"/>
      <c r="G65" s="17"/>
      <c r="H65" s="17"/>
    </row>
    <row r="66" spans="3:8">
      <c r="C66" s="17"/>
      <c r="D66" s="17"/>
      <c r="E66" s="17"/>
      <c r="F66" s="17"/>
      <c r="G66" s="17"/>
      <c r="H66" s="17"/>
    </row>
    <row r="67" spans="3:8">
      <c r="C67" s="17"/>
      <c r="D67" s="17"/>
      <c r="E67" s="17"/>
      <c r="F67" s="17"/>
      <c r="G67" s="17"/>
      <c r="H67" s="17"/>
    </row>
    <row r="68" spans="3:8">
      <c r="C68" s="17"/>
      <c r="D68" s="17"/>
      <c r="E68" s="17"/>
      <c r="F68" s="17"/>
      <c r="G68" s="17"/>
      <c r="H68" s="17"/>
    </row>
    <row r="69" spans="3:8">
      <c r="C69" s="17"/>
      <c r="D69" s="17"/>
      <c r="E69" s="17"/>
      <c r="F69" s="17"/>
      <c r="G69" s="17"/>
      <c r="H69" s="17"/>
    </row>
    <row r="70" spans="3:8">
      <c r="C70" s="17"/>
      <c r="D70" s="17"/>
      <c r="E70" s="17"/>
      <c r="F70" s="17"/>
      <c r="G70" s="17"/>
      <c r="H70" s="17"/>
    </row>
    <row r="71" spans="3:8">
      <c r="C71" s="17"/>
      <c r="D71" s="17"/>
      <c r="E71" s="17"/>
      <c r="F71" s="17"/>
      <c r="G71" s="17"/>
      <c r="H71" s="17"/>
    </row>
    <row r="72" spans="3:8">
      <c r="C72" s="17"/>
      <c r="D72" s="17"/>
      <c r="E72" s="17"/>
      <c r="F72" s="17"/>
      <c r="G72" s="17"/>
      <c r="H72" s="17"/>
    </row>
    <row r="73" spans="3:8">
      <c r="C73" s="17"/>
      <c r="D73" s="17"/>
      <c r="E73" s="17"/>
      <c r="F73" s="17"/>
      <c r="G73" s="17"/>
      <c r="H73" s="17"/>
    </row>
    <row r="74" spans="3:8">
      <c r="C74" s="17"/>
      <c r="D74" s="17"/>
      <c r="E74" s="17"/>
      <c r="F74" s="17"/>
      <c r="G74" s="17"/>
      <c r="H74" s="17"/>
    </row>
  </sheetData>
  <mergeCells count="1">
    <mergeCell ref="E44:G44"/>
  </mergeCells>
  <pageMargins left="0.75" right="0.33" top="1" bottom="1" header="0.5" footer="0.5"/>
  <pageSetup scale="65" orientation="landscape" r:id="rId1"/>
  <headerFooter alignWithMargins="0"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1639-E9F5-4B67-85C9-1FAAD0A4751E}">
  <sheetPr>
    <tabColor rgb="FF92D050"/>
  </sheetPr>
  <dimension ref="B4:Q101"/>
  <sheetViews>
    <sheetView showGridLines="0" view="pageLayout" topLeftCell="B64" zoomScaleNormal="100" workbookViewId="0">
      <selection activeCell="E9" sqref="E9"/>
    </sheetView>
  </sheetViews>
  <sheetFormatPr defaultRowHeight="12.5"/>
  <cols>
    <col min="2" max="2" width="4.81640625" customWidth="1"/>
    <col min="3" max="3" width="47" customWidth="1"/>
    <col min="4" max="4" width="1.453125" customWidth="1"/>
    <col min="5" max="5" width="10.54296875" customWidth="1"/>
    <col min="6" max="6" width="1.453125" customWidth="1"/>
    <col min="7" max="7" width="18" bestFit="1" customWidth="1"/>
    <col min="8" max="8" width="2.453125" customWidth="1"/>
    <col min="9" max="9" width="13.54296875" bestFit="1" customWidth="1"/>
    <col min="10" max="10" width="19.453125" bestFit="1" customWidth="1"/>
    <col min="13" max="13" width="16.54296875" bestFit="1" customWidth="1"/>
    <col min="14" max="14" width="10.1796875" bestFit="1" customWidth="1"/>
    <col min="15" max="15" width="15.26953125" bestFit="1" customWidth="1"/>
    <col min="16" max="16" width="13.1796875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2"/>
    </row>
    <row r="9" spans="2:15" ht="15.5">
      <c r="C9" s="7"/>
      <c r="D9" s="7"/>
      <c r="E9" s="7"/>
      <c r="F9" s="7"/>
      <c r="G9" s="12"/>
      <c r="I9" s="101"/>
      <c r="J9" s="12"/>
      <c r="M9" s="37"/>
    </row>
    <row r="10" spans="2:15">
      <c r="C10" s="13"/>
      <c r="D10" s="13"/>
      <c r="E10" s="14"/>
      <c r="F10" s="13"/>
      <c r="G10" s="59"/>
      <c r="H10" s="15"/>
      <c r="I10" s="50"/>
      <c r="J10" s="59"/>
      <c r="O10" s="102"/>
    </row>
    <row r="11" spans="2:15">
      <c r="C11" s="13"/>
      <c r="D11" s="13"/>
      <c r="E11" s="14"/>
      <c r="F11" s="13"/>
      <c r="G11" s="14"/>
      <c r="H11" s="15"/>
      <c r="I11" s="50"/>
    </row>
    <row r="12" spans="2:15" ht="15.5">
      <c r="C12" s="18"/>
      <c r="D12" s="18"/>
      <c r="E12" s="19"/>
      <c r="F12" s="18"/>
      <c r="G12" s="19"/>
      <c r="H12" s="7"/>
      <c r="I12" s="50"/>
    </row>
    <row r="13" spans="2:15">
      <c r="C13" s="13"/>
      <c r="D13" s="13"/>
      <c r="E13" s="20"/>
      <c r="F13" s="13"/>
      <c r="G13" s="59"/>
      <c r="H13" s="21"/>
      <c r="I13" s="50"/>
      <c r="J13" s="92"/>
      <c r="O13" s="102"/>
    </row>
    <row r="14" spans="2:15">
      <c r="C14" s="13"/>
      <c r="D14" s="13"/>
      <c r="E14" s="22"/>
      <c r="F14" s="13"/>
      <c r="G14" s="59"/>
      <c r="H14" s="23"/>
      <c r="I14" s="50"/>
    </row>
    <row r="15" spans="2:15">
      <c r="C15" s="13"/>
      <c r="D15" s="13"/>
      <c r="E15" s="14"/>
      <c r="F15" s="13"/>
      <c r="G15" s="14"/>
      <c r="H15" s="15"/>
      <c r="I15" s="50"/>
    </row>
    <row r="16" spans="2:15" ht="15.5">
      <c r="C16" s="7"/>
      <c r="D16" s="7"/>
      <c r="E16" s="19"/>
      <c r="F16" s="7"/>
      <c r="G16" s="19"/>
      <c r="H16" s="7"/>
      <c r="I16" s="24"/>
    </row>
    <row r="17" spans="3:16" ht="15.5">
      <c r="C17" s="18" t="s">
        <v>0</v>
      </c>
      <c r="D17" s="18"/>
      <c r="E17" s="19"/>
      <c r="F17" s="18"/>
      <c r="G17" s="19"/>
      <c r="H17" s="7"/>
      <c r="I17" s="50"/>
      <c r="J17" s="55"/>
      <c r="K17" s="55"/>
      <c r="L17" s="55"/>
      <c r="M17" s="55"/>
      <c r="N17" s="55"/>
      <c r="O17" s="91"/>
    </row>
    <row r="18" spans="3:16" ht="12.75" customHeight="1">
      <c r="C18" s="13" t="s">
        <v>1</v>
      </c>
      <c r="D18" s="13"/>
      <c r="E18" s="21">
        <f>G83</f>
        <v>0.23142800927162169</v>
      </c>
      <c r="F18" s="13"/>
      <c r="G18" s="20"/>
      <c r="H18" s="21"/>
      <c r="I18" s="50"/>
      <c r="J18" s="103"/>
      <c r="K18" s="55"/>
      <c r="L18" s="104"/>
      <c r="M18" s="105"/>
      <c r="N18" s="55"/>
      <c r="O18" s="91"/>
    </row>
    <row r="19" spans="3:16" ht="15.5">
      <c r="C19" s="13" t="s">
        <v>2</v>
      </c>
      <c r="D19" s="13"/>
      <c r="E19" s="25">
        <f>-(G81+I82)/I81</f>
        <v>1.3947364160840019</v>
      </c>
      <c r="F19" s="13"/>
      <c r="G19" s="14"/>
      <c r="H19" s="15"/>
      <c r="J19" s="12"/>
      <c r="K19" s="55"/>
      <c r="L19" s="104"/>
      <c r="M19" s="105"/>
      <c r="N19" s="106"/>
    </row>
    <row r="20" spans="3:16" ht="15.5">
      <c r="C20" s="13"/>
      <c r="D20" s="13"/>
      <c r="E20" s="13"/>
      <c r="F20" s="13"/>
      <c r="G20" s="15"/>
      <c r="J20" s="12"/>
      <c r="L20" s="104"/>
      <c r="M20" s="105"/>
      <c r="N20" s="55"/>
    </row>
    <row r="21" spans="3:16" ht="15.5">
      <c r="C21" s="26" t="s">
        <v>29</v>
      </c>
      <c r="D21" s="27"/>
      <c r="E21" s="27"/>
      <c r="F21" s="27"/>
      <c r="I21" s="28"/>
      <c r="J21" s="35"/>
      <c r="K21" s="17"/>
      <c r="L21" s="104"/>
      <c r="M21" s="105"/>
      <c r="N21" s="106"/>
      <c r="O21" s="91"/>
    </row>
    <row r="22" spans="3:16">
      <c r="C22" s="30">
        <v>1</v>
      </c>
      <c r="D22" s="17"/>
      <c r="E22" s="17"/>
      <c r="F22" s="17"/>
      <c r="G22" s="31"/>
      <c r="H22" s="17"/>
      <c r="I22" s="17"/>
      <c r="J22" s="35"/>
      <c r="K22" s="17"/>
      <c r="L22" s="104"/>
      <c r="M22" s="105"/>
      <c r="N22" s="55"/>
      <c r="O22" s="91"/>
    </row>
    <row r="23" spans="3:16">
      <c r="C23" s="17"/>
      <c r="D23" s="17"/>
      <c r="E23" s="28"/>
      <c r="F23" s="34"/>
      <c r="G23" s="34"/>
      <c r="H23" s="17"/>
      <c r="I23" s="16"/>
      <c r="J23" s="35"/>
      <c r="K23" s="17"/>
      <c r="L23" s="104"/>
      <c r="M23" s="105"/>
      <c r="N23" s="55"/>
      <c r="O23" s="91"/>
    </row>
    <row r="24" spans="3:16">
      <c r="C24" s="17" t="s">
        <v>21</v>
      </c>
      <c r="D24" s="17"/>
      <c r="E24" s="28">
        <v>43857</v>
      </c>
      <c r="F24" s="34"/>
      <c r="G24" s="34">
        <f>-8355693.57*193814409.75/213814409.75</f>
        <v>-7574109.8049235679</v>
      </c>
      <c r="H24" s="17"/>
      <c r="I24" s="16"/>
      <c r="J24" s="35"/>
      <c r="K24" s="17"/>
      <c r="L24" s="104"/>
      <c r="M24" s="105"/>
      <c r="N24" s="55"/>
      <c r="O24" s="16"/>
      <c r="P24" s="91"/>
    </row>
    <row r="25" spans="3:16">
      <c r="C25" s="17"/>
      <c r="D25" s="17"/>
      <c r="E25" s="28">
        <v>43985</v>
      </c>
      <c r="F25" s="34"/>
      <c r="G25" s="34">
        <f>-8946403.4*193814409.75/213814409.75</f>
        <v>-8109565.1896604374</v>
      </c>
      <c r="H25" s="17"/>
      <c r="I25" s="16"/>
      <c r="J25" s="35"/>
      <c r="K25" s="17"/>
      <c r="L25" s="104"/>
      <c r="M25" s="105"/>
      <c r="N25" s="55"/>
      <c r="O25" s="16"/>
    </row>
    <row r="26" spans="3:16">
      <c r="C26" s="17"/>
      <c r="D26" s="17"/>
      <c r="E26" s="28">
        <v>44076</v>
      </c>
      <c r="F26" s="34"/>
      <c r="G26" s="34">
        <f>-8101403.91*193814409.75/213814409.75-1912477.07</f>
        <v>-9256083.2319929823</v>
      </c>
      <c r="H26" s="17"/>
      <c r="I26" s="16"/>
      <c r="J26" s="35"/>
      <c r="K26" s="17"/>
      <c r="L26" s="104"/>
      <c r="M26" s="105"/>
      <c r="N26" s="55"/>
      <c r="O26" s="16"/>
      <c r="P26" s="91"/>
    </row>
    <row r="27" spans="3:16">
      <c r="C27" s="17"/>
      <c r="D27" s="17"/>
      <c r="E27" s="28">
        <v>44117</v>
      </c>
      <c r="F27" s="34"/>
      <c r="G27" s="34">
        <f>-10183965.83*193814409.75/213814409.75</f>
        <v>-9231367.1869143918</v>
      </c>
      <c r="H27" s="17"/>
      <c r="I27" s="16"/>
      <c r="J27" s="35"/>
      <c r="K27" s="17"/>
      <c r="L27" s="104"/>
      <c r="M27" s="105"/>
      <c r="N27" s="55"/>
      <c r="O27" s="16"/>
      <c r="P27" s="91"/>
    </row>
    <row r="28" spans="3:16">
      <c r="C28" s="17"/>
      <c r="D28" s="17"/>
      <c r="E28" s="28">
        <v>44141</v>
      </c>
      <c r="F28" s="34"/>
      <c r="G28" s="34">
        <f>-9094491.06*193814409.75/213814409.75</f>
        <v>-8243800.86838629</v>
      </c>
      <c r="H28" s="17"/>
      <c r="I28" s="16"/>
      <c r="J28" s="35"/>
      <c r="K28" s="17"/>
      <c r="L28" s="104"/>
      <c r="M28" s="105"/>
      <c r="N28" s="55"/>
      <c r="O28" s="16"/>
      <c r="P28" s="91"/>
    </row>
    <row r="29" spans="3:16">
      <c r="C29" s="17"/>
      <c r="D29" s="17"/>
      <c r="E29" s="28">
        <v>44148</v>
      </c>
      <c r="F29" s="34"/>
      <c r="G29" s="34">
        <f>-4743875.63*193814409.75/213814409.75</f>
        <v>-4300137.9384621168</v>
      </c>
      <c r="H29" s="17"/>
      <c r="I29" s="16"/>
      <c r="J29" s="35"/>
      <c r="K29" s="17"/>
      <c r="L29" s="104"/>
      <c r="M29" s="105"/>
      <c r="N29" s="55"/>
      <c r="O29" s="16"/>
      <c r="P29" s="91"/>
    </row>
    <row r="30" spans="3:16">
      <c r="C30" s="17"/>
      <c r="D30" s="17"/>
      <c r="E30" s="28">
        <v>44187</v>
      </c>
      <c r="F30" s="34"/>
      <c r="G30" s="34">
        <f>-4000309.07*193814409.75/213814409.75-294804.35</f>
        <v>-3920928.2493487499</v>
      </c>
      <c r="H30" s="17"/>
      <c r="I30" s="16"/>
      <c r="J30" s="35"/>
      <c r="K30" s="17"/>
      <c r="L30" s="104"/>
      <c r="M30" s="105"/>
      <c r="N30" s="55"/>
      <c r="O30" s="16"/>
    </row>
    <row r="31" spans="3:16">
      <c r="C31" s="17" t="s">
        <v>31</v>
      </c>
      <c r="D31" s="17"/>
      <c r="E31" s="28">
        <v>44203</v>
      </c>
      <c r="F31" s="34"/>
      <c r="G31" s="34">
        <f>-17965219.19*193814409.75/213814409.75-492157.19</f>
        <v>-16776926.572056223</v>
      </c>
      <c r="H31" s="17"/>
      <c r="I31" s="16"/>
      <c r="J31" s="35"/>
      <c r="K31" s="17"/>
      <c r="L31" s="104"/>
      <c r="M31" s="105"/>
      <c r="N31" s="55"/>
      <c r="P31" s="91"/>
    </row>
    <row r="32" spans="3:16">
      <c r="C32" s="17"/>
      <c r="D32" s="17"/>
      <c r="E32" s="28">
        <v>44217</v>
      </c>
      <c r="F32" s="34"/>
      <c r="G32" s="34">
        <f>-2420477.32*193814409.75/213814409.75</f>
        <v>-2194068.1343113352</v>
      </c>
      <c r="H32" s="17"/>
      <c r="I32" s="16"/>
      <c r="J32" s="35"/>
      <c r="K32" s="17"/>
      <c r="L32" s="104"/>
      <c r="M32" s="105"/>
      <c r="N32" s="55"/>
      <c r="P32" s="91"/>
    </row>
    <row r="33" spans="3:15">
      <c r="C33" s="17"/>
      <c r="D33" s="17"/>
      <c r="E33" s="28">
        <v>44250</v>
      </c>
      <c r="F33" s="34"/>
      <c r="G33" s="34">
        <f>8743624.8*193814409.75/213814409.75</f>
        <v>7925754.3103334364</v>
      </c>
      <c r="H33" s="17"/>
      <c r="I33" s="16"/>
      <c r="J33" s="16"/>
      <c r="K33" s="17"/>
      <c r="L33" s="55"/>
      <c r="M33" s="55"/>
      <c r="N33" s="55"/>
    </row>
    <row r="34" spans="3:15">
      <c r="C34" s="17"/>
      <c r="D34" s="17"/>
      <c r="E34" s="28">
        <v>44265</v>
      </c>
      <c r="F34" s="34"/>
      <c r="G34" s="34">
        <f>-5278462.5*193814409.75/213814409.75-155480.19</f>
        <v>-4940200.2424098887</v>
      </c>
      <c r="H34" s="17"/>
      <c r="I34" s="16"/>
      <c r="J34" s="16"/>
      <c r="K34" s="17"/>
      <c r="L34" s="55"/>
      <c r="M34" s="55"/>
      <c r="N34" s="55"/>
      <c r="O34" s="91"/>
    </row>
    <row r="35" spans="3:15">
      <c r="C35" s="17"/>
      <c r="D35" s="17"/>
      <c r="E35" s="28">
        <v>44291</v>
      </c>
      <c r="F35" s="34"/>
      <c r="G35" s="34">
        <f>-12658173.89*193814409.75/213814409.75-268874.97</f>
        <v>-11743015.10803722</v>
      </c>
      <c r="H35" s="17"/>
      <c r="I35" s="16"/>
      <c r="J35" s="16"/>
      <c r="K35" s="17"/>
      <c r="L35" s="55"/>
      <c r="M35" s="55"/>
      <c r="N35" s="55"/>
    </row>
    <row r="36" spans="3:15">
      <c r="C36" s="17"/>
      <c r="D36" s="17"/>
      <c r="E36" s="28">
        <v>44307</v>
      </c>
      <c r="F36" s="34"/>
      <c r="G36" s="34">
        <f>-28503534.36*193814409.75/213814409.75-795428.94</f>
        <v>-26632769.342976484</v>
      </c>
      <c r="H36" s="17"/>
      <c r="I36" s="16"/>
      <c r="J36" s="16"/>
      <c r="K36" s="17"/>
      <c r="L36" s="55"/>
      <c r="M36" s="55"/>
      <c r="N36" s="55"/>
    </row>
    <row r="37" spans="3:15">
      <c r="C37" s="17"/>
      <c r="D37" s="17"/>
      <c r="E37" s="28">
        <v>44319</v>
      </c>
      <c r="F37" s="34"/>
      <c r="G37" s="34">
        <f>29772852.87*193814409.75/213814409.75</f>
        <v>26987928.046194952</v>
      </c>
      <c r="H37" s="17"/>
      <c r="I37" s="16"/>
      <c r="J37" s="107"/>
      <c r="K37" s="17"/>
      <c r="L37" s="55"/>
      <c r="M37" s="55"/>
      <c r="N37" s="55"/>
    </row>
    <row r="38" spans="3:15">
      <c r="C38" s="17"/>
      <c r="D38" s="17"/>
      <c r="E38" s="28">
        <v>44335</v>
      </c>
      <c r="F38" s="34"/>
      <c r="G38" s="34">
        <f>-13567083.21*193814409.75/213814409.75-457505.62</f>
        <v>-12755536.54995366</v>
      </c>
      <c r="H38" s="17"/>
      <c r="I38" s="16"/>
      <c r="J38" s="16"/>
      <c r="K38" s="17"/>
      <c r="L38" s="55"/>
      <c r="M38" s="55"/>
      <c r="N38" s="55"/>
    </row>
    <row r="39" spans="3:15">
      <c r="C39" s="17"/>
      <c r="D39" s="17"/>
      <c r="E39" s="28">
        <v>44344</v>
      </c>
      <c r="F39" s="34"/>
      <c r="G39" s="34">
        <f>16251618.18*193814409.75/213814409.75</f>
        <v>14731457.00854275</v>
      </c>
      <c r="H39" s="17"/>
      <c r="I39" s="16"/>
      <c r="J39" s="16"/>
      <c r="K39" s="17"/>
      <c r="L39" s="55"/>
      <c r="M39" s="55"/>
      <c r="N39" s="55"/>
    </row>
    <row r="40" spans="3:15">
      <c r="C40" s="17"/>
      <c r="D40" s="17"/>
      <c r="E40" s="28">
        <v>44361</v>
      </c>
      <c r="F40" s="34"/>
      <c r="G40" s="34">
        <f>416746.8*193814409.75/213814409.75+67984.53</f>
        <v>445749.22393079009</v>
      </c>
      <c r="H40" s="17"/>
      <c r="I40" s="16"/>
      <c r="J40" s="108"/>
      <c r="K40" s="17"/>
      <c r="L40" s="55"/>
      <c r="M40" s="55"/>
      <c r="N40" s="55"/>
    </row>
    <row r="41" spans="3:15">
      <c r="C41" s="17"/>
      <c r="D41" s="17"/>
      <c r="E41" s="28">
        <v>44375</v>
      </c>
      <c r="F41" s="34"/>
      <c r="G41" s="34">
        <v>-6218476.0999999996</v>
      </c>
      <c r="H41" s="17"/>
      <c r="I41" s="16"/>
      <c r="J41" s="107"/>
      <c r="K41" s="17"/>
      <c r="L41" s="55"/>
      <c r="M41" s="55"/>
      <c r="N41" s="55"/>
    </row>
    <row r="42" spans="3:15">
      <c r="C42" s="17"/>
      <c r="D42" s="17"/>
      <c r="E42" s="28">
        <v>44405</v>
      </c>
      <c r="F42" s="34"/>
      <c r="G42" s="34">
        <v>-3521085.97</v>
      </c>
      <c r="H42" s="17"/>
      <c r="I42" s="16"/>
      <c r="J42" s="16"/>
      <c r="K42" s="17"/>
      <c r="L42" s="55"/>
      <c r="M42" s="106"/>
      <c r="N42" s="55"/>
    </row>
    <row r="43" spans="3:15">
      <c r="C43" s="17"/>
      <c r="D43" s="17"/>
      <c r="E43" s="28">
        <v>44468</v>
      </c>
      <c r="F43" s="34"/>
      <c r="G43" s="34">
        <v>-1653652.87</v>
      </c>
      <c r="H43" s="17"/>
      <c r="I43" s="16"/>
      <c r="J43" s="16"/>
      <c r="K43" s="17"/>
      <c r="L43" s="55"/>
      <c r="M43" s="106"/>
      <c r="N43" s="55"/>
    </row>
    <row r="44" spans="3:15">
      <c r="C44" s="17"/>
      <c r="D44" s="17"/>
      <c r="E44" s="28">
        <v>44475</v>
      </c>
      <c r="F44" s="34"/>
      <c r="G44" s="34">
        <v>-4024098.3</v>
      </c>
      <c r="H44" s="17"/>
      <c r="I44" s="16"/>
      <c r="J44" s="16"/>
      <c r="K44" s="17"/>
      <c r="L44" s="55"/>
      <c r="M44" s="55"/>
      <c r="N44" s="55"/>
    </row>
    <row r="45" spans="3:15">
      <c r="C45" s="17"/>
      <c r="D45" s="17"/>
      <c r="E45" s="28">
        <v>44483</v>
      </c>
      <c r="F45" s="34"/>
      <c r="G45" s="34">
        <v>-4703164.88</v>
      </c>
      <c r="H45" s="17"/>
      <c r="I45" s="16"/>
      <c r="J45" s="16"/>
      <c r="K45" s="17"/>
      <c r="L45" s="55"/>
      <c r="M45" s="55"/>
      <c r="N45" s="55"/>
    </row>
    <row r="46" spans="3:15">
      <c r="C46" s="17"/>
      <c r="D46" s="17"/>
      <c r="E46" s="28">
        <v>44505</v>
      </c>
      <c r="F46" s="34"/>
      <c r="G46" s="34">
        <v>-4225303.2</v>
      </c>
      <c r="H46" s="17"/>
      <c r="I46" s="16"/>
      <c r="J46" s="16"/>
      <c r="K46" s="17"/>
      <c r="L46" s="55"/>
      <c r="M46" s="55"/>
      <c r="N46" s="55"/>
    </row>
    <row r="47" spans="3:15">
      <c r="C47" s="17"/>
      <c r="D47" s="17"/>
      <c r="E47" s="28">
        <v>44551</v>
      </c>
      <c r="F47" s="34"/>
      <c r="G47" s="34">
        <v>-2584225.62</v>
      </c>
      <c r="H47" s="17"/>
      <c r="I47" s="16"/>
      <c r="J47" s="16"/>
      <c r="K47" s="17"/>
      <c r="L47" s="55"/>
      <c r="M47" s="55"/>
      <c r="N47" s="55"/>
    </row>
    <row r="48" spans="3:15">
      <c r="C48" s="17" t="s">
        <v>22</v>
      </c>
      <c r="D48" s="17"/>
      <c r="E48" s="28">
        <v>44558</v>
      </c>
      <c r="F48" s="34"/>
      <c r="G48" s="34">
        <v>41112360.310000002</v>
      </c>
      <c r="H48" s="17"/>
      <c r="I48" s="16"/>
      <c r="J48" s="16"/>
      <c r="K48" s="17"/>
      <c r="L48" s="55"/>
      <c r="M48" s="55"/>
      <c r="N48" s="55"/>
    </row>
    <row r="49" spans="3:14">
      <c r="C49" s="17" t="s">
        <v>32</v>
      </c>
      <c r="D49" s="17"/>
      <c r="E49" s="28">
        <v>44599</v>
      </c>
      <c r="F49" s="34"/>
      <c r="G49" s="34">
        <v>-1735392.37</v>
      </c>
      <c r="H49" s="17"/>
      <c r="I49" s="16"/>
      <c r="J49" s="16"/>
      <c r="K49" s="17"/>
      <c r="L49" s="55"/>
      <c r="M49" s="55"/>
      <c r="N49" s="55"/>
    </row>
    <row r="50" spans="3:14">
      <c r="C50" s="17"/>
      <c r="D50" s="17"/>
      <c r="E50" s="28">
        <v>44635</v>
      </c>
      <c r="F50" s="34"/>
      <c r="G50" s="34">
        <v>-5023835.1900000004</v>
      </c>
      <c r="H50" s="17"/>
      <c r="I50" s="16"/>
      <c r="J50" s="16"/>
      <c r="K50" s="17"/>
      <c r="L50" s="55"/>
      <c r="M50" s="55"/>
      <c r="N50" s="55"/>
    </row>
    <row r="51" spans="3:14">
      <c r="C51" s="17"/>
      <c r="D51" s="17"/>
      <c r="E51" s="28">
        <v>44676</v>
      </c>
      <c r="F51" s="34"/>
      <c r="G51" s="34">
        <v>-2842019.4</v>
      </c>
      <c r="H51" s="17"/>
      <c r="I51" s="16"/>
      <c r="J51" s="16"/>
      <c r="K51" s="17"/>
      <c r="L51" s="55"/>
      <c r="M51" s="55"/>
      <c r="N51" s="55"/>
    </row>
    <row r="52" spans="3:14">
      <c r="C52" s="17"/>
      <c r="D52" s="17"/>
      <c r="E52" s="28">
        <v>44686</v>
      </c>
      <c r="F52" s="34"/>
      <c r="G52" s="34">
        <v>-6312804.1299999999</v>
      </c>
      <c r="H52" s="17"/>
      <c r="I52" s="16"/>
      <c r="J52" s="16"/>
      <c r="K52" s="17"/>
      <c r="L52" s="55"/>
      <c r="M52" s="55"/>
      <c r="N52" s="55"/>
    </row>
    <row r="53" spans="3:14">
      <c r="C53" s="17"/>
      <c r="D53" s="17"/>
      <c r="E53" s="28">
        <v>44701</v>
      </c>
      <c r="F53" s="34"/>
      <c r="G53" s="34">
        <v>-6438557.2400000002</v>
      </c>
      <c r="H53" s="17"/>
      <c r="I53" s="16"/>
      <c r="J53" s="16"/>
      <c r="K53" s="17"/>
      <c r="L53" s="55"/>
      <c r="M53" s="55"/>
      <c r="N53" s="55"/>
    </row>
    <row r="54" spans="3:14">
      <c r="C54" s="17"/>
      <c r="D54" s="17"/>
      <c r="E54" s="28">
        <v>44728</v>
      </c>
      <c r="F54" s="34"/>
      <c r="G54" s="34">
        <v>-3414195.91</v>
      </c>
      <c r="H54" s="17"/>
      <c r="I54" s="16"/>
      <c r="J54" s="16"/>
      <c r="K54" s="17"/>
      <c r="L54" s="55"/>
      <c r="M54" s="55"/>
      <c r="N54" s="55"/>
    </row>
    <row r="55" spans="3:14">
      <c r="C55" s="17"/>
      <c r="D55" s="17"/>
      <c r="E55" s="28">
        <v>44781</v>
      </c>
      <c r="F55" s="34"/>
      <c r="G55" s="34">
        <v>-8173949.6299999999</v>
      </c>
      <c r="H55" s="17"/>
      <c r="I55" s="16"/>
      <c r="J55" s="16"/>
      <c r="K55" s="17"/>
      <c r="L55" s="55"/>
      <c r="M55" s="55"/>
      <c r="N55" s="55"/>
    </row>
    <row r="56" spans="3:14">
      <c r="C56" s="17"/>
      <c r="D56" s="17"/>
      <c r="E56" s="28">
        <v>44817</v>
      </c>
      <c r="F56" s="34"/>
      <c r="G56" s="34">
        <v>-11771667.08</v>
      </c>
      <c r="H56" s="17"/>
      <c r="I56" s="16"/>
      <c r="J56" s="16"/>
      <c r="K56" s="17"/>
      <c r="L56" s="55"/>
      <c r="M56" s="55"/>
      <c r="N56" s="55"/>
    </row>
    <row r="57" spans="3:14">
      <c r="C57" s="17"/>
      <c r="D57" s="17"/>
      <c r="E57" s="28">
        <v>44852</v>
      </c>
      <c r="F57" s="34"/>
      <c r="G57" s="34">
        <v>-2791718.17</v>
      </c>
      <c r="H57" s="17"/>
      <c r="I57" s="16"/>
      <c r="J57" s="16"/>
      <c r="K57" s="17"/>
      <c r="L57" s="55"/>
      <c r="M57" s="55"/>
      <c r="N57" s="55"/>
    </row>
    <row r="58" spans="3:14">
      <c r="C58" s="17"/>
      <c r="D58" s="17"/>
      <c r="E58" s="28">
        <v>44859</v>
      </c>
      <c r="F58" s="34"/>
      <c r="G58" s="34">
        <v>-14537055.060000001</v>
      </c>
      <c r="H58" s="17"/>
      <c r="I58" s="16"/>
      <c r="J58" s="16"/>
      <c r="K58" s="17"/>
      <c r="L58" s="55"/>
      <c r="M58" s="55"/>
      <c r="N58" s="55"/>
    </row>
    <row r="59" spans="3:14">
      <c r="C59" s="17"/>
      <c r="D59" s="17"/>
      <c r="E59" s="28">
        <v>44902</v>
      </c>
      <c r="F59" s="34"/>
      <c r="G59" s="34">
        <v>-5860093.1299999999</v>
      </c>
      <c r="H59" s="17"/>
      <c r="I59" s="16"/>
      <c r="J59" s="16"/>
      <c r="K59" s="17"/>
      <c r="L59" s="55"/>
      <c r="M59" s="55"/>
      <c r="N59" s="55"/>
    </row>
    <row r="60" spans="3:14">
      <c r="C60" s="17" t="s">
        <v>23</v>
      </c>
      <c r="D60" s="17"/>
      <c r="E60" s="28">
        <v>44861</v>
      </c>
      <c r="F60" s="34"/>
      <c r="G60" s="34">
        <v>4795541.16</v>
      </c>
      <c r="H60" s="17"/>
      <c r="I60" s="16"/>
      <c r="J60" s="16"/>
      <c r="K60" s="17"/>
      <c r="L60" s="55"/>
      <c r="M60" s="55"/>
      <c r="N60" s="55"/>
    </row>
    <row r="61" spans="3:14">
      <c r="C61" s="17"/>
      <c r="D61" s="17"/>
      <c r="E61" s="28">
        <v>44917</v>
      </c>
      <c r="F61" s="34"/>
      <c r="G61" s="34">
        <v>80724803.420000002</v>
      </c>
      <c r="H61" s="17"/>
      <c r="I61" s="16"/>
      <c r="J61" s="16"/>
      <c r="K61" s="17"/>
      <c r="L61" s="55"/>
      <c r="M61" s="55"/>
      <c r="N61" s="55"/>
    </row>
    <row r="62" spans="3:14">
      <c r="C62" s="17" t="s">
        <v>33</v>
      </c>
      <c r="D62" s="17"/>
      <c r="E62" s="28">
        <v>44932</v>
      </c>
      <c r="F62" s="34"/>
      <c r="G62" s="34">
        <v>-7772124.5899999999</v>
      </c>
      <c r="H62" s="17"/>
      <c r="I62" s="16"/>
      <c r="J62" s="16"/>
      <c r="K62" s="17"/>
      <c r="L62" s="55"/>
      <c r="M62" s="55"/>
      <c r="N62" s="55"/>
    </row>
    <row r="63" spans="3:14">
      <c r="C63" s="17"/>
      <c r="D63" s="17"/>
      <c r="E63" s="28">
        <v>44984</v>
      </c>
      <c r="F63" s="34"/>
      <c r="G63" s="34">
        <v>-915285.33</v>
      </c>
      <c r="H63" s="17"/>
      <c r="I63" s="16"/>
      <c r="J63" s="16"/>
      <c r="K63" s="17"/>
      <c r="L63" s="55"/>
      <c r="M63" s="55"/>
      <c r="N63" s="55"/>
    </row>
    <row r="64" spans="3:14">
      <c r="C64" s="17"/>
      <c r="D64" s="17"/>
      <c r="E64" s="28">
        <v>45049</v>
      </c>
      <c r="F64" s="34"/>
      <c r="G64" s="34">
        <v>-1796240.08</v>
      </c>
      <c r="H64" s="17"/>
      <c r="I64" s="16"/>
      <c r="J64" s="16"/>
      <c r="K64" s="17"/>
      <c r="L64" s="55"/>
      <c r="M64" s="55"/>
      <c r="N64" s="55"/>
    </row>
    <row r="65" spans="3:15">
      <c r="C65" s="17"/>
      <c r="D65" s="17"/>
      <c r="E65" s="28">
        <v>45089</v>
      </c>
      <c r="F65" s="34"/>
      <c r="G65" s="34">
        <v>-2400061.6800000002</v>
      </c>
      <c r="H65" s="17"/>
      <c r="I65" s="16"/>
      <c r="J65" s="16"/>
      <c r="K65" s="17"/>
      <c r="L65" s="55"/>
      <c r="M65" s="55"/>
      <c r="N65" s="55"/>
    </row>
    <row r="66" spans="3:15">
      <c r="C66" s="17"/>
      <c r="D66" s="17"/>
      <c r="E66" s="28">
        <v>45110</v>
      </c>
      <c r="F66" s="34"/>
      <c r="G66" s="34">
        <v>-2037199.77</v>
      </c>
      <c r="H66" s="17"/>
      <c r="I66" s="16"/>
      <c r="J66" s="16"/>
      <c r="K66" s="17"/>
      <c r="L66" s="55"/>
      <c r="M66" s="55"/>
      <c r="N66" s="55"/>
    </row>
    <row r="67" spans="3:15">
      <c r="C67" s="17"/>
      <c r="D67" s="17"/>
      <c r="E67" s="28">
        <v>45125</v>
      </c>
      <c r="F67" s="34"/>
      <c r="G67" s="34">
        <v>-1886296.08</v>
      </c>
      <c r="H67" s="17"/>
      <c r="I67" s="16"/>
      <c r="J67" s="16"/>
      <c r="K67" s="17"/>
      <c r="L67" s="55"/>
      <c r="M67" s="55"/>
      <c r="N67" s="55"/>
    </row>
    <row r="68" spans="3:15">
      <c r="C68" s="17"/>
      <c r="D68" s="17"/>
      <c r="E68" s="28">
        <v>45133</v>
      </c>
      <c r="F68" s="34"/>
      <c r="G68" s="34">
        <v>-2137802.21</v>
      </c>
      <c r="H68" s="17"/>
      <c r="I68" s="16"/>
      <c r="J68" s="16"/>
      <c r="K68" s="17"/>
      <c r="L68" s="55"/>
      <c r="M68" s="55"/>
      <c r="N68" s="55"/>
    </row>
    <row r="69" spans="3:15">
      <c r="C69" s="17"/>
      <c r="D69" s="17"/>
      <c r="E69" s="28">
        <v>45148</v>
      </c>
      <c r="F69" s="34"/>
      <c r="G69" s="34">
        <v>-880271.47</v>
      </c>
      <c r="H69" s="17"/>
      <c r="I69" s="16"/>
      <c r="J69" s="16"/>
      <c r="K69" s="17"/>
      <c r="L69" s="55"/>
      <c r="M69" s="55"/>
      <c r="N69" s="55"/>
    </row>
    <row r="70" spans="3:15">
      <c r="C70" s="17"/>
      <c r="D70" s="17"/>
      <c r="E70" s="28">
        <v>45177</v>
      </c>
      <c r="F70" s="34"/>
      <c r="G70" s="34">
        <v>-2012049.14</v>
      </c>
      <c r="H70" s="17"/>
      <c r="I70" s="16"/>
      <c r="J70" s="16"/>
      <c r="K70" s="17"/>
      <c r="L70" s="55"/>
      <c r="M70" s="55"/>
      <c r="N70" s="55"/>
    </row>
    <row r="71" spans="3:15">
      <c r="C71" s="17"/>
      <c r="D71" s="17"/>
      <c r="E71" s="28">
        <v>45243</v>
      </c>
      <c r="F71" s="34"/>
      <c r="G71" s="34">
        <v>-1746997.48</v>
      </c>
      <c r="H71" s="17"/>
      <c r="I71" s="16"/>
      <c r="J71" s="16"/>
      <c r="K71" s="17"/>
      <c r="L71" s="55"/>
      <c r="M71" s="55"/>
      <c r="N71" s="55"/>
    </row>
    <row r="72" spans="3:15">
      <c r="C72" s="17" t="s">
        <v>24</v>
      </c>
      <c r="D72" s="17"/>
      <c r="E72" s="28">
        <v>44980</v>
      </c>
      <c r="F72" s="34"/>
      <c r="G72" s="34">
        <v>1627036.49</v>
      </c>
      <c r="H72" s="17"/>
      <c r="I72" s="16"/>
      <c r="J72" s="16"/>
      <c r="K72" s="17"/>
      <c r="L72" s="55"/>
      <c r="M72" s="55"/>
      <c r="N72" s="55"/>
    </row>
    <row r="73" spans="3:15">
      <c r="C73" s="17"/>
      <c r="D73" s="17"/>
      <c r="E73" s="28">
        <v>45042</v>
      </c>
      <c r="F73" s="34"/>
      <c r="G73" s="34">
        <v>3481451.18</v>
      </c>
      <c r="H73" s="17"/>
      <c r="I73" s="16"/>
      <c r="J73" s="16"/>
      <c r="K73" s="17"/>
      <c r="L73" s="55"/>
      <c r="M73" s="55"/>
      <c r="N73" s="55"/>
    </row>
    <row r="74" spans="3:15">
      <c r="C74" s="17"/>
      <c r="D74" s="17"/>
      <c r="E74" s="28">
        <v>45222</v>
      </c>
      <c r="F74" s="34"/>
      <c r="G74" s="34">
        <v>56159510.409999996</v>
      </c>
      <c r="H74" s="17"/>
      <c r="I74" s="16"/>
      <c r="J74" s="16"/>
      <c r="K74" s="17"/>
      <c r="L74" s="55"/>
      <c r="M74" s="55"/>
      <c r="N74" s="55"/>
    </row>
    <row r="75" spans="3:15">
      <c r="C75" s="17" t="s">
        <v>36</v>
      </c>
      <c r="D75" s="17"/>
      <c r="E75" s="28">
        <v>45296</v>
      </c>
      <c r="F75" s="34"/>
      <c r="G75" s="34">
        <v>-464316.2</v>
      </c>
      <c r="H75" s="17"/>
      <c r="I75" s="16"/>
      <c r="J75" s="16"/>
      <c r="K75" s="17"/>
      <c r="L75" s="55"/>
      <c r="M75" s="55"/>
      <c r="N75" s="55"/>
    </row>
    <row r="76" spans="3:15">
      <c r="C76" s="17"/>
      <c r="D76" s="17"/>
      <c r="E76" s="28">
        <v>45401</v>
      </c>
      <c r="F76" s="34"/>
      <c r="G76" s="34">
        <v>-736621.26</v>
      </c>
      <c r="H76" s="17"/>
      <c r="I76" s="16"/>
      <c r="J76" s="16"/>
      <c r="K76" s="17"/>
      <c r="L76" s="55"/>
      <c r="M76" s="55"/>
      <c r="N76" s="55"/>
    </row>
    <row r="77" spans="3:15">
      <c r="C77" s="17"/>
      <c r="D77" s="17"/>
      <c r="E77" s="28">
        <v>45455</v>
      </c>
      <c r="F77" s="34"/>
      <c r="G77" s="34">
        <v>-1760543</v>
      </c>
      <c r="H77" s="17"/>
      <c r="I77" s="16"/>
      <c r="J77" s="16"/>
      <c r="K77" s="17"/>
      <c r="L77" s="55"/>
      <c r="M77" s="55"/>
      <c r="N77" s="55"/>
    </row>
    <row r="78" spans="3:15">
      <c r="C78" s="17" t="s">
        <v>35</v>
      </c>
      <c r="D78" s="17"/>
      <c r="E78" s="28">
        <v>45310</v>
      </c>
      <c r="F78" s="34"/>
      <c r="G78" s="34">
        <v>15035124.289999999</v>
      </c>
      <c r="H78" s="17"/>
      <c r="I78" s="16"/>
      <c r="J78" s="16"/>
      <c r="K78" s="17"/>
      <c r="L78" s="55"/>
      <c r="M78" s="55"/>
      <c r="N78" s="55"/>
    </row>
    <row r="79" spans="3:15">
      <c r="C79" s="17"/>
      <c r="D79" s="17"/>
      <c r="E79" s="28">
        <v>45348</v>
      </c>
      <c r="F79" s="34"/>
      <c r="G79" s="34">
        <v>4436627.13</v>
      </c>
      <c r="H79" s="17"/>
      <c r="I79" s="16"/>
      <c r="J79" s="16"/>
      <c r="K79" s="17"/>
      <c r="L79" s="55"/>
      <c r="M79" s="55"/>
      <c r="N79" s="55"/>
    </row>
    <row r="80" spans="3:15" ht="4.5" customHeight="1">
      <c r="C80" s="17"/>
      <c r="D80" s="17"/>
      <c r="E80" s="28"/>
      <c r="F80" s="17"/>
      <c r="G80" s="34"/>
      <c r="H80" s="17"/>
      <c r="I80" s="16"/>
      <c r="J80" s="16"/>
      <c r="O80" s="36"/>
    </row>
    <row r="81" spans="3:17">
      <c r="C81" s="17" t="s">
        <v>25</v>
      </c>
      <c r="D81" s="17"/>
      <c r="E81" s="28">
        <f>+E8</f>
        <v>45473</v>
      </c>
      <c r="F81" s="17"/>
      <c r="G81" s="35">
        <v>68736153</v>
      </c>
      <c r="H81" s="17"/>
      <c r="I81" s="34">
        <f>+SUMIF($G$24:$G$80,"&lt;0",$G$24:$G$80)+G33+G37+G39+G40</f>
        <v>-197964722.37043148</v>
      </c>
      <c r="J81" s="17" t="s">
        <v>26</v>
      </c>
      <c r="M81" s="36"/>
    </row>
    <row r="82" spans="3:17">
      <c r="C82" s="17"/>
      <c r="D82" s="17"/>
      <c r="E82" s="17"/>
      <c r="F82" s="17"/>
      <c r="G82" s="17"/>
      <c r="H82" s="17"/>
      <c r="I82" s="34">
        <f>+SUMIF($G$24:$G$80,"&gt;0",$G$24:$G$80)-G33-G37-G39-G40</f>
        <v>207372454.39000005</v>
      </c>
      <c r="J82" s="17" t="s">
        <v>27</v>
      </c>
      <c r="M82" s="36"/>
      <c r="O82" s="91"/>
    </row>
    <row r="83" spans="3:17">
      <c r="C83" t="s">
        <v>28</v>
      </c>
      <c r="G83" s="38">
        <f>+XIRR(G24:G81,E24:E81,0.1)</f>
        <v>0.23142800927162169</v>
      </c>
      <c r="H83" s="17"/>
      <c r="M83" s="37"/>
    </row>
    <row r="84" spans="3:17">
      <c r="C84" s="17"/>
      <c r="D84" s="17"/>
      <c r="E84" s="17"/>
      <c r="F84" s="17"/>
      <c r="G84" s="16"/>
      <c r="H84" s="17"/>
      <c r="I84" s="37"/>
      <c r="O84" s="91"/>
    </row>
    <row r="85" spans="3:17">
      <c r="C85" s="17"/>
      <c r="D85" s="17"/>
      <c r="E85" s="17"/>
      <c r="F85" s="17"/>
      <c r="G85" s="17"/>
      <c r="H85" s="17"/>
      <c r="I85" s="37"/>
      <c r="M85" s="37"/>
    </row>
    <row r="86" spans="3:17">
      <c r="C86" s="40"/>
      <c r="D86" s="40"/>
      <c r="E86" s="39"/>
      <c r="F86" s="40"/>
      <c r="G86" s="39"/>
      <c r="H86" s="17"/>
      <c r="I86" s="37"/>
      <c r="M86" s="37"/>
      <c r="O86" s="91"/>
    </row>
    <row r="87" spans="3:17">
      <c r="C87" s="40"/>
      <c r="D87" s="40"/>
      <c r="E87" s="39"/>
      <c r="F87" s="40"/>
      <c r="G87" s="39"/>
      <c r="H87" s="17"/>
      <c r="M87" s="37"/>
      <c r="O87" s="91"/>
    </row>
    <row r="88" spans="3:17">
      <c r="C88" s="40"/>
      <c r="D88" s="40"/>
      <c r="E88" s="39"/>
      <c r="F88" s="40"/>
      <c r="G88" s="39"/>
      <c r="H88" s="17"/>
      <c r="M88" s="37"/>
      <c r="O88" s="91"/>
    </row>
    <row r="89" spans="3:17">
      <c r="C89" s="40"/>
      <c r="D89" s="40"/>
      <c r="E89" s="39"/>
      <c r="F89" s="40"/>
      <c r="G89" s="39"/>
    </row>
    <row r="90" spans="3:17">
      <c r="C90" s="40"/>
      <c r="D90" s="40"/>
      <c r="E90" s="39"/>
      <c r="F90" s="39"/>
      <c r="G90" s="39"/>
    </row>
    <row r="91" spans="3:17">
      <c r="C91" s="40"/>
      <c r="D91" s="40"/>
      <c r="E91" s="40"/>
      <c r="F91" s="40"/>
      <c r="G91" s="40"/>
      <c r="O91" s="91"/>
      <c r="Q91" s="86"/>
    </row>
    <row r="92" spans="3:17">
      <c r="C92" s="40"/>
      <c r="D92" s="40"/>
      <c r="E92" s="60"/>
      <c r="F92" s="42"/>
      <c r="G92" s="60"/>
      <c r="O92" s="91"/>
      <c r="Q92" s="86"/>
    </row>
    <row r="93" spans="3:17">
      <c r="C93" s="40"/>
      <c r="D93" s="40"/>
      <c r="E93" s="42"/>
      <c r="F93" s="42"/>
      <c r="G93" s="42"/>
      <c r="Q93" s="86"/>
    </row>
    <row r="94" spans="3:17">
      <c r="C94" s="40"/>
      <c r="D94" s="40"/>
      <c r="E94" s="42"/>
      <c r="F94" s="42"/>
      <c r="G94" s="42"/>
      <c r="Q94" s="86"/>
    </row>
    <row r="95" spans="3:17">
      <c r="C95" s="43"/>
      <c r="D95" s="40"/>
      <c r="E95" s="42"/>
      <c r="F95" s="42"/>
      <c r="G95" s="42"/>
      <c r="Q95" s="86"/>
    </row>
    <row r="96" spans="3:17">
      <c r="C96" s="43"/>
      <c r="D96" s="40"/>
      <c r="E96" s="42"/>
      <c r="F96" s="42"/>
      <c r="G96" s="42"/>
      <c r="Q96" s="86"/>
    </row>
    <row r="97" spans="3:17">
      <c r="C97" s="44"/>
      <c r="D97" s="40"/>
      <c r="E97" s="42"/>
      <c r="F97" s="42"/>
      <c r="G97" s="42"/>
      <c r="Q97" s="86"/>
    </row>
    <row r="98" spans="3:17">
      <c r="C98" s="40"/>
      <c r="D98" s="40"/>
      <c r="E98" s="42"/>
      <c r="F98" s="42"/>
      <c r="G98" s="42"/>
      <c r="Q98" s="86"/>
    </row>
    <row r="99" spans="3:17">
      <c r="C99" s="40"/>
      <c r="D99" s="40"/>
      <c r="E99" s="42"/>
      <c r="F99" s="42"/>
      <c r="G99" s="42"/>
    </row>
    <row r="100" spans="3:17" ht="5.15" customHeight="1">
      <c r="C100" s="55"/>
      <c r="E100" s="45"/>
      <c r="F100" s="45"/>
      <c r="G100" s="45"/>
    </row>
    <row r="101" spans="3:17">
      <c r="C101" s="55"/>
      <c r="E101" s="46"/>
      <c r="F101" s="46"/>
      <c r="G101" s="46"/>
    </row>
  </sheetData>
  <pageMargins left="0.7" right="0.7" top="0.75" bottom="0.75" header="0.3" footer="0.3"/>
  <pageSetup orientation="portrait" r:id="rId1"/>
  <headerFooter>
    <oddHeader>&amp;C&amp;G</oddHeader>
    <oddFooter>&amp;C&amp;G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D13B-68C2-4E26-99CE-A8B9C3E5A29A}">
  <sheetPr>
    <tabColor rgb="FF92D050"/>
    <pageSetUpPr fitToPage="1"/>
  </sheetPr>
  <dimension ref="B4:O133"/>
  <sheetViews>
    <sheetView showGridLines="0" view="pageLayout" topLeftCell="A79" zoomScaleNormal="100" workbookViewId="0">
      <selection activeCell="L97" sqref="L97"/>
    </sheetView>
  </sheetViews>
  <sheetFormatPr defaultRowHeight="12.5"/>
  <cols>
    <col min="2" max="2" width="4.7265625" customWidth="1"/>
    <col min="3" max="3" width="50.453125" customWidth="1"/>
    <col min="4" max="4" width="1.453125" customWidth="1"/>
    <col min="5" max="5" width="12.26953125" bestFit="1" customWidth="1"/>
    <col min="6" max="6" width="1.453125" customWidth="1"/>
    <col min="7" max="7" width="12.26953125" bestFit="1" customWidth="1"/>
    <col min="8" max="8" width="2.453125" customWidth="1"/>
    <col min="9" max="9" width="7.453125" customWidth="1"/>
    <col min="10" max="10" width="11.7265625" customWidth="1"/>
    <col min="12" max="12" width="15.26953125" customWidth="1"/>
    <col min="13" max="13" width="15.7265625" customWidth="1"/>
    <col min="14" max="14" width="15.453125" bestFit="1" customWidth="1"/>
    <col min="16" max="16" width="10" bestFit="1" customWidth="1"/>
    <col min="19" max="19" width="11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1"/>
    </row>
    <row r="9" spans="2:15" ht="15.5">
      <c r="C9" s="7"/>
      <c r="D9" s="7"/>
      <c r="E9" s="7"/>
      <c r="F9" s="7"/>
      <c r="G9" s="12"/>
    </row>
    <row r="10" spans="2:15">
      <c r="C10" s="13"/>
      <c r="D10" s="13"/>
      <c r="E10" s="14"/>
      <c r="F10" s="13"/>
      <c r="G10" s="59"/>
      <c r="H10" s="15"/>
      <c r="I10" s="24"/>
      <c r="O10" s="102"/>
    </row>
    <row r="11" spans="2:15">
      <c r="C11" s="13"/>
      <c r="D11" s="13"/>
      <c r="E11" s="14"/>
      <c r="F11" s="13"/>
      <c r="G11" s="14"/>
      <c r="H11" s="15"/>
      <c r="I11" s="24"/>
    </row>
    <row r="12" spans="2:15" ht="15.5">
      <c r="C12" s="18"/>
      <c r="D12" s="18"/>
      <c r="E12" s="19"/>
      <c r="F12" s="18"/>
      <c r="G12" s="19"/>
      <c r="H12" s="7"/>
      <c r="I12" s="24"/>
    </row>
    <row r="13" spans="2:15">
      <c r="C13" s="13"/>
      <c r="D13" s="13"/>
      <c r="E13" s="20"/>
      <c r="F13" s="13"/>
      <c r="G13" s="59"/>
      <c r="H13" s="21"/>
      <c r="I13" s="24"/>
      <c r="O13" s="102"/>
    </row>
    <row r="14" spans="2:15">
      <c r="C14" s="13"/>
      <c r="D14" s="13"/>
      <c r="E14" s="22"/>
      <c r="F14" s="13"/>
      <c r="G14" s="59"/>
      <c r="H14" s="23"/>
      <c r="I14" s="24"/>
      <c r="O14" s="102"/>
    </row>
    <row r="15" spans="2:15">
      <c r="C15" s="13"/>
      <c r="D15" s="13"/>
      <c r="E15" s="14"/>
      <c r="F15" s="13"/>
      <c r="G15" s="14"/>
      <c r="H15" s="15"/>
      <c r="I15" s="24"/>
    </row>
    <row r="16" spans="2:15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G99</f>
        <v>0.25848636031150829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-(G97+J100)/(J99)</f>
        <v>1.6337398552668998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30">
        <v>5.5999999999999999E-3</v>
      </c>
      <c r="D22" s="17"/>
      <c r="E22" s="17"/>
      <c r="F22" s="17"/>
      <c r="G22" s="31"/>
      <c r="H22" s="17"/>
      <c r="I22" s="17"/>
      <c r="J22" s="17"/>
    </row>
    <row r="23" spans="3:12">
      <c r="C23" s="17" t="s">
        <v>5</v>
      </c>
      <c r="D23" s="17"/>
      <c r="E23" s="28">
        <v>41089</v>
      </c>
      <c r="F23" s="34"/>
      <c r="G23" s="32">
        <v>-75000</v>
      </c>
      <c r="H23" s="17"/>
      <c r="I23" s="16"/>
      <c r="J23" s="16"/>
    </row>
    <row r="24" spans="3:12">
      <c r="C24" s="17"/>
      <c r="D24" s="17"/>
      <c r="E24" s="28">
        <v>41166</v>
      </c>
      <c r="F24" s="34"/>
      <c r="G24" s="32">
        <v>-94080</v>
      </c>
      <c r="H24" s="17"/>
      <c r="I24" s="16"/>
      <c r="J24" s="16"/>
    </row>
    <row r="25" spans="3:12">
      <c r="C25" s="17"/>
      <c r="D25" s="17"/>
      <c r="E25" s="28">
        <v>41270</v>
      </c>
      <c r="F25" s="34"/>
      <c r="G25" s="32">
        <v>-273280</v>
      </c>
      <c r="H25" s="17"/>
      <c r="I25" s="16"/>
      <c r="J25" s="16"/>
    </row>
    <row r="26" spans="3:12">
      <c r="C26" s="17" t="s">
        <v>7</v>
      </c>
      <c r="D26" s="17"/>
      <c r="E26" s="28">
        <v>41311</v>
      </c>
      <c r="F26" s="34"/>
      <c r="G26" s="32">
        <v>-97440</v>
      </c>
      <c r="H26" s="17"/>
      <c r="I26" s="16"/>
      <c r="J26" s="16"/>
    </row>
    <row r="27" spans="3:12">
      <c r="C27" s="17"/>
      <c r="D27" s="17"/>
      <c r="E27" s="28">
        <v>41341</v>
      </c>
      <c r="F27" s="34"/>
      <c r="G27" s="32">
        <v>-140000</v>
      </c>
      <c r="H27" s="17"/>
      <c r="I27" s="16"/>
      <c r="J27" s="16"/>
    </row>
    <row r="28" spans="3:12">
      <c r="C28" s="17"/>
      <c r="D28" s="17"/>
      <c r="E28" s="28">
        <v>41361</v>
      </c>
      <c r="F28" s="34"/>
      <c r="G28" s="32">
        <v>-62720</v>
      </c>
      <c r="H28" s="17"/>
      <c r="I28" s="16"/>
      <c r="J28" s="16"/>
    </row>
    <row r="29" spans="3:12">
      <c r="C29" s="17"/>
      <c r="D29" s="17"/>
      <c r="E29" s="28">
        <v>41387</v>
      </c>
      <c r="F29" s="34"/>
      <c r="G29" s="32">
        <v>-136640</v>
      </c>
      <c r="H29" s="17"/>
      <c r="I29" s="16"/>
      <c r="J29" s="16"/>
    </row>
    <row r="30" spans="3:12">
      <c r="C30" s="17"/>
      <c r="D30" s="17"/>
      <c r="E30" s="28">
        <v>41408</v>
      </c>
      <c r="F30" s="34"/>
      <c r="G30" s="32">
        <v>-58800</v>
      </c>
      <c r="H30" s="17"/>
      <c r="I30" s="16"/>
      <c r="J30" s="16"/>
    </row>
    <row r="31" spans="3:12">
      <c r="C31" s="17"/>
      <c r="D31" s="17"/>
      <c r="E31" s="28">
        <v>41439</v>
      </c>
      <c r="F31" s="34"/>
      <c r="G31" s="32">
        <v>-136080</v>
      </c>
      <c r="H31" s="17"/>
      <c r="I31" s="16"/>
      <c r="J31" s="16"/>
    </row>
    <row r="32" spans="3:12">
      <c r="C32" s="17"/>
      <c r="D32" s="17"/>
      <c r="E32" s="28">
        <v>41479</v>
      </c>
      <c r="F32" s="34"/>
      <c r="G32" s="32">
        <v>-150640</v>
      </c>
      <c r="H32" s="17"/>
      <c r="I32" s="16"/>
    </row>
    <row r="33" spans="3:11">
      <c r="C33" s="17"/>
      <c r="D33" s="17"/>
      <c r="E33" s="28">
        <v>41515</v>
      </c>
      <c r="F33" s="34"/>
      <c r="G33" s="32">
        <v>-94640</v>
      </c>
      <c r="H33" s="17"/>
      <c r="I33" s="16"/>
    </row>
    <row r="34" spans="3:11">
      <c r="C34" s="17"/>
      <c r="D34" s="17"/>
      <c r="E34" s="28">
        <v>41543</v>
      </c>
      <c r="F34" s="34"/>
      <c r="G34" s="32">
        <v>-352800</v>
      </c>
      <c r="H34" s="17"/>
      <c r="I34" s="16"/>
    </row>
    <row r="35" spans="3:11">
      <c r="C35" s="17"/>
      <c r="D35" s="17"/>
      <c r="E35" s="28">
        <v>41605</v>
      </c>
      <c r="F35" s="34"/>
      <c r="G35" s="32">
        <v>-83440</v>
      </c>
      <c r="H35" s="17"/>
      <c r="I35" s="16"/>
    </row>
    <row r="36" spans="3:11">
      <c r="C36" s="17"/>
      <c r="D36" s="17"/>
      <c r="E36" s="28">
        <v>41638</v>
      </c>
      <c r="F36" s="34"/>
      <c r="G36" s="32">
        <v>-59920</v>
      </c>
      <c r="H36" s="17"/>
      <c r="I36" s="16"/>
    </row>
    <row r="37" spans="3:11">
      <c r="C37" s="17" t="s">
        <v>9</v>
      </c>
      <c r="D37" s="17"/>
      <c r="E37" s="28">
        <v>41683</v>
      </c>
      <c r="F37" s="34"/>
      <c r="G37" s="34">
        <v>-61600</v>
      </c>
      <c r="H37" s="17"/>
      <c r="I37" s="16"/>
      <c r="J37" s="16"/>
      <c r="K37" s="17"/>
    </row>
    <row r="38" spans="3:11">
      <c r="C38" s="17"/>
      <c r="D38" s="17"/>
      <c r="E38" s="28">
        <v>41701</v>
      </c>
      <c r="F38" s="34"/>
      <c r="G38" s="34">
        <v>-89599.99</v>
      </c>
      <c r="H38" s="17"/>
      <c r="I38" s="16"/>
    </row>
    <row r="39" spans="3:11">
      <c r="C39" s="17"/>
      <c r="D39" s="17"/>
      <c r="E39" s="28">
        <v>41729</v>
      </c>
      <c r="F39" s="34"/>
      <c r="G39" s="34">
        <v>-115360</v>
      </c>
      <c r="H39" s="17"/>
      <c r="I39" s="16"/>
    </row>
    <row r="40" spans="3:11">
      <c r="C40" s="17"/>
      <c r="D40" s="17"/>
      <c r="E40" s="28">
        <v>41751</v>
      </c>
      <c r="F40" s="34"/>
      <c r="G40" s="34">
        <v>-81200</v>
      </c>
      <c r="H40" s="17"/>
      <c r="I40" s="16"/>
    </row>
    <row r="41" spans="3:11">
      <c r="C41" s="17"/>
      <c r="D41" s="17"/>
      <c r="E41" s="28">
        <v>41782</v>
      </c>
      <c r="F41" s="34"/>
      <c r="G41" s="34">
        <v>-138320</v>
      </c>
      <c r="H41" s="17"/>
      <c r="I41" s="16"/>
    </row>
    <row r="42" spans="3:11">
      <c r="C42" s="17"/>
      <c r="D42" s="17"/>
      <c r="E42" s="28">
        <v>41808</v>
      </c>
      <c r="F42" s="34"/>
      <c r="G42" s="34">
        <v>-332080</v>
      </c>
      <c r="H42" s="17"/>
      <c r="I42" s="16"/>
    </row>
    <row r="43" spans="3:11">
      <c r="C43" s="17"/>
      <c r="D43" s="17"/>
      <c r="E43" s="28">
        <v>41894</v>
      </c>
      <c r="F43" s="34"/>
      <c r="G43" s="34">
        <v>-69440</v>
      </c>
      <c r="H43" s="17"/>
      <c r="I43" s="16"/>
      <c r="J43" s="53"/>
      <c r="K43" s="54"/>
    </row>
    <row r="44" spans="3:11">
      <c r="C44" s="17"/>
      <c r="D44" s="17"/>
      <c r="E44" s="28">
        <v>41942</v>
      </c>
      <c r="F44" s="34"/>
      <c r="G44" s="34">
        <v>-98560</v>
      </c>
      <c r="H44" s="17"/>
      <c r="I44" s="16"/>
      <c r="J44" s="53"/>
      <c r="K44" s="54"/>
    </row>
    <row r="45" spans="3:11">
      <c r="C45" s="17"/>
      <c r="D45" s="17"/>
      <c r="E45" s="28">
        <v>41962</v>
      </c>
      <c r="F45" s="34"/>
      <c r="G45" s="34">
        <v>-218960</v>
      </c>
      <c r="H45" s="17"/>
      <c r="I45" s="16"/>
      <c r="J45" s="53"/>
      <c r="K45" s="54"/>
    </row>
    <row r="46" spans="3:11">
      <c r="C46" s="17"/>
      <c r="D46" s="17"/>
      <c r="E46" s="28">
        <v>41975</v>
      </c>
      <c r="F46" s="34"/>
      <c r="G46" s="34">
        <v>-257600</v>
      </c>
      <c r="H46" s="17"/>
      <c r="I46" s="16"/>
      <c r="J46" s="53"/>
      <c r="K46" s="54"/>
    </row>
    <row r="47" spans="3:11">
      <c r="C47" s="17" t="s">
        <v>10</v>
      </c>
      <c r="D47" s="17"/>
      <c r="E47" s="28">
        <v>41969</v>
      </c>
      <c r="F47" s="34"/>
      <c r="G47" s="34">
        <v>950190.04</v>
      </c>
      <c r="H47" s="17"/>
      <c r="I47" s="16"/>
    </row>
    <row r="48" spans="3:11">
      <c r="C48" s="17" t="s">
        <v>11</v>
      </c>
      <c r="D48" s="17"/>
      <c r="E48" s="28">
        <v>42037</v>
      </c>
      <c r="F48" s="34"/>
      <c r="G48" s="34">
        <v>-216720</v>
      </c>
      <c r="H48" s="17"/>
      <c r="I48" s="16"/>
    </row>
    <row r="49" spans="3:11">
      <c r="C49" s="17"/>
      <c r="D49" s="17"/>
      <c r="E49" s="28">
        <v>42094</v>
      </c>
      <c r="F49" s="34"/>
      <c r="G49" s="34">
        <v>-188160</v>
      </c>
      <c r="H49" s="17"/>
      <c r="I49" s="16"/>
    </row>
    <row r="50" spans="3:11">
      <c r="C50" s="17"/>
      <c r="D50" s="17"/>
      <c r="E50" s="28">
        <v>42110</v>
      </c>
      <c r="F50" s="34"/>
      <c r="G50" s="34">
        <v>-157360</v>
      </c>
      <c r="H50" s="17"/>
      <c r="I50" s="16"/>
    </row>
    <row r="51" spans="3:11">
      <c r="C51" s="17"/>
      <c r="D51" s="17"/>
      <c r="E51" s="28">
        <v>42145</v>
      </c>
      <c r="F51" s="34"/>
      <c r="G51" s="34">
        <v>-196560</v>
      </c>
      <c r="H51" s="17"/>
      <c r="I51" s="16"/>
    </row>
    <row r="52" spans="3:11">
      <c r="C52" s="17"/>
      <c r="D52" s="17"/>
      <c r="E52" s="28">
        <v>42158</v>
      </c>
      <c r="F52" s="34"/>
      <c r="G52" s="34">
        <v>-563360</v>
      </c>
      <c r="H52" s="17"/>
      <c r="I52" s="16"/>
      <c r="J52" s="16"/>
      <c r="K52" s="17"/>
    </row>
    <row r="53" spans="3:11">
      <c r="C53" s="17"/>
      <c r="D53" s="17"/>
      <c r="E53" s="28">
        <v>42261</v>
      </c>
      <c r="F53" s="34"/>
      <c r="G53" s="34">
        <v>-423920</v>
      </c>
      <c r="H53" s="17"/>
      <c r="I53" s="16"/>
      <c r="J53" s="16"/>
      <c r="K53" s="17"/>
    </row>
    <row r="54" spans="3:11">
      <c r="C54" s="17"/>
      <c r="D54" s="17"/>
      <c r="E54" s="28">
        <v>42366</v>
      </c>
      <c r="F54" s="34"/>
      <c r="G54" s="34">
        <v>-105840</v>
      </c>
      <c r="H54" s="17"/>
      <c r="I54" s="16"/>
      <c r="J54" s="16"/>
      <c r="K54" s="17"/>
    </row>
    <row r="55" spans="3:11">
      <c r="C55" s="17" t="s">
        <v>12</v>
      </c>
      <c r="D55" s="17"/>
      <c r="E55" s="28">
        <v>42341</v>
      </c>
      <c r="F55" s="34"/>
      <c r="G55" s="34">
        <v>167083.98000000001</v>
      </c>
      <c r="H55" s="17"/>
      <c r="I55" s="16"/>
      <c r="J55" s="16"/>
      <c r="K55" s="17"/>
    </row>
    <row r="56" spans="3:11">
      <c r="C56" s="17" t="s">
        <v>13</v>
      </c>
      <c r="D56" s="17"/>
      <c r="E56" s="28">
        <v>42397</v>
      </c>
      <c r="F56" s="34"/>
      <c r="G56" s="34">
        <v>-152880</v>
      </c>
      <c r="H56" s="17"/>
      <c r="I56" s="16"/>
      <c r="J56" s="16"/>
      <c r="K56" s="17"/>
    </row>
    <row r="57" spans="3:11">
      <c r="C57" s="17"/>
      <c r="D57" s="17"/>
      <c r="E57" s="28">
        <v>42447</v>
      </c>
      <c r="F57" s="34"/>
      <c r="G57" s="34">
        <v>-192080</v>
      </c>
      <c r="H57" s="17"/>
      <c r="I57" s="16"/>
      <c r="J57" s="16"/>
      <c r="K57" s="17"/>
    </row>
    <row r="58" spans="3:11">
      <c r="C58" s="17"/>
      <c r="D58" s="17"/>
      <c r="E58" s="28">
        <v>42494</v>
      </c>
      <c r="F58" s="34"/>
      <c r="G58" s="34">
        <v>-149520</v>
      </c>
      <c r="H58" s="17"/>
      <c r="I58" s="16"/>
      <c r="J58" s="16"/>
      <c r="K58" s="17"/>
    </row>
    <row r="59" spans="3:11">
      <c r="C59" s="17"/>
      <c r="D59" s="17"/>
      <c r="E59" s="28">
        <v>42556</v>
      </c>
      <c r="F59" s="34"/>
      <c r="G59" s="34">
        <v>-130480</v>
      </c>
      <c r="H59" s="17"/>
      <c r="I59" s="16"/>
      <c r="J59" s="16"/>
      <c r="K59" s="17"/>
    </row>
    <row r="60" spans="3:11">
      <c r="C60" s="17"/>
      <c r="D60" s="17"/>
      <c r="E60" s="28">
        <v>42605</v>
      </c>
      <c r="F60" s="34"/>
      <c r="G60" s="34">
        <v>-1252720</v>
      </c>
      <c r="H60" s="17"/>
      <c r="I60" s="16"/>
      <c r="J60" s="16"/>
      <c r="K60" s="17"/>
    </row>
    <row r="61" spans="3:11">
      <c r="C61" s="17"/>
      <c r="D61" s="17"/>
      <c r="E61" s="28">
        <v>42661</v>
      </c>
      <c r="F61" s="34"/>
      <c r="G61" s="34">
        <v>-119280</v>
      </c>
      <c r="H61" s="17"/>
      <c r="I61" s="16"/>
      <c r="J61" s="16"/>
      <c r="K61" s="17"/>
    </row>
    <row r="62" spans="3:11">
      <c r="C62" s="17" t="s">
        <v>14</v>
      </c>
      <c r="D62" s="17"/>
      <c r="E62" s="28">
        <v>42381</v>
      </c>
      <c r="F62" s="34"/>
      <c r="G62" s="34">
        <v>1368658.03</v>
      </c>
      <c r="H62" s="17"/>
      <c r="I62" s="16"/>
      <c r="J62" s="16"/>
      <c r="K62" s="17"/>
    </row>
    <row r="63" spans="3:11">
      <c r="C63" s="17"/>
      <c r="D63" s="17"/>
      <c r="E63" s="28">
        <v>42549</v>
      </c>
      <c r="F63" s="34"/>
      <c r="G63" s="34">
        <v>182010.75</v>
      </c>
      <c r="H63" s="17"/>
      <c r="I63" s="16"/>
      <c r="J63" s="16"/>
      <c r="K63" s="17"/>
    </row>
    <row r="64" spans="3:11">
      <c r="C64" s="17"/>
      <c r="D64" s="17"/>
      <c r="E64" s="28">
        <v>42640</v>
      </c>
      <c r="F64" s="34"/>
      <c r="G64" s="34">
        <v>267565.96000000002</v>
      </c>
      <c r="H64" s="17"/>
      <c r="I64" s="16"/>
      <c r="J64" s="16"/>
      <c r="K64" s="17"/>
    </row>
    <row r="65" spans="3:12" ht="15.5">
      <c r="C65" s="17"/>
      <c r="D65" s="17"/>
      <c r="E65" s="28">
        <v>42654</v>
      </c>
      <c r="F65" s="34"/>
      <c r="G65" s="34">
        <v>109364.79</v>
      </c>
      <c r="H65" s="17"/>
      <c r="I65" s="16"/>
      <c r="J65" s="16"/>
      <c r="K65" s="17"/>
      <c r="L65" s="12"/>
    </row>
    <row r="66" spans="3:12">
      <c r="C66" s="17" t="s">
        <v>15</v>
      </c>
      <c r="D66" s="17"/>
      <c r="E66" s="28">
        <v>42793</v>
      </c>
      <c r="F66" s="34"/>
      <c r="G66" s="34">
        <v>-118720</v>
      </c>
      <c r="H66" s="17"/>
      <c r="I66" s="16"/>
      <c r="J66" s="16"/>
      <c r="K66" s="17"/>
      <c r="L66" s="59"/>
    </row>
    <row r="67" spans="3:12">
      <c r="C67" s="17"/>
      <c r="D67" s="17"/>
      <c r="E67" s="28">
        <v>42870</v>
      </c>
      <c r="F67" s="34"/>
      <c r="G67" s="34">
        <v>-119840</v>
      </c>
      <c r="H67" s="17"/>
      <c r="I67" s="16"/>
      <c r="J67" s="16"/>
      <c r="K67" s="17"/>
      <c r="L67" s="59"/>
    </row>
    <row r="68" spans="3:12">
      <c r="C68" s="17"/>
      <c r="D68" s="17"/>
      <c r="E68" s="28">
        <v>42992</v>
      </c>
      <c r="F68" s="34"/>
      <c r="G68" s="34">
        <v>-113120</v>
      </c>
      <c r="H68" s="17"/>
      <c r="I68" s="16"/>
      <c r="J68" s="16"/>
      <c r="K68" s="17"/>
      <c r="L68" s="59"/>
    </row>
    <row r="69" spans="3:12">
      <c r="C69" s="17"/>
      <c r="D69" s="17"/>
      <c r="E69" s="28">
        <v>43048</v>
      </c>
      <c r="F69" s="34"/>
      <c r="G69" s="34">
        <v>-217280</v>
      </c>
      <c r="H69" s="17"/>
      <c r="I69" s="16"/>
      <c r="J69" s="16"/>
      <c r="K69" s="17"/>
      <c r="L69" s="59"/>
    </row>
    <row r="70" spans="3:12">
      <c r="C70" s="17" t="s">
        <v>16</v>
      </c>
      <c r="D70" s="17"/>
      <c r="E70" s="28">
        <v>42746</v>
      </c>
      <c r="F70" s="34"/>
      <c r="G70" s="34">
        <v>405584.79</v>
      </c>
      <c r="H70" s="17"/>
      <c r="I70" s="16"/>
      <c r="J70" s="16"/>
      <c r="K70" s="17"/>
    </row>
    <row r="71" spans="3:12">
      <c r="C71" s="17"/>
      <c r="D71" s="17"/>
      <c r="E71" s="28">
        <v>42802</v>
      </c>
      <c r="F71" s="34"/>
      <c r="G71" s="34">
        <v>606119.09</v>
      </c>
      <c r="H71" s="17"/>
      <c r="I71" s="16"/>
      <c r="J71" s="16"/>
      <c r="K71" s="17"/>
    </row>
    <row r="72" spans="3:12">
      <c r="C72" s="17"/>
      <c r="D72" s="17"/>
      <c r="E72" s="28">
        <v>42885</v>
      </c>
      <c r="F72" s="34"/>
      <c r="G72" s="34">
        <v>224558.85</v>
      </c>
      <c r="H72" s="17"/>
      <c r="I72" s="16"/>
      <c r="J72" s="16"/>
      <c r="K72" s="17"/>
    </row>
    <row r="73" spans="3:12">
      <c r="C73" s="17"/>
      <c r="D73" s="17"/>
      <c r="E73" s="28">
        <v>42913</v>
      </c>
      <c r="F73" s="34"/>
      <c r="G73" s="34">
        <v>5827248.3099999996</v>
      </c>
      <c r="H73" s="17"/>
      <c r="I73" s="16"/>
      <c r="J73" s="16"/>
      <c r="K73" s="17"/>
    </row>
    <row r="74" spans="3:12">
      <c r="C74" s="17"/>
      <c r="D74" s="17"/>
      <c r="E74" s="28">
        <v>42999</v>
      </c>
      <c r="F74" s="34"/>
      <c r="G74" s="34">
        <v>397158.17</v>
      </c>
      <c r="H74" s="17"/>
      <c r="I74" s="16"/>
      <c r="J74" s="16"/>
      <c r="K74" s="17"/>
    </row>
    <row r="75" spans="3:12">
      <c r="C75" s="17" t="s">
        <v>17</v>
      </c>
      <c r="D75" s="17"/>
      <c r="E75" s="28">
        <v>43132</v>
      </c>
      <c r="F75" s="34"/>
      <c r="G75" s="34">
        <v>-150080</v>
      </c>
      <c r="H75" s="17"/>
      <c r="I75" s="16"/>
      <c r="J75" s="16"/>
      <c r="K75" s="17"/>
    </row>
    <row r="76" spans="3:12">
      <c r="C76" s="17"/>
      <c r="D76" s="17"/>
      <c r="E76" s="28">
        <v>43147</v>
      </c>
      <c r="F76" s="34"/>
      <c r="G76" s="34">
        <v>-330400</v>
      </c>
      <c r="H76" s="17"/>
      <c r="I76" s="16"/>
      <c r="J76" s="16"/>
      <c r="K76" s="17"/>
    </row>
    <row r="77" spans="3:12">
      <c r="C77" s="17"/>
      <c r="D77" s="17"/>
      <c r="E77" s="28">
        <v>43370</v>
      </c>
      <c r="F77" s="34"/>
      <c r="G77" s="34">
        <v>-106400</v>
      </c>
      <c r="H77" s="17"/>
      <c r="I77" s="16"/>
      <c r="J77" s="16"/>
      <c r="K77" s="17"/>
    </row>
    <row r="78" spans="3:12">
      <c r="C78" s="17" t="s">
        <v>18</v>
      </c>
      <c r="D78" s="17"/>
      <c r="E78" s="28">
        <v>43122</v>
      </c>
      <c r="F78" s="34"/>
      <c r="G78" s="34">
        <v>1706867.46</v>
      </c>
      <c r="H78" s="17"/>
      <c r="I78" s="16"/>
      <c r="J78" s="16"/>
      <c r="K78" s="17"/>
    </row>
    <row r="79" spans="3:12">
      <c r="C79" s="17"/>
      <c r="D79" s="17"/>
      <c r="E79" s="28">
        <v>43300</v>
      </c>
      <c r="F79" s="34"/>
      <c r="G79" s="34">
        <v>423504.53</v>
      </c>
      <c r="H79" s="17"/>
      <c r="I79" s="16"/>
      <c r="J79" s="16"/>
      <c r="K79" s="17"/>
    </row>
    <row r="80" spans="3:12">
      <c r="C80" s="17" t="s">
        <v>19</v>
      </c>
      <c r="D80" s="17"/>
      <c r="E80" s="28">
        <v>43490</v>
      </c>
      <c r="F80" s="34"/>
      <c r="G80" s="34">
        <v>-146720</v>
      </c>
      <c r="H80" s="17"/>
      <c r="I80" s="16"/>
      <c r="J80" s="16"/>
      <c r="K80" s="17"/>
    </row>
    <row r="81" spans="3:12">
      <c r="C81" s="17"/>
      <c r="D81" s="17"/>
      <c r="E81" s="28">
        <v>43517</v>
      </c>
      <c r="F81" s="34"/>
      <c r="G81" s="34">
        <v>-166320</v>
      </c>
      <c r="H81" s="17"/>
      <c r="I81" s="16"/>
      <c r="J81" s="16"/>
      <c r="K81" s="17"/>
    </row>
    <row r="82" spans="3:12">
      <c r="C82" s="17"/>
      <c r="D82" s="17"/>
      <c r="E82" s="28">
        <v>43560</v>
      </c>
      <c r="F82" s="34"/>
      <c r="G82" s="34">
        <v>-454160</v>
      </c>
      <c r="H82" s="17"/>
      <c r="I82" s="16"/>
      <c r="J82" s="16"/>
      <c r="K82" s="17"/>
    </row>
    <row r="83" spans="3:12">
      <c r="C83" s="17"/>
      <c r="D83" s="17"/>
      <c r="E83" s="28">
        <v>43623</v>
      </c>
      <c r="F83" s="34"/>
      <c r="G83" s="34">
        <v>-117600</v>
      </c>
      <c r="H83" s="17"/>
      <c r="I83" s="16"/>
      <c r="J83" s="16"/>
      <c r="K83" s="17"/>
    </row>
    <row r="84" spans="3:12">
      <c r="C84" s="17"/>
      <c r="D84" s="17"/>
      <c r="E84" s="28">
        <v>43733</v>
      </c>
      <c r="F84" s="34"/>
      <c r="G84" s="34">
        <v>-111440</v>
      </c>
      <c r="H84" s="17"/>
      <c r="I84" s="16"/>
      <c r="J84" s="16"/>
      <c r="K84" s="17"/>
    </row>
    <row r="85" spans="3:12">
      <c r="C85" s="17"/>
      <c r="D85" s="17"/>
      <c r="E85" s="28">
        <v>43825</v>
      </c>
      <c r="F85" s="34"/>
      <c r="G85" s="34">
        <v>-66080</v>
      </c>
      <c r="H85" s="17"/>
      <c r="I85" s="16"/>
      <c r="J85" s="16"/>
      <c r="K85" s="17"/>
    </row>
    <row r="86" spans="3:12">
      <c r="C86" s="17" t="s">
        <v>20</v>
      </c>
      <c r="D86" s="17"/>
      <c r="E86" s="28">
        <v>43545</v>
      </c>
      <c r="F86" s="34"/>
      <c r="G86" s="34">
        <v>177644.72</v>
      </c>
      <c r="H86" s="17"/>
      <c r="I86" s="16"/>
      <c r="J86" s="16"/>
      <c r="K86" s="17"/>
    </row>
    <row r="87" spans="3:12">
      <c r="C87" s="17" t="s">
        <v>21</v>
      </c>
      <c r="D87" s="17"/>
      <c r="E87" s="28">
        <v>43950</v>
      </c>
      <c r="F87" s="34"/>
      <c r="G87" s="34">
        <v>-90160</v>
      </c>
      <c r="H87" s="17"/>
      <c r="I87" s="16"/>
      <c r="J87" s="16"/>
      <c r="K87" s="17"/>
    </row>
    <row r="88" spans="3:12">
      <c r="C88" s="17" t="s">
        <v>30</v>
      </c>
      <c r="D88" s="17"/>
      <c r="E88" s="28">
        <v>44084</v>
      </c>
      <c r="F88" s="34"/>
      <c r="G88" s="34">
        <v>98641.36</v>
      </c>
      <c r="H88" s="17"/>
      <c r="I88" s="16"/>
      <c r="J88" s="16"/>
      <c r="K88" s="17"/>
    </row>
    <row r="89" spans="3:12" ht="15.5">
      <c r="C89" s="17"/>
      <c r="D89" s="17"/>
      <c r="E89" s="28">
        <v>44158</v>
      </c>
      <c r="F89" s="34"/>
      <c r="G89" s="34">
        <v>456197.97</v>
      </c>
      <c r="H89" s="17"/>
      <c r="I89" s="16"/>
      <c r="J89" s="16"/>
      <c r="K89" s="17"/>
      <c r="L89" s="12"/>
    </row>
    <row r="90" spans="3:12" ht="15.5">
      <c r="C90" s="17" t="s">
        <v>31</v>
      </c>
      <c r="D90" s="17"/>
      <c r="E90" s="28">
        <v>44203</v>
      </c>
      <c r="F90" s="34"/>
      <c r="G90" s="34">
        <v>-56000</v>
      </c>
      <c r="H90" s="17"/>
      <c r="I90" s="16"/>
      <c r="J90" s="16"/>
      <c r="K90" s="17"/>
      <c r="L90" s="12"/>
    </row>
    <row r="91" spans="3:12" ht="15.5">
      <c r="C91" s="17" t="s">
        <v>22</v>
      </c>
      <c r="D91" s="17"/>
      <c r="E91" s="28">
        <v>44284</v>
      </c>
      <c r="F91" s="34"/>
      <c r="G91" s="34">
        <v>52464.24</v>
      </c>
      <c r="H91" s="17"/>
      <c r="I91" s="16"/>
      <c r="J91" s="16"/>
      <c r="K91" s="17"/>
      <c r="L91" s="12"/>
    </row>
    <row r="92" spans="3:12" ht="15.5">
      <c r="C92" s="17"/>
      <c r="D92" s="17"/>
      <c r="E92" s="28">
        <v>44546</v>
      </c>
      <c r="F92" s="34"/>
      <c r="G92" s="34">
        <v>86158.79</v>
      </c>
      <c r="H92" s="17"/>
      <c r="I92" s="16"/>
      <c r="J92" s="16"/>
      <c r="K92" s="17"/>
      <c r="L92" s="12"/>
    </row>
    <row r="93" spans="3:12" ht="15.5">
      <c r="C93" s="17" t="s">
        <v>23</v>
      </c>
      <c r="D93" s="17"/>
      <c r="E93" s="28">
        <v>44624</v>
      </c>
      <c r="F93" s="34"/>
      <c r="G93" s="34">
        <v>753227.11</v>
      </c>
      <c r="H93" s="17"/>
      <c r="I93" s="16"/>
      <c r="J93" s="16"/>
      <c r="K93" s="17"/>
      <c r="L93" s="12"/>
    </row>
    <row r="94" spans="3:12" ht="15.5">
      <c r="C94" s="17" t="s">
        <v>24</v>
      </c>
      <c r="D94" s="17"/>
      <c r="E94" s="28">
        <v>45078</v>
      </c>
      <c r="F94" s="34"/>
      <c r="G94" s="34">
        <v>93829.53</v>
      </c>
      <c r="H94" s="17"/>
      <c r="I94" s="16"/>
      <c r="J94" s="16"/>
      <c r="K94" s="17"/>
      <c r="L94" s="12"/>
    </row>
    <row r="95" spans="3:12" ht="15.5">
      <c r="C95" s="17"/>
      <c r="D95" s="17"/>
      <c r="E95" s="28">
        <v>45175</v>
      </c>
      <c r="F95" s="34"/>
      <c r="G95" s="34">
        <v>96650.84</v>
      </c>
      <c r="H95" s="17"/>
      <c r="I95" s="16"/>
      <c r="J95" s="16"/>
      <c r="K95" s="17"/>
      <c r="L95" s="12"/>
    </row>
    <row r="96" spans="3:12" ht="4.5" customHeight="1">
      <c r="C96" s="17"/>
      <c r="D96" s="17"/>
      <c r="E96" s="28"/>
      <c r="F96" s="17"/>
      <c r="G96" s="34"/>
      <c r="H96" s="17"/>
      <c r="I96" s="16"/>
      <c r="J96" s="16"/>
    </row>
    <row r="97" spans="3:14" ht="15.5">
      <c r="C97" s="17" t="s">
        <v>25</v>
      </c>
      <c r="D97" s="17"/>
      <c r="E97" s="28">
        <f>+E8</f>
        <v>45473</v>
      </c>
      <c r="F97" s="17"/>
      <c r="G97" s="35">
        <f>L97/0.98*C22</f>
        <v>1055749.135942857</v>
      </c>
      <c r="H97" s="17"/>
      <c r="I97" s="28"/>
      <c r="K97" s="109"/>
      <c r="L97" s="59">
        <v>184756098.78999996</v>
      </c>
      <c r="M97" s="12"/>
    </row>
    <row r="98" spans="3:14">
      <c r="C98" s="17"/>
      <c r="D98" s="17"/>
      <c r="E98" s="17"/>
      <c r="F98" s="17"/>
      <c r="G98" s="17"/>
      <c r="H98" s="17"/>
      <c r="J98" s="16"/>
      <c r="N98" s="91"/>
    </row>
    <row r="99" spans="3:14">
      <c r="C99" t="s">
        <v>28</v>
      </c>
      <c r="G99" s="38">
        <f>+XIRR(G23:G97,E23:E97,0.1)</f>
        <v>0.25848636031150829</v>
      </c>
      <c r="H99" s="17"/>
      <c r="J99" s="34">
        <f>+SUMIF($G$23:$G$96,"&lt;0",$G$23:$G$96)</f>
        <v>-9491399.9900000002</v>
      </c>
      <c r="K99" s="17" t="s">
        <v>26</v>
      </c>
      <c r="N99" s="91"/>
    </row>
    <row r="100" spans="3:14">
      <c r="C100" s="17"/>
      <c r="D100" s="17"/>
      <c r="E100" s="17"/>
      <c r="F100" s="17"/>
      <c r="G100" s="17"/>
      <c r="H100" s="17"/>
      <c r="J100" s="34">
        <f>+SUMIF($G$23:$G$96,"&gt;0",$G$23:$G$96)</f>
        <v>14450729.309999997</v>
      </c>
      <c r="K100" s="17" t="s">
        <v>27</v>
      </c>
      <c r="N100" s="91"/>
    </row>
    <row r="101" spans="3:14">
      <c r="C101" s="17"/>
      <c r="D101" s="17"/>
      <c r="E101" s="17"/>
      <c r="F101" s="17"/>
      <c r="G101" s="17"/>
      <c r="H101" s="17"/>
    </row>
    <row r="102" spans="3:14">
      <c r="C102" s="17"/>
      <c r="D102" s="17"/>
      <c r="E102" s="39"/>
      <c r="F102" s="17"/>
      <c r="G102" s="39"/>
      <c r="H102" s="17"/>
    </row>
    <row r="103" spans="3:14">
      <c r="C103" s="40"/>
      <c r="D103" s="40"/>
      <c r="E103" s="39"/>
      <c r="F103" s="40"/>
      <c r="G103" s="39"/>
      <c r="H103" s="17"/>
    </row>
    <row r="104" spans="3:14">
      <c r="C104" s="40"/>
      <c r="D104" s="40"/>
      <c r="E104" s="39"/>
      <c r="F104" s="40"/>
      <c r="G104" s="39"/>
      <c r="H104" s="17"/>
    </row>
    <row r="105" spans="3:14">
      <c r="C105" s="40"/>
      <c r="D105" s="40"/>
      <c r="E105" s="40"/>
      <c r="F105" s="40"/>
      <c r="G105" s="40"/>
    </row>
    <row r="106" spans="3:14">
      <c r="C106" s="40"/>
      <c r="D106" s="40"/>
      <c r="E106" s="39"/>
      <c r="F106" s="39"/>
      <c r="G106" s="39"/>
    </row>
    <row r="107" spans="3:14">
      <c r="C107" s="40"/>
      <c r="D107" s="40"/>
      <c r="E107" s="40"/>
      <c r="F107" s="40"/>
      <c r="G107" s="40"/>
    </row>
    <row r="108" spans="3:14">
      <c r="C108" s="40"/>
      <c r="D108" s="40"/>
      <c r="E108" s="60"/>
      <c r="F108" s="42"/>
      <c r="G108" s="60"/>
    </row>
    <row r="109" spans="3:14">
      <c r="C109" s="40"/>
      <c r="D109" s="40"/>
      <c r="E109" s="42"/>
      <c r="F109" s="42"/>
      <c r="G109" s="42"/>
    </row>
    <row r="110" spans="3:14">
      <c r="C110" s="40"/>
      <c r="D110" s="40"/>
      <c r="E110" s="42"/>
      <c r="F110" s="42"/>
      <c r="G110" s="42"/>
    </row>
    <row r="111" spans="3:14">
      <c r="C111" s="43"/>
      <c r="D111" s="40"/>
      <c r="E111" s="42"/>
      <c r="F111" s="42"/>
      <c r="G111" s="42"/>
    </row>
    <row r="112" spans="3:14">
      <c r="C112" s="43"/>
      <c r="D112" s="40"/>
      <c r="E112" s="42"/>
      <c r="F112" s="42"/>
      <c r="G112" s="42"/>
    </row>
    <row r="113" spans="3:10">
      <c r="C113" s="44"/>
      <c r="D113" s="40"/>
      <c r="E113" s="42"/>
      <c r="F113" s="42"/>
      <c r="G113" s="42"/>
    </row>
    <row r="114" spans="3:10">
      <c r="C114" s="40"/>
      <c r="D114" s="40"/>
      <c r="E114" s="42"/>
      <c r="F114" s="42"/>
      <c r="G114" s="42"/>
    </row>
    <row r="115" spans="3:10">
      <c r="C115" s="40"/>
      <c r="D115" s="40"/>
      <c r="E115" s="42"/>
      <c r="F115" s="42"/>
      <c r="G115" s="42"/>
    </row>
    <row r="116" spans="3:10">
      <c r="C116" s="40"/>
      <c r="D116" s="40"/>
      <c r="E116" s="42"/>
      <c r="F116" s="42"/>
      <c r="G116" s="42"/>
    </row>
    <row r="117" spans="3:10">
      <c r="C117" s="40"/>
      <c r="D117" s="40"/>
      <c r="E117" s="42"/>
      <c r="F117" s="42"/>
      <c r="G117" s="42"/>
    </row>
    <row r="118" spans="3:10">
      <c r="C118" s="40"/>
      <c r="D118" s="40"/>
      <c r="E118" s="42"/>
      <c r="F118" s="42"/>
      <c r="G118" s="42"/>
    </row>
    <row r="119" spans="3:10">
      <c r="C119" s="40"/>
      <c r="D119" s="40"/>
      <c r="E119" s="42"/>
      <c r="F119" s="42"/>
      <c r="G119" s="42"/>
    </row>
    <row r="120" spans="3:10" ht="5.15" customHeight="1">
      <c r="E120" s="45"/>
      <c r="F120" s="45"/>
      <c r="G120" s="45"/>
    </row>
    <row r="121" spans="3:10">
      <c r="E121" s="46"/>
      <c r="F121" s="46"/>
      <c r="G121" s="46"/>
    </row>
    <row r="123" spans="3:10" ht="13">
      <c r="C123" s="40"/>
      <c r="D123" s="40"/>
      <c r="E123" s="2"/>
      <c r="F123" s="2"/>
      <c r="G123" s="2"/>
      <c r="J123" s="110"/>
    </row>
    <row r="124" spans="3:10">
      <c r="C124" s="40"/>
      <c r="D124" s="40"/>
      <c r="E124" s="39"/>
      <c r="F124" s="39"/>
      <c r="G124" s="39"/>
    </row>
    <row r="125" spans="3:10">
      <c r="C125" s="40"/>
      <c r="D125" s="40"/>
      <c r="E125" s="40"/>
      <c r="F125" s="40"/>
      <c r="G125" s="40"/>
    </row>
    <row r="126" spans="3:10">
      <c r="C126" s="40"/>
      <c r="D126" s="40"/>
      <c r="E126" s="60"/>
      <c r="F126" s="42"/>
      <c r="G126" s="60"/>
    </row>
    <row r="127" spans="3:10">
      <c r="C127" s="40"/>
      <c r="D127" s="40"/>
      <c r="E127" s="42"/>
      <c r="F127" s="42"/>
      <c r="G127" s="42"/>
    </row>
    <row r="128" spans="3:10">
      <c r="C128" s="40"/>
      <c r="D128" s="40"/>
      <c r="E128" s="42"/>
      <c r="F128" s="42"/>
      <c r="G128" s="42"/>
    </row>
    <row r="129" spans="3:7">
      <c r="C129" s="40"/>
      <c r="D129" s="40"/>
      <c r="E129" s="42"/>
      <c r="F129" s="42"/>
      <c r="G129" s="42"/>
    </row>
    <row r="130" spans="3:7">
      <c r="C130" s="40"/>
      <c r="D130" s="40"/>
      <c r="E130" s="42"/>
      <c r="F130" s="42"/>
      <c r="G130" s="42"/>
    </row>
    <row r="131" spans="3:7">
      <c r="C131" s="40"/>
      <c r="D131" s="40"/>
      <c r="E131" s="42"/>
      <c r="F131" s="42"/>
      <c r="G131" s="42"/>
    </row>
    <row r="132" spans="3:7">
      <c r="C132" s="40"/>
      <c r="D132" s="40"/>
      <c r="E132" s="42"/>
      <c r="F132" s="42"/>
      <c r="G132" s="42"/>
    </row>
    <row r="133" spans="3:7">
      <c r="C133" s="40"/>
      <c r="D133" s="40"/>
      <c r="E133" s="42"/>
      <c r="F133" s="42"/>
      <c r="G133" s="42"/>
    </row>
  </sheetData>
  <mergeCells count="1">
    <mergeCell ref="E123:G123"/>
  </mergeCells>
  <pageMargins left="0.75" right="0.33" top="1" bottom="1" header="0.5" footer="0.5"/>
  <pageSetup scale="32" orientation="landscape" r:id="rId1"/>
  <headerFooter alignWithMargins="0">
    <oddHeader>&amp;C&amp;G</oddHeader>
    <oddFooter>&amp;C&amp;G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3939-745A-4E3E-AAB6-8B11B484E62D}">
  <sheetPr>
    <tabColor rgb="FF92D050"/>
  </sheetPr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AC13-2E91-4B56-B14A-589C7FEDA401}">
  <sheetPr>
    <tabColor rgb="FF92D050"/>
    <pageSetUpPr fitToPage="1"/>
  </sheetPr>
  <dimension ref="B4:M125"/>
  <sheetViews>
    <sheetView showGridLines="0" view="pageLayout" topLeftCell="A70" zoomScaleNormal="100" workbookViewId="0">
      <selection activeCell="L97" sqref="L97"/>
    </sheetView>
  </sheetViews>
  <sheetFormatPr defaultRowHeight="12.5"/>
  <cols>
    <col min="2" max="2" width="4.7265625" customWidth="1"/>
    <col min="3" max="3" width="47.26953125" customWidth="1"/>
    <col min="4" max="4" width="1.453125" customWidth="1"/>
    <col min="5" max="5" width="12.26953125" bestFit="1" customWidth="1"/>
    <col min="6" max="6" width="1.453125" customWidth="1"/>
    <col min="7" max="7" width="12.26953125" bestFit="1" customWidth="1"/>
    <col min="8" max="8" width="2.453125" customWidth="1"/>
    <col min="9" max="9" width="7.453125" customWidth="1"/>
    <col min="10" max="10" width="11.7265625" customWidth="1"/>
    <col min="12" max="12" width="15.26953125" customWidth="1"/>
    <col min="13" max="13" width="19.7265625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G99</f>
        <v>0.20748522877693176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-(G97+J100)/(J99)</f>
        <v>1.5275372236332967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30">
        <v>1.5385009999999999E-2</v>
      </c>
      <c r="D22" s="17"/>
      <c r="E22" s="17"/>
      <c r="F22" s="17"/>
      <c r="G22" s="31"/>
      <c r="H22" s="17"/>
      <c r="I22" s="17"/>
      <c r="J22" s="17"/>
    </row>
    <row r="23" spans="3:12">
      <c r="C23" s="17" t="s">
        <v>5</v>
      </c>
      <c r="D23" s="17"/>
      <c r="E23" s="28">
        <v>41089</v>
      </c>
      <c r="F23" s="34"/>
      <c r="G23" s="32">
        <v>-22500</v>
      </c>
      <c r="H23" s="17"/>
      <c r="I23" s="16"/>
      <c r="J23" s="16"/>
    </row>
    <row r="24" spans="3:12">
      <c r="C24" s="17"/>
      <c r="D24" s="17"/>
      <c r="E24" s="28">
        <v>41166</v>
      </c>
      <c r="F24" s="34"/>
      <c r="G24" s="32">
        <v>-28224</v>
      </c>
      <c r="H24" s="17"/>
      <c r="I24" s="16"/>
      <c r="J24" s="16"/>
    </row>
    <row r="25" spans="3:12">
      <c r="C25" s="17"/>
      <c r="D25" s="17"/>
      <c r="E25" s="28">
        <v>41270</v>
      </c>
      <c r="F25" s="34"/>
      <c r="G25" s="32">
        <v>-81984</v>
      </c>
      <c r="H25" s="17"/>
      <c r="I25" s="16"/>
      <c r="J25" s="16"/>
    </row>
    <row r="26" spans="3:12">
      <c r="C26" s="17" t="s">
        <v>7</v>
      </c>
      <c r="D26" s="17"/>
      <c r="E26" s="28">
        <v>41311</v>
      </c>
      <c r="F26" s="34"/>
      <c r="G26" s="32">
        <v>-29232</v>
      </c>
      <c r="H26" s="17"/>
      <c r="I26" s="16"/>
      <c r="J26" s="16"/>
    </row>
    <row r="27" spans="3:12">
      <c r="C27" s="17"/>
      <c r="D27" s="17"/>
      <c r="E27" s="28">
        <v>41341</v>
      </c>
      <c r="F27" s="34"/>
      <c r="G27" s="32">
        <v>-42000</v>
      </c>
      <c r="H27" s="17"/>
      <c r="I27" s="16"/>
      <c r="J27" s="16"/>
    </row>
    <row r="28" spans="3:12">
      <c r="C28" s="17"/>
      <c r="D28" s="17"/>
      <c r="E28" s="28">
        <v>41361</v>
      </c>
      <c r="F28" s="34"/>
      <c r="G28" s="32">
        <v>-18816</v>
      </c>
      <c r="H28" s="17"/>
      <c r="I28" s="16"/>
      <c r="J28" s="16"/>
    </row>
    <row r="29" spans="3:12">
      <c r="C29" s="17"/>
      <c r="D29" s="17"/>
      <c r="E29" s="28">
        <v>41387</v>
      </c>
      <c r="F29" s="34"/>
      <c r="G29" s="32">
        <v>-40992</v>
      </c>
      <c r="H29" s="17"/>
      <c r="I29" s="16"/>
      <c r="J29" s="16"/>
    </row>
    <row r="30" spans="3:12">
      <c r="C30" s="17"/>
      <c r="D30" s="17"/>
      <c r="E30" s="28">
        <v>41408</v>
      </c>
      <c r="F30" s="34"/>
      <c r="G30" s="32">
        <v>-17640</v>
      </c>
      <c r="H30" s="17"/>
      <c r="I30" s="16"/>
      <c r="J30" s="16"/>
    </row>
    <row r="31" spans="3:12">
      <c r="C31" s="17"/>
      <c r="D31" s="17"/>
      <c r="E31" s="28">
        <v>41439</v>
      </c>
      <c r="F31" s="34"/>
      <c r="G31" s="32">
        <v>-40824</v>
      </c>
      <c r="H31" s="17"/>
      <c r="I31" s="16"/>
      <c r="J31" s="16"/>
    </row>
    <row r="32" spans="3:12">
      <c r="C32" s="17"/>
      <c r="D32" s="17"/>
      <c r="E32" s="28">
        <v>41479</v>
      </c>
      <c r="F32" s="34"/>
      <c r="G32" s="32">
        <v>-45192</v>
      </c>
      <c r="H32" s="17"/>
      <c r="I32" s="16"/>
    </row>
    <row r="33" spans="3:11">
      <c r="C33" s="17"/>
      <c r="D33" s="17"/>
      <c r="E33" s="28">
        <v>41515</v>
      </c>
      <c r="F33" s="34"/>
      <c r="G33" s="32">
        <v>-28392</v>
      </c>
      <c r="H33" s="17"/>
      <c r="I33" s="16"/>
    </row>
    <row r="34" spans="3:11">
      <c r="C34" s="17"/>
      <c r="D34" s="17"/>
      <c r="E34" s="28">
        <v>41543</v>
      </c>
      <c r="F34" s="34"/>
      <c r="G34" s="32">
        <v>-105840</v>
      </c>
      <c r="H34" s="17"/>
      <c r="I34" s="16"/>
    </row>
    <row r="35" spans="3:11">
      <c r="C35" s="17"/>
      <c r="D35" s="17"/>
      <c r="E35" s="28">
        <v>41605</v>
      </c>
      <c r="F35" s="34"/>
      <c r="G35" s="32">
        <v>-25032</v>
      </c>
      <c r="H35" s="17"/>
      <c r="I35" s="16"/>
    </row>
    <row r="36" spans="3:11">
      <c r="C36" s="17"/>
      <c r="D36" s="17"/>
      <c r="E36" s="28">
        <v>41638</v>
      </c>
      <c r="F36" s="34"/>
      <c r="G36" s="32">
        <v>-17976</v>
      </c>
      <c r="H36" s="17"/>
      <c r="I36" s="16"/>
    </row>
    <row r="37" spans="3:11">
      <c r="C37" s="17" t="s">
        <v>9</v>
      </c>
      <c r="D37" s="17"/>
      <c r="E37" s="28">
        <v>41683</v>
      </c>
      <c r="F37" s="34"/>
      <c r="G37" s="34">
        <v>-18480</v>
      </c>
      <c r="H37" s="17"/>
      <c r="I37" s="16"/>
      <c r="J37" s="53"/>
      <c r="K37" s="54"/>
    </row>
    <row r="38" spans="3:11">
      <c r="C38" s="111"/>
      <c r="D38" s="17"/>
      <c r="E38" s="28">
        <v>41701</v>
      </c>
      <c r="F38" s="34"/>
      <c r="G38" s="34">
        <v>-26880</v>
      </c>
      <c r="H38" s="17"/>
      <c r="I38" s="16"/>
      <c r="J38" s="53"/>
      <c r="K38" s="54"/>
    </row>
    <row r="39" spans="3:11">
      <c r="C39" s="17"/>
      <c r="D39" s="17"/>
      <c r="E39" s="28">
        <v>41729</v>
      </c>
      <c r="F39" s="34"/>
      <c r="G39" s="34">
        <v>-34608</v>
      </c>
      <c r="H39" s="17"/>
      <c r="I39" s="16"/>
      <c r="J39" s="53"/>
      <c r="K39" s="54"/>
    </row>
    <row r="40" spans="3:11">
      <c r="C40" s="17"/>
      <c r="D40" s="17"/>
      <c r="E40" s="28">
        <v>41751</v>
      </c>
      <c r="F40" s="34"/>
      <c r="G40" s="34">
        <v>-24360</v>
      </c>
      <c r="H40" s="17"/>
      <c r="I40" s="16"/>
      <c r="J40" s="53"/>
      <c r="K40" s="54"/>
    </row>
    <row r="41" spans="3:11">
      <c r="C41" s="17"/>
      <c r="D41" s="17"/>
      <c r="E41" s="28">
        <v>41782</v>
      </c>
      <c r="F41" s="34"/>
      <c r="G41" s="34">
        <v>-41496</v>
      </c>
      <c r="H41" s="17"/>
      <c r="I41" s="16"/>
      <c r="J41" s="53"/>
      <c r="K41" s="54"/>
    </row>
    <row r="42" spans="3:11">
      <c r="C42" s="17"/>
      <c r="D42" s="17"/>
      <c r="E42" s="28">
        <v>41808</v>
      </c>
      <c r="F42" s="34"/>
      <c r="G42" s="34">
        <v>-99624</v>
      </c>
      <c r="H42" s="17"/>
      <c r="I42" s="16"/>
      <c r="J42" s="53"/>
      <c r="K42" s="54"/>
    </row>
    <row r="43" spans="3:11">
      <c r="C43" s="17"/>
      <c r="D43" s="17"/>
      <c r="E43" s="28">
        <v>41894</v>
      </c>
      <c r="F43" s="34"/>
      <c r="G43" s="34">
        <v>-20832</v>
      </c>
      <c r="H43" s="17"/>
      <c r="I43" s="16"/>
      <c r="J43" s="53"/>
      <c r="K43" s="54"/>
    </row>
    <row r="44" spans="3:11">
      <c r="C44" s="17"/>
      <c r="D44" s="17"/>
      <c r="E44" s="28">
        <v>41942</v>
      </c>
      <c r="F44" s="34"/>
      <c r="G44" s="34">
        <v>-29568</v>
      </c>
      <c r="H44" s="17"/>
      <c r="I44" s="16"/>
      <c r="J44" s="53"/>
      <c r="K44" s="54"/>
    </row>
    <row r="45" spans="3:11">
      <c r="C45" s="17"/>
      <c r="D45" s="17"/>
      <c r="E45" s="28">
        <v>41962</v>
      </c>
      <c r="F45" s="34"/>
      <c r="G45" s="34">
        <v>-65688</v>
      </c>
      <c r="H45" s="17"/>
      <c r="I45" s="16"/>
      <c r="J45" s="53"/>
      <c r="K45" s="54"/>
    </row>
    <row r="46" spans="3:11">
      <c r="C46" s="17"/>
      <c r="D46" s="17"/>
      <c r="E46" s="28">
        <v>41975</v>
      </c>
      <c r="F46" s="34"/>
      <c r="G46" s="34">
        <v>-77280</v>
      </c>
      <c r="H46" s="17"/>
      <c r="I46" s="16"/>
      <c r="J46" s="53"/>
      <c r="K46" s="54"/>
    </row>
    <row r="47" spans="3:11">
      <c r="C47" s="17" t="s">
        <v>10</v>
      </c>
      <c r="D47" s="17"/>
      <c r="E47" s="28">
        <v>41969</v>
      </c>
      <c r="F47" s="34"/>
      <c r="G47" s="34">
        <v>273860.40000000002</v>
      </c>
      <c r="H47" s="17"/>
      <c r="I47" s="16"/>
    </row>
    <row r="48" spans="3:11">
      <c r="C48" s="17" t="s">
        <v>11</v>
      </c>
      <c r="D48" s="17"/>
      <c r="E48" s="28">
        <v>42037</v>
      </c>
      <c r="F48" s="34"/>
      <c r="G48" s="34">
        <v>-65016.01</v>
      </c>
      <c r="H48" s="17"/>
      <c r="I48" s="16"/>
    </row>
    <row r="49" spans="3:12">
      <c r="C49" s="17"/>
      <c r="D49" s="17"/>
      <c r="E49" s="28">
        <v>42094</v>
      </c>
      <c r="F49" s="34"/>
      <c r="G49" s="34">
        <v>-56448</v>
      </c>
      <c r="H49" s="17"/>
      <c r="I49" s="16"/>
    </row>
    <row r="50" spans="3:12">
      <c r="C50" s="17"/>
      <c r="D50" s="17"/>
      <c r="E50" s="28">
        <v>42110</v>
      </c>
      <c r="F50" s="34"/>
      <c r="G50" s="34">
        <v>-47208</v>
      </c>
      <c r="H50" s="17"/>
      <c r="I50" s="16"/>
    </row>
    <row r="51" spans="3:12">
      <c r="C51" s="17"/>
      <c r="D51" s="17"/>
      <c r="E51" s="28">
        <v>42145</v>
      </c>
      <c r="F51" s="34"/>
      <c r="G51" s="34">
        <v>-58968</v>
      </c>
      <c r="H51" s="17"/>
      <c r="I51" s="16"/>
    </row>
    <row r="52" spans="3:12">
      <c r="C52" s="17"/>
      <c r="D52" s="17"/>
      <c r="E52" s="28">
        <v>42158</v>
      </c>
      <c r="F52" s="34"/>
      <c r="G52" s="34">
        <v>-169008</v>
      </c>
      <c r="H52" s="17"/>
      <c r="I52" s="16"/>
      <c r="J52" s="16"/>
      <c r="K52" s="17"/>
    </row>
    <row r="53" spans="3:12">
      <c r="C53" s="17"/>
      <c r="D53" s="17"/>
      <c r="E53" s="28">
        <v>42261</v>
      </c>
      <c r="F53" s="34"/>
      <c r="G53" s="34">
        <v>-127176</v>
      </c>
      <c r="H53" s="17"/>
      <c r="I53" s="16"/>
      <c r="J53" s="16"/>
      <c r="K53" s="17"/>
    </row>
    <row r="54" spans="3:12">
      <c r="C54" s="17"/>
      <c r="D54" s="17"/>
      <c r="E54" s="28">
        <v>42366</v>
      </c>
      <c r="F54" s="34"/>
      <c r="G54" s="34">
        <v>-31752</v>
      </c>
      <c r="H54" s="17"/>
      <c r="I54" s="16"/>
      <c r="J54" s="16"/>
      <c r="K54" s="17"/>
    </row>
    <row r="55" spans="3:12">
      <c r="C55" s="17" t="s">
        <v>12</v>
      </c>
      <c r="D55" s="17"/>
      <c r="E55" s="28">
        <v>42341</v>
      </c>
      <c r="F55" s="34"/>
      <c r="G55" s="34">
        <v>48606.68</v>
      </c>
      <c r="H55" s="17"/>
      <c r="I55" s="16"/>
      <c r="J55" s="16"/>
      <c r="K55" s="17"/>
    </row>
    <row r="56" spans="3:12">
      <c r="C56" s="17" t="s">
        <v>13</v>
      </c>
      <c r="D56" s="17"/>
      <c r="E56" s="28">
        <v>42397</v>
      </c>
      <c r="F56" s="34"/>
      <c r="G56" s="34">
        <v>-45864</v>
      </c>
      <c r="H56" s="17"/>
      <c r="I56" s="16"/>
      <c r="J56" s="16"/>
      <c r="K56" s="17"/>
    </row>
    <row r="57" spans="3:12">
      <c r="C57" s="17"/>
      <c r="D57" s="17"/>
      <c r="E57" s="28">
        <v>42447</v>
      </c>
      <c r="F57" s="34"/>
      <c r="G57" s="34">
        <v>-57623.99</v>
      </c>
      <c r="H57" s="17"/>
      <c r="I57" s="16"/>
      <c r="J57" s="16"/>
      <c r="K57" s="17"/>
    </row>
    <row r="58" spans="3:12">
      <c r="C58" s="17"/>
      <c r="D58" s="17"/>
      <c r="E58" s="28">
        <v>42494</v>
      </c>
      <c r="F58" s="34"/>
      <c r="G58" s="34">
        <v>-44855.99</v>
      </c>
      <c r="H58" s="17"/>
      <c r="I58" s="16"/>
      <c r="J58" s="16"/>
      <c r="K58" s="17"/>
    </row>
    <row r="59" spans="3:12">
      <c r="C59" s="17"/>
      <c r="D59" s="17"/>
      <c r="E59" s="28">
        <v>42556</v>
      </c>
      <c r="F59" s="34"/>
      <c r="G59" s="34">
        <v>-39144</v>
      </c>
      <c r="H59" s="17"/>
      <c r="I59" s="16"/>
      <c r="J59" s="16"/>
      <c r="K59" s="17"/>
    </row>
    <row r="60" spans="3:12">
      <c r="C60" s="17"/>
      <c r="D60" s="17"/>
      <c r="E60" s="28">
        <v>42605</v>
      </c>
      <c r="F60" s="34"/>
      <c r="G60" s="34">
        <v>-375816</v>
      </c>
      <c r="H60" s="17"/>
      <c r="I60" s="16"/>
      <c r="J60" s="16"/>
      <c r="K60" s="17"/>
    </row>
    <row r="61" spans="3:12">
      <c r="C61" s="17"/>
      <c r="D61" s="17"/>
      <c r="E61" s="28">
        <v>42661</v>
      </c>
      <c r="F61" s="34"/>
      <c r="G61" s="34">
        <v>-35784</v>
      </c>
      <c r="H61" s="17"/>
      <c r="I61" s="16"/>
      <c r="J61" s="16"/>
      <c r="K61" s="17"/>
    </row>
    <row r="62" spans="3:12">
      <c r="C62" s="17" t="s">
        <v>14</v>
      </c>
      <c r="D62" s="17"/>
      <c r="E62" s="28">
        <v>42381</v>
      </c>
      <c r="F62" s="34"/>
      <c r="G62" s="34">
        <v>379609.17</v>
      </c>
      <c r="H62" s="17"/>
      <c r="I62" s="16"/>
      <c r="J62" s="16"/>
      <c r="K62" s="17"/>
    </row>
    <row r="63" spans="3:12">
      <c r="C63" s="17"/>
      <c r="D63" s="17"/>
      <c r="E63" s="28">
        <v>42549</v>
      </c>
      <c r="F63" s="34"/>
      <c r="G63" s="34">
        <v>53637.61</v>
      </c>
      <c r="H63" s="17"/>
      <c r="I63" s="16"/>
      <c r="J63" s="16"/>
      <c r="K63" s="17"/>
    </row>
    <row r="64" spans="3:12" ht="15.5">
      <c r="C64" s="17"/>
      <c r="D64" s="17"/>
      <c r="E64" s="28">
        <v>42640</v>
      </c>
      <c r="F64" s="34"/>
      <c r="G64" s="34">
        <v>79938.61</v>
      </c>
      <c r="H64" s="17"/>
      <c r="I64" s="16"/>
      <c r="J64" s="53"/>
      <c r="K64" s="54"/>
      <c r="L64" s="12"/>
    </row>
    <row r="65" spans="3:12">
      <c r="C65" s="17"/>
      <c r="D65" s="17"/>
      <c r="E65" s="28">
        <v>42654</v>
      </c>
      <c r="F65" s="34"/>
      <c r="G65" s="34">
        <v>32809.440000000002</v>
      </c>
      <c r="H65" s="17"/>
      <c r="I65" s="16"/>
      <c r="J65" s="16"/>
      <c r="K65" s="17"/>
      <c r="L65" s="59"/>
    </row>
    <row r="66" spans="3:12">
      <c r="C66" s="17" t="s">
        <v>15</v>
      </c>
      <c r="D66" s="17"/>
      <c r="E66" s="28">
        <v>42793</v>
      </c>
      <c r="F66" s="34"/>
      <c r="G66" s="34">
        <v>-35616</v>
      </c>
      <c r="H66" s="17"/>
      <c r="I66" s="16"/>
      <c r="J66" s="16"/>
      <c r="K66" s="17"/>
      <c r="L66" s="59"/>
    </row>
    <row r="67" spans="3:12">
      <c r="C67" s="17"/>
      <c r="D67" s="17"/>
      <c r="E67" s="28">
        <v>42870</v>
      </c>
      <c r="F67" s="34"/>
      <c r="G67" s="34">
        <v>-35952</v>
      </c>
      <c r="H67" s="17"/>
      <c r="I67" s="16"/>
      <c r="J67" s="16"/>
      <c r="K67" s="17"/>
      <c r="L67" s="59"/>
    </row>
    <row r="68" spans="3:12">
      <c r="C68" s="17"/>
      <c r="D68" s="17"/>
      <c r="E68" s="28">
        <v>42992</v>
      </c>
      <c r="F68" s="34"/>
      <c r="G68" s="34">
        <v>-33936</v>
      </c>
      <c r="H68" s="17"/>
      <c r="I68" s="16"/>
      <c r="J68" s="16"/>
      <c r="K68" s="17"/>
      <c r="L68" s="59"/>
    </row>
    <row r="69" spans="3:12">
      <c r="C69" s="17"/>
      <c r="D69" s="17"/>
      <c r="E69" s="28">
        <v>43048</v>
      </c>
      <c r="F69" s="34"/>
      <c r="G69" s="34">
        <v>-65184</v>
      </c>
      <c r="H69" s="17"/>
      <c r="I69" s="16"/>
      <c r="J69" s="16"/>
      <c r="K69" s="17"/>
    </row>
    <row r="70" spans="3:12">
      <c r="C70" s="17" t="s">
        <v>16</v>
      </c>
      <c r="D70" s="17"/>
      <c r="E70" s="28">
        <v>42746</v>
      </c>
      <c r="F70" s="34"/>
      <c r="G70" s="34">
        <v>121675.44</v>
      </c>
      <c r="H70" s="17"/>
      <c r="I70" s="16"/>
      <c r="J70" s="16"/>
      <c r="K70" s="17"/>
    </row>
    <row r="71" spans="3:12">
      <c r="C71" s="17"/>
      <c r="D71" s="17"/>
      <c r="E71" s="28">
        <v>42802</v>
      </c>
      <c r="F71" s="34"/>
      <c r="G71" s="34">
        <v>180369.63</v>
      </c>
      <c r="H71" s="17"/>
      <c r="I71" s="16"/>
      <c r="J71" s="16"/>
      <c r="K71" s="17"/>
    </row>
    <row r="72" spans="3:12">
      <c r="C72" s="17"/>
      <c r="D72" s="17"/>
      <c r="E72" s="28">
        <v>42885</v>
      </c>
      <c r="F72" s="34"/>
      <c r="G72" s="34">
        <v>66707.12</v>
      </c>
      <c r="H72" s="17"/>
      <c r="I72" s="16"/>
      <c r="J72" s="16"/>
      <c r="K72" s="17"/>
    </row>
    <row r="73" spans="3:12">
      <c r="C73" s="17"/>
      <c r="D73" s="17"/>
      <c r="E73" s="28">
        <v>42913</v>
      </c>
      <c r="F73" s="34"/>
      <c r="G73" s="34">
        <v>1393927.34</v>
      </c>
      <c r="H73" s="17"/>
      <c r="I73" s="16"/>
      <c r="J73" s="16"/>
      <c r="K73" s="17"/>
    </row>
    <row r="74" spans="3:12">
      <c r="C74" s="17"/>
      <c r="D74" s="17"/>
      <c r="E74" s="28">
        <v>42999</v>
      </c>
      <c r="F74" s="34"/>
      <c r="G74" s="34">
        <v>146090.75</v>
      </c>
      <c r="H74" s="17"/>
      <c r="I74" s="16"/>
      <c r="J74" s="16"/>
      <c r="K74" s="17"/>
    </row>
    <row r="75" spans="3:12">
      <c r="C75" s="17" t="s">
        <v>17</v>
      </c>
      <c r="D75" s="17"/>
      <c r="E75" s="28">
        <v>43132</v>
      </c>
      <c r="F75" s="34"/>
      <c r="G75" s="34">
        <v>-45024</v>
      </c>
      <c r="H75" s="17"/>
      <c r="I75" s="16"/>
      <c r="J75" s="16"/>
      <c r="K75" s="17"/>
    </row>
    <row r="76" spans="3:12">
      <c r="C76" s="17"/>
      <c r="D76" s="17"/>
      <c r="E76" s="28">
        <v>43147</v>
      </c>
      <c r="F76" s="34"/>
      <c r="G76" s="34">
        <v>-99120</v>
      </c>
      <c r="H76" s="17"/>
      <c r="I76" s="16"/>
      <c r="J76" s="16"/>
      <c r="K76" s="17"/>
    </row>
    <row r="77" spans="3:12">
      <c r="C77" s="17"/>
      <c r="D77" s="17"/>
      <c r="E77" s="28">
        <v>43370</v>
      </c>
      <c r="F77" s="34"/>
      <c r="G77" s="34">
        <v>-31920</v>
      </c>
      <c r="H77" s="17"/>
      <c r="I77" s="16"/>
      <c r="J77" s="16"/>
      <c r="K77" s="17"/>
    </row>
    <row r="78" spans="3:12">
      <c r="C78" s="17" t="s">
        <v>18</v>
      </c>
      <c r="D78" s="17"/>
      <c r="E78" s="28">
        <v>43122</v>
      </c>
      <c r="F78" s="34"/>
      <c r="G78" s="34">
        <v>373197.71</v>
      </c>
      <c r="H78" s="17"/>
      <c r="I78" s="16"/>
      <c r="J78" s="16"/>
      <c r="K78" s="17"/>
    </row>
    <row r="79" spans="3:12">
      <c r="C79" s="17"/>
      <c r="D79" s="17"/>
      <c r="E79" s="28">
        <v>43300</v>
      </c>
      <c r="F79" s="34"/>
      <c r="G79" s="34">
        <v>155647.92000000001</v>
      </c>
      <c r="H79" s="17"/>
      <c r="I79" s="16"/>
      <c r="J79" s="16"/>
      <c r="K79" s="17"/>
    </row>
    <row r="80" spans="3:12">
      <c r="C80" s="17" t="s">
        <v>19</v>
      </c>
      <c r="D80" s="17"/>
      <c r="E80" s="28">
        <v>43490</v>
      </c>
      <c r="F80" s="34"/>
      <c r="G80" s="34">
        <v>-44016</v>
      </c>
      <c r="H80" s="17"/>
      <c r="I80" s="16"/>
      <c r="J80" s="16"/>
      <c r="K80" s="17"/>
    </row>
    <row r="81" spans="3:12">
      <c r="C81" s="17"/>
      <c r="D81" s="17"/>
      <c r="E81" s="28">
        <v>43517</v>
      </c>
      <c r="F81" s="34"/>
      <c r="G81" s="34">
        <v>-49896</v>
      </c>
      <c r="H81" s="17"/>
      <c r="I81" s="16"/>
      <c r="J81" s="16"/>
      <c r="K81" s="17"/>
    </row>
    <row r="82" spans="3:12">
      <c r="C82" s="17"/>
      <c r="D82" s="17"/>
      <c r="E82" s="28">
        <v>43560</v>
      </c>
      <c r="F82" s="34"/>
      <c r="G82" s="34">
        <v>-136248</v>
      </c>
      <c r="H82" s="17"/>
      <c r="I82" s="16"/>
      <c r="J82" s="16"/>
      <c r="K82" s="17"/>
    </row>
    <row r="83" spans="3:12">
      <c r="C83" s="17"/>
      <c r="D83" s="17"/>
      <c r="E83" s="28">
        <v>43623</v>
      </c>
      <c r="F83" s="34"/>
      <c r="G83" s="34">
        <v>-35280</v>
      </c>
      <c r="H83" s="17"/>
      <c r="I83" s="16"/>
      <c r="J83" s="16"/>
      <c r="K83" s="17"/>
    </row>
    <row r="84" spans="3:12">
      <c r="C84" s="17"/>
      <c r="D84" s="17"/>
      <c r="E84" s="28">
        <v>43733</v>
      </c>
      <c r="F84" s="34"/>
      <c r="G84" s="34">
        <v>-33432</v>
      </c>
      <c r="H84" s="17"/>
      <c r="I84" s="16"/>
      <c r="J84" s="16"/>
      <c r="K84" s="17"/>
    </row>
    <row r="85" spans="3:12">
      <c r="C85" s="17"/>
      <c r="D85" s="17"/>
      <c r="E85" s="28">
        <v>43825</v>
      </c>
      <c r="F85" s="34"/>
      <c r="G85" s="34">
        <v>-19824</v>
      </c>
      <c r="H85" s="17"/>
      <c r="I85" s="16"/>
      <c r="J85" s="16"/>
      <c r="K85" s="17"/>
    </row>
    <row r="86" spans="3:12">
      <c r="C86" s="17" t="s">
        <v>20</v>
      </c>
      <c r="D86" s="17"/>
      <c r="E86" s="28">
        <v>43545</v>
      </c>
      <c r="F86" s="34"/>
      <c r="G86" s="34">
        <v>174846.1</v>
      </c>
      <c r="H86" s="17"/>
      <c r="I86" s="16"/>
      <c r="J86" s="16"/>
      <c r="K86" s="17"/>
    </row>
    <row r="87" spans="3:12">
      <c r="C87" s="17" t="s">
        <v>21</v>
      </c>
      <c r="D87" s="17"/>
      <c r="E87" s="28">
        <v>43950</v>
      </c>
      <c r="F87" s="34"/>
      <c r="G87" s="34">
        <f>-27048</f>
        <v>-27048</v>
      </c>
      <c r="H87" s="17"/>
      <c r="I87" s="16"/>
      <c r="J87" s="16"/>
      <c r="K87" s="17"/>
    </row>
    <row r="88" spans="3:12" ht="15.5">
      <c r="C88" s="17" t="s">
        <v>30</v>
      </c>
      <c r="D88" s="17"/>
      <c r="E88" s="28">
        <v>44084</v>
      </c>
      <c r="F88" s="34"/>
      <c r="G88" s="34">
        <v>44977.42</v>
      </c>
      <c r="H88" s="17"/>
      <c r="I88" s="16"/>
      <c r="J88" s="16"/>
      <c r="K88" s="17"/>
      <c r="L88" s="12"/>
    </row>
    <row r="89" spans="3:12">
      <c r="C89" s="17"/>
      <c r="D89" s="17"/>
      <c r="E89" s="28">
        <v>44158</v>
      </c>
      <c r="F89" s="34"/>
      <c r="G89" s="34">
        <v>218496.06</v>
      </c>
      <c r="H89" s="17"/>
      <c r="I89" s="16"/>
      <c r="J89" s="16"/>
      <c r="K89" s="17"/>
    </row>
    <row r="90" spans="3:12" ht="15.5">
      <c r="C90" s="17" t="s">
        <v>31</v>
      </c>
      <c r="D90" s="17"/>
      <c r="E90" s="28">
        <v>44203</v>
      </c>
      <c r="F90" s="34"/>
      <c r="G90" s="34">
        <v>-16800</v>
      </c>
      <c r="H90" s="17"/>
      <c r="I90" s="16"/>
      <c r="J90" s="16"/>
      <c r="K90" s="17"/>
      <c r="L90" s="12"/>
    </row>
    <row r="91" spans="3:12" ht="15.5">
      <c r="C91" s="17" t="s">
        <v>22</v>
      </c>
      <c r="D91" s="17"/>
      <c r="E91" s="28">
        <v>44284</v>
      </c>
      <c r="F91" s="34"/>
      <c r="G91" s="34">
        <v>7755.01</v>
      </c>
      <c r="H91" s="17"/>
      <c r="I91" s="16"/>
      <c r="J91" s="16"/>
      <c r="K91" s="17"/>
      <c r="L91" s="12"/>
    </row>
    <row r="92" spans="3:12" ht="15.5">
      <c r="C92" s="17"/>
      <c r="D92" s="17"/>
      <c r="E92" s="28">
        <v>44546</v>
      </c>
      <c r="F92" s="34"/>
      <c r="G92" s="34">
        <v>31787.79</v>
      </c>
      <c r="H92" s="17"/>
      <c r="I92" s="16"/>
      <c r="J92" s="16"/>
      <c r="K92" s="17"/>
      <c r="L92" s="12"/>
    </row>
    <row r="93" spans="3:12" ht="15.5">
      <c r="C93" s="17" t="s">
        <v>23</v>
      </c>
      <c r="D93" s="17"/>
      <c r="E93" s="28">
        <v>44624</v>
      </c>
      <c r="F93" s="34"/>
      <c r="G93" s="34">
        <v>190113.52</v>
      </c>
      <c r="H93" s="17"/>
      <c r="I93" s="16"/>
      <c r="J93" s="16"/>
      <c r="K93" s="17"/>
      <c r="L93" s="12"/>
    </row>
    <row r="94" spans="3:12" ht="15.5">
      <c r="C94" s="17" t="s">
        <v>24</v>
      </c>
      <c r="D94" s="17"/>
      <c r="E94" s="28">
        <v>45078</v>
      </c>
      <c r="F94" s="34"/>
      <c r="G94" s="34">
        <v>25955.93</v>
      </c>
      <c r="H94" s="17"/>
      <c r="I94" s="16"/>
      <c r="J94" s="16"/>
      <c r="K94" s="17"/>
      <c r="L94" s="12"/>
    </row>
    <row r="95" spans="3:12" ht="15.5">
      <c r="C95" s="17"/>
      <c r="D95" s="17"/>
      <c r="E95" s="28">
        <v>45175</v>
      </c>
      <c r="F95" s="34"/>
      <c r="G95" s="34">
        <v>25879.69</v>
      </c>
      <c r="H95" s="17"/>
      <c r="I95" s="16"/>
      <c r="J95" s="16"/>
      <c r="K95" s="17"/>
      <c r="L95" s="12"/>
    </row>
    <row r="96" spans="3:12" ht="4.5" customHeight="1">
      <c r="C96" s="17"/>
      <c r="D96" s="17"/>
      <c r="E96" s="28"/>
      <c r="F96" s="17"/>
      <c r="G96" s="34"/>
      <c r="H96" s="17"/>
      <c r="I96" s="16"/>
      <c r="J96" s="16"/>
    </row>
    <row r="97" spans="3:13" ht="15.5">
      <c r="C97" s="17" t="s">
        <v>25</v>
      </c>
      <c r="D97" s="17"/>
      <c r="E97" s="28">
        <f>+E8</f>
        <v>45473</v>
      </c>
      <c r="F97" s="17"/>
      <c r="G97" s="35">
        <f>L97*C22</f>
        <v>323650.68604254996</v>
      </c>
      <c r="H97" s="17"/>
      <c r="I97" s="28"/>
      <c r="L97" s="59">
        <v>21036755</v>
      </c>
      <c r="M97" s="12"/>
    </row>
    <row r="98" spans="3:13">
      <c r="C98" s="17"/>
      <c r="D98" s="17"/>
      <c r="E98" s="17"/>
      <c r="F98" s="17"/>
      <c r="G98" s="17"/>
      <c r="H98" s="17"/>
    </row>
    <row r="99" spans="3:13">
      <c r="C99" t="s">
        <v>28</v>
      </c>
      <c r="G99" s="58">
        <f>+XIRR(G23:G97,E23:E97)</f>
        <v>0.20748522877693176</v>
      </c>
      <c r="H99" s="17"/>
      <c r="J99" s="34">
        <f>+SUMIF($G$23:$G$96,"&lt;0",$G$23:$G$96)</f>
        <v>-2847419.99</v>
      </c>
      <c r="K99" s="17" t="s">
        <v>26</v>
      </c>
    </row>
    <row r="100" spans="3:13">
      <c r="C100" s="17"/>
      <c r="D100" s="17"/>
      <c r="E100" s="17"/>
      <c r="F100" s="17"/>
      <c r="G100" s="17"/>
      <c r="H100" s="17"/>
      <c r="J100" s="34">
        <f>+SUMIF($G$23:$G$96,"&gt;0",$G$23:$G$96)</f>
        <v>4025889.3400000003</v>
      </c>
      <c r="K100" s="17" t="s">
        <v>27</v>
      </c>
    </row>
    <row r="101" spans="3:13">
      <c r="C101" s="17"/>
      <c r="D101" s="17"/>
      <c r="E101" s="17"/>
      <c r="F101" s="17"/>
      <c r="G101" s="17"/>
      <c r="H101" s="17"/>
    </row>
    <row r="102" spans="3:13">
      <c r="C102" s="40"/>
      <c r="D102" s="40"/>
      <c r="E102" s="39"/>
      <c r="F102" s="17"/>
      <c r="G102" s="39"/>
      <c r="H102" s="17"/>
    </row>
    <row r="103" spans="3:13">
      <c r="C103" s="40"/>
      <c r="D103" s="40"/>
      <c r="E103" s="39"/>
      <c r="F103" s="40"/>
      <c r="G103" s="39"/>
      <c r="H103" s="17"/>
    </row>
    <row r="104" spans="3:13">
      <c r="C104" s="40"/>
      <c r="D104" s="40"/>
      <c r="E104" s="39"/>
      <c r="F104" s="40"/>
      <c r="G104" s="39"/>
      <c r="H104" s="17"/>
    </row>
    <row r="105" spans="3:13">
      <c r="C105" s="40"/>
      <c r="D105" s="40"/>
      <c r="E105" s="40"/>
      <c r="F105" s="40"/>
      <c r="G105" s="40"/>
    </row>
    <row r="106" spans="3:13">
      <c r="C106" s="40"/>
      <c r="D106" s="40"/>
      <c r="E106" s="39"/>
      <c r="F106" s="39"/>
      <c r="G106" s="39"/>
    </row>
    <row r="107" spans="3:13">
      <c r="C107" s="40"/>
      <c r="D107" s="40"/>
      <c r="E107" s="40"/>
      <c r="F107" s="40"/>
      <c r="G107" s="40"/>
    </row>
    <row r="108" spans="3:13">
      <c r="C108" s="40"/>
      <c r="D108" s="40"/>
      <c r="E108" s="60"/>
      <c r="F108" s="42"/>
      <c r="G108" s="60"/>
      <c r="H108" s="17"/>
    </row>
    <row r="109" spans="3:13">
      <c r="C109" s="40"/>
      <c r="D109" s="40"/>
      <c r="E109" s="42"/>
      <c r="F109" s="42"/>
      <c r="G109" s="42"/>
      <c r="H109" s="17"/>
    </row>
    <row r="110" spans="3:13">
      <c r="C110" s="40"/>
      <c r="D110" s="40"/>
      <c r="E110" s="42"/>
      <c r="F110" s="42"/>
      <c r="G110" s="42"/>
      <c r="H110" s="17"/>
    </row>
    <row r="111" spans="3:13">
      <c r="C111" s="43"/>
      <c r="D111" s="40"/>
      <c r="E111" s="42"/>
      <c r="F111" s="42"/>
      <c r="G111" s="42"/>
      <c r="H111" s="17"/>
    </row>
    <row r="112" spans="3:13">
      <c r="C112" s="43"/>
      <c r="D112" s="40"/>
      <c r="E112" s="42"/>
      <c r="F112" s="42"/>
      <c r="G112" s="42"/>
      <c r="H112" s="17"/>
    </row>
    <row r="113" spans="3:8">
      <c r="C113" s="44"/>
      <c r="D113" s="40"/>
      <c r="E113" s="42"/>
      <c r="F113" s="42"/>
      <c r="G113" s="42"/>
      <c r="H113" s="17"/>
    </row>
    <row r="114" spans="3:8">
      <c r="C114" s="40"/>
      <c r="D114" s="40"/>
      <c r="E114" s="42"/>
      <c r="F114" s="42"/>
      <c r="G114" s="42"/>
      <c r="H114" s="17"/>
    </row>
    <row r="115" spans="3:8">
      <c r="C115" s="40"/>
      <c r="D115" s="40"/>
      <c r="E115" s="42"/>
      <c r="F115" s="42"/>
      <c r="G115" s="42"/>
      <c r="H115" s="17"/>
    </row>
    <row r="116" spans="3:8">
      <c r="C116" s="40"/>
      <c r="D116" s="40"/>
      <c r="E116" s="42"/>
      <c r="F116" s="42"/>
      <c r="G116" s="42"/>
      <c r="H116" s="17"/>
    </row>
    <row r="117" spans="3:8">
      <c r="C117" s="40"/>
      <c r="D117" s="40"/>
      <c r="E117" s="42"/>
      <c r="F117" s="42"/>
      <c r="G117" s="42"/>
      <c r="H117" s="17"/>
    </row>
    <row r="118" spans="3:8">
      <c r="C118" s="40"/>
      <c r="D118" s="40"/>
      <c r="E118" s="42"/>
      <c r="F118" s="42"/>
      <c r="G118" s="42"/>
      <c r="H118" s="17"/>
    </row>
    <row r="119" spans="3:8">
      <c r="C119" s="40"/>
      <c r="D119" s="40"/>
      <c r="E119" s="42"/>
      <c r="F119" s="42"/>
      <c r="G119" s="42"/>
      <c r="H119" s="17"/>
    </row>
    <row r="120" spans="3:8" ht="4.9000000000000004" customHeight="1">
      <c r="E120" s="112"/>
      <c r="F120" s="45"/>
      <c r="G120" s="45"/>
      <c r="H120" s="17"/>
    </row>
    <row r="121" spans="3:8">
      <c r="C121" s="17"/>
      <c r="D121" s="17"/>
      <c r="E121" s="17"/>
      <c r="F121" s="17"/>
      <c r="G121" s="17"/>
      <c r="H121" s="17"/>
    </row>
    <row r="122" spans="3:8">
      <c r="C122" s="17"/>
      <c r="D122" s="17"/>
      <c r="E122" s="17"/>
      <c r="F122" s="17"/>
      <c r="G122" s="17"/>
      <c r="H122" s="17"/>
    </row>
    <row r="123" spans="3:8">
      <c r="C123" s="17"/>
      <c r="D123" s="17"/>
      <c r="E123" s="17"/>
      <c r="F123" s="17"/>
      <c r="G123" s="17"/>
      <c r="H123" s="17"/>
    </row>
    <row r="124" spans="3:8">
      <c r="C124" s="17"/>
      <c r="D124" s="17"/>
      <c r="E124" s="17"/>
      <c r="F124" s="17"/>
      <c r="G124" s="17"/>
      <c r="H124" s="17"/>
    </row>
    <row r="125" spans="3:8">
      <c r="C125" s="17"/>
      <c r="D125" s="17"/>
      <c r="E125" s="17"/>
      <c r="F125" s="17"/>
      <c r="G125" s="17"/>
      <c r="H125" s="17"/>
    </row>
  </sheetData>
  <pageMargins left="0.75" right="0.33" top="1" bottom="1" header="0.5" footer="0.5"/>
  <pageSetup scale="36" orientation="landscape" r:id="rId1"/>
  <headerFooter alignWithMargins="0">
    <oddHeader>&amp;C&amp;G</oddHeader>
    <oddFooter>&amp;C&amp;G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DA77-EF33-4FD4-847F-4EFF87EB1ACB}">
  <sheetPr>
    <tabColor rgb="FF92D050"/>
    <pageSetUpPr fitToPage="1"/>
  </sheetPr>
  <dimension ref="B4:O125"/>
  <sheetViews>
    <sheetView showGridLines="0" view="pageLayout" topLeftCell="A82" zoomScaleNormal="100" workbookViewId="0">
      <selection activeCell="G97" sqref="G97"/>
    </sheetView>
  </sheetViews>
  <sheetFormatPr defaultRowHeight="12.5"/>
  <cols>
    <col min="2" max="2" width="4.7265625" customWidth="1"/>
    <col min="3" max="3" width="48.26953125" customWidth="1"/>
    <col min="4" max="4" width="1.453125" customWidth="1"/>
    <col min="5" max="5" width="12.26953125" bestFit="1" customWidth="1"/>
    <col min="6" max="6" width="1.453125" customWidth="1"/>
    <col min="7" max="7" width="12.26953125" bestFit="1" customWidth="1"/>
    <col min="8" max="8" width="2.453125" customWidth="1"/>
    <col min="9" max="9" width="7.453125" customWidth="1"/>
    <col min="10" max="10" width="11.7265625" customWidth="1"/>
    <col min="12" max="12" width="16.453125" customWidth="1"/>
    <col min="13" max="13" width="15.453125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24"/>
    </row>
    <row r="11" spans="2:9">
      <c r="C11" s="13"/>
      <c r="D11" s="13"/>
      <c r="E11" s="14"/>
      <c r="F11" s="13"/>
      <c r="G11" s="14"/>
      <c r="H11" s="15"/>
      <c r="I11" s="24"/>
    </row>
    <row r="12" spans="2:9" ht="15.5">
      <c r="C12" s="18"/>
      <c r="D12" s="18"/>
      <c r="E12" s="19"/>
      <c r="F12" s="18"/>
      <c r="G12" s="19"/>
      <c r="H12" s="7"/>
      <c r="I12" s="24"/>
    </row>
    <row r="13" spans="2:9">
      <c r="C13" s="13"/>
      <c r="D13" s="13"/>
      <c r="E13" s="20"/>
      <c r="F13" s="13"/>
      <c r="G13" s="59"/>
      <c r="H13" s="21"/>
      <c r="I13" s="24"/>
    </row>
    <row r="14" spans="2:9">
      <c r="C14" s="13"/>
      <c r="D14" s="13"/>
      <c r="E14" s="22"/>
      <c r="F14" s="13"/>
      <c r="G14" s="59"/>
      <c r="H14" s="23"/>
      <c r="I14" s="24"/>
    </row>
    <row r="15" spans="2:9">
      <c r="C15" s="13"/>
      <c r="D15" s="13"/>
      <c r="E15" s="14"/>
      <c r="F15" s="13"/>
      <c r="G15" s="14"/>
      <c r="H15" s="15"/>
      <c r="I15" s="24"/>
    </row>
    <row r="16" spans="2:9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24"/>
    </row>
    <row r="18" spans="3:12" ht="12.75" customHeight="1">
      <c r="C18" s="13" t="s">
        <v>1</v>
      </c>
      <c r="D18" s="13"/>
      <c r="E18" s="21">
        <f>G99</f>
        <v>0.25570300221443176</v>
      </c>
      <c r="F18" s="13"/>
      <c r="G18" s="20"/>
      <c r="H18" s="21"/>
      <c r="I18" s="24"/>
    </row>
    <row r="19" spans="3:12">
      <c r="C19" s="13" t="s">
        <v>2</v>
      </c>
      <c r="D19" s="13"/>
      <c r="E19" s="25">
        <f>-(G97+J100)/(J99)</f>
        <v>1.6251945931902025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89">
        <v>1.2345679E-2</v>
      </c>
      <c r="D22" s="17"/>
      <c r="E22" s="17"/>
      <c r="F22" s="17"/>
      <c r="G22" s="31"/>
      <c r="H22" s="17"/>
      <c r="I22" s="17"/>
      <c r="J22" s="17"/>
    </row>
    <row r="23" spans="3:12">
      <c r="C23" s="17" t="s">
        <v>5</v>
      </c>
      <c r="D23" s="17"/>
      <c r="E23" s="28">
        <v>41089</v>
      </c>
      <c r="F23" s="34"/>
      <c r="G23" s="32">
        <v>-7500</v>
      </c>
      <c r="H23" s="17"/>
      <c r="I23" s="16"/>
      <c r="J23" s="16"/>
    </row>
    <row r="24" spans="3:12">
      <c r="C24" s="17"/>
      <c r="D24" s="17"/>
      <c r="E24" s="28">
        <v>41166</v>
      </c>
      <c r="F24" s="34"/>
      <c r="G24" s="32">
        <v>-9408</v>
      </c>
      <c r="H24" s="17"/>
      <c r="I24" s="16"/>
      <c r="J24" s="16"/>
    </row>
    <row r="25" spans="3:12">
      <c r="C25" s="17"/>
      <c r="D25" s="17"/>
      <c r="E25" s="28">
        <v>41270</v>
      </c>
      <c r="F25" s="34"/>
      <c r="G25" s="32">
        <v>-27328</v>
      </c>
      <c r="H25" s="17"/>
      <c r="I25" s="16"/>
      <c r="J25" s="16"/>
    </row>
    <row r="26" spans="3:12">
      <c r="C26" s="17" t="s">
        <v>7</v>
      </c>
      <c r="D26" s="17"/>
      <c r="E26" s="28">
        <v>41311</v>
      </c>
      <c r="F26" s="34"/>
      <c r="G26" s="32">
        <v>-9744</v>
      </c>
      <c r="H26" s="17"/>
      <c r="I26" s="16"/>
      <c r="J26" s="16"/>
    </row>
    <row r="27" spans="3:12">
      <c r="C27" s="17"/>
      <c r="D27" s="17"/>
      <c r="E27" s="28">
        <v>41341</v>
      </c>
      <c r="F27" s="34"/>
      <c r="G27" s="32">
        <v>-14000</v>
      </c>
      <c r="H27" s="17"/>
      <c r="I27" s="16"/>
      <c r="J27" s="16"/>
    </row>
    <row r="28" spans="3:12">
      <c r="C28" s="17"/>
      <c r="D28" s="17"/>
      <c r="E28" s="28">
        <v>41361</v>
      </c>
      <c r="F28" s="34"/>
      <c r="G28" s="32">
        <v>-6272</v>
      </c>
      <c r="H28" s="17"/>
      <c r="I28" s="16"/>
      <c r="J28" s="16"/>
    </row>
    <row r="29" spans="3:12">
      <c r="C29" s="17"/>
      <c r="D29" s="17"/>
      <c r="E29" s="28">
        <v>41387</v>
      </c>
      <c r="F29" s="34"/>
      <c r="G29" s="32">
        <v>-13664</v>
      </c>
      <c r="H29" s="17"/>
      <c r="I29" s="16"/>
      <c r="J29" s="16"/>
    </row>
    <row r="30" spans="3:12">
      <c r="C30" s="17"/>
      <c r="D30" s="17"/>
      <c r="E30" s="28">
        <v>41408</v>
      </c>
      <c r="F30" s="34"/>
      <c r="G30" s="32">
        <v>-5880</v>
      </c>
      <c r="H30" s="17"/>
      <c r="I30" s="16"/>
      <c r="J30" s="16"/>
    </row>
    <row r="31" spans="3:12">
      <c r="C31" s="17"/>
      <c r="D31" s="17"/>
      <c r="E31" s="28">
        <v>41439</v>
      </c>
      <c r="F31" s="34"/>
      <c r="G31" s="32">
        <v>-13608</v>
      </c>
      <c r="H31" s="17"/>
      <c r="I31" s="16"/>
      <c r="J31" s="16"/>
    </row>
    <row r="32" spans="3:12">
      <c r="C32" s="17"/>
      <c r="D32" s="17"/>
      <c r="E32" s="28">
        <v>41479</v>
      </c>
      <c r="F32" s="34"/>
      <c r="G32" s="32">
        <v>-15064</v>
      </c>
      <c r="H32" s="17"/>
      <c r="I32" s="16"/>
    </row>
    <row r="33" spans="3:11">
      <c r="C33" s="17"/>
      <c r="D33" s="17"/>
      <c r="E33" s="28">
        <v>41515</v>
      </c>
      <c r="F33" s="34"/>
      <c r="G33" s="32">
        <v>-9464</v>
      </c>
      <c r="H33" s="17"/>
      <c r="I33" s="16"/>
    </row>
    <row r="34" spans="3:11">
      <c r="C34" s="17"/>
      <c r="D34" s="17"/>
      <c r="E34" s="28">
        <v>41543</v>
      </c>
      <c r="F34" s="34"/>
      <c r="G34" s="32">
        <v>-35280</v>
      </c>
      <c r="H34" s="17"/>
      <c r="I34" s="16"/>
    </row>
    <row r="35" spans="3:11">
      <c r="C35" s="17"/>
      <c r="D35" s="17"/>
      <c r="E35" s="28">
        <v>41605</v>
      </c>
      <c r="F35" s="34"/>
      <c r="G35" s="32">
        <v>-8344</v>
      </c>
      <c r="H35" s="17"/>
      <c r="I35" s="16"/>
    </row>
    <row r="36" spans="3:11">
      <c r="C36" s="17"/>
      <c r="D36" s="17"/>
      <c r="E36" s="28">
        <v>41638</v>
      </c>
      <c r="F36" s="34"/>
      <c r="G36" s="32">
        <v>-5992</v>
      </c>
      <c r="H36" s="17"/>
      <c r="I36" s="16"/>
    </row>
    <row r="37" spans="3:11">
      <c r="C37" s="17" t="s">
        <v>9</v>
      </c>
      <c r="D37" s="17"/>
      <c r="E37" s="28">
        <v>41683</v>
      </c>
      <c r="F37" s="34"/>
      <c r="G37" s="34">
        <v>-6160</v>
      </c>
      <c r="H37" s="17"/>
      <c r="I37" s="16"/>
      <c r="J37" s="53"/>
      <c r="K37" s="54"/>
    </row>
    <row r="38" spans="3:11">
      <c r="C38" s="111"/>
      <c r="D38" s="17"/>
      <c r="E38" s="28">
        <v>41701</v>
      </c>
      <c r="F38" s="34"/>
      <c r="G38" s="34">
        <v>-8960</v>
      </c>
      <c r="H38" s="17"/>
      <c r="I38" s="16"/>
      <c r="J38" s="53"/>
      <c r="K38" s="54"/>
    </row>
    <row r="39" spans="3:11">
      <c r="C39" s="17"/>
      <c r="D39" s="17"/>
      <c r="E39" s="28">
        <v>41729</v>
      </c>
      <c r="F39" s="34"/>
      <c r="G39" s="34">
        <v>-11536</v>
      </c>
      <c r="H39" s="17"/>
      <c r="I39" s="16"/>
      <c r="J39" s="53"/>
      <c r="K39" s="54"/>
    </row>
    <row r="40" spans="3:11">
      <c r="C40" s="17"/>
      <c r="D40" s="17"/>
      <c r="E40" s="28">
        <v>41751</v>
      </c>
      <c r="F40" s="34"/>
      <c r="G40" s="34">
        <v>-8120</v>
      </c>
      <c r="H40" s="17"/>
      <c r="I40" s="16"/>
      <c r="J40" s="53"/>
      <c r="K40" s="54"/>
    </row>
    <row r="41" spans="3:11">
      <c r="C41" s="17"/>
      <c r="D41" s="17"/>
      <c r="E41" s="28">
        <v>41782</v>
      </c>
      <c r="F41" s="34"/>
      <c r="G41" s="34">
        <v>-13832</v>
      </c>
      <c r="H41" s="17"/>
      <c r="I41" s="16"/>
      <c r="J41" s="53"/>
      <c r="K41" s="54"/>
    </row>
    <row r="42" spans="3:11">
      <c r="C42" s="17"/>
      <c r="D42" s="17"/>
      <c r="E42" s="28">
        <v>41808</v>
      </c>
      <c r="F42" s="34"/>
      <c r="G42" s="34">
        <v>-33208</v>
      </c>
      <c r="H42" s="17"/>
      <c r="I42" s="16"/>
      <c r="J42" s="53"/>
      <c r="K42" s="54"/>
    </row>
    <row r="43" spans="3:11">
      <c r="C43" s="17"/>
      <c r="D43" s="17"/>
      <c r="E43" s="28">
        <v>41894</v>
      </c>
      <c r="F43" s="34"/>
      <c r="G43" s="34">
        <v>-6944</v>
      </c>
      <c r="H43" s="17"/>
      <c r="I43" s="16"/>
      <c r="J43" s="53"/>
      <c r="K43" s="54"/>
    </row>
    <row r="44" spans="3:11">
      <c r="C44" s="17"/>
      <c r="D44" s="17"/>
      <c r="E44" s="28">
        <v>41942</v>
      </c>
      <c r="F44" s="34"/>
      <c r="G44" s="34">
        <v>-9856</v>
      </c>
      <c r="H44" s="17"/>
      <c r="I44" s="16"/>
      <c r="J44" s="53"/>
      <c r="K44" s="54"/>
    </row>
    <row r="45" spans="3:11">
      <c r="C45" s="17"/>
      <c r="D45" s="17"/>
      <c r="E45" s="28">
        <v>41962</v>
      </c>
      <c r="F45" s="34"/>
      <c r="G45" s="34">
        <v>-21896</v>
      </c>
      <c r="H45" s="17"/>
      <c r="I45" s="16"/>
      <c r="J45" s="53"/>
      <c r="K45" s="54"/>
    </row>
    <row r="46" spans="3:11">
      <c r="C46" s="17"/>
      <c r="D46" s="17"/>
      <c r="E46" s="28">
        <v>41975</v>
      </c>
      <c r="F46" s="34"/>
      <c r="G46" s="34">
        <v>-25760</v>
      </c>
      <c r="H46" s="17"/>
      <c r="I46" s="16"/>
      <c r="J46" s="53"/>
      <c r="K46" s="54"/>
    </row>
    <row r="47" spans="3:11">
      <c r="C47" s="17" t="s">
        <v>10</v>
      </c>
      <c r="D47" s="17"/>
      <c r="E47" s="28">
        <v>41969</v>
      </c>
      <c r="F47" s="34"/>
      <c r="G47" s="34">
        <v>93993.46</v>
      </c>
      <c r="H47" s="17"/>
      <c r="I47" s="16"/>
    </row>
    <row r="48" spans="3:11">
      <c r="C48" s="17" t="s">
        <v>11</v>
      </c>
      <c r="D48" s="17"/>
      <c r="E48" s="28">
        <v>42037</v>
      </c>
      <c r="F48" s="34"/>
      <c r="G48" s="34">
        <v>-21672</v>
      </c>
      <c r="H48" s="17"/>
      <c r="I48" s="16"/>
    </row>
    <row r="49" spans="3:12">
      <c r="C49" s="17"/>
      <c r="D49" s="17"/>
      <c r="E49" s="28">
        <v>42094</v>
      </c>
      <c r="F49" s="34"/>
      <c r="G49" s="34">
        <v>-18816</v>
      </c>
      <c r="H49" s="17"/>
      <c r="I49" s="16"/>
    </row>
    <row r="50" spans="3:12">
      <c r="C50" s="17"/>
      <c r="D50" s="17"/>
      <c r="E50" s="28">
        <v>42110</v>
      </c>
      <c r="F50" s="34"/>
      <c r="G50" s="34">
        <v>-15736</v>
      </c>
      <c r="H50" s="17"/>
      <c r="I50" s="16"/>
    </row>
    <row r="51" spans="3:12">
      <c r="C51" s="17"/>
      <c r="D51" s="17"/>
      <c r="E51" s="28">
        <v>42145</v>
      </c>
      <c r="F51" s="34"/>
      <c r="G51" s="34">
        <v>-19656</v>
      </c>
      <c r="H51" s="17"/>
      <c r="I51" s="16"/>
    </row>
    <row r="52" spans="3:12">
      <c r="C52" s="17"/>
      <c r="D52" s="17"/>
      <c r="E52" s="28">
        <v>42158</v>
      </c>
      <c r="F52" s="34"/>
      <c r="G52" s="34">
        <v>-56336</v>
      </c>
      <c r="H52" s="17"/>
      <c r="I52" s="16"/>
    </row>
    <row r="53" spans="3:12">
      <c r="C53" s="17"/>
      <c r="D53" s="17"/>
      <c r="E53" s="28">
        <v>42261</v>
      </c>
      <c r="F53" s="34"/>
      <c r="G53" s="34">
        <v>-42391.99</v>
      </c>
      <c r="H53" s="17"/>
      <c r="I53" s="16"/>
    </row>
    <row r="54" spans="3:12">
      <c r="C54" s="17"/>
      <c r="D54" s="17"/>
      <c r="E54" s="28">
        <v>42366</v>
      </c>
      <c r="F54" s="34"/>
      <c r="G54" s="34">
        <v>-10584</v>
      </c>
      <c r="H54" s="17"/>
      <c r="I54" s="16"/>
      <c r="J54" s="16"/>
      <c r="K54" s="17"/>
    </row>
    <row r="55" spans="3:12">
      <c r="C55" s="17" t="s">
        <v>12</v>
      </c>
      <c r="D55" s="17"/>
      <c r="E55" s="28">
        <v>42341</v>
      </c>
      <c r="F55" s="34"/>
      <c r="G55" s="34">
        <v>15844.88</v>
      </c>
      <c r="H55" s="17"/>
      <c r="I55" s="16"/>
      <c r="J55" s="16"/>
      <c r="K55" s="17"/>
    </row>
    <row r="56" spans="3:12">
      <c r="C56" s="17" t="s">
        <v>13</v>
      </c>
      <c r="D56" s="17"/>
      <c r="E56" s="28">
        <v>42397</v>
      </c>
      <c r="F56" s="34"/>
      <c r="G56" s="34">
        <v>-15288</v>
      </c>
      <c r="H56" s="17"/>
      <c r="I56" s="16"/>
      <c r="J56" s="16"/>
      <c r="K56" s="17"/>
    </row>
    <row r="57" spans="3:12">
      <c r="C57" s="17"/>
      <c r="D57" s="17"/>
      <c r="E57" s="28">
        <v>42447</v>
      </c>
      <c r="F57" s="34"/>
      <c r="G57" s="34">
        <v>-19207.990000000002</v>
      </c>
      <c r="H57" s="17"/>
      <c r="I57" s="16"/>
      <c r="J57" s="16"/>
      <c r="K57" s="17"/>
    </row>
    <row r="58" spans="3:12">
      <c r="C58" s="17"/>
      <c r="D58" s="17"/>
      <c r="E58" s="28">
        <v>42494</v>
      </c>
      <c r="F58" s="34"/>
      <c r="G58" s="34">
        <v>-14952</v>
      </c>
      <c r="H58" s="17"/>
      <c r="I58" s="16"/>
      <c r="J58" s="16"/>
      <c r="K58" s="17"/>
    </row>
    <row r="59" spans="3:12">
      <c r="C59" s="17"/>
      <c r="D59" s="17"/>
      <c r="E59" s="28">
        <v>42556</v>
      </c>
      <c r="F59" s="34"/>
      <c r="G59" s="34">
        <v>-13048</v>
      </c>
      <c r="H59" s="17"/>
      <c r="I59" s="16"/>
      <c r="J59" s="16"/>
      <c r="K59" s="17"/>
    </row>
    <row r="60" spans="3:12">
      <c r="C60" s="17"/>
      <c r="D60" s="17"/>
      <c r="E60" s="28">
        <v>42605</v>
      </c>
      <c r="F60" s="34"/>
      <c r="G60" s="34">
        <v>-125272</v>
      </c>
      <c r="H60" s="17"/>
      <c r="I60" s="16"/>
      <c r="J60" s="16"/>
      <c r="K60" s="17"/>
    </row>
    <row r="61" spans="3:12">
      <c r="C61" s="17"/>
      <c r="D61" s="17"/>
      <c r="E61" s="28">
        <v>42661</v>
      </c>
      <c r="F61" s="34"/>
      <c r="G61" s="34">
        <v>-11928</v>
      </c>
      <c r="H61" s="17"/>
      <c r="I61" s="16"/>
      <c r="J61" s="16"/>
      <c r="K61" s="17"/>
    </row>
    <row r="62" spans="3:12">
      <c r="C62" s="17" t="s">
        <v>14</v>
      </c>
      <c r="D62" s="17"/>
      <c r="E62" s="28">
        <v>42381</v>
      </c>
      <c r="F62" s="34"/>
      <c r="G62" s="34">
        <v>136789.24</v>
      </c>
      <c r="H62" s="17"/>
      <c r="I62" s="16"/>
      <c r="J62" s="16"/>
      <c r="K62" s="17"/>
    </row>
    <row r="63" spans="3:12" ht="15.5">
      <c r="C63" s="17"/>
      <c r="D63" s="17"/>
      <c r="E63" s="28">
        <v>42549</v>
      </c>
      <c r="F63" s="34"/>
      <c r="G63" s="34">
        <v>17692.82</v>
      </c>
      <c r="H63" s="17"/>
      <c r="I63" s="16"/>
      <c r="J63" s="16"/>
      <c r="K63" s="17"/>
      <c r="L63" s="12"/>
    </row>
    <row r="64" spans="3:12">
      <c r="C64" s="17"/>
      <c r="D64" s="17"/>
      <c r="E64" s="28">
        <v>42640</v>
      </c>
      <c r="F64" s="34"/>
      <c r="G64" s="34">
        <v>26680.06</v>
      </c>
      <c r="H64" s="17"/>
      <c r="I64" s="16"/>
      <c r="J64" s="16"/>
      <c r="K64" s="17"/>
      <c r="L64" s="59"/>
    </row>
    <row r="65" spans="3:12">
      <c r="C65" s="17"/>
      <c r="D65" s="17"/>
      <c r="E65" s="28">
        <v>42654</v>
      </c>
      <c r="F65" s="34"/>
      <c r="G65" s="34">
        <v>10936.48</v>
      </c>
      <c r="H65" s="17"/>
      <c r="I65" s="16"/>
      <c r="J65" s="16"/>
      <c r="K65" s="17"/>
      <c r="L65" s="59"/>
    </row>
    <row r="66" spans="3:12">
      <c r="C66" s="17" t="s">
        <v>15</v>
      </c>
      <c r="D66" s="17"/>
      <c r="E66" s="28">
        <v>42793</v>
      </c>
      <c r="F66" s="34"/>
      <c r="G66" s="34">
        <v>-11872</v>
      </c>
      <c r="H66" s="17"/>
      <c r="I66" s="16"/>
      <c r="J66" s="16"/>
      <c r="K66" s="17"/>
      <c r="L66" s="59"/>
    </row>
    <row r="67" spans="3:12">
      <c r="C67" s="17"/>
      <c r="D67" s="17"/>
      <c r="E67" s="28">
        <v>42870</v>
      </c>
      <c r="F67" s="34"/>
      <c r="G67" s="34">
        <v>-11983.99</v>
      </c>
      <c r="H67" s="17"/>
      <c r="I67" s="16"/>
      <c r="J67" s="16"/>
      <c r="K67" s="17"/>
      <c r="L67" s="59"/>
    </row>
    <row r="68" spans="3:12">
      <c r="C68" s="17"/>
      <c r="D68" s="17"/>
      <c r="E68" s="28">
        <v>42992</v>
      </c>
      <c r="F68" s="34"/>
      <c r="G68" s="34">
        <v>-11312</v>
      </c>
      <c r="H68" s="17"/>
      <c r="I68" s="16"/>
      <c r="J68" s="16"/>
      <c r="K68" s="17"/>
    </row>
    <row r="69" spans="3:12">
      <c r="C69" s="17"/>
      <c r="D69" s="17"/>
      <c r="E69" s="28">
        <v>43048</v>
      </c>
      <c r="F69" s="34"/>
      <c r="G69" s="34">
        <v>-21728</v>
      </c>
      <c r="H69" s="17"/>
      <c r="I69" s="16"/>
      <c r="J69" s="16"/>
      <c r="K69" s="17"/>
    </row>
    <row r="70" spans="3:12">
      <c r="C70" s="17" t="s">
        <v>16</v>
      </c>
      <c r="D70" s="17"/>
      <c r="E70" s="28">
        <v>42746</v>
      </c>
      <c r="F70" s="34"/>
      <c r="G70" s="34">
        <v>40558.480000000003</v>
      </c>
      <c r="H70" s="17"/>
      <c r="I70" s="16"/>
      <c r="J70" s="16"/>
      <c r="K70" s="17"/>
    </row>
    <row r="71" spans="3:12">
      <c r="C71" s="17"/>
      <c r="D71" s="17"/>
      <c r="E71" s="28">
        <v>42802</v>
      </c>
      <c r="F71" s="34"/>
      <c r="G71" s="34">
        <v>60485.01</v>
      </c>
      <c r="H71" s="17"/>
      <c r="I71" s="16"/>
      <c r="J71" s="16"/>
      <c r="K71" s="17"/>
    </row>
    <row r="72" spans="3:12">
      <c r="C72" s="17"/>
      <c r="D72" s="17"/>
      <c r="E72" s="28">
        <v>42885</v>
      </c>
      <c r="F72" s="34"/>
      <c r="G72" s="34">
        <v>22259.21</v>
      </c>
      <c r="H72" s="17"/>
      <c r="I72" s="16"/>
      <c r="J72" s="16"/>
      <c r="K72" s="17"/>
    </row>
    <row r="73" spans="3:12">
      <c r="C73" s="17"/>
      <c r="D73" s="17"/>
      <c r="E73" s="28">
        <v>42913</v>
      </c>
      <c r="F73" s="34"/>
      <c r="G73" s="34">
        <v>582576.68000000005</v>
      </c>
      <c r="H73" s="17"/>
      <c r="I73" s="16"/>
      <c r="J73" s="16"/>
      <c r="K73" s="17"/>
    </row>
    <row r="74" spans="3:12">
      <c r="C74" s="17"/>
      <c r="D74" s="17"/>
      <c r="E74" s="28">
        <v>42999</v>
      </c>
      <c r="F74" s="34"/>
      <c r="G74" s="34">
        <v>39339.919999999998</v>
      </c>
      <c r="H74" s="17"/>
      <c r="I74" s="16"/>
      <c r="J74" s="16"/>
      <c r="K74" s="17"/>
    </row>
    <row r="75" spans="3:12">
      <c r="C75" s="17" t="s">
        <v>17</v>
      </c>
      <c r="D75" s="17"/>
      <c r="E75" s="28">
        <v>43132</v>
      </c>
      <c r="F75" s="34"/>
      <c r="G75" s="34">
        <v>-15008</v>
      </c>
      <c r="H75" s="17"/>
      <c r="I75" s="16"/>
      <c r="J75" s="16"/>
      <c r="K75" s="17"/>
    </row>
    <row r="76" spans="3:12">
      <c r="C76" s="17"/>
      <c r="D76" s="17"/>
      <c r="E76" s="28">
        <v>43147</v>
      </c>
      <c r="F76" s="34"/>
      <c r="G76" s="34">
        <v>-33040</v>
      </c>
      <c r="H76" s="17"/>
      <c r="I76" s="16"/>
      <c r="J76" s="16"/>
      <c r="K76" s="17"/>
    </row>
    <row r="77" spans="3:12">
      <c r="C77" s="17"/>
      <c r="D77" s="17"/>
      <c r="E77" s="28">
        <v>43370</v>
      </c>
      <c r="F77" s="34"/>
      <c r="G77" s="34">
        <v>-10640</v>
      </c>
      <c r="H77" s="17"/>
      <c r="I77" s="16"/>
      <c r="J77" s="16"/>
      <c r="K77" s="17"/>
    </row>
    <row r="78" spans="3:12">
      <c r="C78" s="17" t="s">
        <v>18</v>
      </c>
      <c r="D78" s="17"/>
      <c r="E78" s="28">
        <v>43122</v>
      </c>
      <c r="F78" s="34"/>
      <c r="G78" s="34">
        <v>170614.91</v>
      </c>
      <c r="H78" s="17"/>
      <c r="I78" s="16"/>
      <c r="J78" s="16"/>
      <c r="K78" s="17"/>
    </row>
    <row r="79" spans="3:12">
      <c r="C79" s="17"/>
      <c r="D79" s="17"/>
      <c r="E79" s="28">
        <v>43300</v>
      </c>
      <c r="F79" s="34"/>
      <c r="G79" s="34">
        <v>41585.629999999997</v>
      </c>
      <c r="H79" s="17"/>
      <c r="I79" s="16"/>
      <c r="J79" s="16"/>
      <c r="K79" s="17"/>
    </row>
    <row r="80" spans="3:12">
      <c r="C80" s="17" t="s">
        <v>19</v>
      </c>
      <c r="D80" s="17"/>
      <c r="E80" s="28">
        <v>43490</v>
      </c>
      <c r="F80" s="34"/>
      <c r="G80" s="34">
        <v>-14672</v>
      </c>
      <c r="H80" s="17"/>
      <c r="I80" s="16"/>
      <c r="J80" s="16"/>
      <c r="K80" s="17"/>
    </row>
    <row r="81" spans="3:12">
      <c r="C81" s="17"/>
      <c r="D81" s="17"/>
      <c r="E81" s="28">
        <v>43517</v>
      </c>
      <c r="F81" s="34"/>
      <c r="G81" s="34">
        <v>-16632</v>
      </c>
      <c r="H81" s="17"/>
      <c r="I81" s="16"/>
      <c r="J81" s="16"/>
      <c r="K81" s="17"/>
    </row>
    <row r="82" spans="3:12">
      <c r="C82" s="17"/>
      <c r="D82" s="17"/>
      <c r="E82" s="28">
        <v>43560</v>
      </c>
      <c r="F82" s="34"/>
      <c r="G82" s="34">
        <v>-45416</v>
      </c>
      <c r="H82" s="17"/>
      <c r="I82" s="16"/>
      <c r="J82" s="16"/>
      <c r="K82" s="17"/>
    </row>
    <row r="83" spans="3:12">
      <c r="C83" s="17"/>
      <c r="D83" s="17"/>
      <c r="E83" s="28">
        <v>43623</v>
      </c>
      <c r="F83" s="34"/>
      <c r="G83" s="34">
        <v>-11760</v>
      </c>
      <c r="H83" s="17"/>
      <c r="I83" s="16"/>
      <c r="J83" s="16"/>
      <c r="K83" s="17"/>
    </row>
    <row r="84" spans="3:12">
      <c r="C84" s="17"/>
      <c r="D84" s="17"/>
      <c r="E84" s="28">
        <v>43733</v>
      </c>
      <c r="F84" s="34"/>
      <c r="G84" s="34">
        <v>-11144</v>
      </c>
      <c r="H84" s="17"/>
      <c r="I84" s="16"/>
      <c r="J84" s="16"/>
      <c r="K84" s="17"/>
    </row>
    <row r="85" spans="3:12">
      <c r="C85" s="17"/>
      <c r="D85" s="17"/>
      <c r="E85" s="28">
        <v>43825</v>
      </c>
      <c r="F85" s="34"/>
      <c r="G85" s="34">
        <v>-6608</v>
      </c>
      <c r="H85" s="17"/>
      <c r="I85" s="16"/>
      <c r="J85" s="16"/>
      <c r="K85" s="17"/>
    </row>
    <row r="86" spans="3:12">
      <c r="C86" s="17" t="s">
        <v>20</v>
      </c>
      <c r="D86" s="17"/>
      <c r="E86" s="28">
        <v>43545</v>
      </c>
      <c r="F86" s="34"/>
      <c r="G86" s="34">
        <v>17572.34</v>
      </c>
      <c r="H86" s="17"/>
      <c r="I86" s="16"/>
      <c r="J86" s="16"/>
      <c r="K86" s="17"/>
    </row>
    <row r="87" spans="3:12">
      <c r="C87" s="17" t="s">
        <v>21</v>
      </c>
      <c r="D87" s="17"/>
      <c r="E87" s="28">
        <v>43950</v>
      </c>
      <c r="F87" s="34"/>
      <c r="G87" s="34">
        <v>-9016</v>
      </c>
      <c r="H87" s="17"/>
      <c r="I87" s="16"/>
      <c r="J87" s="16"/>
      <c r="K87" s="17"/>
    </row>
    <row r="88" spans="3:12" ht="15.5">
      <c r="C88" s="17" t="s">
        <v>30</v>
      </c>
      <c r="D88" s="17"/>
      <c r="E88" s="28">
        <v>44084</v>
      </c>
      <c r="F88" s="34"/>
      <c r="G88" s="34">
        <v>8234.01</v>
      </c>
      <c r="H88" s="17"/>
      <c r="I88" s="16"/>
      <c r="J88" s="16"/>
      <c r="K88" s="17"/>
      <c r="L88" s="12"/>
    </row>
    <row r="89" spans="3:12">
      <c r="C89" s="17"/>
      <c r="D89" s="17"/>
      <c r="E89" s="28">
        <v>44158</v>
      </c>
      <c r="F89" s="34"/>
      <c r="G89" s="34">
        <v>45614.54</v>
      </c>
      <c r="H89" s="17"/>
      <c r="I89" s="16"/>
      <c r="J89" s="16"/>
      <c r="K89" s="17"/>
    </row>
    <row r="90" spans="3:12" ht="15.5">
      <c r="C90" s="17" t="s">
        <v>31</v>
      </c>
      <c r="D90" s="17"/>
      <c r="E90" s="28">
        <v>44203</v>
      </c>
      <c r="F90" s="34"/>
      <c r="G90" s="34">
        <v>-5600</v>
      </c>
      <c r="H90" s="17"/>
      <c r="I90" s="16"/>
      <c r="J90" s="16"/>
      <c r="K90" s="17"/>
      <c r="L90" s="12"/>
    </row>
    <row r="91" spans="3:12" ht="15.5">
      <c r="C91" s="17" t="s">
        <v>22</v>
      </c>
      <c r="D91" s="17"/>
      <c r="E91" s="28">
        <v>44284</v>
      </c>
      <c r="F91" s="34"/>
      <c r="G91" s="34">
        <v>5074.8900000000003</v>
      </c>
      <c r="H91" s="17"/>
      <c r="I91" s="16"/>
      <c r="J91" s="16"/>
      <c r="K91" s="17"/>
      <c r="L91" s="12"/>
    </row>
    <row r="92" spans="3:12" ht="15.5">
      <c r="C92" s="17"/>
      <c r="D92" s="17"/>
      <c r="E92" s="28">
        <v>44546</v>
      </c>
      <c r="F92" s="34"/>
      <c r="G92" s="34">
        <v>8151.91</v>
      </c>
      <c r="H92" s="17"/>
      <c r="I92" s="16"/>
      <c r="J92" s="16"/>
      <c r="K92" s="17"/>
      <c r="L92" s="12"/>
    </row>
    <row r="93" spans="3:12" ht="15.5">
      <c r="C93" s="17" t="s">
        <v>23</v>
      </c>
      <c r="D93" s="17"/>
      <c r="E93" s="28">
        <v>44624</v>
      </c>
      <c r="F93" s="34"/>
      <c r="G93" s="34">
        <v>75156.740000000005</v>
      </c>
      <c r="H93" s="17"/>
      <c r="I93" s="16"/>
      <c r="J93" s="16"/>
      <c r="K93" s="17"/>
      <c r="L93" s="12"/>
    </row>
    <row r="94" spans="3:12" ht="15.5">
      <c r="C94" s="17" t="s">
        <v>24</v>
      </c>
      <c r="D94" s="17"/>
      <c r="E94" s="28">
        <v>45078</v>
      </c>
      <c r="F94" s="34"/>
      <c r="G94" s="34">
        <v>9041.1299999999992</v>
      </c>
      <c r="H94" s="17"/>
      <c r="I94" s="16"/>
      <c r="J94" s="16"/>
      <c r="K94" s="17"/>
      <c r="L94" s="12"/>
    </row>
    <row r="95" spans="3:12" ht="15.5">
      <c r="C95" s="17"/>
      <c r="D95" s="17"/>
      <c r="E95" s="28">
        <v>45175</v>
      </c>
      <c r="F95" s="34"/>
      <c r="G95" s="34">
        <v>8181.61</v>
      </c>
      <c r="H95" s="17"/>
      <c r="I95" s="16"/>
      <c r="J95" s="16"/>
      <c r="K95" s="17"/>
      <c r="L95" s="12"/>
    </row>
    <row r="96" spans="3:12" ht="4.5" customHeight="1">
      <c r="C96" s="17"/>
      <c r="D96" s="17"/>
      <c r="E96" s="28"/>
      <c r="F96" s="17"/>
      <c r="G96" s="34"/>
      <c r="H96" s="17"/>
      <c r="I96" s="16"/>
      <c r="J96" s="16"/>
    </row>
    <row r="97" spans="3:15" ht="15.5">
      <c r="C97" s="17" t="s">
        <v>25</v>
      </c>
      <c r="D97" s="17"/>
      <c r="E97" s="28">
        <f>+E8</f>
        <v>45473</v>
      </c>
      <c r="F97" s="17"/>
      <c r="G97" s="35">
        <f>L97*C22</f>
        <v>106153.197424711</v>
      </c>
      <c r="H97" s="17"/>
      <c r="I97" s="28"/>
      <c r="L97" s="59">
        <v>8598409</v>
      </c>
      <c r="M97" s="12"/>
      <c r="O97" s="63"/>
    </row>
    <row r="98" spans="3:15">
      <c r="C98" s="17"/>
      <c r="D98" s="17"/>
      <c r="E98" s="17"/>
      <c r="F98" s="17"/>
      <c r="G98" s="17"/>
      <c r="H98" s="17"/>
    </row>
    <row r="99" spans="3:15">
      <c r="C99" t="s">
        <v>28</v>
      </c>
      <c r="G99" s="58">
        <f>+XIRR(G23:G97,E23:E97)</f>
        <v>0.25570300221443176</v>
      </c>
      <c r="H99" s="17"/>
      <c r="J99" s="34">
        <f>+SUMIF($G$23:$G$96,"&lt;0",$G$23:$G$96)</f>
        <v>-949139.97</v>
      </c>
      <c r="K99" s="17" t="s">
        <v>26</v>
      </c>
    </row>
    <row r="100" spans="3:15">
      <c r="C100" s="17"/>
      <c r="D100" s="17"/>
      <c r="E100" s="17"/>
      <c r="F100" s="17"/>
      <c r="G100" s="17"/>
      <c r="H100" s="17"/>
      <c r="J100" s="34">
        <f>+SUMIF($G$23:$G$96,"&gt;0",$G$23:$G$96)</f>
        <v>1436383.95</v>
      </c>
      <c r="K100" s="17" t="s">
        <v>27</v>
      </c>
    </row>
    <row r="101" spans="3:15">
      <c r="C101" s="17"/>
      <c r="D101" s="17"/>
      <c r="E101" s="17"/>
      <c r="F101" s="17"/>
      <c r="G101" s="17"/>
      <c r="H101" s="17"/>
    </row>
    <row r="102" spans="3:15">
      <c r="C102" s="40"/>
      <c r="D102" s="40"/>
      <c r="E102" s="39"/>
      <c r="F102" s="17"/>
      <c r="G102" s="39"/>
      <c r="H102" s="17"/>
    </row>
    <row r="103" spans="3:15">
      <c r="C103" s="40"/>
      <c r="D103" s="40"/>
      <c r="E103" s="39"/>
      <c r="F103" s="40"/>
      <c r="G103" s="39"/>
      <c r="H103" s="17"/>
    </row>
    <row r="104" spans="3:15">
      <c r="C104" s="40"/>
      <c r="D104" s="40"/>
      <c r="E104" s="39"/>
      <c r="F104" s="40"/>
      <c r="G104" s="39"/>
      <c r="H104" s="17"/>
    </row>
    <row r="105" spans="3:15">
      <c r="C105" s="40"/>
      <c r="D105" s="40"/>
      <c r="E105" s="39"/>
      <c r="F105" s="39"/>
      <c r="G105" s="39"/>
    </row>
    <row r="106" spans="3:15">
      <c r="C106" s="40"/>
      <c r="D106" s="40"/>
      <c r="E106" s="39"/>
      <c r="F106" s="39"/>
      <c r="G106" s="39"/>
    </row>
    <row r="107" spans="3:15">
      <c r="C107" s="40"/>
      <c r="D107" s="40"/>
      <c r="E107" s="40"/>
      <c r="F107" s="40"/>
      <c r="G107" s="40"/>
    </row>
    <row r="108" spans="3:15">
      <c r="C108" s="40"/>
      <c r="D108" s="40"/>
      <c r="E108" s="60"/>
      <c r="F108" s="42"/>
      <c r="G108" s="60"/>
      <c r="H108" s="17"/>
    </row>
    <row r="109" spans="3:15">
      <c r="C109" s="40"/>
      <c r="D109" s="40"/>
      <c r="E109" s="42"/>
      <c r="F109" s="42"/>
      <c r="G109" s="42"/>
      <c r="H109" s="17"/>
    </row>
    <row r="110" spans="3:15">
      <c r="C110" s="40"/>
      <c r="D110" s="40"/>
      <c r="E110" s="42"/>
      <c r="F110" s="42"/>
      <c r="G110" s="42"/>
      <c r="H110" s="17"/>
    </row>
    <row r="111" spans="3:15">
      <c r="C111" s="43"/>
      <c r="D111" s="40"/>
      <c r="E111" s="42"/>
      <c r="F111" s="42"/>
      <c r="G111" s="42"/>
      <c r="H111" s="17"/>
    </row>
    <row r="112" spans="3:15">
      <c r="C112" s="43"/>
      <c r="D112" s="40"/>
      <c r="E112" s="42"/>
      <c r="F112" s="42"/>
      <c r="G112" s="42"/>
      <c r="H112" s="17"/>
    </row>
    <row r="113" spans="3:8">
      <c r="C113" s="44"/>
      <c r="D113" s="40"/>
      <c r="E113" s="42"/>
      <c r="F113" s="42"/>
      <c r="G113" s="42"/>
      <c r="H113" s="17"/>
    </row>
    <row r="114" spans="3:8">
      <c r="C114" s="40"/>
      <c r="D114" s="40"/>
      <c r="E114" s="42"/>
      <c r="F114" s="42"/>
      <c r="G114" s="42"/>
      <c r="H114" s="17"/>
    </row>
    <row r="115" spans="3:8">
      <c r="C115" s="40"/>
      <c r="D115" s="40"/>
      <c r="E115" s="42"/>
      <c r="F115" s="42"/>
      <c r="G115" s="42"/>
      <c r="H115" s="17"/>
    </row>
    <row r="116" spans="3:8">
      <c r="C116" s="40"/>
      <c r="D116" s="40"/>
      <c r="E116" s="42"/>
      <c r="F116" s="42"/>
      <c r="G116" s="42"/>
      <c r="H116" s="17"/>
    </row>
    <row r="117" spans="3:8">
      <c r="C117" s="40"/>
      <c r="D117" s="40"/>
      <c r="E117" s="42"/>
      <c r="F117" s="42"/>
      <c r="G117" s="42"/>
      <c r="H117" s="17"/>
    </row>
    <row r="118" spans="3:8">
      <c r="C118" s="40"/>
      <c r="D118" s="40"/>
      <c r="E118" s="42"/>
      <c r="F118" s="42"/>
      <c r="G118" s="42"/>
      <c r="H118" s="17"/>
    </row>
    <row r="119" spans="3:8">
      <c r="C119" s="40"/>
      <c r="D119" s="40"/>
      <c r="E119" s="42"/>
      <c r="F119" s="42"/>
      <c r="G119" s="42"/>
      <c r="H119" s="17"/>
    </row>
    <row r="120" spans="3:8" ht="4.9000000000000004" customHeight="1">
      <c r="C120" s="17"/>
      <c r="D120" s="17"/>
      <c r="E120" s="17"/>
      <c r="F120" s="17"/>
      <c r="G120" s="17"/>
      <c r="H120" s="17"/>
    </row>
    <row r="121" spans="3:8">
      <c r="C121" s="17"/>
      <c r="D121" s="17"/>
      <c r="E121" s="17"/>
      <c r="F121" s="17"/>
      <c r="G121" s="17"/>
      <c r="H121" s="17"/>
    </row>
    <row r="122" spans="3:8">
      <c r="C122" s="17"/>
      <c r="D122" s="17"/>
      <c r="E122" s="17"/>
      <c r="F122" s="17"/>
      <c r="G122" s="17"/>
      <c r="H122" s="17"/>
    </row>
    <row r="123" spans="3:8">
      <c r="C123" s="17"/>
      <c r="D123" s="17"/>
      <c r="E123" s="17"/>
      <c r="F123" s="17"/>
      <c r="G123" s="17"/>
      <c r="H123" s="17"/>
    </row>
    <row r="124" spans="3:8">
      <c r="C124" s="17"/>
      <c r="D124" s="17"/>
      <c r="E124" s="17"/>
      <c r="F124" s="17"/>
      <c r="G124" s="17"/>
      <c r="H124" s="17"/>
    </row>
    <row r="125" spans="3:8">
      <c r="C125" s="17"/>
      <c r="D125" s="17"/>
      <c r="E125" s="17"/>
      <c r="F125" s="17"/>
      <c r="G125" s="17"/>
      <c r="H125" s="17"/>
    </row>
  </sheetData>
  <pageMargins left="0.7" right="0.7" top="0.75" bottom="0.75" header="0.3" footer="0.3"/>
  <pageSetup scale="39" orientation="landscape" r:id="rId1"/>
  <headerFooter>
    <oddHeader>&amp;C&amp;G</oddHeader>
    <oddFooter>&amp;C&amp;G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CEDB-95F4-4EFF-BDB0-5AB6E2C4AB05}">
  <sheetPr>
    <tabColor rgb="FF92D050"/>
    <pageSetUpPr fitToPage="1"/>
  </sheetPr>
  <dimension ref="B4:O160"/>
  <sheetViews>
    <sheetView showGridLines="0" view="pageLayout" topLeftCell="A97" zoomScaleNormal="100" workbookViewId="0">
      <selection activeCell="L127" sqref="L127"/>
    </sheetView>
  </sheetViews>
  <sheetFormatPr defaultRowHeight="12.5"/>
  <cols>
    <col min="2" max="2" width="4.81640625" customWidth="1"/>
    <col min="3" max="3" width="50.54296875" customWidth="1"/>
    <col min="4" max="4" width="1.54296875" customWidth="1"/>
    <col min="5" max="5" width="12.1796875" customWidth="1"/>
    <col min="6" max="6" width="1.54296875" customWidth="1"/>
    <col min="7" max="7" width="12.1796875" customWidth="1"/>
    <col min="8" max="8" width="2.453125" customWidth="1"/>
    <col min="9" max="9" width="13" customWidth="1"/>
    <col min="10" max="10" width="11.7265625" customWidth="1"/>
    <col min="12" max="12" width="15.54296875" customWidth="1"/>
    <col min="13" max="13" width="16.54296875" bestFit="1" customWidth="1"/>
    <col min="14" max="14" width="10.1796875" bestFit="1" customWidth="1"/>
    <col min="15" max="15" width="11.26953125" bestFit="1" customWidth="1"/>
    <col min="16" max="16" width="10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1"/>
    </row>
    <row r="9" spans="2:15" ht="15.5">
      <c r="C9" s="7"/>
      <c r="D9" s="7"/>
      <c r="E9" s="7"/>
      <c r="F9" s="7"/>
      <c r="G9" s="12"/>
    </row>
    <row r="10" spans="2:15">
      <c r="C10" s="13"/>
      <c r="D10" s="13"/>
      <c r="E10" s="14"/>
      <c r="F10" s="13"/>
      <c r="G10" s="59"/>
      <c r="H10" s="15"/>
      <c r="I10" s="24"/>
      <c r="O10" s="102"/>
    </row>
    <row r="11" spans="2:15">
      <c r="C11" s="13"/>
      <c r="D11" s="13"/>
      <c r="E11" s="14"/>
      <c r="F11" s="13"/>
      <c r="G11" s="14"/>
      <c r="H11" s="15"/>
      <c r="I11" s="24"/>
    </row>
    <row r="12" spans="2:15" ht="15.5">
      <c r="C12" s="18"/>
      <c r="D12" s="18"/>
      <c r="E12" s="19"/>
      <c r="F12" s="18"/>
      <c r="G12" s="19"/>
      <c r="H12" s="7"/>
      <c r="I12" s="24"/>
    </row>
    <row r="13" spans="2:15">
      <c r="C13" s="13"/>
      <c r="D13" s="13"/>
      <c r="E13" s="20"/>
      <c r="F13" s="13"/>
      <c r="G13" s="59"/>
      <c r="H13" s="21"/>
      <c r="I13" s="24"/>
      <c r="O13" s="102"/>
    </row>
    <row r="14" spans="2:15">
      <c r="C14" s="13"/>
      <c r="D14" s="13"/>
      <c r="E14" s="22"/>
      <c r="F14" s="13"/>
      <c r="G14" s="59"/>
      <c r="H14" s="23"/>
      <c r="I14" s="24"/>
    </row>
    <row r="15" spans="2:15">
      <c r="C15" s="13"/>
      <c r="D15" s="13"/>
      <c r="E15" s="14"/>
      <c r="F15" s="13"/>
      <c r="G15" s="14"/>
      <c r="H15" s="15"/>
      <c r="I15" s="24"/>
    </row>
    <row r="16" spans="2:15" ht="15.5">
      <c r="C16" s="7"/>
      <c r="D16" s="7"/>
      <c r="E16" s="19"/>
      <c r="F16" s="7"/>
      <c r="G16" s="19"/>
      <c r="H16" s="7"/>
      <c r="I16" s="24"/>
    </row>
    <row r="17" spans="3:12" ht="15.5">
      <c r="C17" s="18" t="s">
        <v>0</v>
      </c>
      <c r="D17" s="18"/>
      <c r="E17" s="19"/>
      <c r="F17" s="18"/>
      <c r="G17" s="19"/>
      <c r="H17" s="7"/>
      <c r="I17" s="50"/>
    </row>
    <row r="18" spans="3:12" ht="12.75" customHeight="1">
      <c r="C18" s="13" t="s">
        <v>1</v>
      </c>
      <c r="D18" s="13"/>
      <c r="E18" s="21">
        <f>G129</f>
        <v>9.9048942327499417E-2</v>
      </c>
      <c r="F18" s="13"/>
      <c r="G18" s="20"/>
      <c r="H18" s="21"/>
      <c r="I18" s="50"/>
    </row>
    <row r="19" spans="3:12">
      <c r="C19" s="13" t="s">
        <v>2</v>
      </c>
      <c r="D19" s="13"/>
      <c r="E19" s="25">
        <f>-(G127+I128)/I127</f>
        <v>1.4086438022139181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30">
        <v>4.8999999999999998E-3</v>
      </c>
      <c r="D22" s="17"/>
      <c r="E22" s="17"/>
      <c r="F22" s="17"/>
      <c r="G22" s="31"/>
      <c r="H22" s="17"/>
      <c r="I22" s="17"/>
      <c r="J22" s="17"/>
    </row>
    <row r="23" spans="3:12">
      <c r="C23" s="17"/>
      <c r="D23" s="17"/>
      <c r="E23" s="28"/>
      <c r="F23" s="34"/>
      <c r="G23" s="34"/>
      <c r="H23" s="17"/>
      <c r="I23" s="16"/>
      <c r="J23" s="16"/>
    </row>
    <row r="24" spans="3:12">
      <c r="C24" s="17" t="s">
        <v>9</v>
      </c>
      <c r="D24" s="17"/>
      <c r="E24" s="28">
        <v>41829</v>
      </c>
      <c r="F24" s="34"/>
      <c r="G24" s="34">
        <v>-169050</v>
      </c>
      <c r="H24" s="17"/>
      <c r="I24" s="16"/>
    </row>
    <row r="25" spans="3:12">
      <c r="C25" s="17"/>
      <c r="D25" s="17"/>
      <c r="E25" s="28">
        <v>41894</v>
      </c>
      <c r="F25" s="34"/>
      <c r="G25" s="34">
        <v>-87710</v>
      </c>
      <c r="H25" s="17"/>
      <c r="I25" s="16"/>
    </row>
    <row r="26" spans="3:12">
      <c r="C26" s="17"/>
      <c r="D26" s="17"/>
      <c r="E26" s="28">
        <v>41942</v>
      </c>
      <c r="F26" s="34"/>
      <c r="G26" s="34">
        <v>-46060</v>
      </c>
      <c r="H26" s="17"/>
      <c r="I26" s="16"/>
    </row>
    <row r="27" spans="3:12">
      <c r="C27" s="17"/>
      <c r="D27" s="17"/>
      <c r="E27" s="28">
        <v>41999</v>
      </c>
      <c r="F27" s="34"/>
      <c r="G27" s="34">
        <v>-65660</v>
      </c>
      <c r="H27" s="17"/>
      <c r="I27" s="16"/>
    </row>
    <row r="28" spans="3:12">
      <c r="C28" s="17" t="s">
        <v>11</v>
      </c>
      <c r="D28" s="17"/>
      <c r="E28" s="28">
        <v>42037</v>
      </c>
      <c r="F28" s="34"/>
      <c r="G28" s="34">
        <v>-64680</v>
      </c>
      <c r="H28" s="17"/>
      <c r="I28" s="16"/>
    </row>
    <row r="29" spans="3:12">
      <c r="C29" s="17"/>
      <c r="D29" s="17"/>
      <c r="E29" s="28">
        <v>42093</v>
      </c>
      <c r="F29" s="34"/>
      <c r="G29" s="34">
        <v>-83790</v>
      </c>
      <c r="H29" s="17"/>
      <c r="I29" s="16"/>
    </row>
    <row r="30" spans="3:12">
      <c r="C30" s="17"/>
      <c r="D30" s="17"/>
      <c r="E30" s="28">
        <v>42109</v>
      </c>
      <c r="F30" s="34"/>
      <c r="G30" s="34">
        <v>-62720</v>
      </c>
      <c r="H30" s="17"/>
      <c r="I30" s="16"/>
    </row>
    <row r="31" spans="3:12">
      <c r="C31" s="17"/>
      <c r="D31" s="17"/>
      <c r="E31" s="28">
        <v>42144</v>
      </c>
      <c r="F31" s="34"/>
      <c r="G31" s="34">
        <v>-36750</v>
      </c>
      <c r="H31" s="17"/>
      <c r="I31" s="16"/>
      <c r="J31" s="16"/>
      <c r="K31" s="17"/>
    </row>
    <row r="32" spans="3:12">
      <c r="C32" s="17"/>
      <c r="D32" s="17"/>
      <c r="E32" s="28">
        <v>42184</v>
      </c>
      <c r="F32" s="34"/>
      <c r="G32" s="34">
        <v>-56350</v>
      </c>
      <c r="H32" s="17"/>
      <c r="I32" s="16"/>
      <c r="J32" s="16"/>
      <c r="K32" s="17"/>
    </row>
    <row r="33" spans="3:15">
      <c r="C33" s="17"/>
      <c r="D33" s="17"/>
      <c r="E33" s="28">
        <v>42227</v>
      </c>
      <c r="F33" s="34"/>
      <c r="G33" s="34">
        <v>-74970</v>
      </c>
      <c r="H33" s="17"/>
      <c r="I33" s="16"/>
      <c r="J33" s="16"/>
      <c r="K33" s="17"/>
      <c r="N33" s="97"/>
      <c r="O33" s="36"/>
    </row>
    <row r="34" spans="3:15">
      <c r="C34" s="17"/>
      <c r="D34" s="17"/>
      <c r="E34" s="28">
        <v>42261</v>
      </c>
      <c r="F34" s="34"/>
      <c r="G34" s="34">
        <v>-98980</v>
      </c>
      <c r="H34" s="17"/>
      <c r="I34" s="16"/>
      <c r="J34" s="16"/>
      <c r="K34" s="17"/>
      <c r="N34" s="97"/>
      <c r="O34" s="36"/>
    </row>
    <row r="35" spans="3:15">
      <c r="C35" s="17"/>
      <c r="D35" s="17"/>
      <c r="E35" s="28">
        <v>42368</v>
      </c>
      <c r="F35" s="34"/>
      <c r="G35" s="34">
        <v>-80850</v>
      </c>
      <c r="H35" s="17"/>
      <c r="I35" s="16"/>
      <c r="J35" s="16"/>
      <c r="K35" s="17"/>
      <c r="N35" s="97"/>
      <c r="O35" s="36"/>
    </row>
    <row r="36" spans="3:15">
      <c r="C36" s="17" t="s">
        <v>13</v>
      </c>
      <c r="D36" s="17"/>
      <c r="E36" s="28">
        <v>42396</v>
      </c>
      <c r="F36" s="34"/>
      <c r="G36" s="34">
        <v>-1416590</v>
      </c>
      <c r="H36" s="17"/>
      <c r="I36" s="16"/>
      <c r="J36" s="16"/>
      <c r="K36" s="17"/>
      <c r="N36" s="97"/>
      <c r="O36" s="36"/>
    </row>
    <row r="37" spans="3:15">
      <c r="C37" s="17"/>
      <c r="D37" s="17"/>
      <c r="E37" s="28">
        <v>42445</v>
      </c>
      <c r="F37" s="34"/>
      <c r="G37" s="34">
        <v>-120050</v>
      </c>
      <c r="H37" s="17"/>
      <c r="I37" s="16"/>
      <c r="J37" s="16"/>
      <c r="K37" s="17"/>
      <c r="N37" s="97"/>
      <c r="O37" s="36"/>
    </row>
    <row r="38" spans="3:15">
      <c r="C38" s="17"/>
      <c r="D38" s="17"/>
      <c r="E38" s="28">
        <v>42549</v>
      </c>
      <c r="F38" s="34"/>
      <c r="G38" s="34">
        <v>-194530</v>
      </c>
      <c r="H38" s="17"/>
      <c r="I38" s="16"/>
      <c r="J38" s="16"/>
      <c r="K38" s="17"/>
      <c r="N38" s="97"/>
      <c r="O38" s="36"/>
    </row>
    <row r="39" spans="3:15">
      <c r="C39" s="17"/>
      <c r="D39" s="17"/>
      <c r="E39" s="28">
        <v>42586</v>
      </c>
      <c r="F39" s="34"/>
      <c r="G39" s="34">
        <v>-149450</v>
      </c>
      <c r="H39" s="17"/>
      <c r="I39" s="16"/>
      <c r="J39" s="16"/>
      <c r="K39" s="17"/>
      <c r="N39" s="97"/>
      <c r="O39" s="36"/>
    </row>
    <row r="40" spans="3:15">
      <c r="C40" s="17"/>
      <c r="D40" s="17"/>
      <c r="E40" s="28">
        <v>42607</v>
      </c>
      <c r="F40" s="34"/>
      <c r="G40" s="34">
        <v>-113190</v>
      </c>
      <c r="H40" s="17"/>
      <c r="I40" s="16"/>
      <c r="J40" s="16"/>
      <c r="K40" s="17"/>
      <c r="N40" s="97"/>
      <c r="O40" s="36"/>
    </row>
    <row r="41" spans="3:15">
      <c r="C41" s="17"/>
      <c r="D41" s="17"/>
      <c r="E41" s="28">
        <v>42613</v>
      </c>
      <c r="F41" s="34"/>
      <c r="G41" s="34">
        <v>-2398550</v>
      </c>
      <c r="H41" s="17"/>
      <c r="I41" s="16"/>
      <c r="J41" s="16"/>
      <c r="K41" s="17"/>
      <c r="N41" s="97"/>
      <c r="O41" s="36"/>
    </row>
    <row r="42" spans="3:15">
      <c r="C42" s="17"/>
      <c r="D42" s="17"/>
      <c r="E42" s="28">
        <v>42640</v>
      </c>
      <c r="F42" s="34"/>
      <c r="G42" s="34">
        <v>-56350</v>
      </c>
      <c r="H42" s="17"/>
      <c r="I42" s="16"/>
      <c r="J42" s="16"/>
      <c r="K42" s="17"/>
      <c r="N42" s="97"/>
      <c r="O42" s="36"/>
    </row>
    <row r="43" spans="3:15">
      <c r="C43" s="17"/>
      <c r="D43" s="17"/>
      <c r="E43" s="28">
        <v>42732</v>
      </c>
      <c r="F43" s="34"/>
      <c r="G43" s="34">
        <v>-78400</v>
      </c>
      <c r="H43" s="17"/>
      <c r="I43" s="16"/>
      <c r="J43" s="16"/>
      <c r="K43" s="17"/>
      <c r="N43" s="97"/>
      <c r="O43" s="36"/>
    </row>
    <row r="44" spans="3:15">
      <c r="C44" s="17" t="s">
        <v>14</v>
      </c>
      <c r="D44" s="17"/>
      <c r="E44" s="28">
        <v>42377</v>
      </c>
      <c r="F44" s="34"/>
      <c r="G44" s="34">
        <v>711402.14</v>
      </c>
      <c r="H44" s="17"/>
      <c r="I44" s="16"/>
      <c r="J44" s="16"/>
      <c r="K44" s="17"/>
      <c r="N44" s="97"/>
      <c r="O44" s="36"/>
    </row>
    <row r="45" spans="3:15">
      <c r="C45" s="17"/>
      <c r="D45" s="17"/>
      <c r="E45" s="28">
        <v>42551</v>
      </c>
      <c r="F45" s="34"/>
      <c r="G45" s="34">
        <v>75179.429999999993</v>
      </c>
      <c r="H45" s="17"/>
      <c r="I45" s="16"/>
      <c r="J45" s="16"/>
      <c r="K45" s="17"/>
      <c r="N45" s="97"/>
      <c r="O45" s="36"/>
    </row>
    <row r="46" spans="3:15">
      <c r="C46" s="17"/>
      <c r="D46" s="17"/>
      <c r="E46" s="28">
        <v>42642</v>
      </c>
      <c r="F46" s="34"/>
      <c r="G46" s="34">
        <v>140484.82</v>
      </c>
      <c r="H46" s="17"/>
      <c r="I46" s="16"/>
      <c r="J46" s="16"/>
      <c r="K46" s="17"/>
      <c r="N46" s="97"/>
      <c r="O46" s="36"/>
    </row>
    <row r="47" spans="3:15">
      <c r="C47" s="17"/>
      <c r="D47" s="17"/>
      <c r="E47" s="28">
        <v>42655</v>
      </c>
      <c r="F47" s="34"/>
      <c r="G47" s="34">
        <v>57417.440000000002</v>
      </c>
      <c r="H47" s="17"/>
      <c r="I47" s="16"/>
      <c r="J47" s="16"/>
      <c r="K47" s="17"/>
      <c r="N47" s="97"/>
      <c r="O47" s="36"/>
    </row>
    <row r="48" spans="3:15" ht="15.5">
      <c r="C48" s="17" t="s">
        <v>15</v>
      </c>
      <c r="D48" s="17"/>
      <c r="E48" s="28">
        <v>42765</v>
      </c>
      <c r="F48" s="34"/>
      <c r="G48" s="34">
        <v>-258720</v>
      </c>
      <c r="H48" s="17"/>
      <c r="I48" s="16"/>
      <c r="J48" s="16"/>
      <c r="K48" s="17"/>
      <c r="L48" s="12"/>
      <c r="N48" s="97"/>
      <c r="O48" s="36"/>
    </row>
    <row r="49" spans="3:15">
      <c r="C49" s="17"/>
      <c r="D49" s="17"/>
      <c r="E49" s="28">
        <v>42822</v>
      </c>
      <c r="F49" s="34"/>
      <c r="G49" s="34">
        <v>-143570</v>
      </c>
      <c r="H49" s="17"/>
      <c r="I49" s="16"/>
      <c r="J49" s="16"/>
      <c r="K49" s="17"/>
      <c r="L49" s="59"/>
      <c r="N49" s="97"/>
      <c r="O49" s="36"/>
    </row>
    <row r="50" spans="3:15">
      <c r="C50" s="17"/>
      <c r="D50" s="17"/>
      <c r="E50" s="28">
        <v>42852</v>
      </c>
      <c r="F50" s="34"/>
      <c r="G50" s="34">
        <v>-149940</v>
      </c>
      <c r="H50" s="17"/>
      <c r="I50" s="16"/>
      <c r="J50" s="16"/>
      <c r="K50" s="17"/>
      <c r="L50" s="59"/>
      <c r="N50" s="97"/>
      <c r="O50" s="36"/>
    </row>
    <row r="51" spans="3:15">
      <c r="C51" s="17"/>
      <c r="D51" s="17"/>
      <c r="E51" s="28">
        <v>42913</v>
      </c>
      <c r="F51" s="34"/>
      <c r="G51" s="34">
        <v>-601720</v>
      </c>
      <c r="H51" s="17"/>
      <c r="I51" s="16"/>
      <c r="J51" s="16"/>
      <c r="K51" s="17"/>
      <c r="L51" s="59"/>
      <c r="N51" s="97"/>
      <c r="O51" s="36"/>
    </row>
    <row r="52" spans="3:15">
      <c r="C52" s="17"/>
      <c r="D52" s="17"/>
      <c r="E52" s="28">
        <v>42991</v>
      </c>
      <c r="F52" s="34"/>
      <c r="G52" s="34">
        <v>-264600</v>
      </c>
      <c r="H52" s="17"/>
      <c r="I52" s="16"/>
      <c r="J52" s="16"/>
      <c r="K52" s="17"/>
      <c r="L52" s="59"/>
      <c r="N52" s="97"/>
      <c r="O52" s="36"/>
    </row>
    <row r="53" spans="3:15">
      <c r="C53" s="17"/>
      <c r="D53" s="17"/>
      <c r="E53" s="28">
        <v>43006</v>
      </c>
      <c r="F53" s="34"/>
      <c r="G53" s="34">
        <v>-188650</v>
      </c>
      <c r="H53" s="17"/>
      <c r="I53" s="16"/>
      <c r="J53" s="16"/>
      <c r="K53" s="17"/>
      <c r="N53" s="97"/>
      <c r="O53" s="36"/>
    </row>
    <row r="54" spans="3:15">
      <c r="C54" s="17"/>
      <c r="D54" s="17"/>
      <c r="E54" s="28">
        <v>43080</v>
      </c>
      <c r="F54" s="34"/>
      <c r="G54" s="34">
        <v>-94080</v>
      </c>
      <c r="H54" s="17"/>
      <c r="I54" s="16"/>
      <c r="J54" s="16"/>
      <c r="K54" s="17"/>
      <c r="N54" s="97"/>
      <c r="O54" s="36"/>
    </row>
    <row r="55" spans="3:15">
      <c r="C55" s="17"/>
      <c r="D55" s="17"/>
      <c r="E55" s="28">
        <v>43095</v>
      </c>
      <c r="F55" s="34"/>
      <c r="G55" s="34">
        <v>-187180</v>
      </c>
      <c r="H55" s="17"/>
      <c r="I55" s="16"/>
      <c r="J55" s="16"/>
      <c r="K55" s="17"/>
      <c r="N55" s="97"/>
      <c r="O55" s="36"/>
    </row>
    <row r="56" spans="3:15">
      <c r="C56" s="17" t="s">
        <v>16</v>
      </c>
      <c r="D56" s="17"/>
      <c r="E56" s="28">
        <v>42747</v>
      </c>
      <c r="F56" s="34"/>
      <c r="G56" s="34">
        <v>212932.02</v>
      </c>
      <c r="H56" s="17"/>
      <c r="I56" s="16"/>
      <c r="J56" s="16"/>
      <c r="K56" s="17"/>
      <c r="N56" s="97"/>
      <c r="O56" s="36"/>
    </row>
    <row r="57" spans="3:15">
      <c r="C57" s="17" t="s">
        <v>17</v>
      </c>
      <c r="D57" s="17"/>
      <c r="E57" s="28">
        <v>43130</v>
      </c>
      <c r="F57" s="34"/>
      <c r="G57" s="34">
        <v>-1817900</v>
      </c>
      <c r="H57" s="17"/>
      <c r="I57" s="16"/>
      <c r="J57" s="16"/>
      <c r="K57" s="17"/>
      <c r="N57" s="97"/>
      <c r="O57" s="36"/>
    </row>
    <row r="58" spans="3:15">
      <c r="C58" s="17"/>
      <c r="D58" s="17"/>
      <c r="E58" s="28">
        <v>43143</v>
      </c>
      <c r="F58" s="34"/>
      <c r="G58" s="34">
        <v>503401.5</v>
      </c>
      <c r="H58" s="17"/>
      <c r="I58" s="16"/>
      <c r="J58" s="16"/>
      <c r="K58" s="17"/>
      <c r="N58" s="97"/>
      <c r="O58" s="36"/>
    </row>
    <row r="59" spans="3:15">
      <c r="C59" s="17"/>
      <c r="D59" s="17"/>
      <c r="E59" s="28">
        <v>43173</v>
      </c>
      <c r="F59" s="34"/>
      <c r="G59" s="34">
        <v>-137200</v>
      </c>
      <c r="H59" s="17"/>
      <c r="I59" s="16"/>
      <c r="J59" s="16"/>
      <c r="K59" s="17"/>
      <c r="N59" s="97"/>
      <c r="O59" s="36"/>
    </row>
    <row r="60" spans="3:15">
      <c r="C60" s="17"/>
      <c r="D60" s="17"/>
      <c r="E60" s="28">
        <v>43216</v>
      </c>
      <c r="F60" s="34"/>
      <c r="G60" s="34">
        <v>-245000</v>
      </c>
      <c r="H60" s="17"/>
      <c r="I60" s="16"/>
      <c r="J60" s="16"/>
      <c r="K60" s="17"/>
      <c r="N60" s="97"/>
      <c r="O60" s="36"/>
    </row>
    <row r="61" spans="3:15">
      <c r="C61" s="17"/>
      <c r="D61" s="17"/>
      <c r="E61" s="28">
        <v>43265</v>
      </c>
      <c r="F61" s="34"/>
      <c r="G61" s="34">
        <v>-140139.99</v>
      </c>
      <c r="H61" s="17"/>
      <c r="I61" s="16"/>
      <c r="J61" s="16"/>
      <c r="K61" s="17"/>
      <c r="N61" s="97"/>
      <c r="O61" s="36"/>
    </row>
    <row r="62" spans="3:15">
      <c r="C62" s="17"/>
      <c r="D62" s="17"/>
      <c r="E62" s="28">
        <v>43292</v>
      </c>
      <c r="F62" s="34"/>
      <c r="G62" s="34">
        <v>-245000</v>
      </c>
      <c r="H62" s="17"/>
      <c r="I62" s="16"/>
      <c r="J62" s="16"/>
      <c r="K62" s="17"/>
      <c r="N62" s="97"/>
      <c r="O62" s="36"/>
    </row>
    <row r="63" spans="3:15">
      <c r="C63" s="17"/>
      <c r="D63" s="17"/>
      <c r="E63" s="28">
        <v>43328</v>
      </c>
      <c r="F63" s="34"/>
      <c r="G63" s="34">
        <v>-890819.99</v>
      </c>
      <c r="H63" s="17"/>
      <c r="I63" s="16"/>
      <c r="J63" s="16"/>
      <c r="K63" s="17"/>
      <c r="N63" s="97"/>
      <c r="O63" s="36"/>
    </row>
    <row r="64" spans="3:15">
      <c r="C64" s="17"/>
      <c r="D64" s="17"/>
      <c r="E64" s="28">
        <v>43360</v>
      </c>
      <c r="F64" s="34"/>
      <c r="G64" s="34">
        <v>-135240</v>
      </c>
      <c r="H64" s="17"/>
      <c r="I64" s="16"/>
      <c r="J64" s="16"/>
      <c r="K64" s="17"/>
      <c r="N64" s="97"/>
      <c r="O64" s="36"/>
    </row>
    <row r="65" spans="3:15">
      <c r="C65" s="17"/>
      <c r="D65" s="17"/>
      <c r="E65" s="28">
        <v>43369</v>
      </c>
      <c r="F65" s="34"/>
      <c r="G65" s="34">
        <v>-2935590</v>
      </c>
      <c r="H65" s="17"/>
      <c r="I65" s="16"/>
      <c r="J65" s="16"/>
      <c r="K65" s="17"/>
      <c r="N65" s="97"/>
      <c r="O65" s="36"/>
    </row>
    <row r="66" spans="3:15">
      <c r="C66" s="17"/>
      <c r="D66" s="17"/>
      <c r="E66" s="28">
        <v>43389</v>
      </c>
      <c r="F66" s="34"/>
      <c r="G66" s="34">
        <v>196000.01</v>
      </c>
      <c r="H66" s="17"/>
      <c r="I66" s="16"/>
      <c r="J66" s="16"/>
      <c r="K66" s="17"/>
      <c r="N66" s="97"/>
      <c r="O66" s="36"/>
    </row>
    <row r="67" spans="3:15">
      <c r="C67" s="17"/>
      <c r="D67" s="17"/>
      <c r="E67" s="28">
        <v>43445</v>
      </c>
      <c r="F67" s="34"/>
      <c r="G67" s="34">
        <v>-468930</v>
      </c>
      <c r="H67" s="17"/>
      <c r="I67" s="16"/>
      <c r="J67" s="16"/>
      <c r="K67" s="17"/>
      <c r="N67" s="97"/>
      <c r="O67" s="36"/>
    </row>
    <row r="68" spans="3:15">
      <c r="C68" s="17" t="s">
        <v>18</v>
      </c>
      <c r="D68" s="17"/>
      <c r="E68" s="28">
        <v>43111</v>
      </c>
      <c r="F68" s="34"/>
      <c r="G68" s="34">
        <v>203913.13</v>
      </c>
      <c r="H68" s="17"/>
      <c r="I68" s="16"/>
      <c r="J68" s="16"/>
      <c r="K68" s="17"/>
      <c r="N68" s="97"/>
      <c r="O68" s="36"/>
    </row>
    <row r="69" spans="3:15">
      <c r="C69" s="17"/>
      <c r="D69" s="17"/>
      <c r="E69" s="28">
        <v>43153</v>
      </c>
      <c r="F69" s="34"/>
      <c r="G69" s="34">
        <v>4714276.18</v>
      </c>
      <c r="H69" s="17"/>
      <c r="I69" s="16"/>
      <c r="J69" s="16"/>
      <c r="K69" s="17"/>
      <c r="N69" s="97"/>
      <c r="O69" s="36"/>
    </row>
    <row r="70" spans="3:15">
      <c r="C70" s="17"/>
      <c r="D70" s="17"/>
      <c r="E70" s="28">
        <v>43446</v>
      </c>
      <c r="F70" s="34"/>
      <c r="G70" s="34">
        <v>225200.29</v>
      </c>
      <c r="H70" s="17"/>
      <c r="I70" s="16"/>
      <c r="J70" s="16"/>
      <c r="K70" s="17"/>
      <c r="N70" s="97"/>
      <c r="O70" s="36"/>
    </row>
    <row r="71" spans="3:15">
      <c r="C71" s="17" t="s">
        <v>19</v>
      </c>
      <c r="D71" s="17"/>
      <c r="E71" s="28">
        <v>43522</v>
      </c>
      <c r="F71" s="34"/>
      <c r="G71" s="34">
        <v>-790860</v>
      </c>
      <c r="H71" s="17"/>
      <c r="I71" s="16"/>
      <c r="J71" s="16"/>
      <c r="K71" s="17"/>
      <c r="N71" s="97"/>
      <c r="O71" s="36"/>
    </row>
    <row r="72" spans="3:15">
      <c r="C72" s="17"/>
      <c r="D72" s="17"/>
      <c r="E72" s="28">
        <v>43563</v>
      </c>
      <c r="F72" s="34"/>
      <c r="G72" s="34">
        <v>-397390</v>
      </c>
      <c r="H72" s="17"/>
      <c r="I72" s="16"/>
      <c r="J72" s="16"/>
      <c r="K72" s="17"/>
      <c r="N72" s="97"/>
      <c r="O72" s="36"/>
    </row>
    <row r="73" spans="3:15">
      <c r="C73" s="17"/>
      <c r="D73" s="17"/>
      <c r="E73" s="28">
        <v>43600</v>
      </c>
      <c r="F73" s="34"/>
      <c r="G73" s="34">
        <v>-242550</v>
      </c>
      <c r="H73" s="17"/>
      <c r="I73" s="16"/>
      <c r="J73" s="16"/>
      <c r="K73" s="17"/>
      <c r="N73" s="97"/>
      <c r="O73" s="36"/>
    </row>
    <row r="74" spans="3:15">
      <c r="C74" s="17"/>
      <c r="D74" s="17"/>
      <c r="E74" s="28">
        <v>43643</v>
      </c>
      <c r="F74" s="34"/>
      <c r="G74" s="34">
        <v>-137690</v>
      </c>
      <c r="H74" s="17"/>
      <c r="I74" s="16"/>
      <c r="J74" s="16"/>
      <c r="K74" s="17"/>
      <c r="N74" s="97"/>
      <c r="O74" s="36"/>
    </row>
    <row r="75" spans="3:15">
      <c r="C75" s="17"/>
      <c r="D75" s="17"/>
      <c r="E75" s="28">
        <v>43655</v>
      </c>
      <c r="F75" s="34"/>
      <c r="G75" s="34">
        <v>-215600</v>
      </c>
      <c r="H75" s="17"/>
      <c r="I75" s="16"/>
      <c r="J75" s="16"/>
      <c r="K75" s="17"/>
      <c r="N75" s="97"/>
      <c r="O75" s="36"/>
    </row>
    <row r="76" spans="3:15">
      <c r="C76" s="17"/>
      <c r="D76" s="17"/>
      <c r="E76" s="28">
        <v>43685</v>
      </c>
      <c r="F76" s="34"/>
      <c r="G76" s="34">
        <v>-242060</v>
      </c>
      <c r="H76" s="17"/>
      <c r="I76" s="16"/>
      <c r="J76" s="16"/>
      <c r="K76" s="17"/>
      <c r="N76" s="97"/>
      <c r="O76" s="36"/>
    </row>
    <row r="77" spans="3:15">
      <c r="C77" s="17"/>
      <c r="D77" s="17"/>
      <c r="E77" s="28">
        <v>43697</v>
      </c>
      <c r="F77" s="34"/>
      <c r="G77" s="34">
        <v>-72765</v>
      </c>
      <c r="H77" s="17"/>
      <c r="I77" s="16"/>
      <c r="J77" s="16"/>
      <c r="K77" s="17"/>
      <c r="N77" s="97"/>
      <c r="O77" s="36"/>
    </row>
    <row r="78" spans="3:15">
      <c r="C78" s="17"/>
      <c r="D78" s="17"/>
      <c r="E78" s="28">
        <v>43727</v>
      </c>
      <c r="F78" s="34"/>
      <c r="G78" s="34">
        <v>-200900</v>
      </c>
      <c r="H78" s="17"/>
      <c r="I78" s="16"/>
      <c r="J78" s="16"/>
      <c r="K78" s="17"/>
      <c r="N78" s="97"/>
      <c r="O78" s="36"/>
    </row>
    <row r="79" spans="3:15">
      <c r="C79" s="17"/>
      <c r="D79" s="17"/>
      <c r="E79" s="28">
        <v>43756</v>
      </c>
      <c r="F79" s="34"/>
      <c r="G79" s="34">
        <v>-108780</v>
      </c>
      <c r="H79" s="17"/>
      <c r="I79" s="16"/>
      <c r="J79" s="16"/>
      <c r="K79" s="17"/>
      <c r="N79" s="97"/>
      <c r="O79" s="36"/>
    </row>
    <row r="80" spans="3:15">
      <c r="C80" s="17"/>
      <c r="D80" s="17"/>
      <c r="E80" s="28">
        <v>43783</v>
      </c>
      <c r="F80" s="34"/>
      <c r="G80" s="34">
        <v>-121275</v>
      </c>
      <c r="H80" s="17"/>
      <c r="I80" s="16"/>
      <c r="J80" s="16"/>
      <c r="K80" s="17"/>
      <c r="N80" s="97"/>
      <c r="O80" s="36"/>
    </row>
    <row r="81" spans="3:15">
      <c r="C81" s="17"/>
      <c r="D81" s="17"/>
      <c r="E81" s="28">
        <v>43795</v>
      </c>
      <c r="F81" s="34"/>
      <c r="G81" s="34">
        <v>-297920</v>
      </c>
      <c r="H81" s="17"/>
      <c r="I81" s="16"/>
      <c r="J81" s="16"/>
      <c r="K81" s="17"/>
      <c r="N81" s="97"/>
      <c r="O81" s="36"/>
    </row>
    <row r="82" spans="3:15">
      <c r="C82" s="17"/>
      <c r="D82" s="17"/>
      <c r="E82" s="28">
        <v>43830</v>
      </c>
      <c r="F82" s="34"/>
      <c r="G82" s="34">
        <v>-85260</v>
      </c>
      <c r="H82" s="17"/>
      <c r="I82" s="16"/>
      <c r="J82" s="16"/>
      <c r="K82" s="17"/>
      <c r="N82" s="97"/>
      <c r="O82" s="36"/>
    </row>
    <row r="83" spans="3:15">
      <c r="C83" s="17" t="s">
        <v>20</v>
      </c>
      <c r="D83" s="17"/>
      <c r="E83" s="28">
        <v>43620</v>
      </c>
      <c r="F83" s="34"/>
      <c r="G83" s="34">
        <v>91335.19</v>
      </c>
      <c r="H83" s="17"/>
      <c r="I83" s="16"/>
      <c r="J83" s="16"/>
      <c r="K83" s="17"/>
      <c r="N83" s="97"/>
      <c r="O83" s="36"/>
    </row>
    <row r="84" spans="3:15">
      <c r="C84" s="17"/>
      <c r="D84" s="17"/>
      <c r="E84" s="28">
        <v>43669</v>
      </c>
      <c r="F84" s="34"/>
      <c r="G84" s="34">
        <v>354698.98</v>
      </c>
      <c r="H84" s="17"/>
      <c r="I84" s="16"/>
      <c r="J84" s="16"/>
      <c r="K84" s="17"/>
      <c r="N84" s="97"/>
      <c r="O84" s="36"/>
    </row>
    <row r="85" spans="3:15">
      <c r="C85" s="17"/>
      <c r="D85" s="17"/>
      <c r="E85" s="28">
        <v>43717</v>
      </c>
      <c r="F85" s="34"/>
      <c r="G85" s="34">
        <v>120815.6</v>
      </c>
      <c r="H85" s="17"/>
      <c r="I85" s="16"/>
      <c r="J85" s="16"/>
      <c r="K85" s="17"/>
      <c r="N85" s="97"/>
      <c r="O85" s="36"/>
    </row>
    <row r="86" spans="3:15">
      <c r="C86" s="17" t="s">
        <v>21</v>
      </c>
      <c r="D86" s="17"/>
      <c r="E86" s="28">
        <v>43858</v>
      </c>
      <c r="F86" s="34"/>
      <c r="G86" s="34">
        <v>-129850</v>
      </c>
      <c r="H86" s="17"/>
      <c r="I86" s="16"/>
      <c r="J86" s="16"/>
      <c r="K86" s="17"/>
      <c r="N86" s="97"/>
      <c r="O86" s="36"/>
    </row>
    <row r="87" spans="3:15">
      <c r="C87" s="17"/>
      <c r="D87" s="17"/>
      <c r="E87" s="28">
        <v>43860</v>
      </c>
      <c r="F87" s="34"/>
      <c r="G87" s="34">
        <v>-146020</v>
      </c>
      <c r="H87" s="17"/>
      <c r="I87" s="16"/>
      <c r="J87" s="16"/>
      <c r="K87" s="17"/>
      <c r="N87" s="97"/>
      <c r="O87" s="36"/>
    </row>
    <row r="88" spans="3:15">
      <c r="C88" s="17"/>
      <c r="D88" s="17"/>
      <c r="E88" s="28">
        <v>43915</v>
      </c>
      <c r="F88" s="34"/>
      <c r="G88" s="34">
        <v>-138180</v>
      </c>
      <c r="H88" s="17"/>
      <c r="I88" s="16"/>
      <c r="J88" s="16"/>
      <c r="K88" s="17"/>
      <c r="N88" s="97"/>
      <c r="O88" s="36"/>
    </row>
    <row r="89" spans="3:15">
      <c r="C89" s="17"/>
      <c r="D89" s="17"/>
      <c r="E89" s="28">
        <v>43917</v>
      </c>
      <c r="F89" s="34"/>
      <c r="G89" s="34">
        <v>-33957</v>
      </c>
      <c r="H89" s="17"/>
      <c r="I89" s="16"/>
      <c r="J89" s="16"/>
      <c r="K89" s="17"/>
      <c r="N89" s="97"/>
      <c r="O89" s="36"/>
    </row>
    <row r="90" spans="3:15">
      <c r="C90" s="17"/>
      <c r="D90" s="17"/>
      <c r="E90" s="28">
        <v>43980</v>
      </c>
      <c r="F90" s="34"/>
      <c r="G90" s="34">
        <v>-143570</v>
      </c>
      <c r="H90" s="17"/>
      <c r="I90" s="16"/>
      <c r="J90" s="16"/>
      <c r="K90" s="17"/>
      <c r="N90" s="97"/>
      <c r="O90" s="36"/>
    </row>
    <row r="91" spans="3:15">
      <c r="C91" s="17"/>
      <c r="D91" s="17"/>
      <c r="E91" s="28">
        <v>43999</v>
      </c>
      <c r="F91" s="34"/>
      <c r="G91" s="34">
        <v>-196000</v>
      </c>
      <c r="H91" s="17"/>
      <c r="I91" s="16"/>
      <c r="J91" s="16"/>
      <c r="K91" s="17"/>
      <c r="N91" s="97"/>
      <c r="O91" s="36"/>
    </row>
    <row r="92" spans="3:15">
      <c r="C92" s="17"/>
      <c r="D92" s="17"/>
      <c r="E92" s="28">
        <v>44047</v>
      </c>
      <c r="F92" s="34"/>
      <c r="G92" s="34">
        <v>-15863.29</v>
      </c>
      <c r="H92" s="17"/>
      <c r="I92" s="16"/>
      <c r="J92" s="16"/>
      <c r="K92" s="17"/>
      <c r="N92" s="97"/>
      <c r="O92" s="36"/>
    </row>
    <row r="93" spans="3:15">
      <c r="C93" s="17" t="s">
        <v>30</v>
      </c>
      <c r="D93" s="17"/>
      <c r="E93" s="28">
        <v>43888</v>
      </c>
      <c r="F93" s="34"/>
      <c r="G93" s="34">
        <v>455928.93</v>
      </c>
      <c r="H93" s="17"/>
      <c r="I93" s="16"/>
      <c r="J93" s="16"/>
      <c r="K93" s="17"/>
      <c r="N93" s="97"/>
      <c r="O93" s="36"/>
    </row>
    <row r="94" spans="3:15" ht="12.75" customHeight="1">
      <c r="C94" s="17"/>
      <c r="D94" s="17"/>
      <c r="E94" s="28">
        <v>44089</v>
      </c>
      <c r="F94" s="34"/>
      <c r="G94" s="34">
        <v>67815.69</v>
      </c>
      <c r="H94" s="17"/>
      <c r="I94" s="16"/>
      <c r="J94" s="16"/>
      <c r="K94" s="17"/>
      <c r="N94" s="97"/>
      <c r="O94" s="36"/>
    </row>
    <row r="95" spans="3:15" ht="12.75" customHeight="1">
      <c r="C95" s="17" t="s">
        <v>31</v>
      </c>
      <c r="D95" s="17"/>
      <c r="E95" s="28">
        <v>44202</v>
      </c>
      <c r="F95" s="34"/>
      <c r="G95" s="34">
        <v>-95550</v>
      </c>
      <c r="H95" s="17"/>
      <c r="I95" s="16"/>
      <c r="J95" s="16"/>
      <c r="K95" s="17"/>
      <c r="L95" s="12"/>
      <c r="N95" s="97"/>
      <c r="O95" s="36"/>
    </row>
    <row r="96" spans="3:15" ht="12.75" customHeight="1">
      <c r="C96" s="17"/>
      <c r="D96" s="17"/>
      <c r="E96" s="28">
        <v>44377</v>
      </c>
      <c r="F96" s="34"/>
      <c r="G96" s="34">
        <v>-46060</v>
      </c>
      <c r="H96" s="17"/>
      <c r="I96" s="16"/>
      <c r="J96" s="16"/>
      <c r="K96" s="17"/>
      <c r="L96" s="12"/>
      <c r="N96" s="97"/>
      <c r="O96" s="36"/>
    </row>
    <row r="97" spans="3:15" ht="12.75" customHeight="1">
      <c r="C97" s="17"/>
      <c r="D97" s="17"/>
      <c r="E97" s="28">
        <v>44469</v>
      </c>
      <c r="F97" s="34"/>
      <c r="G97" s="34">
        <v>-45570</v>
      </c>
      <c r="H97" s="17"/>
      <c r="I97" s="16"/>
      <c r="J97" s="16"/>
      <c r="K97" s="17"/>
      <c r="L97" s="12"/>
      <c r="N97" s="97"/>
      <c r="O97" s="36"/>
    </row>
    <row r="98" spans="3:15" ht="12.75" customHeight="1">
      <c r="C98" s="17"/>
      <c r="D98" s="17"/>
      <c r="E98" s="28">
        <v>44545</v>
      </c>
      <c r="F98" s="34"/>
      <c r="G98" s="34">
        <v>-45570</v>
      </c>
      <c r="H98" s="17"/>
      <c r="I98" s="16"/>
      <c r="J98" s="16"/>
      <c r="K98" s="17"/>
      <c r="L98" s="12"/>
      <c r="N98" s="97"/>
      <c r="O98" s="36"/>
    </row>
    <row r="99" spans="3:15" ht="12.75" customHeight="1">
      <c r="C99" s="17" t="s">
        <v>22</v>
      </c>
      <c r="D99" s="17"/>
      <c r="E99" s="28">
        <v>44265</v>
      </c>
      <c r="F99" s="34"/>
      <c r="G99" s="34">
        <v>226087.04000000001</v>
      </c>
      <c r="H99" s="17"/>
      <c r="I99" s="16"/>
      <c r="J99" s="16"/>
      <c r="K99" s="17"/>
      <c r="L99" s="12"/>
      <c r="N99" s="97"/>
      <c r="O99" s="36"/>
    </row>
    <row r="100" spans="3:15" ht="12.75" customHeight="1">
      <c r="C100" s="17"/>
      <c r="D100" s="17"/>
      <c r="E100" s="28">
        <v>44376</v>
      </c>
      <c r="F100" s="34"/>
      <c r="G100" s="34">
        <v>116286.97</v>
      </c>
      <c r="H100" s="17"/>
      <c r="I100" s="16"/>
      <c r="J100" s="16"/>
      <c r="K100" s="17"/>
      <c r="L100" s="12"/>
      <c r="N100" s="97"/>
      <c r="O100" s="36"/>
    </row>
    <row r="101" spans="3:15" ht="12.75" customHeight="1">
      <c r="C101" s="17"/>
      <c r="D101" s="17"/>
      <c r="E101" s="28">
        <v>44449</v>
      </c>
      <c r="F101" s="34"/>
      <c r="G101" s="34">
        <v>200808.29</v>
      </c>
      <c r="H101" s="17"/>
      <c r="I101" s="16"/>
      <c r="J101" s="16"/>
      <c r="K101" s="17"/>
      <c r="L101" s="12"/>
      <c r="N101" s="97"/>
      <c r="O101" s="36"/>
    </row>
    <row r="102" spans="3:15" ht="12.75" customHeight="1">
      <c r="C102" s="17"/>
      <c r="D102" s="17"/>
      <c r="E102" s="28">
        <v>44488</v>
      </c>
      <c r="F102" s="34"/>
      <c r="G102" s="34">
        <v>2852325.78</v>
      </c>
      <c r="H102" s="17"/>
      <c r="I102" s="16"/>
      <c r="J102" s="16"/>
      <c r="K102" s="17"/>
      <c r="L102" s="12"/>
      <c r="N102" s="97"/>
      <c r="O102" s="36"/>
    </row>
    <row r="103" spans="3:15" ht="12.75" customHeight="1">
      <c r="C103" s="17"/>
      <c r="D103" s="17"/>
      <c r="E103" s="28">
        <v>44540</v>
      </c>
      <c r="F103" s="34"/>
      <c r="G103" s="34">
        <v>267815.59999999998</v>
      </c>
      <c r="H103" s="17"/>
      <c r="I103" s="16"/>
      <c r="J103" s="16"/>
      <c r="K103" s="17"/>
      <c r="L103" s="12"/>
      <c r="N103" s="97"/>
      <c r="O103" s="36"/>
    </row>
    <row r="104" spans="3:15" ht="12.75" customHeight="1">
      <c r="C104" s="17" t="s">
        <v>32</v>
      </c>
      <c r="D104" s="17"/>
      <c r="E104" s="28">
        <v>44650</v>
      </c>
      <c r="F104" s="34"/>
      <c r="G104" s="34">
        <v>-40180</v>
      </c>
      <c r="H104" s="17"/>
      <c r="I104" s="16"/>
      <c r="J104" s="16"/>
      <c r="K104" s="17"/>
      <c r="L104" s="12"/>
      <c r="N104" s="97"/>
      <c r="O104" s="36"/>
    </row>
    <row r="105" spans="3:15" ht="12.75" customHeight="1">
      <c r="C105" s="17"/>
      <c r="D105" s="17"/>
      <c r="E105" s="28">
        <v>44742</v>
      </c>
      <c r="F105" s="34"/>
      <c r="G105" s="34">
        <v>-36260</v>
      </c>
      <c r="H105" s="17"/>
      <c r="I105" s="16"/>
      <c r="J105" s="16"/>
      <c r="K105" s="17"/>
      <c r="L105" s="12"/>
      <c r="N105" s="97"/>
      <c r="O105" s="36"/>
    </row>
    <row r="106" spans="3:15" ht="12.75" customHeight="1">
      <c r="C106" s="17"/>
      <c r="D106" s="17"/>
      <c r="E106" s="28">
        <v>44827</v>
      </c>
      <c r="F106" s="34"/>
      <c r="G106" s="34">
        <v>-36260</v>
      </c>
      <c r="H106" s="17"/>
      <c r="I106" s="16"/>
      <c r="J106" s="16"/>
      <c r="K106" s="17"/>
      <c r="L106" s="12"/>
      <c r="N106" s="97"/>
      <c r="O106" s="36"/>
    </row>
    <row r="107" spans="3:15" ht="12.75" customHeight="1">
      <c r="C107" s="17"/>
      <c r="D107" s="17"/>
      <c r="E107" s="28">
        <v>44925</v>
      </c>
      <c r="F107" s="34"/>
      <c r="G107" s="34">
        <v>-35770</v>
      </c>
      <c r="H107" s="17"/>
      <c r="I107" s="16"/>
      <c r="J107" s="16"/>
      <c r="K107" s="17"/>
      <c r="L107" s="12"/>
      <c r="N107" s="97"/>
      <c r="O107" s="36"/>
    </row>
    <row r="108" spans="3:15" ht="12.75" customHeight="1">
      <c r="C108" s="17" t="s">
        <v>23</v>
      </c>
      <c r="D108" s="17"/>
      <c r="E108" s="28">
        <v>44645</v>
      </c>
      <c r="F108" s="34"/>
      <c r="G108" s="34">
        <v>253427.3</v>
      </c>
      <c r="H108" s="17"/>
      <c r="I108" s="16"/>
      <c r="J108" s="16"/>
      <c r="K108" s="17"/>
      <c r="L108" s="12"/>
      <c r="N108" s="97"/>
      <c r="O108" s="36"/>
    </row>
    <row r="109" spans="3:15" ht="12.75" customHeight="1">
      <c r="C109" s="17"/>
      <c r="D109" s="17"/>
      <c r="E109" s="28">
        <v>44721</v>
      </c>
      <c r="F109" s="34"/>
      <c r="G109" s="34">
        <v>125159.36</v>
      </c>
      <c r="H109" s="17"/>
      <c r="I109" s="16"/>
      <c r="J109" s="16"/>
      <c r="K109" s="17"/>
      <c r="L109" s="12"/>
      <c r="N109" s="97"/>
      <c r="O109" s="36"/>
    </row>
    <row r="110" spans="3:15" ht="12.75" customHeight="1">
      <c r="C110" s="17"/>
      <c r="D110" s="17"/>
      <c r="E110" s="28">
        <v>44791</v>
      </c>
      <c r="F110" s="34"/>
      <c r="G110" s="34">
        <v>531625.44999999995</v>
      </c>
      <c r="H110" s="17"/>
      <c r="I110" s="16"/>
      <c r="J110" s="16"/>
      <c r="K110" s="17"/>
      <c r="L110" s="12"/>
      <c r="N110" s="97"/>
      <c r="O110" s="36"/>
    </row>
    <row r="111" spans="3:15" ht="12.75" customHeight="1">
      <c r="C111" s="17"/>
      <c r="D111" s="17"/>
      <c r="E111" s="28">
        <v>44888</v>
      </c>
      <c r="F111" s="34"/>
      <c r="G111" s="34">
        <v>113135.23</v>
      </c>
      <c r="H111" s="17"/>
      <c r="I111" s="16"/>
      <c r="J111" s="16"/>
      <c r="K111" s="17"/>
      <c r="L111" s="12"/>
      <c r="N111" s="97"/>
      <c r="O111" s="36"/>
    </row>
    <row r="112" spans="3:15" ht="12.75" customHeight="1">
      <c r="C112" s="17" t="s">
        <v>33</v>
      </c>
      <c r="D112" s="17"/>
      <c r="E112" s="28">
        <v>45009</v>
      </c>
      <c r="F112" s="34"/>
      <c r="G112" s="34">
        <v>-35770</v>
      </c>
      <c r="H112" s="17"/>
      <c r="I112" s="16"/>
      <c r="J112" s="16"/>
      <c r="K112" s="17"/>
      <c r="L112" s="12"/>
      <c r="N112" s="97"/>
      <c r="O112" s="36"/>
    </row>
    <row r="113" spans="3:15" ht="12.75" customHeight="1">
      <c r="C113" s="17"/>
      <c r="D113" s="17"/>
      <c r="E113" s="28">
        <v>45112</v>
      </c>
      <c r="F113" s="34"/>
      <c r="G113" s="34">
        <v>-28910</v>
      </c>
      <c r="H113" s="17"/>
      <c r="I113" s="16"/>
      <c r="J113" s="16"/>
      <c r="K113" s="17"/>
      <c r="L113" s="12"/>
      <c r="N113" s="97"/>
      <c r="O113" s="36"/>
    </row>
    <row r="114" spans="3:15" ht="12.75" customHeight="1">
      <c r="C114" s="17"/>
      <c r="D114" s="17"/>
      <c r="E114" s="28">
        <v>45196</v>
      </c>
      <c r="F114" s="34"/>
      <c r="G114" s="34">
        <v>-28910</v>
      </c>
      <c r="H114" s="17"/>
      <c r="I114" s="16"/>
      <c r="J114" s="16"/>
      <c r="K114" s="17"/>
      <c r="L114" s="12"/>
      <c r="N114" s="97"/>
      <c r="O114" s="36"/>
    </row>
    <row r="115" spans="3:15" ht="12.75" customHeight="1">
      <c r="C115" s="17" t="s">
        <v>24</v>
      </c>
      <c r="D115" s="17"/>
      <c r="E115" s="28">
        <v>45001</v>
      </c>
      <c r="F115" s="34"/>
      <c r="G115" s="34">
        <v>615405.61</v>
      </c>
      <c r="H115" s="17"/>
      <c r="I115" s="16"/>
      <c r="J115" s="16"/>
      <c r="K115" s="17"/>
      <c r="L115" s="12"/>
      <c r="N115" s="97"/>
      <c r="O115" s="36"/>
    </row>
    <row r="116" spans="3:15" ht="12.75" customHeight="1">
      <c r="C116" s="17"/>
      <c r="D116" s="17"/>
      <c r="E116" s="28">
        <v>45050</v>
      </c>
      <c r="F116" s="34"/>
      <c r="G116" s="34">
        <v>1802114.36</v>
      </c>
      <c r="H116" s="17"/>
      <c r="I116" s="16"/>
      <c r="J116" s="16"/>
      <c r="K116" s="17"/>
      <c r="L116" s="12"/>
      <c r="N116" s="97"/>
      <c r="O116" s="36"/>
    </row>
    <row r="117" spans="3:15" ht="12.75" customHeight="1">
      <c r="C117" s="17"/>
      <c r="D117" s="17"/>
      <c r="E117" s="28">
        <v>45134</v>
      </c>
      <c r="F117" s="34"/>
      <c r="G117" s="34">
        <v>646365.74</v>
      </c>
      <c r="H117" s="17"/>
      <c r="I117" s="16"/>
      <c r="J117" s="16"/>
      <c r="K117" s="17"/>
      <c r="L117" s="12"/>
      <c r="N117" s="97"/>
      <c r="O117" s="36"/>
    </row>
    <row r="118" spans="3:15" ht="12.75" customHeight="1">
      <c r="C118" s="17"/>
      <c r="D118" s="17"/>
      <c r="E118" s="28">
        <v>45161</v>
      </c>
      <c r="F118" s="34"/>
      <c r="G118" s="34">
        <v>551292.55000000005</v>
      </c>
      <c r="H118" s="17"/>
      <c r="I118" s="16"/>
      <c r="J118" s="16"/>
      <c r="K118" s="17"/>
      <c r="L118" s="12"/>
      <c r="N118" s="97"/>
      <c r="O118" s="36"/>
    </row>
    <row r="119" spans="3:15" ht="12.75" customHeight="1">
      <c r="C119" s="17"/>
      <c r="D119" s="17"/>
      <c r="E119" s="28">
        <v>45183</v>
      </c>
      <c r="F119" s="34"/>
      <c r="G119" s="34">
        <v>157557.38</v>
      </c>
      <c r="H119" s="17"/>
      <c r="I119" s="16"/>
      <c r="J119" s="16"/>
      <c r="K119" s="17"/>
      <c r="L119" s="12"/>
      <c r="N119" s="97"/>
      <c r="O119" s="36"/>
    </row>
    <row r="120" spans="3:15" ht="12.75" customHeight="1">
      <c r="C120" s="17"/>
      <c r="D120" s="17"/>
      <c r="E120" s="28">
        <v>45224</v>
      </c>
      <c r="F120" s="34"/>
      <c r="G120" s="34">
        <v>733036.55</v>
      </c>
      <c r="H120" s="17"/>
      <c r="I120" s="16"/>
      <c r="J120" s="16"/>
      <c r="K120" s="17"/>
      <c r="L120" s="12"/>
      <c r="N120" s="97"/>
      <c r="O120" s="36"/>
    </row>
    <row r="121" spans="3:15" ht="12.75" customHeight="1">
      <c r="C121" s="17"/>
      <c r="D121" s="17"/>
      <c r="E121" s="28">
        <v>45279</v>
      </c>
      <c r="F121" s="34"/>
      <c r="G121" s="34">
        <v>133497.54</v>
      </c>
      <c r="H121" s="17"/>
      <c r="I121" s="16"/>
      <c r="J121" s="16"/>
      <c r="K121" s="17"/>
      <c r="L121" s="12"/>
      <c r="N121" s="97"/>
      <c r="O121" s="36"/>
    </row>
    <row r="122" spans="3:15" ht="12.75" customHeight="1">
      <c r="C122" s="17" t="s">
        <v>36</v>
      </c>
      <c r="D122" s="17"/>
      <c r="E122" s="28">
        <v>45391</v>
      </c>
      <c r="F122" s="34"/>
      <c r="G122" s="34">
        <v>-46060</v>
      </c>
      <c r="H122" s="17"/>
      <c r="I122" s="16"/>
      <c r="J122" s="16"/>
      <c r="K122" s="17"/>
      <c r="L122" s="12"/>
      <c r="N122" s="97"/>
      <c r="O122" s="36"/>
    </row>
    <row r="123" spans="3:15" ht="12.75" customHeight="1">
      <c r="C123" s="17" t="s">
        <v>35</v>
      </c>
      <c r="D123" s="17"/>
      <c r="E123" s="28">
        <v>45328</v>
      </c>
      <c r="F123" s="34"/>
      <c r="G123" s="34">
        <v>254916.35</v>
      </c>
      <c r="H123" s="17"/>
      <c r="I123" s="16"/>
      <c r="J123" s="16"/>
      <c r="K123" s="17"/>
      <c r="L123" s="12"/>
      <c r="N123" s="97"/>
      <c r="O123" s="36"/>
    </row>
    <row r="124" spans="3:15" ht="12.75" customHeight="1">
      <c r="C124" s="17"/>
      <c r="D124" s="17"/>
      <c r="E124" s="28">
        <v>45442</v>
      </c>
      <c r="F124" s="34"/>
      <c r="G124" s="34">
        <v>238707.87</v>
      </c>
      <c r="H124" s="17"/>
      <c r="I124" s="16"/>
      <c r="J124" s="16"/>
      <c r="K124" s="17"/>
      <c r="L124" s="12"/>
      <c r="N124" s="97"/>
      <c r="O124" s="36"/>
    </row>
    <row r="125" spans="3:15" ht="12.75" customHeight="1">
      <c r="C125" s="17"/>
      <c r="D125" s="17"/>
      <c r="E125" s="28"/>
      <c r="F125" s="34"/>
      <c r="G125" s="34"/>
      <c r="H125" s="17"/>
      <c r="I125" s="16"/>
      <c r="J125" s="16"/>
      <c r="K125" s="17"/>
      <c r="L125" s="12"/>
      <c r="N125" s="97"/>
      <c r="O125" s="36"/>
    </row>
    <row r="126" spans="3:15" ht="4.5" customHeight="1">
      <c r="C126" s="17"/>
      <c r="D126" s="17"/>
      <c r="E126" s="28"/>
      <c r="F126" s="17"/>
      <c r="G126" s="34"/>
      <c r="H126" s="17"/>
      <c r="I126" s="16"/>
      <c r="J126" s="16"/>
      <c r="O126" s="36"/>
    </row>
    <row r="127" spans="3:15" ht="15.5">
      <c r="C127" s="17" t="s">
        <v>25</v>
      </c>
      <c r="D127" s="17"/>
      <c r="E127" s="28">
        <f>+E8</f>
        <v>45473</v>
      </c>
      <c r="F127" s="17"/>
      <c r="G127" s="35">
        <f>L127/0.98*C22</f>
        <v>7959418.8799999999</v>
      </c>
      <c r="H127" s="17"/>
      <c r="I127" s="34">
        <f>+SUMIF($G$24:$G$126,"&lt;0",$G$24:$G$126)+G58+G66</f>
        <v>-17896918.759999998</v>
      </c>
      <c r="J127" s="17" t="s">
        <v>26</v>
      </c>
      <c r="L127" s="59">
        <v>1591883776</v>
      </c>
      <c r="M127" s="12"/>
    </row>
    <row r="128" spans="3:15">
      <c r="C128" s="17"/>
      <c r="D128" s="17"/>
      <c r="E128" s="17"/>
      <c r="F128" s="17"/>
      <c r="G128" s="17"/>
      <c r="H128" s="17"/>
      <c r="I128" s="34">
        <f>+SUMIF($G$24:$G$126,"&gt;0",$G$24:$G$126)-G58-G66</f>
        <v>17250964.809999999</v>
      </c>
      <c r="J128" s="17" t="s">
        <v>27</v>
      </c>
      <c r="M128" s="36"/>
    </row>
    <row r="129" spans="3:13">
      <c r="C129" t="s">
        <v>28</v>
      </c>
      <c r="G129" s="38">
        <f>+XIRR(G24:G127,E24:E127,0.1)</f>
        <v>9.9048942327499417E-2</v>
      </c>
      <c r="H129" s="17"/>
      <c r="M129" s="37"/>
    </row>
    <row r="130" spans="3:13">
      <c r="C130" s="17"/>
      <c r="D130" s="17"/>
      <c r="E130" s="17"/>
      <c r="F130" s="17"/>
      <c r="G130" s="17"/>
      <c r="H130" s="17"/>
    </row>
    <row r="131" spans="3:13">
      <c r="C131" s="17"/>
      <c r="D131" s="17"/>
      <c r="E131" s="17"/>
      <c r="F131" s="17"/>
      <c r="G131" s="17"/>
      <c r="H131" s="17"/>
      <c r="M131" s="37"/>
    </row>
    <row r="132" spans="3:13">
      <c r="C132" s="40"/>
      <c r="D132" s="40"/>
      <c r="E132" s="40"/>
      <c r="F132" s="40"/>
      <c r="G132" s="40"/>
    </row>
    <row r="133" spans="3:13">
      <c r="C133" s="40"/>
      <c r="D133" s="40"/>
      <c r="E133" s="39"/>
      <c r="F133" s="39"/>
      <c r="G133" s="39"/>
    </row>
    <row r="134" spans="3:13">
      <c r="C134" s="40"/>
      <c r="D134" s="40"/>
      <c r="E134" s="40"/>
      <c r="F134" s="40"/>
      <c r="G134" s="40"/>
    </row>
    <row r="135" spans="3:13">
      <c r="C135" s="40"/>
      <c r="D135" s="40"/>
      <c r="E135" s="60"/>
      <c r="F135" s="41"/>
      <c r="G135" s="60"/>
    </row>
    <row r="136" spans="3:13">
      <c r="C136" s="40"/>
      <c r="D136" s="40"/>
      <c r="E136" s="42"/>
      <c r="F136" s="41"/>
      <c r="G136" s="42"/>
    </row>
    <row r="137" spans="3:13">
      <c r="C137" s="40"/>
      <c r="D137" s="40"/>
      <c r="E137" s="42"/>
      <c r="F137" s="41"/>
      <c r="G137" s="42"/>
    </row>
    <row r="138" spans="3:13">
      <c r="C138" s="43"/>
      <c r="D138" s="40"/>
      <c r="E138" s="42"/>
      <c r="F138" s="41"/>
      <c r="G138" s="42"/>
      <c r="I138" s="113"/>
    </row>
    <row r="139" spans="3:13">
      <c r="C139" s="43"/>
      <c r="D139" s="40"/>
      <c r="E139" s="42"/>
      <c r="F139" s="41"/>
      <c r="G139" s="42"/>
      <c r="I139" s="113"/>
    </row>
    <row r="140" spans="3:13">
      <c r="C140" s="44"/>
      <c r="D140" s="40"/>
      <c r="E140" s="42"/>
      <c r="F140" s="41"/>
      <c r="G140" s="42"/>
    </row>
    <row r="141" spans="3:13">
      <c r="C141" s="40"/>
      <c r="D141" s="40"/>
      <c r="E141" s="42"/>
      <c r="F141" s="41"/>
      <c r="G141" s="42"/>
    </row>
    <row r="142" spans="3:13">
      <c r="C142" s="40"/>
      <c r="D142" s="40"/>
      <c r="E142" s="42"/>
      <c r="F142" s="41"/>
      <c r="G142" s="42"/>
    </row>
    <row r="143" spans="3:13">
      <c r="C143" s="40"/>
      <c r="D143" s="40"/>
      <c r="E143" s="42"/>
      <c r="F143" s="41"/>
      <c r="G143" s="42"/>
    </row>
    <row r="144" spans="3:13">
      <c r="C144" s="40"/>
      <c r="D144" s="40"/>
      <c r="E144" s="42"/>
      <c r="F144" s="41"/>
      <c r="G144" s="42"/>
    </row>
    <row r="145" spans="3:9">
      <c r="C145" s="40"/>
      <c r="D145" s="40"/>
      <c r="E145" s="42"/>
      <c r="F145" s="41"/>
      <c r="G145" s="42"/>
    </row>
    <row r="146" spans="3:9">
      <c r="C146" s="40"/>
      <c r="D146" s="40"/>
      <c r="E146" s="42"/>
      <c r="F146" s="41"/>
      <c r="G146" s="42"/>
    </row>
    <row r="147" spans="3:9" ht="5.15" customHeight="1">
      <c r="E147" s="45"/>
      <c r="F147" s="45"/>
      <c r="G147" s="45"/>
    </row>
    <row r="148" spans="3:9">
      <c r="E148" s="46"/>
      <c r="F148" s="46"/>
      <c r="G148" s="46"/>
    </row>
    <row r="150" spans="3:9" ht="13">
      <c r="C150" s="40"/>
      <c r="D150" s="40"/>
      <c r="E150" s="2"/>
      <c r="F150" s="2"/>
      <c r="G150" s="2"/>
      <c r="I150" s="114"/>
    </row>
    <row r="151" spans="3:9">
      <c r="C151" s="40"/>
      <c r="D151" s="40"/>
      <c r="E151" s="39"/>
      <c r="F151" s="39"/>
      <c r="G151" s="39"/>
    </row>
    <row r="152" spans="3:9">
      <c r="C152" s="40"/>
      <c r="D152" s="40"/>
      <c r="E152" s="40"/>
      <c r="F152" s="40"/>
      <c r="G152" s="40"/>
    </row>
    <row r="153" spans="3:9">
      <c r="C153" s="40"/>
      <c r="D153" s="40"/>
      <c r="E153" s="60"/>
      <c r="F153" s="42"/>
      <c r="G153" s="60"/>
    </row>
    <row r="154" spans="3:9">
      <c r="C154" s="40"/>
      <c r="D154" s="40"/>
      <c r="E154" s="42"/>
      <c r="F154" s="42"/>
      <c r="G154" s="42"/>
    </row>
    <row r="155" spans="3:9">
      <c r="C155" s="40"/>
      <c r="D155" s="40"/>
      <c r="E155" s="42"/>
      <c r="F155" s="42"/>
      <c r="G155" s="42"/>
    </row>
    <row r="156" spans="3:9">
      <c r="C156" s="40"/>
      <c r="D156" s="40"/>
      <c r="E156" s="42"/>
      <c r="F156" s="42"/>
      <c r="G156" s="42"/>
    </row>
    <row r="157" spans="3:9">
      <c r="C157" s="40"/>
      <c r="D157" s="40"/>
      <c r="E157" s="42"/>
      <c r="F157" s="42"/>
      <c r="G157" s="42"/>
    </row>
    <row r="158" spans="3:9">
      <c r="C158" s="40"/>
      <c r="D158" s="40"/>
      <c r="E158" s="42"/>
      <c r="F158" s="42"/>
      <c r="G158" s="42"/>
    </row>
    <row r="159" spans="3:9">
      <c r="C159" s="40"/>
      <c r="D159" s="40"/>
      <c r="E159" s="42"/>
      <c r="F159" s="42"/>
      <c r="G159" s="42"/>
    </row>
    <row r="160" spans="3:9">
      <c r="C160" s="40"/>
      <c r="D160" s="40"/>
      <c r="E160" s="42"/>
      <c r="F160" s="42"/>
      <c r="G160" s="42"/>
    </row>
  </sheetData>
  <mergeCells count="1">
    <mergeCell ref="E150:G150"/>
  </mergeCells>
  <pageMargins left="0.75" right="0.33" top="1" bottom="1" header="0.5" footer="0.5"/>
  <pageSetup scale="68" orientation="landscape" r:id="rId1"/>
  <headerFooter alignWithMargins="0">
    <oddHeader>&amp;C&amp;G</oddHeader>
    <oddFooter>&amp;C&amp;G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B20C-6883-4075-8F9B-579DF171AE44}">
  <sheetPr>
    <tabColor rgb="FF92D050"/>
    <pageSetUpPr fitToPage="1"/>
  </sheetPr>
  <dimension ref="B4:O155"/>
  <sheetViews>
    <sheetView showGridLines="0" view="pageLayout" topLeftCell="A107" zoomScaleNormal="100" workbookViewId="0">
      <selection activeCell="L127" sqref="L127"/>
    </sheetView>
  </sheetViews>
  <sheetFormatPr defaultRowHeight="12.5"/>
  <cols>
    <col min="2" max="2" width="4.81640625" customWidth="1"/>
    <col min="3" max="3" width="50.54296875" customWidth="1"/>
    <col min="4" max="4" width="1.54296875" customWidth="1"/>
    <col min="5" max="5" width="12.1796875" customWidth="1"/>
    <col min="6" max="6" width="1.54296875" customWidth="1"/>
    <col min="7" max="7" width="12.1796875" customWidth="1"/>
    <col min="8" max="8" width="2.453125" customWidth="1"/>
    <col min="9" max="9" width="11.7265625" bestFit="1" customWidth="1"/>
    <col min="10" max="10" width="11.7265625" customWidth="1"/>
    <col min="12" max="12" width="18.1796875" customWidth="1"/>
    <col min="13" max="13" width="16.81640625" customWidth="1"/>
    <col min="14" max="14" width="13.1796875" bestFit="1" customWidth="1"/>
    <col min="15" max="15" width="11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III'!E8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2" ht="15.5">
      <c r="C17" s="18" t="s">
        <v>0</v>
      </c>
      <c r="D17" s="18"/>
      <c r="E17" s="19"/>
      <c r="F17" s="18"/>
      <c r="G17" s="19"/>
      <c r="H17" s="7"/>
      <c r="I17" s="50"/>
    </row>
    <row r="18" spans="3:12" ht="12.75" customHeight="1">
      <c r="C18" s="13" t="s">
        <v>1</v>
      </c>
      <c r="D18" s="13"/>
      <c r="E18" s="21">
        <f>G129</f>
        <v>9.5954689383506778E-2</v>
      </c>
      <c r="F18" s="13"/>
      <c r="G18" s="20"/>
      <c r="H18" s="21"/>
      <c r="I18" s="50"/>
    </row>
    <row r="19" spans="3:12">
      <c r="C19" s="13" t="s">
        <v>2</v>
      </c>
      <c r="D19" s="13"/>
      <c r="E19" s="25">
        <f>-(G127+I128)/I127</f>
        <v>1.4007355896011207</v>
      </c>
      <c r="F19" s="13"/>
      <c r="G19" s="14"/>
      <c r="H19" s="15"/>
    </row>
    <row r="20" spans="3:12">
      <c r="C20" s="13"/>
      <c r="D20" s="13"/>
      <c r="E20" s="13"/>
      <c r="F20" s="13"/>
      <c r="G20" s="15"/>
    </row>
    <row r="21" spans="3:12" ht="15.5">
      <c r="C21" s="26" t="s">
        <v>29</v>
      </c>
      <c r="D21" s="27"/>
      <c r="E21" s="27"/>
      <c r="F21" s="27"/>
      <c r="I21" s="28"/>
      <c r="J21" s="17"/>
      <c r="L21" s="29"/>
    </row>
    <row r="22" spans="3:12">
      <c r="C22" s="30">
        <v>1.7131137000000001E-2</v>
      </c>
      <c r="D22" s="17"/>
      <c r="E22" s="17"/>
      <c r="F22" s="17"/>
      <c r="G22" s="31"/>
      <c r="H22" s="17"/>
      <c r="I22" s="17"/>
      <c r="J22" s="17"/>
    </row>
    <row r="23" spans="3:12">
      <c r="C23" s="17"/>
      <c r="D23" s="17"/>
      <c r="E23" s="28"/>
      <c r="F23" s="34"/>
      <c r="G23" s="34"/>
      <c r="H23" s="17"/>
      <c r="I23" s="16"/>
    </row>
    <row r="24" spans="3:12">
      <c r="C24" s="17" t="s">
        <v>9</v>
      </c>
      <c r="D24" s="17"/>
      <c r="E24" s="28">
        <v>41829</v>
      </c>
      <c r="F24" s="34"/>
      <c r="G24" s="34">
        <v>-84525</v>
      </c>
      <c r="H24" s="17"/>
      <c r="I24" s="16"/>
    </row>
    <row r="25" spans="3:12">
      <c r="C25" s="111"/>
      <c r="D25" s="17"/>
      <c r="E25" s="28">
        <v>41894</v>
      </c>
      <c r="F25" s="34"/>
      <c r="G25" s="34">
        <v>-43855</v>
      </c>
      <c r="H25" s="17"/>
      <c r="I25" s="16"/>
    </row>
    <row r="26" spans="3:12">
      <c r="C26" s="17"/>
      <c r="D26" s="17"/>
      <c r="E26" s="28">
        <v>41942</v>
      </c>
      <c r="F26" s="34"/>
      <c r="G26" s="34">
        <v>-23030</v>
      </c>
      <c r="H26" s="17"/>
      <c r="I26" s="16"/>
    </row>
    <row r="27" spans="3:12">
      <c r="C27" s="17"/>
      <c r="D27" s="17"/>
      <c r="E27" s="28">
        <v>41999</v>
      </c>
      <c r="F27" s="34"/>
      <c r="G27" s="34">
        <v>-32830</v>
      </c>
      <c r="H27" s="17"/>
      <c r="I27" s="16"/>
    </row>
    <row r="28" spans="3:12">
      <c r="C28" s="17" t="s">
        <v>11</v>
      </c>
      <c r="E28" s="28">
        <v>42037</v>
      </c>
      <c r="G28" s="34">
        <v>-32340</v>
      </c>
      <c r="H28" s="17"/>
      <c r="I28" s="16"/>
    </row>
    <row r="29" spans="3:12">
      <c r="E29" s="28">
        <v>42093</v>
      </c>
      <c r="G29" s="34">
        <v>-41895</v>
      </c>
      <c r="H29" s="17"/>
      <c r="I29" s="16"/>
    </row>
    <row r="30" spans="3:12">
      <c r="E30" s="28">
        <v>42109</v>
      </c>
      <c r="G30" s="34">
        <v>-31360</v>
      </c>
      <c r="H30" s="17"/>
      <c r="I30" s="16"/>
    </row>
    <row r="31" spans="3:12">
      <c r="E31" s="28">
        <v>42144</v>
      </c>
      <c r="G31" s="34">
        <v>-18375</v>
      </c>
      <c r="H31" s="17"/>
      <c r="I31" s="16"/>
      <c r="J31" s="16"/>
      <c r="K31" s="17"/>
    </row>
    <row r="32" spans="3:12">
      <c r="E32" s="28">
        <v>42184</v>
      </c>
      <c r="G32" s="34">
        <v>-28175</v>
      </c>
      <c r="H32" s="17"/>
      <c r="I32" s="16"/>
      <c r="J32" s="16"/>
      <c r="K32" s="17"/>
    </row>
    <row r="33" spans="3:12">
      <c r="E33" s="28">
        <v>42227</v>
      </c>
      <c r="G33" s="34">
        <v>-37485</v>
      </c>
      <c r="H33" s="17"/>
      <c r="I33" s="16"/>
      <c r="J33" s="16"/>
      <c r="K33" s="17"/>
    </row>
    <row r="34" spans="3:12">
      <c r="E34" s="28">
        <v>42261</v>
      </c>
      <c r="G34" s="34">
        <v>-49489.99</v>
      </c>
      <c r="H34" s="17"/>
      <c r="I34" s="16"/>
      <c r="J34" s="16"/>
      <c r="K34" s="17"/>
    </row>
    <row r="35" spans="3:12">
      <c r="E35" s="28">
        <v>42368</v>
      </c>
      <c r="G35" s="34">
        <v>-40425</v>
      </c>
      <c r="H35" s="17"/>
      <c r="I35" s="16"/>
      <c r="J35" s="16"/>
      <c r="K35" s="17"/>
    </row>
    <row r="36" spans="3:12">
      <c r="C36" s="17" t="s">
        <v>13</v>
      </c>
      <c r="D36" s="17"/>
      <c r="E36" s="28">
        <v>42396</v>
      </c>
      <c r="G36" s="34">
        <v>-708295</v>
      </c>
      <c r="H36" s="17"/>
      <c r="I36" s="16"/>
      <c r="J36" s="16"/>
      <c r="K36" s="17"/>
    </row>
    <row r="37" spans="3:12">
      <c r="C37" s="17"/>
      <c r="D37" s="17"/>
      <c r="E37" s="28">
        <v>42445</v>
      </c>
      <c r="G37" s="34">
        <v>-60024.99</v>
      </c>
      <c r="H37" s="17"/>
      <c r="I37" s="16"/>
      <c r="J37" s="16"/>
      <c r="K37" s="17"/>
    </row>
    <row r="38" spans="3:12">
      <c r="C38" s="17"/>
      <c r="D38" s="17"/>
      <c r="E38" s="28">
        <v>42549</v>
      </c>
      <c r="G38" s="34">
        <v>-97265.01</v>
      </c>
      <c r="H38" s="17"/>
      <c r="I38" s="16"/>
      <c r="J38" s="16"/>
      <c r="K38" s="17"/>
    </row>
    <row r="39" spans="3:12">
      <c r="C39" s="17"/>
      <c r="D39" s="17"/>
      <c r="E39" s="28">
        <v>42586</v>
      </c>
      <c r="G39" s="34">
        <v>-74725</v>
      </c>
      <c r="H39" s="17"/>
      <c r="I39" s="16"/>
      <c r="J39" s="16"/>
      <c r="K39" s="17"/>
    </row>
    <row r="40" spans="3:12">
      <c r="C40" s="17"/>
      <c r="D40" s="17"/>
      <c r="E40" s="28">
        <v>42607</v>
      </c>
      <c r="G40" s="34">
        <v>-56595.01</v>
      </c>
      <c r="H40" s="17"/>
      <c r="I40" s="16"/>
      <c r="J40" s="16"/>
      <c r="K40" s="17"/>
    </row>
    <row r="41" spans="3:12">
      <c r="C41" s="17"/>
      <c r="D41" s="17"/>
      <c r="E41" s="28">
        <v>42613</v>
      </c>
      <c r="G41" s="34">
        <v>-1199275</v>
      </c>
      <c r="H41" s="17"/>
      <c r="I41" s="16"/>
      <c r="J41" s="16"/>
      <c r="K41" s="17"/>
    </row>
    <row r="42" spans="3:12">
      <c r="C42" s="17"/>
      <c r="D42" s="17"/>
      <c r="E42" s="28">
        <v>42640</v>
      </c>
      <c r="G42" s="34">
        <v>-28175</v>
      </c>
      <c r="H42" s="17"/>
      <c r="I42" s="16"/>
      <c r="J42" s="16"/>
      <c r="K42" s="17"/>
    </row>
    <row r="43" spans="3:12">
      <c r="C43" s="17"/>
      <c r="D43" s="17"/>
      <c r="E43" s="28">
        <v>42732</v>
      </c>
      <c r="G43" s="34">
        <v>-39200</v>
      </c>
      <c r="H43" s="17"/>
      <c r="I43" s="16"/>
      <c r="J43" s="16"/>
      <c r="K43" s="17"/>
    </row>
    <row r="44" spans="3:12">
      <c r="C44" s="17" t="s">
        <v>14</v>
      </c>
      <c r="D44" s="17"/>
      <c r="E44" s="28">
        <v>42377</v>
      </c>
      <c r="G44" s="34">
        <v>259838.31</v>
      </c>
      <c r="H44" s="17"/>
      <c r="I44" s="16"/>
      <c r="J44" s="16"/>
      <c r="K44" s="17"/>
    </row>
    <row r="45" spans="3:12">
      <c r="C45" s="17"/>
      <c r="D45" s="17"/>
      <c r="E45" s="28">
        <v>42551</v>
      </c>
      <c r="G45" s="34">
        <v>74232.03</v>
      </c>
      <c r="H45" s="17"/>
      <c r="I45" s="16"/>
      <c r="J45" s="16"/>
      <c r="K45" s="17"/>
    </row>
    <row r="46" spans="3:12" ht="15.5">
      <c r="C46" s="17"/>
      <c r="D46" s="17"/>
      <c r="E46" s="28">
        <v>42642</v>
      </c>
      <c r="G46" s="34">
        <v>70073.67</v>
      </c>
      <c r="H46" s="17"/>
      <c r="I46" s="16"/>
      <c r="J46" s="16"/>
      <c r="K46" s="17"/>
      <c r="L46" s="12"/>
    </row>
    <row r="47" spans="3:12">
      <c r="C47" s="17"/>
      <c r="D47" s="17"/>
      <c r="E47" s="28">
        <v>42655</v>
      </c>
      <c r="G47" s="34">
        <v>28437.88</v>
      </c>
      <c r="H47" s="17"/>
      <c r="I47" s="16"/>
      <c r="J47" s="16"/>
      <c r="K47" s="17"/>
      <c r="L47" s="59"/>
    </row>
    <row r="48" spans="3:12">
      <c r="C48" s="17" t="s">
        <v>15</v>
      </c>
      <c r="D48" s="17"/>
      <c r="E48" s="28">
        <v>42765</v>
      </c>
      <c r="G48" s="34">
        <v>-129360</v>
      </c>
      <c r="H48" s="17"/>
      <c r="I48" s="16"/>
      <c r="J48" s="16"/>
      <c r="K48" s="17"/>
      <c r="L48" s="59"/>
    </row>
    <row r="49" spans="3:12">
      <c r="C49" s="17"/>
      <c r="D49" s="17"/>
      <c r="E49" s="28">
        <v>42822</v>
      </c>
      <c r="G49" s="34">
        <v>-71785</v>
      </c>
      <c r="H49" s="17"/>
      <c r="I49" s="16"/>
      <c r="J49" s="16"/>
      <c r="K49" s="17"/>
      <c r="L49" s="59"/>
    </row>
    <row r="50" spans="3:12">
      <c r="C50" s="17"/>
      <c r="D50" s="17"/>
      <c r="E50" s="28">
        <v>42852</v>
      </c>
      <c r="G50" s="34">
        <v>-74970</v>
      </c>
      <c r="H50" s="17"/>
      <c r="I50" s="16"/>
      <c r="J50" s="16"/>
      <c r="K50" s="17"/>
      <c r="L50" s="59"/>
    </row>
    <row r="51" spans="3:12">
      <c r="C51" s="17"/>
      <c r="D51" s="17"/>
      <c r="E51" s="28">
        <v>42913</v>
      </c>
      <c r="G51" s="34">
        <v>-300860.01</v>
      </c>
      <c r="H51" s="17"/>
      <c r="I51" s="16"/>
      <c r="J51" s="16"/>
      <c r="K51" s="17"/>
    </row>
    <row r="52" spans="3:12">
      <c r="C52" s="17"/>
      <c r="D52" s="17"/>
      <c r="E52" s="28">
        <v>42991</v>
      </c>
      <c r="G52" s="34">
        <v>-132300</v>
      </c>
      <c r="H52" s="17"/>
      <c r="I52" s="16"/>
      <c r="J52" s="16"/>
      <c r="K52" s="17"/>
    </row>
    <row r="53" spans="3:12">
      <c r="C53" s="17"/>
      <c r="D53" s="17"/>
      <c r="E53" s="28">
        <v>43006</v>
      </c>
      <c r="G53" s="34">
        <v>-94325</v>
      </c>
      <c r="H53" s="17"/>
      <c r="I53" s="16"/>
      <c r="J53" s="16"/>
      <c r="K53" s="17"/>
    </row>
    <row r="54" spans="3:12">
      <c r="C54" s="17"/>
      <c r="D54" s="17"/>
      <c r="E54" s="28">
        <v>43080</v>
      </c>
      <c r="F54" s="34"/>
      <c r="G54" s="34">
        <v>-47040</v>
      </c>
      <c r="H54" s="17"/>
      <c r="I54" s="16"/>
      <c r="J54" s="16"/>
      <c r="K54" s="17"/>
    </row>
    <row r="55" spans="3:12">
      <c r="C55" s="17"/>
      <c r="D55" s="17"/>
      <c r="E55" s="28">
        <v>43095</v>
      </c>
      <c r="F55" s="34"/>
      <c r="G55" s="34">
        <v>-93590</v>
      </c>
      <c r="H55" s="17"/>
      <c r="I55" s="16"/>
      <c r="J55" s="16"/>
      <c r="K55" s="17"/>
    </row>
    <row r="56" spans="3:12">
      <c r="C56" s="17" t="s">
        <v>16</v>
      </c>
      <c r="D56" s="17"/>
      <c r="E56" s="28">
        <v>42747</v>
      </c>
      <c r="G56" s="34">
        <v>106466.01</v>
      </c>
      <c r="H56" s="17"/>
      <c r="I56" s="16"/>
      <c r="J56" s="16"/>
      <c r="K56" s="17"/>
    </row>
    <row r="57" spans="3:12">
      <c r="C57" s="17" t="s">
        <v>17</v>
      </c>
      <c r="D57" s="17"/>
      <c r="E57" s="28">
        <v>43130</v>
      </c>
      <c r="G57" s="34">
        <v>-908950</v>
      </c>
      <c r="H57" s="17"/>
      <c r="I57" s="16"/>
      <c r="J57" s="16"/>
      <c r="K57" s="17"/>
    </row>
    <row r="58" spans="3:12">
      <c r="C58" s="17"/>
      <c r="D58" s="17"/>
      <c r="E58" s="28">
        <v>43143</v>
      </c>
      <c r="G58" s="34">
        <v>251700.75</v>
      </c>
      <c r="H58" s="17"/>
      <c r="I58" s="16"/>
      <c r="J58" s="16"/>
      <c r="K58" s="17"/>
    </row>
    <row r="59" spans="3:12">
      <c r="C59" s="17"/>
      <c r="D59" s="17"/>
      <c r="E59" s="28">
        <v>43173</v>
      </c>
      <c r="G59" s="34">
        <v>-68600.009999999995</v>
      </c>
      <c r="H59" s="17"/>
      <c r="I59" s="16"/>
      <c r="J59" s="16"/>
      <c r="K59" s="17"/>
    </row>
    <row r="60" spans="3:12">
      <c r="C60" s="17"/>
      <c r="D60" s="17"/>
      <c r="E60" s="28">
        <v>43216</v>
      </c>
      <c r="G60" s="34">
        <v>-122500</v>
      </c>
      <c r="H60" s="17"/>
      <c r="I60" s="16"/>
      <c r="J60" s="16"/>
      <c r="K60" s="17"/>
    </row>
    <row r="61" spans="3:12">
      <c r="C61" s="17"/>
      <c r="D61" s="17"/>
      <c r="E61" s="28">
        <v>43265</v>
      </c>
      <c r="G61" s="34">
        <v>-70070</v>
      </c>
      <c r="H61" s="17"/>
      <c r="I61" s="16"/>
      <c r="J61" s="16"/>
      <c r="K61" s="17"/>
    </row>
    <row r="62" spans="3:12">
      <c r="C62" s="17"/>
      <c r="D62" s="17"/>
      <c r="E62" s="28">
        <v>43292</v>
      </c>
      <c r="G62" s="34">
        <v>-122500.01</v>
      </c>
      <c r="H62" s="17"/>
      <c r="I62" s="16"/>
      <c r="J62" s="16"/>
      <c r="K62" s="17"/>
    </row>
    <row r="63" spans="3:12">
      <c r="C63" s="17"/>
      <c r="D63" s="17"/>
      <c r="E63" s="28">
        <v>43328</v>
      </c>
      <c r="G63" s="34">
        <v>-445410</v>
      </c>
      <c r="H63" s="17"/>
      <c r="I63" s="16"/>
      <c r="J63" s="16"/>
      <c r="K63" s="17"/>
    </row>
    <row r="64" spans="3:12">
      <c r="C64" s="17"/>
      <c r="D64" s="17"/>
      <c r="E64" s="28">
        <v>43360</v>
      </c>
      <c r="G64" s="34">
        <v>-67620</v>
      </c>
      <c r="H64" s="17"/>
      <c r="I64" s="16"/>
      <c r="J64" s="16"/>
      <c r="K64" s="17"/>
    </row>
    <row r="65" spans="3:11">
      <c r="C65" s="17"/>
      <c r="D65" s="17"/>
      <c r="E65" s="28">
        <v>43369</v>
      </c>
      <c r="G65" s="34">
        <v>-1467795.01</v>
      </c>
      <c r="H65" s="17"/>
      <c r="I65" s="16"/>
      <c r="J65" s="16"/>
      <c r="K65" s="17"/>
    </row>
    <row r="66" spans="3:11">
      <c r="C66" s="17"/>
      <c r="D66" s="17"/>
      <c r="E66" s="28">
        <v>43389</v>
      </c>
      <c r="G66" s="34">
        <v>98000</v>
      </c>
      <c r="H66" s="17"/>
      <c r="I66" s="16"/>
      <c r="J66" s="16"/>
      <c r="K66" s="17"/>
    </row>
    <row r="67" spans="3:11">
      <c r="C67" s="17"/>
      <c r="D67" s="17"/>
      <c r="E67" s="28">
        <v>43445</v>
      </c>
      <c r="G67" s="34">
        <v>-234465.01</v>
      </c>
      <c r="H67" s="17"/>
      <c r="I67" s="16"/>
      <c r="J67" s="16"/>
      <c r="K67" s="17"/>
    </row>
    <row r="68" spans="3:11">
      <c r="C68" s="17" t="s">
        <v>18</v>
      </c>
      <c r="D68" s="17"/>
      <c r="E68" s="28">
        <v>43111</v>
      </c>
      <c r="G68" s="34">
        <v>96449.74</v>
      </c>
      <c r="H68" s="17"/>
      <c r="I68" s="16"/>
      <c r="J68" s="16"/>
      <c r="K68" s="17"/>
    </row>
    <row r="69" spans="3:11">
      <c r="C69" s="17"/>
      <c r="D69" s="17"/>
      <c r="E69" s="28">
        <v>43153</v>
      </c>
      <c r="G69" s="34">
        <v>2225110.8199999998</v>
      </c>
      <c r="H69" s="17"/>
      <c r="I69" s="16"/>
      <c r="J69" s="16"/>
      <c r="K69" s="17"/>
    </row>
    <row r="70" spans="3:11">
      <c r="C70" s="17"/>
      <c r="D70" s="17"/>
      <c r="E70" s="28">
        <v>43446</v>
      </c>
      <c r="G70" s="34">
        <v>229234.64</v>
      </c>
      <c r="H70" s="17"/>
      <c r="I70" s="16"/>
      <c r="J70" s="16"/>
      <c r="K70" s="17"/>
    </row>
    <row r="71" spans="3:11">
      <c r="C71" s="17" t="s">
        <v>19</v>
      </c>
      <c r="D71" s="17"/>
      <c r="E71" s="28">
        <v>43522</v>
      </c>
      <c r="G71" s="34">
        <v>-395430.01</v>
      </c>
      <c r="H71" s="17"/>
      <c r="I71" s="16"/>
      <c r="J71" s="16"/>
      <c r="K71" s="17"/>
    </row>
    <row r="72" spans="3:11">
      <c r="C72" s="17"/>
      <c r="D72" s="17"/>
      <c r="E72" s="28">
        <v>43563</v>
      </c>
      <c r="G72" s="34">
        <v>-198695</v>
      </c>
      <c r="H72" s="17"/>
      <c r="I72" s="16"/>
      <c r="J72" s="16"/>
      <c r="K72" s="17"/>
    </row>
    <row r="73" spans="3:11">
      <c r="C73" s="17"/>
      <c r="D73" s="17"/>
      <c r="E73" s="28">
        <v>43600</v>
      </c>
      <c r="G73" s="34">
        <v>-121275</v>
      </c>
      <c r="H73" s="17"/>
      <c r="I73" s="16"/>
      <c r="J73" s="16"/>
      <c r="K73" s="17"/>
    </row>
    <row r="74" spans="3:11">
      <c r="C74" s="17"/>
      <c r="D74" s="17"/>
      <c r="E74" s="28">
        <v>43643</v>
      </c>
      <c r="G74" s="34">
        <v>-68845</v>
      </c>
      <c r="H74" s="17"/>
      <c r="I74" s="16"/>
      <c r="J74" s="16"/>
      <c r="K74" s="17"/>
    </row>
    <row r="75" spans="3:11">
      <c r="C75" s="17"/>
      <c r="D75" s="17"/>
      <c r="E75" s="28">
        <v>43655</v>
      </c>
      <c r="G75" s="34">
        <v>-107800</v>
      </c>
      <c r="H75" s="17"/>
      <c r="I75" s="16"/>
      <c r="J75" s="16"/>
      <c r="K75" s="17"/>
    </row>
    <row r="76" spans="3:11">
      <c r="C76" s="17"/>
      <c r="D76" s="17"/>
      <c r="E76" s="28">
        <v>43685</v>
      </c>
      <c r="G76" s="34">
        <v>-121029.99</v>
      </c>
      <c r="H76" s="17"/>
      <c r="I76" s="16"/>
      <c r="J76" s="16"/>
      <c r="K76" s="17"/>
    </row>
    <row r="77" spans="3:11">
      <c r="C77" s="17"/>
      <c r="D77" s="17"/>
      <c r="E77" s="28">
        <v>43697</v>
      </c>
      <c r="G77" s="34">
        <v>-36382.5</v>
      </c>
      <c r="H77" s="17"/>
      <c r="I77" s="16"/>
      <c r="J77" s="16"/>
      <c r="K77" s="17"/>
    </row>
    <row r="78" spans="3:11">
      <c r="C78" s="17"/>
      <c r="D78" s="17"/>
      <c r="E78" s="28">
        <v>43727</v>
      </c>
      <c r="G78" s="34">
        <v>-100450</v>
      </c>
      <c r="H78" s="17"/>
      <c r="I78" s="16"/>
      <c r="J78" s="16"/>
      <c r="K78" s="17"/>
    </row>
    <row r="79" spans="3:11">
      <c r="C79" s="17"/>
      <c r="D79" s="17"/>
      <c r="E79" s="28">
        <v>43756</v>
      </c>
      <c r="G79" s="34">
        <v>-54390</v>
      </c>
      <c r="H79" s="17"/>
      <c r="I79" s="16"/>
      <c r="J79" s="16"/>
      <c r="K79" s="17"/>
    </row>
    <row r="80" spans="3:11">
      <c r="C80" s="17"/>
      <c r="D80" s="17"/>
      <c r="E80" s="28">
        <v>43783</v>
      </c>
      <c r="G80" s="34">
        <v>-60637.5</v>
      </c>
      <c r="H80" s="17"/>
      <c r="I80" s="16"/>
      <c r="J80" s="16"/>
      <c r="K80" s="17"/>
    </row>
    <row r="81" spans="3:12">
      <c r="C81" s="17"/>
      <c r="D81" s="17"/>
      <c r="E81" s="28">
        <v>43795</v>
      </c>
      <c r="G81" s="34">
        <v>-148960</v>
      </c>
      <c r="H81" s="17"/>
      <c r="I81" s="16"/>
      <c r="J81" s="16"/>
      <c r="K81" s="17"/>
    </row>
    <row r="82" spans="3:12">
      <c r="C82" s="17"/>
      <c r="D82" s="17"/>
      <c r="E82" s="28">
        <v>43830</v>
      </c>
      <c r="G82" s="34">
        <v>-42630</v>
      </c>
      <c r="H82" s="17"/>
      <c r="I82" s="16"/>
      <c r="J82" s="16"/>
      <c r="K82" s="17"/>
    </row>
    <row r="83" spans="3:12">
      <c r="C83" s="17" t="s">
        <v>20</v>
      </c>
      <c r="D83" s="17"/>
      <c r="E83" s="28">
        <v>43620</v>
      </c>
      <c r="G83" s="34">
        <v>56403.62</v>
      </c>
      <c r="H83" s="17"/>
      <c r="I83" s="16"/>
      <c r="J83" s="16"/>
      <c r="K83" s="17"/>
    </row>
    <row r="84" spans="3:12">
      <c r="C84" s="17"/>
      <c r="D84" s="17"/>
      <c r="E84" s="28">
        <v>43669</v>
      </c>
      <c r="G84" s="34">
        <v>177349.49</v>
      </c>
      <c r="H84" s="17"/>
      <c r="I84" s="16"/>
      <c r="J84" s="16"/>
      <c r="K84" s="17"/>
    </row>
    <row r="85" spans="3:12">
      <c r="C85" s="17"/>
      <c r="D85" s="17"/>
      <c r="E85" s="28">
        <v>43717</v>
      </c>
      <c r="G85" s="34">
        <v>60087.89</v>
      </c>
      <c r="H85" s="17"/>
      <c r="I85" s="16"/>
      <c r="J85" s="16"/>
      <c r="K85" s="17"/>
    </row>
    <row r="86" spans="3:12">
      <c r="C86" s="17" t="s">
        <v>21</v>
      </c>
      <c r="D86" s="17"/>
      <c r="E86" s="28">
        <v>43858</v>
      </c>
      <c r="G86" s="34">
        <v>-64925</v>
      </c>
      <c r="H86" s="17"/>
      <c r="I86" s="16"/>
      <c r="J86" s="16"/>
      <c r="K86" s="17"/>
    </row>
    <row r="87" spans="3:12">
      <c r="C87" s="17"/>
      <c r="D87" s="17"/>
      <c r="E87" s="28">
        <v>43860</v>
      </c>
      <c r="G87" s="34">
        <v>-73010</v>
      </c>
      <c r="H87" s="17"/>
      <c r="I87" s="16"/>
      <c r="J87" s="16"/>
      <c r="K87" s="17"/>
    </row>
    <row r="88" spans="3:12">
      <c r="C88" s="17"/>
      <c r="D88" s="17"/>
      <c r="E88" s="28">
        <v>43915</v>
      </c>
      <c r="G88" s="34">
        <v>-69090</v>
      </c>
      <c r="H88" s="17"/>
      <c r="I88" s="16"/>
      <c r="J88" s="16"/>
      <c r="K88" s="17"/>
    </row>
    <row r="89" spans="3:12">
      <c r="C89" s="17"/>
      <c r="D89" s="17"/>
      <c r="E89" s="28">
        <v>43917</v>
      </c>
      <c r="G89" s="34">
        <v>-16978.5</v>
      </c>
      <c r="H89" s="17"/>
      <c r="I89" s="16"/>
      <c r="J89" s="16"/>
      <c r="K89" s="17"/>
    </row>
    <row r="90" spans="3:12">
      <c r="C90" s="17"/>
      <c r="D90" s="17"/>
      <c r="E90" s="28">
        <v>43980</v>
      </c>
      <c r="G90" s="34">
        <v>-71785.009999999995</v>
      </c>
      <c r="H90" s="17"/>
      <c r="I90" s="16"/>
      <c r="J90" s="16"/>
      <c r="K90" s="17"/>
    </row>
    <row r="91" spans="3:12">
      <c r="C91" s="17"/>
      <c r="D91" s="17"/>
      <c r="E91" s="28">
        <v>43999</v>
      </c>
      <c r="G91" s="34">
        <v>-98000</v>
      </c>
      <c r="H91" s="17"/>
      <c r="I91" s="16"/>
      <c r="J91" s="16"/>
      <c r="K91" s="17"/>
    </row>
    <row r="92" spans="3:12">
      <c r="C92" s="17"/>
      <c r="D92" s="17"/>
      <c r="E92" s="28">
        <v>44047</v>
      </c>
      <c r="G92" s="34">
        <v>-7931.65</v>
      </c>
      <c r="H92" s="17"/>
      <c r="I92" s="16"/>
      <c r="J92" s="16"/>
      <c r="K92" s="17"/>
    </row>
    <row r="93" spans="3:12" ht="13.5" customHeight="1">
      <c r="C93" s="17" t="s">
        <v>30</v>
      </c>
      <c r="D93" s="17"/>
      <c r="E93" s="28">
        <v>43888</v>
      </c>
      <c r="G93" s="34">
        <v>260950.61</v>
      </c>
      <c r="H93" s="17"/>
      <c r="I93" s="16"/>
      <c r="J93" s="16"/>
      <c r="K93" s="17"/>
    </row>
    <row r="94" spans="3:12">
      <c r="C94" s="17"/>
      <c r="D94" s="17"/>
      <c r="E94" s="28">
        <v>44089</v>
      </c>
      <c r="G94" s="34">
        <v>42773.599999999999</v>
      </c>
      <c r="H94" s="17"/>
      <c r="I94" s="16"/>
      <c r="J94" s="16"/>
      <c r="K94" s="17"/>
    </row>
    <row r="95" spans="3:12" ht="15.5">
      <c r="C95" s="17" t="s">
        <v>31</v>
      </c>
      <c r="D95" s="17"/>
      <c r="E95" s="28">
        <v>44202</v>
      </c>
      <c r="G95" s="34">
        <v>-47775</v>
      </c>
      <c r="H95" s="17"/>
      <c r="I95" s="16"/>
      <c r="J95" s="16"/>
      <c r="K95" s="17"/>
      <c r="L95" s="12"/>
    </row>
    <row r="96" spans="3:12" ht="15.5">
      <c r="C96" s="17"/>
      <c r="D96" s="17"/>
      <c r="E96" s="28">
        <v>44377</v>
      </c>
      <c r="G96" s="34">
        <v>-23030</v>
      </c>
      <c r="H96" s="17"/>
      <c r="I96" s="16"/>
      <c r="J96" s="16"/>
      <c r="K96" s="17"/>
      <c r="L96" s="12"/>
    </row>
    <row r="97" spans="3:12" ht="15.5">
      <c r="C97" s="17"/>
      <c r="D97" s="17"/>
      <c r="E97" s="28">
        <v>44469</v>
      </c>
      <c r="G97" s="34">
        <v>-22785</v>
      </c>
      <c r="H97" s="17"/>
      <c r="I97" s="16"/>
      <c r="J97" s="16"/>
      <c r="K97" s="17"/>
      <c r="L97" s="12"/>
    </row>
    <row r="98" spans="3:12" ht="15.5">
      <c r="C98" s="17"/>
      <c r="D98" s="17"/>
      <c r="E98" s="28">
        <v>44545</v>
      </c>
      <c r="G98" s="34">
        <v>-22785</v>
      </c>
      <c r="H98" s="17"/>
      <c r="I98" s="16"/>
      <c r="J98" s="16"/>
      <c r="K98" s="17"/>
      <c r="L98" s="12"/>
    </row>
    <row r="99" spans="3:12" ht="15.5">
      <c r="C99" s="17" t="s">
        <v>22</v>
      </c>
      <c r="D99" s="17"/>
      <c r="E99" s="28">
        <v>44265</v>
      </c>
      <c r="G99" s="34">
        <v>112223.84</v>
      </c>
      <c r="H99" s="17"/>
      <c r="I99" s="16"/>
      <c r="J99" s="16"/>
      <c r="K99" s="17"/>
      <c r="L99" s="12"/>
    </row>
    <row r="100" spans="3:12" ht="15.5">
      <c r="C100" s="17"/>
      <c r="D100" s="17"/>
      <c r="E100" s="28">
        <v>44376</v>
      </c>
      <c r="G100" s="34">
        <v>67089.929999999993</v>
      </c>
      <c r="H100" s="17"/>
      <c r="I100" s="16"/>
      <c r="J100" s="16"/>
      <c r="K100" s="17"/>
      <c r="L100" s="12"/>
    </row>
    <row r="101" spans="3:12" ht="15.5">
      <c r="C101" s="17"/>
      <c r="D101" s="17"/>
      <c r="E101" s="28">
        <v>44449</v>
      </c>
      <c r="G101" s="34">
        <v>100059.73</v>
      </c>
      <c r="H101" s="17"/>
      <c r="I101" s="16"/>
      <c r="J101" s="16"/>
      <c r="K101" s="17"/>
      <c r="L101" s="12"/>
    </row>
    <row r="102" spans="3:12" ht="15.5">
      <c r="C102" s="17"/>
      <c r="D102" s="17"/>
      <c r="E102" s="28">
        <v>44488</v>
      </c>
      <c r="G102" s="34">
        <v>1401819.49</v>
      </c>
      <c r="H102" s="17"/>
      <c r="I102" s="16"/>
      <c r="J102" s="16"/>
      <c r="K102" s="17"/>
      <c r="L102" s="12"/>
    </row>
    <row r="103" spans="3:12" ht="15.5">
      <c r="C103" s="17"/>
      <c r="D103" s="17"/>
      <c r="E103" s="28">
        <v>44540</v>
      </c>
      <c r="G103" s="34">
        <v>133540.19</v>
      </c>
      <c r="H103" s="17"/>
      <c r="I103" s="16"/>
      <c r="J103" s="16"/>
      <c r="K103" s="17"/>
      <c r="L103" s="12"/>
    </row>
    <row r="104" spans="3:12" ht="15.5">
      <c r="C104" s="17" t="s">
        <v>32</v>
      </c>
      <c r="D104" s="17"/>
      <c r="E104" s="28">
        <v>44650</v>
      </c>
      <c r="G104" s="34">
        <v>-20090</v>
      </c>
      <c r="H104" s="17"/>
      <c r="I104" s="16"/>
      <c r="J104" s="16"/>
      <c r="K104" s="17"/>
      <c r="L104" s="12"/>
    </row>
    <row r="105" spans="3:12" ht="15.5">
      <c r="C105" s="17"/>
      <c r="D105" s="17"/>
      <c r="E105" s="28">
        <v>44742</v>
      </c>
      <c r="G105" s="34">
        <v>-18130</v>
      </c>
      <c r="H105" s="17"/>
      <c r="I105" s="16"/>
      <c r="J105" s="16"/>
      <c r="K105" s="17"/>
      <c r="L105" s="12"/>
    </row>
    <row r="106" spans="3:12" ht="15.5">
      <c r="C106" s="17"/>
      <c r="D106" s="17"/>
      <c r="E106" s="28">
        <v>44827</v>
      </c>
      <c r="G106" s="34">
        <v>-18130</v>
      </c>
      <c r="H106" s="17"/>
      <c r="I106" s="16"/>
      <c r="J106" s="16"/>
      <c r="K106" s="17"/>
      <c r="L106" s="12"/>
    </row>
    <row r="107" spans="3:12" ht="15.5">
      <c r="C107" s="17"/>
      <c r="D107" s="17"/>
      <c r="E107" s="28">
        <v>44925</v>
      </c>
      <c r="G107" s="34">
        <v>-17885</v>
      </c>
      <c r="H107" s="17"/>
      <c r="I107" s="16"/>
      <c r="J107" s="16"/>
      <c r="K107" s="17"/>
      <c r="L107" s="12"/>
    </row>
    <row r="108" spans="3:12" ht="15.5">
      <c r="C108" s="17" t="s">
        <v>23</v>
      </c>
      <c r="D108" s="17"/>
      <c r="E108" s="28">
        <v>44645</v>
      </c>
      <c r="G108" s="34">
        <v>126154.99</v>
      </c>
      <c r="H108" s="17"/>
      <c r="I108" s="16"/>
      <c r="J108" s="16"/>
      <c r="K108" s="17"/>
      <c r="L108" s="12"/>
    </row>
    <row r="109" spans="3:12" ht="15.5">
      <c r="C109" s="17"/>
      <c r="D109" s="17"/>
      <c r="E109" s="28">
        <v>44721</v>
      </c>
      <c r="G109" s="34">
        <v>78975.38</v>
      </c>
      <c r="H109" s="17"/>
      <c r="I109" s="16"/>
      <c r="J109" s="16"/>
      <c r="K109" s="17"/>
      <c r="L109" s="12"/>
    </row>
    <row r="110" spans="3:12" ht="15.5">
      <c r="C110" s="17"/>
      <c r="D110" s="17"/>
      <c r="E110" s="28">
        <v>44791</v>
      </c>
      <c r="G110" s="34">
        <v>265374.57</v>
      </c>
      <c r="H110" s="17"/>
      <c r="I110" s="16"/>
      <c r="J110" s="16"/>
      <c r="K110" s="17"/>
      <c r="L110" s="12"/>
    </row>
    <row r="111" spans="3:12" ht="17.25" customHeight="1">
      <c r="C111" s="17"/>
      <c r="D111" s="17"/>
      <c r="E111" s="28">
        <v>44888</v>
      </c>
      <c r="G111" s="34">
        <v>55715.46</v>
      </c>
      <c r="H111" s="17"/>
      <c r="I111" s="16"/>
      <c r="J111" s="16"/>
      <c r="K111" s="17"/>
      <c r="L111" s="12"/>
    </row>
    <row r="112" spans="3:12" ht="17.25" customHeight="1">
      <c r="C112" s="17" t="s">
        <v>33</v>
      </c>
      <c r="D112" s="17"/>
      <c r="E112" s="28">
        <v>45009</v>
      </c>
      <c r="G112" s="34">
        <v>-17885</v>
      </c>
      <c r="H112" s="17"/>
      <c r="I112" s="16"/>
      <c r="J112" s="16"/>
      <c r="K112" s="17"/>
      <c r="L112" s="12"/>
    </row>
    <row r="113" spans="3:15" ht="17.25" customHeight="1">
      <c r="C113" s="17"/>
      <c r="D113" s="17"/>
      <c r="E113" s="28">
        <v>45112</v>
      </c>
      <c r="G113" s="34">
        <v>-14455</v>
      </c>
      <c r="H113" s="17"/>
      <c r="I113" s="16"/>
      <c r="J113" s="16"/>
      <c r="K113" s="17"/>
      <c r="L113" s="12"/>
    </row>
    <row r="114" spans="3:15" ht="17.25" customHeight="1">
      <c r="C114" s="17"/>
      <c r="D114" s="17"/>
      <c r="E114" s="28">
        <v>45196</v>
      </c>
      <c r="G114" s="34">
        <v>-14455</v>
      </c>
      <c r="H114" s="17"/>
      <c r="I114" s="16"/>
      <c r="J114" s="16"/>
      <c r="K114" s="17"/>
      <c r="L114" s="12"/>
    </row>
    <row r="115" spans="3:15" ht="17.25" customHeight="1">
      <c r="C115" s="17" t="s">
        <v>24</v>
      </c>
      <c r="D115" s="17"/>
      <c r="E115" s="28">
        <v>45001</v>
      </c>
      <c r="G115" s="34">
        <v>307461.81</v>
      </c>
      <c r="H115" s="17"/>
      <c r="I115" s="16"/>
      <c r="J115" s="16"/>
      <c r="K115" s="17"/>
      <c r="L115" s="12"/>
    </row>
    <row r="116" spans="3:15" ht="17.25" customHeight="1">
      <c r="C116" s="17"/>
      <c r="D116" s="17"/>
      <c r="E116" s="28">
        <v>45050</v>
      </c>
      <c r="G116" s="34">
        <v>866555.89</v>
      </c>
      <c r="H116" s="17"/>
      <c r="I116" s="16"/>
      <c r="J116" s="16"/>
      <c r="K116" s="17"/>
      <c r="L116" s="12"/>
    </row>
    <row r="117" spans="3:15" ht="17.25" customHeight="1">
      <c r="C117" s="17"/>
      <c r="D117" s="17"/>
      <c r="E117" s="28">
        <v>45134</v>
      </c>
      <c r="G117" s="34">
        <v>322636.03000000003</v>
      </c>
      <c r="H117" s="17"/>
      <c r="I117" s="16"/>
      <c r="J117" s="16"/>
      <c r="K117" s="17"/>
      <c r="L117" s="12"/>
    </row>
    <row r="118" spans="3:15" ht="17.25" customHeight="1">
      <c r="C118" s="17"/>
      <c r="D118" s="17"/>
      <c r="E118" s="28">
        <v>45161</v>
      </c>
      <c r="G118" s="34">
        <v>274365.01</v>
      </c>
      <c r="H118" s="17"/>
      <c r="I118" s="16"/>
      <c r="J118" s="16"/>
      <c r="K118" s="17"/>
      <c r="L118" s="12"/>
    </row>
    <row r="119" spans="3:15" ht="17.25" customHeight="1">
      <c r="C119" s="17"/>
      <c r="D119" s="17"/>
      <c r="E119" s="28">
        <v>45183</v>
      </c>
      <c r="G119" s="34">
        <v>78778.69</v>
      </c>
      <c r="H119" s="17"/>
      <c r="I119" s="16"/>
      <c r="J119" s="16"/>
      <c r="K119" s="17"/>
      <c r="L119" s="12"/>
    </row>
    <row r="120" spans="3:15" ht="17.25" customHeight="1">
      <c r="C120" s="17"/>
      <c r="D120" s="17"/>
      <c r="E120" s="28">
        <v>45224</v>
      </c>
      <c r="G120" s="34">
        <v>366518.28</v>
      </c>
      <c r="H120" s="17"/>
      <c r="I120" s="16"/>
      <c r="J120" s="16"/>
      <c r="K120" s="17"/>
      <c r="L120" s="12"/>
    </row>
    <row r="121" spans="3:15" ht="17.25" customHeight="1">
      <c r="C121" s="17"/>
      <c r="D121" s="17"/>
      <c r="E121" s="28">
        <v>45279</v>
      </c>
      <c r="G121" s="34">
        <v>65892.210000000006</v>
      </c>
      <c r="H121" s="17"/>
      <c r="I121" s="16"/>
      <c r="J121" s="16"/>
      <c r="K121" s="17"/>
      <c r="L121" s="12"/>
    </row>
    <row r="122" spans="3:15" ht="17.25" customHeight="1">
      <c r="C122" s="17" t="s">
        <v>36</v>
      </c>
      <c r="D122" s="17"/>
      <c r="E122" s="28">
        <v>45391</v>
      </c>
      <c r="G122" s="34">
        <v>-23030</v>
      </c>
      <c r="H122" s="17"/>
      <c r="I122" s="16"/>
      <c r="J122" s="16"/>
      <c r="K122" s="17"/>
      <c r="L122" s="12"/>
    </row>
    <row r="123" spans="3:15" ht="17.25" customHeight="1">
      <c r="C123" s="17" t="s">
        <v>35</v>
      </c>
      <c r="D123" s="17"/>
      <c r="E123" s="28">
        <v>45328</v>
      </c>
      <c r="G123" s="34">
        <v>125745.08</v>
      </c>
      <c r="H123" s="17"/>
      <c r="I123" s="16"/>
      <c r="J123" s="16"/>
      <c r="K123" s="17"/>
      <c r="L123" s="12"/>
    </row>
    <row r="124" spans="3:15" ht="17.25" customHeight="1">
      <c r="C124" s="17"/>
      <c r="D124" s="17"/>
      <c r="E124" s="28">
        <v>45442</v>
      </c>
      <c r="G124" s="34">
        <v>101366.24</v>
      </c>
      <c r="H124" s="17"/>
      <c r="I124" s="16"/>
      <c r="J124" s="16"/>
      <c r="K124" s="17"/>
      <c r="L124" s="12"/>
    </row>
    <row r="125" spans="3:15" ht="17.25" customHeight="1">
      <c r="C125" s="17"/>
      <c r="D125" s="17"/>
      <c r="E125" s="28"/>
      <c r="G125" s="34"/>
      <c r="H125" s="17"/>
      <c r="I125" s="16"/>
      <c r="J125" s="16"/>
      <c r="K125" s="17"/>
      <c r="L125" s="12"/>
    </row>
    <row r="126" spans="3:15" ht="4.5" customHeight="1">
      <c r="C126" s="17"/>
      <c r="D126" s="17"/>
      <c r="E126" s="28"/>
      <c r="F126" s="17"/>
      <c r="G126" s="34"/>
      <c r="H126" s="17"/>
      <c r="I126" s="16"/>
      <c r="J126" s="16"/>
      <c r="O126" s="36"/>
    </row>
    <row r="127" spans="3:15" ht="12.75" customHeight="1">
      <c r="C127" s="17" t="s">
        <v>25</v>
      </c>
      <c r="D127" s="17"/>
      <c r="E127" s="28">
        <f>+E8</f>
        <v>45473</v>
      </c>
      <c r="F127" s="17"/>
      <c r="G127" s="35">
        <f>L127*C22</f>
        <v>3996744.5077248211</v>
      </c>
      <c r="H127" s="17"/>
      <c r="I127" s="34">
        <f>+SUMIF($G$24:$G$126,"&lt;0",$G$24:$G$126)+G58+G66</f>
        <v>-8948459.459999999</v>
      </c>
      <c r="J127" s="17" t="s">
        <v>26</v>
      </c>
      <c r="L127" s="115">
        <v>233302933</v>
      </c>
      <c r="M127" s="12"/>
    </row>
    <row r="128" spans="3:15">
      <c r="C128" s="17"/>
      <c r="D128" s="17"/>
      <c r="E128" s="17"/>
      <c r="F128" s="17"/>
      <c r="G128" s="17"/>
      <c r="H128" s="17"/>
      <c r="I128" s="34">
        <f>+SUMIF($G$24:$G$126,"&gt;0",$G$24:$G$126)-G58-G66</f>
        <v>8537681.1300000027</v>
      </c>
      <c r="J128" s="17" t="s">
        <v>27</v>
      </c>
    </row>
    <row r="129" spans="3:8">
      <c r="C129" t="s">
        <v>28</v>
      </c>
      <c r="G129" s="38">
        <f>+XIRR(G24:G127,E24:E127)</f>
        <v>9.5954689383506778E-2</v>
      </c>
      <c r="H129" s="17"/>
    </row>
    <row r="130" spans="3:8">
      <c r="C130" s="17"/>
      <c r="D130" s="17"/>
      <c r="E130" s="17"/>
      <c r="F130" s="17"/>
      <c r="G130" s="17"/>
      <c r="H130" s="17"/>
    </row>
    <row r="131" spans="3:8">
      <c r="C131" s="17"/>
      <c r="D131" s="17"/>
      <c r="E131" s="17"/>
      <c r="F131" s="17"/>
      <c r="G131" s="17"/>
      <c r="H131" s="17"/>
    </row>
    <row r="132" spans="3:8">
      <c r="C132" s="40"/>
      <c r="D132" s="40"/>
      <c r="E132" s="39"/>
      <c r="F132" s="17"/>
      <c r="G132" s="39"/>
      <c r="H132" s="17"/>
    </row>
    <row r="133" spans="3:8">
      <c r="C133" s="40"/>
      <c r="D133" s="40"/>
      <c r="E133" s="39"/>
      <c r="F133" s="40"/>
      <c r="G133" s="39"/>
      <c r="H133" s="17"/>
    </row>
    <row r="134" spans="3:8">
      <c r="C134" s="40"/>
      <c r="D134" s="40"/>
      <c r="E134" s="17"/>
      <c r="F134" s="17"/>
      <c r="G134" s="17"/>
      <c r="H134" s="17"/>
    </row>
    <row r="135" spans="3:8">
      <c r="C135" s="40"/>
      <c r="D135" s="40"/>
      <c r="E135" s="2"/>
      <c r="F135" s="2"/>
      <c r="G135" s="2"/>
    </row>
    <row r="136" spans="3:8">
      <c r="C136" s="40"/>
      <c r="D136" s="40"/>
      <c r="E136" s="39"/>
      <c r="F136" s="39"/>
      <c r="G136" s="39"/>
    </row>
    <row r="137" spans="3:8">
      <c r="C137" s="40"/>
      <c r="D137" s="40"/>
      <c r="E137" s="40"/>
      <c r="F137" s="40"/>
      <c r="G137" s="40"/>
    </row>
    <row r="138" spans="3:8">
      <c r="C138" s="40"/>
      <c r="D138" s="40"/>
      <c r="E138" s="60"/>
      <c r="F138" s="42"/>
      <c r="G138" s="60"/>
      <c r="H138" s="17"/>
    </row>
    <row r="139" spans="3:8">
      <c r="C139" s="40"/>
      <c r="D139" s="40"/>
      <c r="E139" s="42"/>
      <c r="F139" s="42"/>
      <c r="G139" s="42"/>
      <c r="H139" s="17"/>
    </row>
    <row r="140" spans="3:8">
      <c r="C140" s="40"/>
      <c r="D140" s="40"/>
      <c r="E140" s="42"/>
      <c r="F140" s="42"/>
      <c r="G140" s="42"/>
      <c r="H140" s="17"/>
    </row>
    <row r="141" spans="3:8">
      <c r="C141" s="43"/>
      <c r="D141" s="40"/>
      <c r="E141" s="42"/>
      <c r="F141" s="42"/>
      <c r="G141" s="42"/>
      <c r="H141" s="17"/>
    </row>
    <row r="142" spans="3:8">
      <c r="C142" s="43"/>
      <c r="D142" s="40"/>
      <c r="E142" s="42"/>
      <c r="F142" s="42"/>
      <c r="G142" s="42"/>
      <c r="H142" s="17"/>
    </row>
    <row r="143" spans="3:8">
      <c r="C143" s="44"/>
      <c r="D143" s="40"/>
      <c r="E143" s="42"/>
      <c r="F143" s="42"/>
      <c r="G143" s="42"/>
      <c r="H143" s="17"/>
    </row>
    <row r="144" spans="3:8">
      <c r="C144" s="40"/>
      <c r="D144" s="40"/>
      <c r="E144" s="42"/>
      <c r="F144" s="42"/>
      <c r="G144" s="42"/>
      <c r="H144" s="17"/>
    </row>
    <row r="145" spans="3:8">
      <c r="C145" s="40"/>
      <c r="D145" s="40"/>
      <c r="E145" s="42"/>
      <c r="F145" s="42"/>
      <c r="G145" s="42"/>
      <c r="H145" s="17"/>
    </row>
    <row r="146" spans="3:8">
      <c r="C146" s="40"/>
      <c r="D146" s="40"/>
      <c r="E146" s="42"/>
      <c r="F146" s="42"/>
      <c r="G146" s="42"/>
      <c r="H146" s="17"/>
    </row>
    <row r="147" spans="3:8">
      <c r="C147" s="40"/>
      <c r="D147" s="40"/>
      <c r="E147" s="42"/>
      <c r="F147" s="42"/>
      <c r="G147" s="42"/>
      <c r="H147" s="17"/>
    </row>
    <row r="148" spans="3:8">
      <c r="C148" s="40"/>
      <c r="D148" s="40"/>
      <c r="E148" s="42"/>
      <c r="F148" s="42"/>
      <c r="G148" s="42"/>
      <c r="H148" s="17"/>
    </row>
    <row r="149" spans="3:8">
      <c r="C149" s="40"/>
      <c r="D149" s="40"/>
      <c r="E149" s="42"/>
      <c r="F149" s="42"/>
      <c r="G149" s="42"/>
      <c r="H149" s="17"/>
    </row>
    <row r="150" spans="3:8" ht="4.9000000000000004" customHeight="1">
      <c r="E150" s="45"/>
      <c r="F150" s="45"/>
      <c r="G150" s="45"/>
      <c r="H150" s="17"/>
    </row>
    <row r="151" spans="3:8">
      <c r="C151" s="17"/>
      <c r="D151" s="17"/>
      <c r="E151" s="17"/>
      <c r="F151" s="17"/>
      <c r="G151" s="17"/>
      <c r="H151" s="17"/>
    </row>
    <row r="152" spans="3:8">
      <c r="C152" s="17"/>
      <c r="D152" s="17"/>
      <c r="E152" s="17"/>
      <c r="F152" s="17"/>
      <c r="G152" s="17"/>
      <c r="H152" s="17"/>
    </row>
    <row r="153" spans="3:8">
      <c r="C153" s="17"/>
      <c r="D153" s="17"/>
      <c r="E153" s="17"/>
      <c r="F153" s="17"/>
      <c r="G153" s="17"/>
      <c r="H153" s="17"/>
    </row>
    <row r="154" spans="3:8">
      <c r="C154" s="17"/>
      <c r="D154" s="17"/>
      <c r="E154" s="17"/>
      <c r="F154" s="17"/>
      <c r="G154" s="17"/>
      <c r="H154" s="17"/>
    </row>
    <row r="155" spans="3:8">
      <c r="C155" s="17"/>
      <c r="D155" s="17"/>
      <c r="E155" s="17"/>
      <c r="F155" s="17"/>
      <c r="G155" s="17"/>
      <c r="H155" s="17"/>
    </row>
  </sheetData>
  <mergeCells count="1">
    <mergeCell ref="E135:G135"/>
  </mergeCells>
  <pageMargins left="0.75" right="0.33" top="1" bottom="1" header="0.5" footer="0.5"/>
  <pageSetup scale="25" orientation="landscape" r:id="rId1"/>
  <headerFooter alignWithMargins="0">
    <oddHeader>&amp;C&amp;G</oddHeader>
    <oddFooter>&amp;C&amp;G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3DAC-7D27-4427-9DA3-2E4658217245}">
  <sheetPr>
    <tabColor rgb="FF92D050"/>
    <pageSetUpPr fitToPage="1"/>
  </sheetPr>
  <dimension ref="B4:N148"/>
  <sheetViews>
    <sheetView showGridLines="0" view="pageLayout" topLeftCell="A106" zoomScaleNormal="100" workbookViewId="0">
      <selection activeCell="L126" sqref="L126"/>
    </sheetView>
  </sheetViews>
  <sheetFormatPr defaultRowHeight="12.5"/>
  <cols>
    <col min="2" max="2" width="4.81640625" customWidth="1"/>
    <col min="3" max="3" width="50.54296875" customWidth="1"/>
    <col min="4" max="4" width="1.54296875" customWidth="1"/>
    <col min="5" max="5" width="12.1796875" customWidth="1"/>
    <col min="6" max="6" width="1.54296875" customWidth="1"/>
    <col min="7" max="7" width="12.1796875" customWidth="1"/>
    <col min="8" max="8" width="2.453125" customWidth="1"/>
    <col min="9" max="9" width="11.7265625" bestFit="1" customWidth="1"/>
    <col min="10" max="10" width="11.7265625" customWidth="1"/>
    <col min="12" max="12" width="17.453125" customWidth="1"/>
    <col min="13" max="13" width="19.1796875" customWidth="1"/>
    <col min="14" max="14" width="11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III'!E8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4" ht="15.5">
      <c r="C17" s="18" t="s">
        <v>0</v>
      </c>
      <c r="D17" s="18"/>
      <c r="E17" s="19"/>
      <c r="F17" s="18"/>
      <c r="G17" s="19"/>
      <c r="H17" s="7"/>
      <c r="I17" s="50"/>
    </row>
    <row r="18" spans="3:14" ht="12.75" customHeight="1">
      <c r="C18" s="13" t="s">
        <v>1</v>
      </c>
      <c r="D18" s="13"/>
      <c r="E18" s="21">
        <f>G128</f>
        <v>9.8274630308151228E-2</v>
      </c>
      <c r="F18" s="13"/>
      <c r="G18" s="20"/>
      <c r="H18" s="21"/>
      <c r="I18" s="50"/>
    </row>
    <row r="19" spans="3:14">
      <c r="C19" s="13" t="s">
        <v>2</v>
      </c>
      <c r="D19" s="13"/>
      <c r="E19" s="25">
        <f>-(G126+I127)/(I126)</f>
        <v>1.4061929418025185</v>
      </c>
      <c r="F19" s="13"/>
      <c r="G19" s="14"/>
      <c r="H19" s="15"/>
    </row>
    <row r="20" spans="3:14">
      <c r="C20" s="13"/>
      <c r="D20" s="13"/>
      <c r="E20" s="13"/>
      <c r="F20" s="13"/>
      <c r="G20" s="15"/>
    </row>
    <row r="21" spans="3:14" ht="15.5">
      <c r="C21" s="26" t="s">
        <v>29</v>
      </c>
      <c r="D21" s="27"/>
      <c r="E21" s="27"/>
      <c r="F21" s="27"/>
      <c r="I21" s="28"/>
      <c r="J21" s="17"/>
      <c r="L21" s="29"/>
    </row>
    <row r="22" spans="3:14">
      <c r="C22" s="89">
        <v>5.0377829999999997E-3</v>
      </c>
      <c r="D22" s="17"/>
      <c r="E22" s="17"/>
      <c r="F22" s="17"/>
      <c r="G22" s="31"/>
      <c r="H22" s="17"/>
      <c r="I22" s="17"/>
      <c r="J22" s="17"/>
    </row>
    <row r="23" spans="3:14">
      <c r="C23" s="17"/>
      <c r="D23" s="17"/>
      <c r="E23" s="28"/>
      <c r="F23" s="34"/>
      <c r="G23" s="34"/>
      <c r="H23" s="17"/>
      <c r="I23" s="16"/>
    </row>
    <row r="24" spans="3:14">
      <c r="C24" s="17" t="s">
        <v>9</v>
      </c>
      <c r="D24" s="17"/>
      <c r="E24" s="28">
        <v>41829</v>
      </c>
      <c r="F24" s="34"/>
      <c r="G24" s="34">
        <v>-11269.99</v>
      </c>
      <c r="H24" s="17"/>
      <c r="I24" s="16"/>
    </row>
    <row r="25" spans="3:14">
      <c r="C25" s="111"/>
      <c r="D25" s="17"/>
      <c r="E25" s="28">
        <v>41894</v>
      </c>
      <c r="F25" s="34"/>
      <c r="G25" s="34">
        <v>-5847.33</v>
      </c>
      <c r="H25" s="17"/>
      <c r="I25" s="16"/>
    </row>
    <row r="26" spans="3:14">
      <c r="C26" s="17"/>
      <c r="D26" s="17"/>
      <c r="E26" s="28">
        <v>41942</v>
      </c>
      <c r="F26" s="34"/>
      <c r="G26" s="34">
        <v>-3070.67</v>
      </c>
      <c r="H26" s="17"/>
      <c r="I26" s="16"/>
    </row>
    <row r="27" spans="3:14">
      <c r="C27" s="17"/>
      <c r="D27" s="17"/>
      <c r="E27" s="28">
        <v>41999</v>
      </c>
      <c r="F27" s="34"/>
      <c r="G27" s="34">
        <v>-4377.33</v>
      </c>
      <c r="H27" s="17"/>
      <c r="I27" s="16"/>
    </row>
    <row r="28" spans="3:14">
      <c r="C28" s="17" t="s">
        <v>11</v>
      </c>
      <c r="E28" s="28">
        <v>42037</v>
      </c>
      <c r="G28" s="34">
        <v>-4312</v>
      </c>
      <c r="H28" s="17"/>
      <c r="I28" s="16"/>
    </row>
    <row r="29" spans="3:14">
      <c r="E29" s="28">
        <v>42093</v>
      </c>
      <c r="G29" s="34">
        <v>-5586</v>
      </c>
      <c r="H29" s="17"/>
      <c r="I29" s="16"/>
    </row>
    <row r="30" spans="3:14">
      <c r="E30" s="28">
        <v>42109</v>
      </c>
      <c r="G30" s="34">
        <v>-4181.33</v>
      </c>
      <c r="H30" s="17"/>
      <c r="I30" s="16"/>
    </row>
    <row r="31" spans="3:14">
      <c r="E31" s="28">
        <v>42144</v>
      </c>
      <c r="G31" s="34">
        <v>-2450</v>
      </c>
      <c r="H31" s="17"/>
      <c r="I31" s="16"/>
    </row>
    <row r="32" spans="3:14">
      <c r="E32" s="28">
        <v>42184</v>
      </c>
      <c r="G32" s="34">
        <v>-3756.67</v>
      </c>
      <c r="H32" s="17"/>
      <c r="I32" s="16"/>
      <c r="J32" s="16"/>
      <c r="K32" s="17"/>
      <c r="M32" s="97"/>
      <c r="N32" s="36"/>
    </row>
    <row r="33" spans="3:14">
      <c r="E33" s="28">
        <v>42227</v>
      </c>
      <c r="G33" s="34">
        <v>-4998</v>
      </c>
      <c r="H33" s="17"/>
      <c r="I33" s="16"/>
      <c r="J33" s="16"/>
      <c r="K33" s="17"/>
      <c r="M33" s="97"/>
      <c r="N33" s="36"/>
    </row>
    <row r="34" spans="3:14">
      <c r="E34" s="28">
        <v>42261</v>
      </c>
      <c r="G34" s="34">
        <v>-6598.67</v>
      </c>
      <c r="H34" s="17"/>
      <c r="I34" s="16"/>
      <c r="J34" s="16"/>
      <c r="K34" s="17"/>
      <c r="M34" s="97"/>
      <c r="N34" s="36"/>
    </row>
    <row r="35" spans="3:14">
      <c r="E35" s="28">
        <v>42368</v>
      </c>
      <c r="G35" s="34">
        <v>-5390</v>
      </c>
      <c r="H35" s="17"/>
      <c r="I35" s="16"/>
      <c r="J35" s="16"/>
      <c r="K35" s="17"/>
      <c r="M35" s="97"/>
      <c r="N35" s="36"/>
    </row>
    <row r="36" spans="3:14">
      <c r="C36" s="17" t="s">
        <v>13</v>
      </c>
      <c r="D36" s="17"/>
      <c r="E36" s="28">
        <v>42396</v>
      </c>
      <c r="G36" s="34">
        <v>-94439.34</v>
      </c>
      <c r="H36" s="17"/>
      <c r="I36" s="16"/>
      <c r="J36" s="16"/>
      <c r="K36" s="17"/>
      <c r="M36" s="97"/>
      <c r="N36" s="36"/>
    </row>
    <row r="37" spans="3:14">
      <c r="C37" s="17"/>
      <c r="D37" s="17"/>
      <c r="E37" s="28">
        <v>42445</v>
      </c>
      <c r="G37" s="34">
        <v>-8003.34</v>
      </c>
      <c r="H37" s="17"/>
      <c r="I37" s="16"/>
      <c r="J37" s="16"/>
      <c r="K37" s="17"/>
      <c r="M37" s="97"/>
      <c r="N37" s="36"/>
    </row>
    <row r="38" spans="3:14">
      <c r="C38" s="17"/>
      <c r="D38" s="17"/>
      <c r="E38" s="28">
        <v>42549</v>
      </c>
      <c r="G38" s="34">
        <v>-12968.67</v>
      </c>
      <c r="H38" s="17"/>
      <c r="I38" s="16"/>
      <c r="J38" s="16"/>
      <c r="K38" s="17"/>
      <c r="M38" s="97"/>
      <c r="N38" s="36"/>
    </row>
    <row r="39" spans="3:14">
      <c r="C39" s="17"/>
      <c r="D39" s="17"/>
      <c r="E39" s="28">
        <v>42586</v>
      </c>
      <c r="G39" s="34">
        <v>-9963.33</v>
      </c>
      <c r="H39" s="17"/>
      <c r="I39" s="16"/>
      <c r="J39" s="16"/>
      <c r="K39" s="17"/>
      <c r="M39" s="97"/>
      <c r="N39" s="36"/>
    </row>
    <row r="40" spans="3:14">
      <c r="C40" s="17"/>
      <c r="D40" s="17"/>
      <c r="E40" s="28">
        <v>42607</v>
      </c>
      <c r="G40" s="34">
        <v>-7546</v>
      </c>
      <c r="H40" s="17"/>
      <c r="I40" s="16"/>
      <c r="J40" s="16"/>
      <c r="K40" s="17"/>
      <c r="M40" s="97"/>
      <c r="N40" s="36"/>
    </row>
    <row r="41" spans="3:14">
      <c r="C41" s="17"/>
      <c r="D41" s="17"/>
      <c r="E41" s="28">
        <v>42613</v>
      </c>
      <c r="G41" s="34">
        <v>-159903.32999999999</v>
      </c>
      <c r="H41" s="17"/>
      <c r="I41" s="16"/>
      <c r="J41" s="16"/>
      <c r="K41" s="17"/>
      <c r="M41" s="97"/>
      <c r="N41" s="36"/>
    </row>
    <row r="42" spans="3:14">
      <c r="C42" s="17"/>
      <c r="D42" s="17"/>
      <c r="E42" s="28">
        <v>42640</v>
      </c>
      <c r="G42" s="34">
        <v>-3756.67</v>
      </c>
      <c r="H42" s="17"/>
      <c r="I42" s="16"/>
      <c r="J42" s="16"/>
      <c r="K42" s="17"/>
      <c r="M42" s="97"/>
      <c r="N42" s="36"/>
    </row>
    <row r="43" spans="3:14">
      <c r="C43" s="17"/>
      <c r="D43" s="17"/>
      <c r="E43" s="28">
        <v>42732</v>
      </c>
      <c r="G43" s="34">
        <v>-5226.67</v>
      </c>
      <c r="H43" s="17"/>
      <c r="I43" s="16"/>
      <c r="J43" s="16"/>
      <c r="K43" s="17"/>
      <c r="M43" s="97"/>
      <c r="N43" s="36"/>
    </row>
    <row r="44" spans="3:14">
      <c r="C44" s="17" t="s">
        <v>14</v>
      </c>
      <c r="D44" s="17"/>
      <c r="E44" s="28">
        <v>42377</v>
      </c>
      <c r="G44" s="34">
        <v>47121.98</v>
      </c>
      <c r="H44" s="17"/>
      <c r="I44" s="16"/>
      <c r="J44" s="16"/>
      <c r="K44" s="17"/>
      <c r="M44" s="97"/>
      <c r="N44" s="36"/>
    </row>
    <row r="45" spans="3:14">
      <c r="C45" s="17"/>
      <c r="D45" s="17"/>
      <c r="E45" s="28">
        <v>42551</v>
      </c>
      <c r="G45" s="34">
        <v>4861.16</v>
      </c>
      <c r="H45" s="17"/>
      <c r="I45" s="16"/>
      <c r="J45" s="16"/>
      <c r="K45" s="17"/>
      <c r="M45" s="97"/>
      <c r="N45" s="36"/>
    </row>
    <row r="46" spans="3:14">
      <c r="C46" s="17"/>
      <c r="D46" s="17"/>
      <c r="E46" s="28">
        <v>42642</v>
      </c>
      <c r="G46" s="34">
        <v>9354.83</v>
      </c>
      <c r="H46" s="17"/>
      <c r="I46" s="16"/>
      <c r="J46" s="16"/>
      <c r="K46" s="17"/>
      <c r="M46" s="97"/>
      <c r="N46" s="36"/>
    </row>
    <row r="47" spans="3:14" ht="15.5">
      <c r="C47" s="17"/>
      <c r="D47" s="17"/>
      <c r="E47" s="28">
        <v>42655</v>
      </c>
      <c r="G47" s="34">
        <v>3825.81</v>
      </c>
      <c r="H47" s="17"/>
      <c r="I47" s="16"/>
      <c r="J47" s="16"/>
      <c r="K47" s="17"/>
      <c r="L47" s="12"/>
      <c r="M47" s="97"/>
      <c r="N47" s="36"/>
    </row>
    <row r="48" spans="3:14">
      <c r="C48" s="17" t="s">
        <v>15</v>
      </c>
      <c r="D48" s="17"/>
      <c r="E48" s="28">
        <v>42765</v>
      </c>
      <c r="G48" s="34">
        <v>-17248</v>
      </c>
      <c r="H48" s="17"/>
      <c r="I48" s="16"/>
      <c r="J48" s="16"/>
      <c r="K48" s="17"/>
      <c r="L48" s="59"/>
      <c r="M48" s="97"/>
      <c r="N48" s="36"/>
    </row>
    <row r="49" spans="3:14">
      <c r="C49" s="17"/>
      <c r="D49" s="17"/>
      <c r="E49" s="28">
        <v>42822</v>
      </c>
      <c r="G49" s="34">
        <v>-9571.33</v>
      </c>
      <c r="H49" s="17"/>
      <c r="I49" s="16"/>
      <c r="J49" s="16"/>
      <c r="K49" s="17"/>
      <c r="L49" s="59"/>
      <c r="M49" s="97"/>
      <c r="N49" s="36"/>
    </row>
    <row r="50" spans="3:14">
      <c r="C50" s="17"/>
      <c r="D50" s="17"/>
      <c r="E50" s="28">
        <v>42852</v>
      </c>
      <c r="G50" s="34">
        <v>-9996</v>
      </c>
      <c r="H50" s="17"/>
      <c r="I50" s="16"/>
      <c r="J50" s="16"/>
      <c r="K50" s="17"/>
      <c r="L50" s="59"/>
      <c r="M50" s="97"/>
      <c r="N50" s="36"/>
    </row>
    <row r="51" spans="3:14">
      <c r="C51" s="17"/>
      <c r="D51" s="17"/>
      <c r="E51" s="28">
        <v>42913</v>
      </c>
      <c r="G51" s="34">
        <v>-40114.67</v>
      </c>
      <c r="H51" s="17"/>
      <c r="I51" s="16"/>
      <c r="J51" s="16"/>
      <c r="K51" s="17"/>
      <c r="L51" s="59"/>
      <c r="M51" s="97"/>
      <c r="N51" s="36"/>
    </row>
    <row r="52" spans="3:14">
      <c r="C52" s="17"/>
      <c r="D52" s="17"/>
      <c r="E52" s="28">
        <v>42991</v>
      </c>
      <c r="G52" s="34">
        <v>-17640</v>
      </c>
      <c r="H52" s="17"/>
      <c r="I52" s="16"/>
      <c r="J52" s="16"/>
      <c r="K52" s="17"/>
      <c r="M52" s="97"/>
      <c r="N52" s="36"/>
    </row>
    <row r="53" spans="3:14">
      <c r="C53" s="17"/>
      <c r="D53" s="17"/>
      <c r="E53" s="28">
        <v>43006</v>
      </c>
      <c r="G53" s="34">
        <v>-12576.67</v>
      </c>
      <c r="H53" s="17"/>
      <c r="I53" s="16"/>
      <c r="J53" s="16"/>
      <c r="K53" s="17"/>
      <c r="M53" s="97"/>
      <c r="N53" s="36"/>
    </row>
    <row r="54" spans="3:14">
      <c r="C54" s="17"/>
      <c r="D54" s="17"/>
      <c r="E54" s="28">
        <v>43080</v>
      </c>
      <c r="F54" s="34"/>
      <c r="G54" s="34">
        <v>-6272</v>
      </c>
      <c r="H54" s="17"/>
      <c r="I54" s="16"/>
      <c r="J54" s="16"/>
      <c r="K54" s="17"/>
      <c r="M54" s="97"/>
      <c r="N54" s="36"/>
    </row>
    <row r="55" spans="3:14">
      <c r="C55" s="17"/>
      <c r="D55" s="17"/>
      <c r="E55" s="28">
        <v>43095</v>
      </c>
      <c r="F55" s="34"/>
      <c r="G55" s="34">
        <v>-12478.67</v>
      </c>
      <c r="H55" s="17"/>
      <c r="I55" s="16"/>
      <c r="J55" s="16"/>
      <c r="K55" s="17"/>
      <c r="M55" s="97"/>
      <c r="N55" s="36"/>
    </row>
    <row r="56" spans="3:14">
      <c r="C56" s="17" t="s">
        <v>16</v>
      </c>
      <c r="D56" s="17"/>
      <c r="E56" s="28">
        <v>42747</v>
      </c>
      <c r="G56" s="34">
        <v>14195.47</v>
      </c>
      <c r="H56" s="17"/>
      <c r="I56" s="16"/>
      <c r="J56" s="16"/>
      <c r="K56" s="17"/>
      <c r="M56" s="97"/>
      <c r="N56" s="36"/>
    </row>
    <row r="57" spans="3:14">
      <c r="C57" s="17" t="s">
        <v>17</v>
      </c>
      <c r="D57" s="17"/>
      <c r="E57" s="28">
        <v>43130</v>
      </c>
      <c r="G57" s="34">
        <v>-121193.33</v>
      </c>
      <c r="H57" s="17"/>
      <c r="I57" s="16"/>
      <c r="J57" s="16"/>
      <c r="K57" s="17"/>
      <c r="M57" s="97"/>
      <c r="N57" s="36"/>
    </row>
    <row r="58" spans="3:14">
      <c r="C58" s="17"/>
      <c r="D58" s="17"/>
      <c r="E58" s="28">
        <v>43143</v>
      </c>
      <c r="G58" s="34">
        <v>33560.1</v>
      </c>
      <c r="H58" s="17"/>
      <c r="I58" s="16"/>
      <c r="J58" s="16"/>
      <c r="K58" s="17"/>
      <c r="M58" s="97"/>
      <c r="N58" s="36"/>
    </row>
    <row r="59" spans="3:14">
      <c r="C59" s="17"/>
      <c r="D59" s="17"/>
      <c r="E59" s="28">
        <v>43173</v>
      </c>
      <c r="G59" s="34">
        <v>-9146.66</v>
      </c>
      <c r="H59" s="17"/>
      <c r="I59" s="16"/>
      <c r="J59" s="16"/>
      <c r="K59" s="17"/>
      <c r="M59" s="97"/>
      <c r="N59" s="36"/>
    </row>
    <row r="60" spans="3:14">
      <c r="C60" s="17"/>
      <c r="D60" s="17"/>
      <c r="E60" s="28">
        <v>43216</v>
      </c>
      <c r="G60" s="34">
        <v>-16333.33</v>
      </c>
      <c r="H60" s="17"/>
      <c r="I60" s="16"/>
      <c r="J60" s="16"/>
      <c r="K60" s="17"/>
      <c r="M60" s="97"/>
      <c r="N60" s="36"/>
    </row>
    <row r="61" spans="3:14">
      <c r="C61" s="17"/>
      <c r="D61" s="17"/>
      <c r="E61" s="28">
        <v>43265</v>
      </c>
      <c r="G61" s="34">
        <v>-9342.67</v>
      </c>
      <c r="H61" s="17"/>
      <c r="I61" s="16"/>
      <c r="J61" s="16"/>
      <c r="K61" s="17"/>
      <c r="M61" s="97"/>
      <c r="N61" s="36"/>
    </row>
    <row r="62" spans="3:14">
      <c r="C62" s="17"/>
      <c r="D62" s="17"/>
      <c r="E62" s="28">
        <v>43292</v>
      </c>
      <c r="G62" s="34">
        <v>-16333.33</v>
      </c>
      <c r="H62" s="17"/>
      <c r="I62" s="16"/>
      <c r="J62" s="16"/>
      <c r="K62" s="17"/>
      <c r="M62" s="97"/>
      <c r="N62" s="36"/>
    </row>
    <row r="63" spans="3:14">
      <c r="C63" s="17"/>
      <c r="D63" s="17"/>
      <c r="E63" s="28">
        <v>43328</v>
      </c>
      <c r="G63" s="34">
        <v>-59388</v>
      </c>
      <c r="H63" s="17"/>
      <c r="I63" s="16"/>
      <c r="J63" s="16"/>
      <c r="K63" s="17"/>
      <c r="M63" s="97"/>
      <c r="N63" s="36"/>
    </row>
    <row r="64" spans="3:14">
      <c r="C64" s="17"/>
      <c r="D64" s="17"/>
      <c r="E64" s="28">
        <v>43360</v>
      </c>
      <c r="G64" s="34">
        <v>-9015.99</v>
      </c>
      <c r="H64" s="17"/>
      <c r="I64" s="16"/>
      <c r="J64" s="16"/>
      <c r="K64" s="17"/>
      <c r="M64" s="97"/>
      <c r="N64" s="36"/>
    </row>
    <row r="65" spans="3:14">
      <c r="C65" s="17"/>
      <c r="D65" s="17"/>
      <c r="E65" s="28">
        <v>43369</v>
      </c>
      <c r="G65" s="34">
        <v>-195706</v>
      </c>
      <c r="H65" s="17"/>
      <c r="I65" s="16"/>
      <c r="J65" s="16"/>
      <c r="K65" s="17"/>
      <c r="M65" s="97"/>
      <c r="N65" s="36"/>
    </row>
    <row r="66" spans="3:14">
      <c r="C66" s="17"/>
      <c r="D66" s="17"/>
      <c r="E66" s="28">
        <v>43389</v>
      </c>
      <c r="G66" s="34">
        <v>13066.66</v>
      </c>
      <c r="H66" s="17"/>
      <c r="I66" s="16"/>
      <c r="J66" s="16"/>
      <c r="K66" s="17"/>
      <c r="M66" s="97"/>
      <c r="N66" s="36"/>
    </row>
    <row r="67" spans="3:14">
      <c r="C67" s="17"/>
      <c r="D67" s="17"/>
      <c r="E67" s="28">
        <v>43445</v>
      </c>
      <c r="G67" s="34">
        <v>-31261.99</v>
      </c>
      <c r="H67" s="17"/>
      <c r="I67" s="16"/>
      <c r="J67" s="16"/>
      <c r="K67" s="17"/>
      <c r="M67" s="97"/>
      <c r="N67" s="36"/>
    </row>
    <row r="68" spans="3:14">
      <c r="C68" s="17" t="s">
        <v>18</v>
      </c>
      <c r="D68" s="17"/>
      <c r="E68" s="28">
        <v>43111</v>
      </c>
      <c r="G68" s="34">
        <v>12442.59</v>
      </c>
      <c r="H68" s="17"/>
      <c r="I68" s="16"/>
      <c r="J68" s="16"/>
      <c r="K68" s="17"/>
      <c r="M68" s="97"/>
      <c r="N68" s="36"/>
    </row>
    <row r="69" spans="3:14">
      <c r="C69" s="17"/>
      <c r="D69" s="17"/>
      <c r="E69" s="28">
        <v>43153</v>
      </c>
      <c r="G69" s="34">
        <v>314282.78000000003</v>
      </c>
      <c r="H69" s="17"/>
      <c r="I69" s="16"/>
      <c r="J69" s="16"/>
      <c r="K69" s="17"/>
      <c r="M69" s="97"/>
      <c r="N69" s="36"/>
    </row>
    <row r="70" spans="3:14">
      <c r="C70" s="17"/>
      <c r="D70" s="17"/>
      <c r="E70" s="28">
        <v>43446</v>
      </c>
      <c r="G70" s="34">
        <v>14771.51</v>
      </c>
      <c r="H70" s="17"/>
      <c r="I70" s="16"/>
      <c r="J70" s="16"/>
      <c r="K70" s="17"/>
      <c r="M70" s="97"/>
      <c r="N70" s="36"/>
    </row>
    <row r="71" spans="3:14">
      <c r="C71" s="17" t="s">
        <v>19</v>
      </c>
      <c r="D71" s="17"/>
      <c r="E71" s="28">
        <v>43522</v>
      </c>
      <c r="G71" s="34">
        <v>-52724</v>
      </c>
      <c r="H71" s="17"/>
      <c r="I71" s="16"/>
      <c r="J71" s="16"/>
      <c r="K71" s="17"/>
      <c r="M71" s="97"/>
      <c r="N71" s="36"/>
    </row>
    <row r="72" spans="3:14">
      <c r="C72" s="17"/>
      <c r="D72" s="17"/>
      <c r="E72" s="28">
        <v>43563</v>
      </c>
      <c r="G72" s="34">
        <v>-26492.67</v>
      </c>
      <c r="H72" s="17"/>
      <c r="I72" s="16"/>
      <c r="J72" s="16"/>
      <c r="K72" s="17"/>
      <c r="M72" s="97"/>
      <c r="N72" s="36"/>
    </row>
    <row r="73" spans="3:14">
      <c r="C73" s="17"/>
      <c r="D73" s="17"/>
      <c r="E73" s="28">
        <v>43600</v>
      </c>
      <c r="G73" s="34">
        <v>-16170.01</v>
      </c>
      <c r="H73" s="17"/>
      <c r="I73" s="16"/>
      <c r="J73" s="16"/>
      <c r="K73" s="17"/>
      <c r="M73" s="97"/>
      <c r="N73" s="36"/>
    </row>
    <row r="74" spans="3:14">
      <c r="C74" s="17"/>
      <c r="D74" s="17"/>
      <c r="E74" s="28">
        <v>43643</v>
      </c>
      <c r="G74" s="34">
        <v>-9179.34</v>
      </c>
      <c r="H74" s="17"/>
      <c r="I74" s="16"/>
      <c r="J74" s="16"/>
      <c r="K74" s="17"/>
      <c r="M74" s="97"/>
      <c r="N74" s="36"/>
    </row>
    <row r="75" spans="3:14">
      <c r="C75" s="17"/>
      <c r="D75" s="17"/>
      <c r="E75" s="28">
        <v>43655</v>
      </c>
      <c r="G75" s="34">
        <v>-14373.34</v>
      </c>
      <c r="H75" s="17"/>
      <c r="I75" s="16"/>
      <c r="J75" s="16"/>
      <c r="K75" s="17"/>
      <c r="M75" s="97"/>
      <c r="N75" s="36"/>
    </row>
    <row r="76" spans="3:14">
      <c r="C76" s="17"/>
      <c r="D76" s="17"/>
      <c r="E76" s="28">
        <v>43685</v>
      </c>
      <c r="G76" s="34">
        <v>-16137.34</v>
      </c>
      <c r="H76" s="17"/>
      <c r="I76" s="16"/>
      <c r="J76" s="16"/>
      <c r="K76" s="17"/>
      <c r="M76" s="97"/>
      <c r="N76" s="36"/>
    </row>
    <row r="77" spans="3:14">
      <c r="C77" s="17"/>
      <c r="D77" s="17"/>
      <c r="E77" s="28">
        <v>43697</v>
      </c>
      <c r="G77" s="34">
        <v>-4851</v>
      </c>
      <c r="H77" s="17"/>
      <c r="I77" s="16"/>
      <c r="J77" s="16"/>
      <c r="K77" s="17"/>
      <c r="M77" s="97"/>
      <c r="N77" s="36"/>
    </row>
    <row r="78" spans="3:14">
      <c r="C78" s="17"/>
      <c r="D78" s="17"/>
      <c r="E78" s="28">
        <v>43727</v>
      </c>
      <c r="G78" s="34">
        <v>-13393.33</v>
      </c>
      <c r="H78" s="17"/>
      <c r="I78" s="16"/>
      <c r="J78" s="16"/>
      <c r="K78" s="17"/>
      <c r="M78" s="97"/>
      <c r="N78" s="36"/>
    </row>
    <row r="79" spans="3:14">
      <c r="C79" s="17"/>
      <c r="D79" s="17"/>
      <c r="E79" s="28">
        <v>43756</v>
      </c>
      <c r="G79" s="34">
        <v>-7252</v>
      </c>
      <c r="H79" s="17"/>
      <c r="I79" s="16"/>
      <c r="J79" s="16"/>
      <c r="K79" s="17"/>
      <c r="M79" s="97"/>
      <c r="N79" s="36"/>
    </row>
    <row r="80" spans="3:14">
      <c r="C80" s="17"/>
      <c r="D80" s="17"/>
      <c r="E80" s="28">
        <v>43783</v>
      </c>
      <c r="G80" s="34">
        <v>-8085</v>
      </c>
      <c r="H80" s="17"/>
      <c r="I80" s="16"/>
      <c r="J80" s="16"/>
      <c r="K80" s="17"/>
      <c r="M80" s="97"/>
      <c r="N80" s="36"/>
    </row>
    <row r="81" spans="3:14">
      <c r="C81" s="17"/>
      <c r="D81" s="17"/>
      <c r="E81" s="28">
        <v>43795</v>
      </c>
      <c r="G81" s="34">
        <v>-19861.330000000002</v>
      </c>
      <c r="H81" s="17"/>
      <c r="I81" s="16"/>
      <c r="J81" s="16"/>
      <c r="K81" s="17"/>
      <c r="M81" s="97"/>
      <c r="N81" s="36"/>
    </row>
    <row r="82" spans="3:14">
      <c r="C82" s="17"/>
      <c r="D82" s="17"/>
      <c r="E82" s="28">
        <v>43830</v>
      </c>
      <c r="G82" s="34">
        <v>-5684</v>
      </c>
      <c r="H82" s="17"/>
      <c r="I82" s="16"/>
      <c r="J82" s="16"/>
      <c r="K82" s="17"/>
      <c r="M82" s="97"/>
      <c r="N82" s="36"/>
    </row>
    <row r="83" spans="3:14">
      <c r="C83" s="17" t="s">
        <v>20</v>
      </c>
      <c r="D83" s="17"/>
      <c r="E83" s="28">
        <v>43620</v>
      </c>
      <c r="G83" s="34">
        <v>5990.27</v>
      </c>
      <c r="H83" s="17"/>
      <c r="I83" s="16"/>
      <c r="J83" s="16"/>
      <c r="K83" s="17"/>
      <c r="M83" s="97"/>
      <c r="N83" s="36"/>
    </row>
    <row r="84" spans="3:14">
      <c r="C84" s="17"/>
      <c r="D84" s="17"/>
      <c r="E84" s="28">
        <v>43669</v>
      </c>
      <c r="G84" s="34">
        <v>23646.6</v>
      </c>
      <c r="H84" s="17"/>
      <c r="I84" s="16"/>
      <c r="J84" s="16"/>
      <c r="K84" s="17"/>
      <c r="M84" s="97"/>
      <c r="N84" s="36"/>
    </row>
    <row r="85" spans="3:14">
      <c r="C85" s="17"/>
      <c r="D85" s="17"/>
      <c r="E85" s="28">
        <v>43717</v>
      </c>
      <c r="G85" s="34">
        <v>8039.89</v>
      </c>
      <c r="H85" s="17"/>
      <c r="I85" s="16"/>
      <c r="J85" s="16"/>
      <c r="K85" s="17"/>
      <c r="M85" s="97"/>
      <c r="N85" s="36"/>
    </row>
    <row r="86" spans="3:14">
      <c r="C86" s="17" t="s">
        <v>21</v>
      </c>
      <c r="D86" s="17"/>
      <c r="E86" s="28">
        <v>43858</v>
      </c>
      <c r="G86" s="34">
        <v>-8656.67</v>
      </c>
      <c r="H86" s="17"/>
      <c r="I86" s="16"/>
      <c r="J86" s="16"/>
      <c r="K86" s="17"/>
      <c r="M86" s="97"/>
      <c r="N86" s="36"/>
    </row>
    <row r="87" spans="3:14">
      <c r="C87" s="17"/>
      <c r="D87" s="17"/>
      <c r="E87" s="28">
        <v>43860</v>
      </c>
      <c r="G87" s="34">
        <v>-9734.67</v>
      </c>
      <c r="H87" s="17"/>
      <c r="I87" s="16"/>
      <c r="J87" s="16"/>
      <c r="K87" s="17"/>
      <c r="M87" s="97"/>
      <c r="N87" s="36"/>
    </row>
    <row r="88" spans="3:14">
      <c r="C88" s="17"/>
      <c r="D88" s="17"/>
      <c r="E88" s="28">
        <v>43915</v>
      </c>
      <c r="G88" s="34">
        <v>-9211.99</v>
      </c>
      <c r="H88" s="17"/>
      <c r="I88" s="16"/>
      <c r="J88" s="16"/>
      <c r="K88" s="17"/>
      <c r="M88" s="97"/>
      <c r="N88" s="36"/>
    </row>
    <row r="89" spans="3:14">
      <c r="C89" s="17"/>
      <c r="D89" s="17"/>
      <c r="E89" s="28">
        <v>43917</v>
      </c>
      <c r="G89" s="34">
        <v>-2263.8000000000002</v>
      </c>
      <c r="H89" s="17"/>
      <c r="I89" s="16"/>
      <c r="J89" s="16"/>
      <c r="K89" s="17"/>
      <c r="M89" s="97"/>
      <c r="N89" s="36"/>
    </row>
    <row r="90" spans="3:14">
      <c r="C90" s="17"/>
      <c r="D90" s="17"/>
      <c r="E90" s="28">
        <v>43980</v>
      </c>
      <c r="G90" s="34">
        <v>-9571.33</v>
      </c>
      <c r="H90" s="17"/>
      <c r="I90" s="16"/>
      <c r="J90" s="16"/>
      <c r="K90" s="17"/>
      <c r="M90" s="97"/>
      <c r="N90" s="36"/>
    </row>
    <row r="91" spans="3:14">
      <c r="C91" s="17"/>
      <c r="D91" s="17"/>
      <c r="E91" s="28">
        <v>43999</v>
      </c>
      <c r="G91" s="34">
        <v>-13066.67</v>
      </c>
      <c r="H91" s="17"/>
      <c r="I91" s="16"/>
      <c r="J91" s="16"/>
      <c r="K91" s="17"/>
      <c r="M91" s="97"/>
      <c r="N91" s="36"/>
    </row>
    <row r="92" spans="3:14">
      <c r="C92" s="17"/>
      <c r="D92" s="17"/>
      <c r="E92" s="28">
        <v>44047</v>
      </c>
      <c r="G92" s="34">
        <v>-1057.55</v>
      </c>
      <c r="H92" s="17"/>
      <c r="I92" s="16"/>
      <c r="J92" s="16"/>
      <c r="K92" s="17"/>
      <c r="M92" s="97"/>
      <c r="N92" s="36"/>
    </row>
    <row r="93" spans="3:14">
      <c r="C93" s="17" t="s">
        <v>30</v>
      </c>
      <c r="D93" s="17"/>
      <c r="E93" s="28">
        <v>43888</v>
      </c>
      <c r="G93" s="34">
        <v>30158.41</v>
      </c>
      <c r="H93" s="17"/>
      <c r="I93" s="16"/>
      <c r="J93" s="16"/>
      <c r="K93" s="17"/>
      <c r="M93" s="97"/>
      <c r="N93" s="36"/>
    </row>
    <row r="94" spans="3:14" ht="12.75" customHeight="1">
      <c r="C94" s="17"/>
      <c r="D94" s="17"/>
      <c r="E94" s="28">
        <v>44089</v>
      </c>
      <c r="G94" s="34">
        <v>4248.8999999999996</v>
      </c>
      <c r="H94" s="17"/>
      <c r="I94" s="16"/>
      <c r="J94" s="16"/>
      <c r="K94" s="17"/>
      <c r="M94" s="97"/>
      <c r="N94" s="36"/>
    </row>
    <row r="95" spans="3:14" ht="12.75" customHeight="1">
      <c r="C95" s="17" t="s">
        <v>31</v>
      </c>
      <c r="D95" s="17"/>
      <c r="E95" s="28">
        <v>44202</v>
      </c>
      <c r="G95" s="34">
        <v>-6370</v>
      </c>
      <c r="H95" s="17"/>
      <c r="I95" s="16"/>
      <c r="J95" s="16"/>
      <c r="K95" s="17"/>
      <c r="L95" s="12"/>
      <c r="M95" s="97"/>
      <c r="N95" s="36"/>
    </row>
    <row r="96" spans="3:14" ht="12.75" customHeight="1">
      <c r="C96" s="17"/>
      <c r="D96" s="17"/>
      <c r="E96" s="28">
        <v>44377</v>
      </c>
      <c r="G96" s="34">
        <v>-3070.67</v>
      </c>
      <c r="H96" s="17"/>
      <c r="I96" s="16"/>
      <c r="J96" s="16"/>
      <c r="K96" s="17"/>
      <c r="L96" s="12"/>
      <c r="M96" s="97"/>
      <c r="N96" s="36"/>
    </row>
    <row r="97" spans="3:14" ht="12.75" customHeight="1">
      <c r="C97" s="17"/>
      <c r="D97" s="17"/>
      <c r="E97" s="28">
        <v>44469</v>
      </c>
      <c r="G97" s="34">
        <v>-3038</v>
      </c>
      <c r="H97" s="17"/>
      <c r="I97" s="16"/>
      <c r="J97" s="16"/>
      <c r="K97" s="17"/>
      <c r="L97" s="12"/>
      <c r="M97" s="97"/>
      <c r="N97" s="36"/>
    </row>
    <row r="98" spans="3:14" ht="12.75" customHeight="1">
      <c r="C98" s="17"/>
      <c r="D98" s="17"/>
      <c r="E98" s="28">
        <v>44545</v>
      </c>
      <c r="G98" s="34">
        <v>-3038</v>
      </c>
      <c r="H98" s="17"/>
      <c r="I98" s="16"/>
      <c r="J98" s="16"/>
      <c r="K98" s="17"/>
      <c r="L98" s="12"/>
      <c r="M98" s="97"/>
      <c r="N98" s="36"/>
    </row>
    <row r="99" spans="3:14" ht="12.75" customHeight="1">
      <c r="C99" s="17" t="s">
        <v>22</v>
      </c>
      <c r="D99" s="17"/>
      <c r="E99" s="28">
        <v>44265</v>
      </c>
      <c r="G99" s="34">
        <v>15001.02</v>
      </c>
      <c r="H99" s="17"/>
      <c r="I99" s="16"/>
      <c r="J99" s="16"/>
      <c r="K99" s="17"/>
      <c r="L99" s="12"/>
      <c r="M99" s="97"/>
      <c r="N99" s="36"/>
    </row>
    <row r="100" spans="3:14" ht="12.75" customHeight="1">
      <c r="C100" s="17"/>
      <c r="D100" s="17"/>
      <c r="E100" s="28">
        <v>44376</v>
      </c>
      <c r="G100" s="34">
        <v>7531.51</v>
      </c>
      <c r="H100" s="17"/>
      <c r="I100" s="16"/>
      <c r="J100" s="16"/>
      <c r="K100" s="17"/>
      <c r="L100" s="12"/>
      <c r="M100" s="97"/>
      <c r="N100" s="36"/>
    </row>
    <row r="101" spans="3:14" ht="12.75" customHeight="1">
      <c r="C101" s="17"/>
      <c r="D101" s="17"/>
      <c r="E101" s="28">
        <v>44449</v>
      </c>
      <c r="G101" s="34">
        <v>13342.52</v>
      </c>
      <c r="H101" s="17"/>
      <c r="I101" s="16"/>
      <c r="J101" s="16"/>
      <c r="K101" s="17"/>
      <c r="L101" s="12"/>
      <c r="M101" s="97"/>
      <c r="N101" s="36"/>
    </row>
    <row r="102" spans="3:14" ht="12.75" customHeight="1">
      <c r="C102" s="17"/>
      <c r="D102" s="17"/>
      <c r="E102" s="28">
        <v>44488</v>
      </c>
      <c r="G102" s="34">
        <v>190071.21</v>
      </c>
      <c r="H102" s="17"/>
      <c r="I102" s="16"/>
      <c r="J102" s="16"/>
      <c r="K102" s="17"/>
      <c r="L102" s="12"/>
      <c r="M102" s="97"/>
      <c r="N102" s="36"/>
    </row>
    <row r="103" spans="3:14" ht="12.75" customHeight="1">
      <c r="C103" s="17"/>
      <c r="D103" s="17"/>
      <c r="E103" s="28">
        <v>44540</v>
      </c>
      <c r="G103" s="34">
        <v>17853.650000000001</v>
      </c>
      <c r="H103" s="17"/>
      <c r="I103" s="16"/>
      <c r="J103" s="16"/>
      <c r="K103" s="17"/>
      <c r="L103" s="12"/>
      <c r="M103" s="97"/>
      <c r="N103" s="36"/>
    </row>
    <row r="104" spans="3:14" ht="12.75" customHeight="1">
      <c r="C104" s="17" t="s">
        <v>32</v>
      </c>
      <c r="D104" s="17"/>
      <c r="E104" s="28">
        <v>44650</v>
      </c>
      <c r="G104" s="34">
        <v>-2678.67</v>
      </c>
      <c r="H104" s="17"/>
      <c r="I104" s="16"/>
      <c r="J104" s="16"/>
      <c r="K104" s="17"/>
      <c r="L104" s="12"/>
      <c r="M104" s="97"/>
      <c r="N104" s="36"/>
    </row>
    <row r="105" spans="3:14" ht="12.75" customHeight="1">
      <c r="C105" s="17"/>
      <c r="D105" s="17"/>
      <c r="E105" s="28">
        <v>44742</v>
      </c>
      <c r="G105" s="34">
        <v>-2417.33</v>
      </c>
      <c r="H105" s="17"/>
      <c r="I105" s="16"/>
      <c r="J105" s="16"/>
      <c r="K105" s="17"/>
      <c r="L105" s="12"/>
      <c r="M105" s="97"/>
      <c r="N105" s="36"/>
    </row>
    <row r="106" spans="3:14" ht="12.75" customHeight="1">
      <c r="C106" s="17"/>
      <c r="D106" s="17"/>
      <c r="E106" s="28">
        <v>44827</v>
      </c>
      <c r="G106" s="34">
        <v>-2417.33</v>
      </c>
      <c r="H106" s="17"/>
      <c r="I106" s="16"/>
      <c r="J106" s="16"/>
      <c r="K106" s="17"/>
      <c r="L106" s="12"/>
      <c r="M106" s="97"/>
      <c r="N106" s="36"/>
    </row>
    <row r="107" spans="3:14" ht="12.75" customHeight="1">
      <c r="C107" s="17"/>
      <c r="D107" s="17"/>
      <c r="E107" s="28">
        <v>44925</v>
      </c>
      <c r="G107" s="34">
        <v>-2384.66</v>
      </c>
      <c r="H107" s="17"/>
      <c r="I107" s="16"/>
      <c r="J107" s="16"/>
      <c r="K107" s="17"/>
      <c r="L107" s="12"/>
      <c r="M107" s="97"/>
      <c r="N107" s="36"/>
    </row>
    <row r="108" spans="3:14" ht="12.75" customHeight="1">
      <c r="C108" s="17" t="s">
        <v>23</v>
      </c>
      <c r="D108" s="17"/>
      <c r="E108" s="28">
        <v>44645</v>
      </c>
      <c r="G108" s="34">
        <v>16817.66</v>
      </c>
      <c r="H108" s="17"/>
      <c r="I108" s="16"/>
      <c r="J108" s="16"/>
      <c r="K108" s="17"/>
      <c r="L108" s="12"/>
      <c r="M108" s="97"/>
      <c r="N108" s="36"/>
    </row>
    <row r="109" spans="3:14" ht="12.75" customHeight="1">
      <c r="C109" s="17"/>
      <c r="D109" s="17"/>
      <c r="E109" s="28">
        <v>44721</v>
      </c>
      <c r="G109" s="34">
        <v>8138.11</v>
      </c>
      <c r="H109" s="17"/>
      <c r="I109" s="16"/>
      <c r="J109" s="16"/>
      <c r="K109" s="17"/>
      <c r="L109" s="12"/>
      <c r="M109" s="97"/>
      <c r="N109" s="36"/>
    </row>
    <row r="110" spans="3:14" ht="12.75" customHeight="1">
      <c r="C110" s="17"/>
      <c r="D110" s="17"/>
      <c r="E110" s="28">
        <v>44791</v>
      </c>
      <c r="G110" s="34">
        <v>35303.339999999997</v>
      </c>
      <c r="H110" s="17"/>
      <c r="I110" s="16"/>
      <c r="J110" s="16"/>
      <c r="K110" s="17"/>
      <c r="L110" s="12"/>
      <c r="M110" s="97"/>
      <c r="N110" s="36"/>
    </row>
    <row r="111" spans="3:14" ht="12.75" customHeight="1">
      <c r="C111" s="17"/>
      <c r="D111" s="17"/>
      <c r="E111" s="28">
        <v>44888</v>
      </c>
      <c r="G111" s="34">
        <v>7447.47</v>
      </c>
      <c r="H111" s="17"/>
      <c r="I111" s="16"/>
      <c r="J111" s="16"/>
      <c r="K111" s="17"/>
      <c r="L111" s="12"/>
      <c r="M111" s="97"/>
      <c r="N111" s="36"/>
    </row>
    <row r="112" spans="3:14" ht="12.75" customHeight="1">
      <c r="C112" s="17" t="s">
        <v>33</v>
      </c>
      <c r="D112" s="17"/>
      <c r="E112" s="28">
        <v>45009</v>
      </c>
      <c r="G112" s="34">
        <v>-2384.67</v>
      </c>
      <c r="H112" s="17"/>
      <c r="I112" s="16"/>
      <c r="J112" s="16"/>
      <c r="K112" s="17"/>
      <c r="L112" s="12"/>
      <c r="M112" s="97"/>
      <c r="N112" s="36"/>
    </row>
    <row r="113" spans="3:14" ht="12.75" customHeight="1">
      <c r="C113" s="17"/>
      <c r="D113" s="17"/>
      <c r="E113" s="28">
        <v>45112</v>
      </c>
      <c r="G113" s="34">
        <v>-1927.33</v>
      </c>
      <c r="H113" s="17"/>
      <c r="I113" s="16"/>
      <c r="J113" s="16"/>
      <c r="K113" s="17"/>
      <c r="L113" s="12"/>
      <c r="M113" s="97"/>
      <c r="N113" s="36"/>
    </row>
    <row r="114" spans="3:14" ht="12.75" customHeight="1">
      <c r="C114" s="17"/>
      <c r="D114" s="17"/>
      <c r="E114" s="28">
        <v>45196</v>
      </c>
      <c r="G114" s="34">
        <v>-1927.33</v>
      </c>
      <c r="H114" s="17"/>
      <c r="I114" s="16"/>
      <c r="J114" s="16"/>
      <c r="K114" s="17"/>
      <c r="L114" s="12"/>
      <c r="M114" s="97"/>
      <c r="N114" s="36"/>
    </row>
    <row r="115" spans="3:14" ht="12.75" customHeight="1">
      <c r="C115" s="17" t="s">
        <v>24</v>
      </c>
      <c r="D115" s="17"/>
      <c r="E115" s="28">
        <v>45001</v>
      </c>
      <c r="G115" s="34">
        <v>40983.089999999997</v>
      </c>
      <c r="H115" s="17"/>
      <c r="I115" s="16"/>
      <c r="J115" s="16"/>
      <c r="K115" s="17"/>
      <c r="L115" s="12"/>
      <c r="M115" s="97"/>
      <c r="N115" s="36"/>
    </row>
    <row r="116" spans="3:14" ht="12.75" customHeight="1">
      <c r="C116" s="17"/>
      <c r="D116" s="17"/>
      <c r="E116" s="28">
        <v>45050</v>
      </c>
      <c r="G116" s="34">
        <v>120100.42</v>
      </c>
      <c r="H116" s="17"/>
      <c r="I116" s="16"/>
      <c r="J116" s="16"/>
      <c r="K116" s="17"/>
      <c r="L116" s="12"/>
      <c r="M116" s="97"/>
      <c r="N116" s="36"/>
    </row>
    <row r="117" spans="3:14" ht="12.75" customHeight="1">
      <c r="C117" s="17"/>
      <c r="D117" s="17"/>
      <c r="E117" s="28">
        <v>45134</v>
      </c>
      <c r="G117" s="34">
        <v>42957.42</v>
      </c>
      <c r="H117" s="17"/>
      <c r="I117" s="16"/>
      <c r="J117" s="16"/>
      <c r="K117" s="17"/>
      <c r="L117" s="12"/>
      <c r="M117" s="97"/>
      <c r="N117" s="36"/>
    </row>
    <row r="118" spans="3:14" ht="12.75" customHeight="1">
      <c r="C118" s="17"/>
      <c r="D118" s="17"/>
      <c r="E118" s="28">
        <v>45161</v>
      </c>
      <c r="G118" s="34">
        <v>36439.800000000003</v>
      </c>
      <c r="H118" s="17"/>
      <c r="I118" s="16"/>
      <c r="J118" s="16"/>
      <c r="K118" s="17"/>
      <c r="L118" s="12"/>
      <c r="M118" s="97"/>
      <c r="N118" s="36"/>
    </row>
    <row r="119" spans="3:14" ht="12.75" customHeight="1">
      <c r="C119" s="17"/>
      <c r="D119" s="17"/>
      <c r="E119" s="28">
        <v>45183</v>
      </c>
      <c r="G119" s="34">
        <v>10503.83</v>
      </c>
      <c r="H119" s="17"/>
      <c r="I119" s="16"/>
      <c r="J119" s="16"/>
      <c r="K119" s="17"/>
      <c r="L119" s="12"/>
      <c r="M119" s="97"/>
      <c r="N119" s="36"/>
    </row>
    <row r="120" spans="3:14" ht="12.75" customHeight="1">
      <c r="C120" s="17"/>
      <c r="D120" s="17"/>
      <c r="E120" s="28">
        <v>45224</v>
      </c>
      <c r="G120" s="34">
        <v>48869.1</v>
      </c>
      <c r="H120" s="17"/>
      <c r="I120" s="16"/>
      <c r="J120" s="16"/>
      <c r="K120" s="17"/>
      <c r="L120" s="12"/>
      <c r="M120" s="97"/>
      <c r="N120" s="36"/>
    </row>
    <row r="121" spans="3:14" ht="12.75" customHeight="1">
      <c r="C121" s="17"/>
      <c r="D121" s="17"/>
      <c r="E121" s="28">
        <v>45279</v>
      </c>
      <c r="G121" s="34">
        <v>8773.89</v>
      </c>
      <c r="H121" s="17"/>
      <c r="I121" s="16"/>
      <c r="J121" s="16"/>
      <c r="K121" s="17"/>
      <c r="L121" s="12"/>
      <c r="M121" s="97"/>
      <c r="N121" s="36"/>
    </row>
    <row r="122" spans="3:14" ht="12.75" customHeight="1">
      <c r="C122" s="17" t="s">
        <v>36</v>
      </c>
      <c r="D122" s="17"/>
      <c r="E122" s="28">
        <v>45391</v>
      </c>
      <c r="G122" s="34">
        <v>-3070.67</v>
      </c>
      <c r="H122" s="17"/>
      <c r="I122" s="16"/>
      <c r="J122" s="16"/>
      <c r="K122" s="17"/>
      <c r="L122" s="12"/>
      <c r="M122" s="97"/>
      <c r="N122" s="36"/>
    </row>
    <row r="123" spans="3:14" ht="12.75" customHeight="1">
      <c r="C123" s="17" t="s">
        <v>35</v>
      </c>
      <c r="D123" s="17"/>
      <c r="E123" s="28">
        <v>45328</v>
      </c>
      <c r="G123" s="34">
        <v>16490.64</v>
      </c>
      <c r="H123" s="17"/>
      <c r="I123" s="16"/>
      <c r="J123" s="16"/>
      <c r="K123" s="17"/>
      <c r="L123" s="12"/>
      <c r="M123" s="97"/>
      <c r="N123" s="36"/>
    </row>
    <row r="124" spans="3:14" ht="12.75" customHeight="1">
      <c r="C124" s="17"/>
      <c r="D124" s="17"/>
      <c r="E124" s="28">
        <v>45442</v>
      </c>
      <c r="G124" s="34">
        <v>15661.96</v>
      </c>
      <c r="H124" s="17"/>
      <c r="I124" s="16"/>
      <c r="J124" s="16"/>
      <c r="K124" s="17"/>
      <c r="L124" s="12"/>
      <c r="M124" s="97"/>
      <c r="N124" s="36"/>
    </row>
    <row r="125" spans="3:14" ht="4.5" customHeight="1">
      <c r="C125" s="17"/>
      <c r="D125" s="17"/>
      <c r="E125" s="28"/>
      <c r="F125" s="17"/>
      <c r="G125" s="34"/>
      <c r="H125" s="17"/>
      <c r="I125" s="16"/>
      <c r="J125" s="16"/>
    </row>
    <row r="126" spans="3:14" ht="15.5">
      <c r="C126" s="17" t="s">
        <v>25</v>
      </c>
      <c r="D126" s="17"/>
      <c r="E126" s="28">
        <f>+E8</f>
        <v>45473</v>
      </c>
      <c r="F126" s="17"/>
      <c r="G126" s="35">
        <f>L126*C22</f>
        <v>532541.21977152</v>
      </c>
      <c r="H126" s="17"/>
      <c r="I126" s="34">
        <f>+SUMIF($G$24:$G$125,"&lt;0",$G$24:$G$125)+G58+G66</f>
        <v>-1193127.9200000002</v>
      </c>
      <c r="J126" s="17" t="s">
        <v>26</v>
      </c>
      <c r="L126" s="59">
        <v>105709440</v>
      </c>
      <c r="M126" s="12"/>
    </row>
    <row r="127" spans="3:14">
      <c r="C127" s="17"/>
      <c r="D127" s="17"/>
      <c r="E127" s="17"/>
      <c r="F127" s="17"/>
      <c r="G127" s="17"/>
      <c r="H127" s="17"/>
      <c r="I127" s="34">
        <f>+SUMIF($G$24:$G$125,"&gt;0",$G$24:$G$125)-G58-G66</f>
        <v>1145226.8400000001</v>
      </c>
      <c r="J127" s="17" t="s">
        <v>27</v>
      </c>
    </row>
    <row r="128" spans="3:14">
      <c r="C128" t="s">
        <v>28</v>
      </c>
      <c r="G128" s="38">
        <f>+XIRR(G24:G126,E24:E126)</f>
        <v>9.8274630308151228E-2</v>
      </c>
      <c r="H128" s="17"/>
    </row>
    <row r="129" spans="3:8">
      <c r="C129" s="17"/>
      <c r="D129" s="17"/>
      <c r="E129" s="17"/>
      <c r="F129" s="17"/>
      <c r="G129" s="17"/>
      <c r="H129" s="17"/>
    </row>
    <row r="130" spans="3:8">
      <c r="C130" s="17"/>
      <c r="D130" s="17"/>
      <c r="E130" s="17"/>
      <c r="F130" s="17"/>
      <c r="G130" s="17"/>
      <c r="H130" s="17"/>
    </row>
    <row r="131" spans="3:8">
      <c r="C131" s="40"/>
      <c r="D131" s="40"/>
      <c r="E131" s="17"/>
      <c r="F131" s="17"/>
      <c r="G131" s="17"/>
      <c r="H131" s="17"/>
    </row>
    <row r="132" spans="3:8">
      <c r="C132" s="40"/>
      <c r="D132" s="40"/>
      <c r="E132" s="2"/>
      <c r="F132" s="2"/>
      <c r="G132" s="2"/>
    </row>
    <row r="133" spans="3:8">
      <c r="C133" s="40"/>
      <c r="D133" s="40"/>
      <c r="E133" s="39"/>
      <c r="F133" s="39"/>
      <c r="G133" s="39"/>
    </row>
    <row r="134" spans="3:8">
      <c r="C134" s="40"/>
      <c r="D134" s="40"/>
      <c r="E134" s="40"/>
      <c r="F134" s="40"/>
      <c r="G134" s="40"/>
    </row>
    <row r="135" spans="3:8">
      <c r="C135" s="40"/>
      <c r="D135" s="40"/>
      <c r="E135" s="60"/>
      <c r="F135" s="42"/>
      <c r="G135" s="60"/>
      <c r="H135" s="17"/>
    </row>
    <row r="136" spans="3:8">
      <c r="C136" s="40"/>
      <c r="D136" s="40"/>
      <c r="E136" s="42"/>
      <c r="F136" s="42"/>
      <c r="G136" s="42"/>
      <c r="H136" s="17"/>
    </row>
    <row r="137" spans="3:8">
      <c r="C137" s="40"/>
      <c r="D137" s="40"/>
      <c r="E137" s="42"/>
      <c r="F137" s="42"/>
      <c r="G137" s="42"/>
      <c r="H137" s="17"/>
    </row>
    <row r="138" spans="3:8">
      <c r="C138" s="43"/>
      <c r="D138" s="40"/>
      <c r="E138" s="42"/>
      <c r="F138" s="42"/>
      <c r="G138" s="42"/>
      <c r="H138" s="17"/>
    </row>
    <row r="139" spans="3:8">
      <c r="C139" s="43"/>
      <c r="D139" s="40"/>
      <c r="E139" s="42"/>
      <c r="F139" s="42"/>
      <c r="G139" s="42"/>
      <c r="H139" s="17"/>
    </row>
    <row r="140" spans="3:8">
      <c r="C140" s="44"/>
      <c r="D140" s="40"/>
      <c r="E140" s="42"/>
      <c r="F140" s="42"/>
      <c r="G140" s="42"/>
      <c r="H140" s="17"/>
    </row>
    <row r="141" spans="3:8">
      <c r="C141" s="40"/>
      <c r="D141" s="40"/>
      <c r="E141" s="42"/>
      <c r="F141" s="42"/>
      <c r="G141" s="42"/>
      <c r="H141" s="17"/>
    </row>
    <row r="142" spans="3:8">
      <c r="C142" s="40"/>
      <c r="D142" s="40"/>
      <c r="E142" s="42"/>
      <c r="F142" s="42"/>
      <c r="G142" s="42"/>
      <c r="H142" s="17"/>
    </row>
    <row r="143" spans="3:8">
      <c r="C143" s="40"/>
      <c r="D143" s="40"/>
      <c r="E143" s="42"/>
      <c r="F143" s="42"/>
      <c r="G143" s="42"/>
      <c r="H143" s="17"/>
    </row>
    <row r="144" spans="3:8">
      <c r="C144" s="40"/>
      <c r="D144" s="40"/>
      <c r="E144" s="42"/>
      <c r="F144" s="42"/>
      <c r="G144" s="42"/>
      <c r="H144" s="17"/>
    </row>
    <row r="145" spans="3:8">
      <c r="C145" s="40"/>
      <c r="D145" s="40"/>
      <c r="F145" s="42"/>
      <c r="G145" s="42"/>
      <c r="H145" s="17"/>
    </row>
    <row r="146" spans="3:8">
      <c r="C146" s="40"/>
      <c r="D146" s="40"/>
      <c r="E146" s="42"/>
      <c r="F146" s="42"/>
      <c r="G146" s="42"/>
      <c r="H146" s="17"/>
    </row>
    <row r="147" spans="3:8" ht="4.9000000000000004" customHeight="1">
      <c r="C147" s="17"/>
      <c r="D147" s="17"/>
      <c r="E147" s="17"/>
      <c r="F147" s="17"/>
      <c r="G147" s="17"/>
      <c r="H147" s="17"/>
    </row>
    <row r="148" spans="3:8">
      <c r="C148" s="17"/>
      <c r="D148" s="17"/>
      <c r="E148" s="17"/>
      <c r="F148" s="17"/>
      <c r="G148" s="17"/>
      <c r="H148" s="17"/>
    </row>
  </sheetData>
  <mergeCells count="1">
    <mergeCell ref="E132:G132"/>
  </mergeCells>
  <pageMargins left="0.7" right="0.7" top="0.75" bottom="0.75" header="0.3" footer="0.3"/>
  <pageSetup scale="30" orientation="landscape" r:id="rId1"/>
  <headerFooter>
    <oddHeader>&amp;C&amp;G</oddHeader>
    <oddFooter>&amp;C&amp;G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A45-C628-49DB-962F-288F8C545A2B}">
  <sheetPr>
    <tabColor rgb="FF92D050"/>
    <pageSetUpPr fitToPage="1"/>
  </sheetPr>
  <dimension ref="B4:Q100"/>
  <sheetViews>
    <sheetView showGridLines="0" view="pageLayout" zoomScaleNormal="100" workbookViewId="0">
      <selection activeCell="E9" sqref="E9"/>
    </sheetView>
  </sheetViews>
  <sheetFormatPr defaultRowHeight="12.5"/>
  <cols>
    <col min="2" max="2" width="4.81640625" customWidth="1"/>
    <col min="3" max="3" width="50.1796875" customWidth="1"/>
    <col min="4" max="4" width="1.453125" customWidth="1"/>
    <col min="5" max="5" width="12.1796875" bestFit="1" customWidth="1"/>
    <col min="6" max="6" width="1.453125" customWidth="1"/>
    <col min="7" max="7" width="12.26953125" customWidth="1"/>
    <col min="8" max="8" width="2.453125" customWidth="1"/>
    <col min="9" max="9" width="11.7265625" bestFit="1" customWidth="1"/>
    <col min="10" max="10" width="11.7265625" customWidth="1"/>
    <col min="12" max="12" width="18.54296875" customWidth="1"/>
    <col min="13" max="13" width="16.54296875" bestFit="1" customWidth="1"/>
    <col min="14" max="14" width="10.1796875" bestFit="1" customWidth="1"/>
    <col min="15" max="15" width="11.26953125" bestFit="1" customWidth="1"/>
    <col min="16" max="16" width="10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1"/>
    </row>
    <row r="9" spans="2:15" ht="15.5">
      <c r="C9" s="7"/>
      <c r="D9" s="7"/>
      <c r="E9" s="7"/>
      <c r="F9" s="7"/>
      <c r="G9" s="12"/>
    </row>
    <row r="10" spans="2:15">
      <c r="C10" s="13"/>
      <c r="D10" s="13"/>
      <c r="E10" s="14"/>
      <c r="F10" s="13"/>
      <c r="G10" s="59"/>
      <c r="H10" s="15"/>
      <c r="I10" s="24"/>
      <c r="O10" s="102"/>
    </row>
    <row r="11" spans="2:15">
      <c r="C11" s="13"/>
      <c r="D11" s="13"/>
      <c r="E11" s="14"/>
      <c r="F11" s="13"/>
      <c r="G11" s="14"/>
      <c r="H11" s="15"/>
      <c r="I11" s="24"/>
    </row>
    <row r="12" spans="2:15" ht="15.5">
      <c r="C12" s="18"/>
      <c r="D12" s="18"/>
      <c r="E12" s="19"/>
      <c r="F12" s="18"/>
      <c r="G12" s="19"/>
      <c r="H12" s="7"/>
      <c r="I12" s="24"/>
    </row>
    <row r="13" spans="2:15">
      <c r="C13" s="13"/>
      <c r="D13" s="13"/>
      <c r="E13" s="20"/>
      <c r="F13" s="13"/>
      <c r="G13" s="59"/>
      <c r="H13" s="21"/>
      <c r="I13" s="24"/>
      <c r="O13" s="102"/>
    </row>
    <row r="14" spans="2:15">
      <c r="C14" s="13"/>
      <c r="D14" s="13"/>
      <c r="E14" s="22"/>
      <c r="F14" s="13"/>
      <c r="G14" s="59"/>
      <c r="H14" s="23"/>
      <c r="I14" s="24"/>
    </row>
    <row r="15" spans="2:15">
      <c r="C15" s="13"/>
      <c r="D15" s="13"/>
      <c r="E15" s="14"/>
      <c r="F15" s="13"/>
      <c r="G15" s="14"/>
      <c r="H15" s="15"/>
      <c r="I15" s="24"/>
    </row>
    <row r="16" spans="2:15" ht="15.5">
      <c r="C16" s="7"/>
      <c r="D16" s="7"/>
      <c r="E16" s="19"/>
      <c r="F16" s="7"/>
      <c r="G16" s="19"/>
      <c r="H16" s="7"/>
      <c r="I16" s="24"/>
    </row>
    <row r="17" spans="3:15" ht="15.5">
      <c r="C17" s="18" t="s">
        <v>0</v>
      </c>
      <c r="D17" s="18"/>
      <c r="E17" s="19"/>
      <c r="F17" s="18"/>
      <c r="G17" s="19"/>
      <c r="H17" s="7"/>
      <c r="I17" s="50"/>
      <c r="J17" s="55"/>
      <c r="K17" s="55"/>
      <c r="L17" s="55"/>
      <c r="M17" s="55"/>
      <c r="N17" s="55"/>
    </row>
    <row r="18" spans="3:15" ht="12.75" customHeight="1">
      <c r="C18" s="13" t="s">
        <v>1</v>
      </c>
      <c r="D18" s="13"/>
      <c r="E18" s="21">
        <f>G78</f>
        <v>8.1090852618217454E-2</v>
      </c>
      <c r="F18" s="13"/>
      <c r="G18" s="20"/>
      <c r="H18" s="21"/>
      <c r="I18" s="50"/>
      <c r="J18" s="103"/>
      <c r="K18" s="55"/>
      <c r="L18" s="104"/>
      <c r="M18" s="105"/>
      <c r="N18" s="55"/>
    </row>
    <row r="19" spans="3:15">
      <c r="C19" s="13" t="s">
        <v>2</v>
      </c>
      <c r="D19" s="13"/>
      <c r="E19" s="25">
        <f>-(G76+I77)/I76</f>
        <v>1.2450086354831758</v>
      </c>
      <c r="F19" s="13"/>
      <c r="G19" s="14"/>
      <c r="H19" s="15"/>
      <c r="J19" s="103"/>
      <c r="K19" s="55"/>
      <c r="L19" s="104"/>
      <c r="M19" s="105"/>
      <c r="N19" s="106"/>
    </row>
    <row r="20" spans="3:15">
      <c r="C20" s="13"/>
      <c r="D20" s="13"/>
      <c r="E20" s="13"/>
      <c r="F20" s="13"/>
      <c r="G20" s="15"/>
      <c r="J20" s="103"/>
      <c r="K20" s="55"/>
      <c r="L20" s="104"/>
      <c r="M20" s="105"/>
      <c r="N20" s="55"/>
    </row>
    <row r="21" spans="3:15" ht="15.5">
      <c r="C21" s="26" t="s">
        <v>29</v>
      </c>
      <c r="D21" s="27"/>
      <c r="E21" s="27"/>
      <c r="F21" s="27"/>
      <c r="I21" s="28"/>
      <c r="J21" s="103"/>
      <c r="K21" s="55"/>
      <c r="L21" s="104"/>
      <c r="M21" s="105"/>
      <c r="N21" s="106"/>
    </row>
    <row r="22" spans="3:15">
      <c r="C22" s="30">
        <v>7.5384599999999996E-4</v>
      </c>
      <c r="D22" s="17"/>
      <c r="E22" s="17"/>
      <c r="F22" s="17"/>
      <c r="G22" s="31"/>
      <c r="H22" s="17"/>
      <c r="I22" s="17"/>
      <c r="J22" s="103"/>
      <c r="K22" s="55"/>
      <c r="L22" s="104"/>
      <c r="M22" s="105"/>
      <c r="N22" s="55"/>
    </row>
    <row r="23" spans="3:15" ht="15.5">
      <c r="C23" s="17"/>
      <c r="D23" s="17"/>
      <c r="E23" s="28"/>
      <c r="F23" s="34"/>
      <c r="G23" s="34"/>
      <c r="H23" s="17"/>
      <c r="I23" s="16"/>
      <c r="J23" s="35"/>
      <c r="L23" s="12"/>
      <c r="M23" s="105"/>
      <c r="N23" s="55"/>
    </row>
    <row r="24" spans="3:15">
      <c r="C24" s="17" t="s">
        <v>17</v>
      </c>
      <c r="D24" s="17"/>
      <c r="E24" s="28">
        <v>43136</v>
      </c>
      <c r="F24" s="34"/>
      <c r="G24" s="34">
        <v>-100336.92</v>
      </c>
      <c r="H24" s="17"/>
      <c r="I24" s="16"/>
      <c r="J24" s="35"/>
      <c r="K24" s="17"/>
      <c r="L24" s="59"/>
      <c r="M24" s="105"/>
      <c r="N24" s="55"/>
      <c r="O24" s="16"/>
    </row>
    <row r="25" spans="3:15">
      <c r="C25" s="17"/>
      <c r="D25" s="17"/>
      <c r="E25" s="28">
        <v>43193</v>
      </c>
      <c r="F25" s="34"/>
      <c r="G25" s="34">
        <v>-10327.69</v>
      </c>
      <c r="H25" s="17"/>
      <c r="I25" s="16"/>
      <c r="J25" s="35"/>
      <c r="K25" s="116"/>
      <c r="L25" s="59"/>
      <c r="M25" s="105"/>
      <c r="N25" s="55"/>
      <c r="O25" s="16"/>
    </row>
    <row r="26" spans="3:15">
      <c r="C26" s="17"/>
      <c r="D26" s="17"/>
      <c r="E26" s="28">
        <v>43286</v>
      </c>
      <c r="F26" s="34"/>
      <c r="G26" s="34">
        <v>-9423.08</v>
      </c>
      <c r="H26" s="17"/>
      <c r="I26" s="16"/>
      <c r="J26" s="35"/>
      <c r="K26" s="116"/>
      <c r="L26" s="59"/>
      <c r="M26" s="105"/>
      <c r="N26" s="55"/>
      <c r="O26" s="16"/>
    </row>
    <row r="27" spans="3:15">
      <c r="C27" s="17"/>
      <c r="D27" s="17"/>
      <c r="E27" s="28">
        <v>43328</v>
      </c>
      <c r="F27" s="34"/>
      <c r="G27" s="34">
        <v>-35355.39</v>
      </c>
      <c r="H27" s="17"/>
      <c r="I27" s="16"/>
      <c r="J27" s="35"/>
      <c r="K27" s="116"/>
      <c r="L27" s="59"/>
      <c r="M27" s="105"/>
      <c r="N27" s="55"/>
      <c r="O27" s="16"/>
    </row>
    <row r="28" spans="3:15">
      <c r="C28" s="17"/>
      <c r="D28" s="17"/>
      <c r="E28" s="28">
        <v>43369</v>
      </c>
      <c r="F28" s="34"/>
      <c r="G28" s="34">
        <v>-734246.17</v>
      </c>
      <c r="H28" s="17"/>
      <c r="I28" s="16"/>
      <c r="J28" s="35"/>
      <c r="K28" s="116"/>
      <c r="L28" s="29"/>
      <c r="M28" s="105"/>
      <c r="N28" s="55"/>
    </row>
    <row r="29" spans="3:15">
      <c r="C29" s="17"/>
      <c r="D29" s="17"/>
      <c r="E29" s="28">
        <v>43391</v>
      </c>
      <c r="F29" s="34"/>
      <c r="G29" s="34">
        <v>196000</v>
      </c>
      <c r="H29" s="17"/>
      <c r="I29" s="16"/>
      <c r="J29" s="16"/>
      <c r="K29" s="17"/>
      <c r="M29" s="55"/>
      <c r="N29" s="55"/>
    </row>
    <row r="30" spans="3:15">
      <c r="C30" s="17"/>
      <c r="D30" s="17"/>
      <c r="E30" s="28">
        <v>43461</v>
      </c>
      <c r="F30" s="34"/>
      <c r="G30" s="34">
        <v>-12740.01</v>
      </c>
      <c r="H30" s="17"/>
      <c r="I30" s="16"/>
      <c r="J30" s="16"/>
      <c r="K30" s="17"/>
      <c r="M30" s="55"/>
      <c r="N30" s="55"/>
    </row>
    <row r="31" spans="3:15">
      <c r="C31" s="17" t="s">
        <v>19</v>
      </c>
      <c r="D31" s="17"/>
      <c r="E31" s="28">
        <v>43494</v>
      </c>
      <c r="F31" s="34"/>
      <c r="G31" s="34">
        <v>-19675.39</v>
      </c>
      <c r="H31" s="17"/>
      <c r="I31" s="16"/>
      <c r="J31" s="16"/>
      <c r="K31" s="17"/>
      <c r="N31" s="97"/>
      <c r="O31" s="36"/>
    </row>
    <row r="32" spans="3:15">
      <c r="C32" s="17"/>
      <c r="D32" s="17"/>
      <c r="E32" s="28">
        <v>43622</v>
      </c>
      <c r="F32" s="34"/>
      <c r="G32" s="34">
        <v>-13116.92</v>
      </c>
      <c r="H32" s="17"/>
      <c r="I32" s="16"/>
      <c r="J32" s="16"/>
      <c r="K32" s="17"/>
      <c r="N32" s="97"/>
      <c r="O32" s="36"/>
    </row>
    <row r="33" spans="3:16">
      <c r="C33" s="17"/>
      <c r="D33" s="17"/>
      <c r="E33" s="28">
        <v>43670</v>
      </c>
      <c r="F33" s="34"/>
      <c r="G33" s="34">
        <v>-19750.78</v>
      </c>
      <c r="H33" s="17"/>
      <c r="I33" s="16"/>
      <c r="J33" s="16"/>
      <c r="K33" s="17"/>
      <c r="N33" s="97"/>
      <c r="O33" s="36"/>
    </row>
    <row r="34" spans="3:16">
      <c r="C34" s="17"/>
      <c r="D34" s="17"/>
      <c r="E34" s="28">
        <v>43742</v>
      </c>
      <c r="F34" s="34"/>
      <c r="G34" s="34">
        <v>-14323.08</v>
      </c>
      <c r="H34" s="17"/>
      <c r="I34" s="16"/>
      <c r="J34" s="16"/>
      <c r="K34" s="17"/>
      <c r="N34" s="97"/>
      <c r="O34" s="36"/>
    </row>
    <row r="35" spans="3:16">
      <c r="C35" s="17"/>
      <c r="D35" s="17"/>
      <c r="E35" s="28">
        <v>43794</v>
      </c>
      <c r="F35" s="34"/>
      <c r="G35" s="34">
        <v>-35053.83</v>
      </c>
      <c r="H35" s="17"/>
      <c r="I35" s="16"/>
      <c r="J35" s="16"/>
      <c r="K35" s="17"/>
      <c r="N35" s="97"/>
      <c r="O35" s="36"/>
    </row>
    <row r="36" spans="3:16">
      <c r="C36" s="17"/>
      <c r="D36" s="17"/>
      <c r="E36" s="28">
        <v>43801</v>
      </c>
      <c r="F36" s="34"/>
      <c r="G36" s="34">
        <v>-67167.69</v>
      </c>
      <c r="H36" s="17"/>
      <c r="I36" s="16"/>
      <c r="J36" s="16"/>
      <c r="K36" s="17"/>
      <c r="N36" s="97"/>
      <c r="O36" s="36"/>
    </row>
    <row r="37" spans="3:16">
      <c r="C37" s="17" t="s">
        <v>20</v>
      </c>
      <c r="D37" s="17"/>
      <c r="E37" s="28">
        <v>43671</v>
      </c>
      <c r="F37" s="34"/>
      <c r="G37" s="34">
        <v>65298.04</v>
      </c>
      <c r="H37" s="17"/>
      <c r="I37" s="16"/>
      <c r="J37" s="16"/>
      <c r="K37" s="17"/>
      <c r="N37" s="97"/>
      <c r="O37" s="36"/>
    </row>
    <row r="38" spans="3:16" ht="13.5" customHeight="1">
      <c r="C38" s="17" t="s">
        <v>21</v>
      </c>
      <c r="D38" s="17"/>
      <c r="E38" s="28">
        <v>43859</v>
      </c>
      <c r="F38" s="34"/>
      <c r="G38" s="34">
        <v>-18996.919999999998</v>
      </c>
      <c r="H38" s="17"/>
      <c r="I38" s="16"/>
      <c r="J38" s="16"/>
      <c r="K38" s="17"/>
      <c r="N38" s="97"/>
      <c r="O38" s="36"/>
    </row>
    <row r="39" spans="3:16" ht="13.5" customHeight="1">
      <c r="C39" s="17"/>
      <c r="D39" s="17"/>
      <c r="E39" s="28">
        <v>43916</v>
      </c>
      <c r="F39" s="34"/>
      <c r="G39" s="34">
        <v>-18619.990000000002</v>
      </c>
      <c r="H39" s="17"/>
      <c r="I39" s="16"/>
      <c r="J39" s="16"/>
      <c r="K39" s="17"/>
      <c r="N39" s="97"/>
      <c r="O39" s="36"/>
    </row>
    <row r="40" spans="3:16" ht="13.5" customHeight="1">
      <c r="C40" s="17"/>
      <c r="D40" s="17"/>
      <c r="E40" s="28">
        <v>44103</v>
      </c>
      <c r="F40" s="34"/>
      <c r="G40" s="34">
        <v>-24047.7</v>
      </c>
      <c r="H40" s="17"/>
      <c r="I40" s="16"/>
      <c r="J40" s="16"/>
      <c r="K40" s="17"/>
      <c r="N40" s="97"/>
      <c r="O40" s="36"/>
    </row>
    <row r="41" spans="3:16" ht="13.5" customHeight="1">
      <c r="C41" s="17"/>
      <c r="D41" s="17"/>
      <c r="E41" s="28">
        <v>44126</v>
      </c>
      <c r="F41" s="34"/>
      <c r="G41" s="34">
        <v>-80661.55</v>
      </c>
      <c r="H41" s="17"/>
      <c r="I41" s="16"/>
      <c r="J41" s="16"/>
      <c r="K41" s="17"/>
      <c r="L41" s="12"/>
      <c r="N41" s="97"/>
      <c r="O41" s="36"/>
    </row>
    <row r="42" spans="3:16" ht="13.5" customHeight="1">
      <c r="C42" s="17" t="s">
        <v>31</v>
      </c>
      <c r="D42" s="17"/>
      <c r="E42" s="28">
        <v>44200</v>
      </c>
      <c r="F42" s="34"/>
      <c r="G42" s="34">
        <v>-13267.7</v>
      </c>
      <c r="H42" s="17"/>
      <c r="I42" s="16"/>
      <c r="J42" s="16"/>
      <c r="K42" s="17"/>
      <c r="L42" s="12"/>
      <c r="N42" s="97"/>
      <c r="O42" s="36"/>
      <c r="P42" s="91"/>
    </row>
    <row r="43" spans="3:16" ht="13.5" customHeight="1">
      <c r="C43" s="17"/>
      <c r="D43" s="17"/>
      <c r="E43" s="28">
        <v>44376</v>
      </c>
      <c r="F43" s="34"/>
      <c r="G43" s="34">
        <v>-14323.07</v>
      </c>
      <c r="H43" s="17"/>
      <c r="I43" s="16"/>
      <c r="J43" s="16"/>
      <c r="K43" s="17"/>
      <c r="L43" s="12"/>
      <c r="N43" s="97"/>
      <c r="O43" s="36"/>
    </row>
    <row r="44" spans="3:16" ht="13.5" customHeight="1">
      <c r="C44" s="17"/>
      <c r="D44" s="17"/>
      <c r="E44" s="28">
        <v>44466</v>
      </c>
      <c r="F44" s="34"/>
      <c r="G44" s="34">
        <v>-9423.08</v>
      </c>
      <c r="H44" s="17"/>
      <c r="I44" s="16"/>
      <c r="J44" s="16"/>
      <c r="K44" s="17"/>
      <c r="L44" s="12"/>
      <c r="N44" s="97"/>
      <c r="O44" s="36"/>
    </row>
    <row r="45" spans="3:16" ht="13.5" customHeight="1">
      <c r="C45" s="17"/>
      <c r="D45" s="17"/>
      <c r="E45" s="28">
        <v>44530</v>
      </c>
      <c r="F45" s="34"/>
      <c r="G45" s="34">
        <v>-18619.990000000002</v>
      </c>
      <c r="H45" s="17"/>
      <c r="I45" s="16"/>
      <c r="J45" s="16"/>
      <c r="K45" s="17"/>
      <c r="L45" s="12"/>
      <c r="N45" s="97"/>
      <c r="O45" s="36"/>
    </row>
    <row r="46" spans="3:16" ht="13.5" customHeight="1">
      <c r="C46" s="17" t="s">
        <v>22</v>
      </c>
      <c r="D46" s="17"/>
      <c r="E46" s="28">
        <v>44463</v>
      </c>
      <c r="F46" s="34"/>
      <c r="G46" s="34">
        <v>12662.99</v>
      </c>
      <c r="H46" s="17"/>
      <c r="I46" s="16"/>
      <c r="J46" s="16"/>
      <c r="K46" s="17"/>
      <c r="L46" s="12"/>
      <c r="N46" s="97"/>
      <c r="O46" s="36"/>
    </row>
    <row r="47" spans="3:16" ht="13.5" customHeight="1">
      <c r="C47" s="17"/>
      <c r="D47" s="17"/>
      <c r="E47" s="28">
        <v>44484</v>
      </c>
      <c r="F47" s="34"/>
      <c r="G47" s="34">
        <v>484615.55</v>
      </c>
      <c r="H47" s="17"/>
      <c r="I47" s="16"/>
      <c r="J47" s="16"/>
      <c r="K47" s="17"/>
      <c r="L47" s="12"/>
      <c r="N47" s="97"/>
      <c r="O47" s="36"/>
    </row>
    <row r="48" spans="3:16" ht="13.5" customHeight="1">
      <c r="C48" s="17"/>
      <c r="D48" s="17"/>
      <c r="E48" s="28">
        <v>44539</v>
      </c>
      <c r="F48" s="34"/>
      <c r="G48" s="34">
        <v>39200</v>
      </c>
      <c r="H48" s="17"/>
      <c r="I48" s="16"/>
      <c r="J48" s="16"/>
      <c r="K48" s="17"/>
      <c r="L48" s="12"/>
      <c r="N48" s="97"/>
      <c r="O48" s="36"/>
    </row>
    <row r="49" spans="3:15" ht="13.5" customHeight="1">
      <c r="C49" s="17" t="s">
        <v>32</v>
      </c>
      <c r="D49" s="17"/>
      <c r="E49" s="28">
        <v>44606</v>
      </c>
      <c r="F49" s="34"/>
      <c r="G49" s="34">
        <v>-237386.15</v>
      </c>
      <c r="H49" s="17"/>
      <c r="I49" s="16"/>
      <c r="J49" s="16"/>
      <c r="K49" s="17"/>
      <c r="L49" s="12"/>
      <c r="N49" s="97"/>
      <c r="O49" s="36"/>
    </row>
    <row r="50" spans="3:15" ht="13.5" customHeight="1">
      <c r="C50" s="17"/>
      <c r="D50" s="17"/>
      <c r="E50" s="28">
        <v>44649</v>
      </c>
      <c r="F50" s="34"/>
      <c r="G50" s="34">
        <v>-9423.08</v>
      </c>
      <c r="H50" s="17"/>
      <c r="I50" s="16"/>
      <c r="J50" s="16"/>
      <c r="K50" s="17"/>
      <c r="L50" s="12"/>
      <c r="N50" s="97"/>
      <c r="O50" s="36"/>
    </row>
    <row r="51" spans="3:15" ht="13.5" customHeight="1">
      <c r="C51" s="17"/>
      <c r="D51" s="17"/>
      <c r="E51" s="28">
        <v>44672</v>
      </c>
      <c r="F51" s="34"/>
      <c r="G51" s="34">
        <v>-3844.61</v>
      </c>
      <c r="H51" s="17"/>
      <c r="I51" s="16"/>
      <c r="J51" s="16"/>
      <c r="K51" s="17"/>
      <c r="L51" s="12"/>
      <c r="N51" s="97"/>
      <c r="O51" s="36"/>
    </row>
    <row r="52" spans="3:15" ht="13.5" customHeight="1">
      <c r="C52" s="17"/>
      <c r="D52" s="17"/>
      <c r="E52" s="28">
        <v>44736</v>
      </c>
      <c r="F52" s="34"/>
      <c r="G52" s="34">
        <v>-30983.07</v>
      </c>
      <c r="H52" s="17"/>
      <c r="I52" s="16"/>
      <c r="J52" s="16"/>
      <c r="K52" s="17"/>
      <c r="L52" s="12"/>
      <c r="N52" s="97"/>
      <c r="O52" s="36"/>
    </row>
    <row r="53" spans="3:15" ht="13.5" customHeight="1">
      <c r="C53" s="17"/>
      <c r="D53" s="17"/>
      <c r="E53" s="28">
        <v>44764</v>
      </c>
      <c r="F53" s="34"/>
      <c r="G53" s="34">
        <v>-150090.78</v>
      </c>
      <c r="H53" s="17"/>
      <c r="I53" s="16"/>
      <c r="J53" s="16"/>
      <c r="K53" s="17"/>
      <c r="L53" s="12"/>
      <c r="N53" s="97"/>
      <c r="O53" s="36"/>
    </row>
    <row r="54" spans="3:15" ht="13.5" customHeight="1">
      <c r="C54" s="17"/>
      <c r="D54" s="17"/>
      <c r="E54" s="28">
        <v>44819</v>
      </c>
      <c r="F54" s="34"/>
      <c r="G54" s="34">
        <v>-340587.69</v>
      </c>
      <c r="H54" s="17"/>
      <c r="I54" s="16"/>
      <c r="J54" s="16"/>
      <c r="K54" s="17"/>
      <c r="L54" s="12"/>
      <c r="N54" s="97"/>
      <c r="O54" s="36"/>
    </row>
    <row r="55" spans="3:15" ht="13.5" customHeight="1">
      <c r="C55" s="17"/>
      <c r="D55" s="17"/>
      <c r="E55" s="28">
        <v>44875</v>
      </c>
      <c r="F55" s="34"/>
      <c r="G55" s="34">
        <v>-16810.77</v>
      </c>
      <c r="H55" s="17"/>
      <c r="I55" s="16"/>
      <c r="J55" s="16"/>
      <c r="K55" s="17"/>
      <c r="L55" s="12"/>
      <c r="N55" s="97"/>
      <c r="O55" s="36"/>
    </row>
    <row r="56" spans="3:15" ht="13.5" customHeight="1">
      <c r="C56" s="17"/>
      <c r="D56" s="17"/>
      <c r="E56" s="28">
        <v>44915</v>
      </c>
      <c r="F56" s="34"/>
      <c r="G56" s="34">
        <v>-152880.01</v>
      </c>
      <c r="H56" s="17"/>
      <c r="I56" s="16"/>
      <c r="J56" s="16"/>
      <c r="K56" s="17"/>
      <c r="L56" s="12"/>
      <c r="N56" s="97"/>
      <c r="O56" s="36"/>
    </row>
    <row r="57" spans="3:15" ht="13.5" customHeight="1">
      <c r="C57" s="17" t="s">
        <v>23</v>
      </c>
      <c r="D57" s="17"/>
      <c r="E57" s="28">
        <v>44615</v>
      </c>
      <c r="F57" s="34"/>
      <c r="G57" s="34">
        <v>8403.74</v>
      </c>
      <c r="H57" s="17"/>
      <c r="I57" s="16"/>
      <c r="J57" s="16"/>
      <c r="K57" s="17"/>
      <c r="L57" s="12"/>
      <c r="N57" s="97"/>
      <c r="O57" s="36"/>
    </row>
    <row r="58" spans="3:15" ht="13.5" customHeight="1">
      <c r="C58" s="17"/>
      <c r="D58" s="17"/>
      <c r="E58" s="28">
        <v>44785</v>
      </c>
      <c r="F58" s="34"/>
      <c r="G58" s="34">
        <v>27814.57</v>
      </c>
      <c r="H58" s="17"/>
      <c r="I58" s="16"/>
      <c r="J58" s="16"/>
      <c r="K58" s="17"/>
      <c r="L58" s="12"/>
      <c r="N58" s="97"/>
      <c r="O58" s="36"/>
    </row>
    <row r="59" spans="3:15" ht="13.5" customHeight="1">
      <c r="C59" s="17"/>
      <c r="D59" s="17"/>
      <c r="E59" s="28">
        <v>44895</v>
      </c>
      <c r="F59" s="34"/>
      <c r="G59" s="34">
        <v>13016.39</v>
      </c>
      <c r="H59" s="17"/>
      <c r="I59" s="16"/>
      <c r="J59" s="16"/>
      <c r="K59" s="17"/>
      <c r="L59" s="12"/>
      <c r="N59" s="97"/>
      <c r="O59" s="36"/>
    </row>
    <row r="60" spans="3:15" ht="13.5" customHeight="1">
      <c r="C60" s="17" t="s">
        <v>33</v>
      </c>
      <c r="D60" s="17"/>
      <c r="E60" s="28">
        <v>44931</v>
      </c>
      <c r="F60" s="34"/>
      <c r="G60" s="34">
        <v>-16283.08</v>
      </c>
      <c r="H60" s="17"/>
      <c r="I60" s="16"/>
      <c r="J60" s="16"/>
      <c r="K60" s="17"/>
      <c r="L60" s="12"/>
      <c r="N60" s="97"/>
      <c r="O60" s="36"/>
    </row>
    <row r="61" spans="3:15" ht="13.5" customHeight="1">
      <c r="C61" s="17"/>
      <c r="D61" s="17"/>
      <c r="E61" s="28">
        <v>45107</v>
      </c>
      <c r="F61" s="34"/>
      <c r="G61" s="34">
        <v>-6483.08</v>
      </c>
      <c r="H61" s="17"/>
      <c r="I61" s="16"/>
      <c r="J61" s="16"/>
      <c r="K61" s="17"/>
      <c r="L61" s="12"/>
      <c r="N61" s="97"/>
      <c r="O61" s="36"/>
    </row>
    <row r="62" spans="3:15" ht="13.5" customHeight="1">
      <c r="C62" s="17"/>
      <c r="D62" s="17"/>
      <c r="E62" s="28">
        <v>45117</v>
      </c>
      <c r="F62" s="34"/>
      <c r="G62" s="34">
        <v>-9649.23</v>
      </c>
      <c r="H62" s="17"/>
      <c r="I62" s="16"/>
      <c r="J62" s="16"/>
      <c r="K62" s="17"/>
      <c r="L62" s="12"/>
      <c r="N62" s="97"/>
      <c r="O62" s="36"/>
    </row>
    <row r="63" spans="3:15" ht="13.5" customHeight="1">
      <c r="C63" s="17"/>
      <c r="D63" s="17"/>
      <c r="E63" s="28">
        <v>45203</v>
      </c>
      <c r="F63" s="34"/>
      <c r="G63" s="34">
        <v>-10930.78</v>
      </c>
      <c r="H63" s="17"/>
      <c r="I63" s="16"/>
      <c r="J63" s="16"/>
      <c r="K63" s="17"/>
      <c r="L63" s="12"/>
      <c r="N63" s="97"/>
      <c r="O63" s="36"/>
    </row>
    <row r="64" spans="3:15" ht="13.5" customHeight="1">
      <c r="C64" s="17"/>
      <c r="D64" s="17"/>
      <c r="E64" s="28">
        <v>45232</v>
      </c>
      <c r="F64" s="34"/>
      <c r="G64" s="34">
        <v>-8669.23</v>
      </c>
      <c r="H64" s="17"/>
      <c r="I64" s="16"/>
      <c r="J64" s="16"/>
      <c r="K64" s="17"/>
      <c r="L64" s="12"/>
      <c r="N64" s="97"/>
      <c r="O64" s="36"/>
    </row>
    <row r="65" spans="3:15" ht="13.5" customHeight="1">
      <c r="C65" s="17"/>
      <c r="D65" s="17"/>
      <c r="E65" s="28">
        <v>45281</v>
      </c>
      <c r="F65" s="34"/>
      <c r="G65" s="34">
        <v>-8820</v>
      </c>
      <c r="H65" s="17"/>
      <c r="I65" s="16"/>
      <c r="J65" s="16"/>
      <c r="K65" s="17"/>
      <c r="L65" s="12"/>
      <c r="N65" s="97"/>
      <c r="O65" s="36"/>
    </row>
    <row r="66" spans="3:15" ht="13.5" customHeight="1">
      <c r="C66" s="17" t="s">
        <v>24</v>
      </c>
      <c r="D66" s="17"/>
      <c r="E66" s="28">
        <v>45051</v>
      </c>
      <c r="F66" s="34"/>
      <c r="G66" s="34">
        <v>203518.33</v>
      </c>
      <c r="H66" s="17"/>
      <c r="I66" s="16"/>
      <c r="J66" s="16"/>
      <c r="K66" s="17"/>
      <c r="L66" s="12"/>
      <c r="N66" s="97"/>
      <c r="O66" s="36"/>
    </row>
    <row r="67" spans="3:15" ht="13.5" customHeight="1">
      <c r="C67" s="17"/>
      <c r="D67" s="17"/>
      <c r="E67" s="28">
        <v>45132</v>
      </c>
      <c r="F67" s="34"/>
      <c r="G67" s="34">
        <v>51513.61</v>
      </c>
      <c r="H67" s="17"/>
      <c r="I67" s="16"/>
      <c r="J67" s="16"/>
      <c r="K67" s="17"/>
      <c r="L67" s="12"/>
      <c r="N67" s="97"/>
      <c r="O67" s="36"/>
    </row>
    <row r="68" spans="3:15" ht="13.5" customHeight="1">
      <c r="C68" s="17"/>
      <c r="D68" s="17"/>
      <c r="E68" s="28">
        <v>45162</v>
      </c>
      <c r="F68" s="34"/>
      <c r="G68" s="34">
        <v>88757.32</v>
      </c>
      <c r="H68" s="17"/>
      <c r="I68" s="16"/>
      <c r="J68" s="16"/>
      <c r="K68" s="17"/>
      <c r="L68" s="12"/>
      <c r="N68" s="97"/>
      <c r="O68" s="36"/>
    </row>
    <row r="69" spans="3:15" ht="13.5" customHeight="1">
      <c r="C69" s="17"/>
      <c r="D69" s="17"/>
      <c r="E69" s="28">
        <v>45184</v>
      </c>
      <c r="F69" s="34"/>
      <c r="G69" s="34">
        <v>26259.22</v>
      </c>
      <c r="H69" s="17"/>
      <c r="I69" s="16"/>
      <c r="J69" s="16"/>
      <c r="K69" s="17"/>
      <c r="L69" s="12"/>
      <c r="N69" s="97"/>
      <c r="O69" s="36"/>
    </row>
    <row r="70" spans="3:15" ht="13.5" customHeight="1">
      <c r="C70" s="17"/>
      <c r="D70" s="17"/>
      <c r="E70" s="28">
        <v>45280</v>
      </c>
      <c r="F70" s="34"/>
      <c r="G70" s="34">
        <v>18555.93</v>
      </c>
      <c r="H70" s="17"/>
      <c r="I70" s="16"/>
      <c r="J70" s="16"/>
      <c r="K70" s="17"/>
      <c r="L70" s="12"/>
      <c r="N70" s="97"/>
      <c r="O70" s="36"/>
    </row>
    <row r="71" spans="3:15" ht="13.5" customHeight="1">
      <c r="C71" s="17" t="s">
        <v>36</v>
      </c>
      <c r="D71" s="17"/>
      <c r="E71" s="28">
        <v>45327</v>
      </c>
      <c r="F71" s="34"/>
      <c r="G71" s="34">
        <v>-4749.2299999999996</v>
      </c>
      <c r="H71" s="17"/>
      <c r="I71" s="16"/>
      <c r="J71" s="16"/>
      <c r="K71" s="17"/>
      <c r="L71" s="12"/>
      <c r="N71" s="97"/>
      <c r="O71" s="36"/>
    </row>
    <row r="72" spans="3:15" ht="13.5" customHeight="1">
      <c r="C72" s="17"/>
      <c r="D72" s="17"/>
      <c r="E72" s="28">
        <v>45362</v>
      </c>
      <c r="F72" s="34"/>
      <c r="G72" s="34">
        <v>-11986.15</v>
      </c>
      <c r="H72" s="17"/>
      <c r="I72" s="16"/>
      <c r="J72" s="16"/>
      <c r="K72" s="17"/>
      <c r="L72" s="12"/>
      <c r="N72" s="97"/>
      <c r="O72" s="36"/>
    </row>
    <row r="73" spans="3:15" ht="13.5" customHeight="1">
      <c r="C73" s="17"/>
      <c r="D73" s="17"/>
      <c r="E73" s="28">
        <v>45393</v>
      </c>
      <c r="F73" s="34"/>
      <c r="G73" s="34">
        <v>-4673.8500000000004</v>
      </c>
      <c r="H73" s="17"/>
      <c r="I73" s="16"/>
      <c r="J73" s="16"/>
      <c r="K73" s="17"/>
      <c r="L73" s="12"/>
      <c r="N73" s="97"/>
      <c r="O73" s="36"/>
    </row>
    <row r="74" spans="3:15" ht="13.5" customHeight="1">
      <c r="C74" s="17" t="s">
        <v>35</v>
      </c>
      <c r="D74" s="17"/>
      <c r="E74" s="28">
        <v>45329</v>
      </c>
      <c r="F74" s="34"/>
      <c r="G74" s="34">
        <v>36302.160000000003</v>
      </c>
      <c r="H74" s="17"/>
      <c r="I74" s="16"/>
      <c r="J74" s="16"/>
      <c r="K74" s="17"/>
      <c r="L74" s="12"/>
      <c r="N74" s="97"/>
      <c r="O74" s="36"/>
    </row>
    <row r="75" spans="3:15" ht="4.5" customHeight="1">
      <c r="C75" s="17"/>
      <c r="D75" s="17"/>
      <c r="E75" s="28"/>
      <c r="F75" s="17"/>
      <c r="G75" s="34"/>
      <c r="H75" s="17"/>
      <c r="I75" s="16"/>
      <c r="J75" s="16"/>
      <c r="O75" s="36"/>
    </row>
    <row r="76" spans="3:15" ht="15.5">
      <c r="C76" s="17" t="s">
        <v>25</v>
      </c>
      <c r="D76" s="17"/>
      <c r="E76" s="28">
        <f>+E8</f>
        <v>45473</v>
      </c>
      <c r="F76" s="17"/>
      <c r="G76" s="35">
        <f>L76/0.98*C22</f>
        <v>1535771.3011926061</v>
      </c>
      <c r="H76" s="17"/>
      <c r="I76" s="34">
        <f>+SUMIF($G$24:$G$75,"&lt;0",$G$24:$G$75)+G29</f>
        <v>-2097727.7400000002</v>
      </c>
      <c r="J76" s="17" t="s">
        <v>26</v>
      </c>
      <c r="L76" s="59">
        <v>1996503099</v>
      </c>
      <c r="M76" s="12"/>
    </row>
    <row r="77" spans="3:15">
      <c r="C77" s="17"/>
      <c r="D77" s="17"/>
      <c r="E77" s="17"/>
      <c r="F77" s="17"/>
      <c r="G77" s="17"/>
      <c r="H77" s="17"/>
      <c r="I77" s="34">
        <f>+SUMIF($G$24:$G$75,"&gt;0",$G$24:$G$75)-G29</f>
        <v>1075917.8500000001</v>
      </c>
      <c r="J77" s="17" t="s">
        <v>27</v>
      </c>
      <c r="M77" s="36"/>
    </row>
    <row r="78" spans="3:15">
      <c r="C78" t="s">
        <v>28</v>
      </c>
      <c r="G78" s="38">
        <f>+XIRR(G24:G76,E24:E76,0.1)</f>
        <v>8.1090852618217454E-2</v>
      </c>
      <c r="H78" s="17"/>
      <c r="M78" s="37"/>
    </row>
    <row r="79" spans="3:15">
      <c r="C79" s="17"/>
      <c r="D79" s="17"/>
      <c r="E79" s="17"/>
      <c r="F79" s="17"/>
      <c r="G79" s="17"/>
      <c r="H79" s="17"/>
    </row>
    <row r="80" spans="3:15">
      <c r="C80" s="17"/>
      <c r="D80" s="17"/>
      <c r="E80" s="17"/>
      <c r="F80" s="17"/>
      <c r="G80" s="17"/>
      <c r="H80" s="17"/>
      <c r="M80" s="37"/>
    </row>
    <row r="81" spans="3:17">
      <c r="C81" s="40"/>
      <c r="D81" s="40"/>
      <c r="E81" s="39"/>
      <c r="F81" s="40"/>
      <c r="G81" s="39"/>
      <c r="H81" s="17"/>
      <c r="M81" s="37"/>
    </row>
    <row r="82" spans="3:17">
      <c r="C82" s="40"/>
      <c r="D82" s="40"/>
      <c r="E82" s="39"/>
      <c r="F82" s="40"/>
      <c r="G82" s="39"/>
      <c r="H82" s="17"/>
      <c r="M82" s="37"/>
    </row>
    <row r="83" spans="3:17">
      <c r="C83" s="40"/>
      <c r="D83" s="40"/>
      <c r="E83" s="39"/>
      <c r="F83" s="40"/>
      <c r="G83" s="39"/>
      <c r="H83" s="17"/>
      <c r="M83" s="37"/>
    </row>
    <row r="84" spans="3:17">
      <c r="C84" s="40"/>
      <c r="D84" s="40"/>
      <c r="E84" s="40"/>
      <c r="F84" s="40"/>
      <c r="G84" s="40"/>
    </row>
    <row r="85" spans="3:17">
      <c r="C85" s="40"/>
      <c r="D85" s="40"/>
      <c r="E85" s="39"/>
      <c r="F85" s="39"/>
      <c r="G85" s="39"/>
    </row>
    <row r="86" spans="3:17">
      <c r="C86" s="40"/>
      <c r="D86" s="40"/>
      <c r="E86" s="40"/>
      <c r="F86" s="40"/>
      <c r="G86" s="40"/>
      <c r="Q86" s="86"/>
    </row>
    <row r="87" spans="3:17">
      <c r="C87" s="40"/>
      <c r="D87" s="40"/>
      <c r="E87" s="60"/>
      <c r="F87" s="42"/>
      <c r="G87" s="60"/>
      <c r="Q87" s="86"/>
    </row>
    <row r="88" spans="3:17">
      <c r="C88" s="40"/>
      <c r="D88" s="40"/>
      <c r="E88" s="42"/>
      <c r="F88" s="42"/>
      <c r="G88" s="42"/>
      <c r="Q88" s="86"/>
    </row>
    <row r="89" spans="3:17">
      <c r="C89" s="40"/>
      <c r="D89" s="40"/>
      <c r="E89" s="42"/>
      <c r="F89" s="42"/>
      <c r="G89" s="42"/>
      <c r="Q89" s="86"/>
    </row>
    <row r="90" spans="3:17">
      <c r="C90" s="43"/>
      <c r="D90" s="40"/>
      <c r="E90" s="42"/>
      <c r="F90" s="42"/>
      <c r="G90" s="42"/>
      <c r="Q90" s="86"/>
    </row>
    <row r="91" spans="3:17">
      <c r="C91" s="43"/>
      <c r="D91" s="40"/>
      <c r="E91" s="42"/>
      <c r="F91" s="42"/>
      <c r="G91" s="42"/>
      <c r="Q91" s="86"/>
    </row>
    <row r="92" spans="3:17">
      <c r="C92" s="44"/>
      <c r="D92" s="40"/>
      <c r="E92" s="42"/>
      <c r="F92" s="42"/>
      <c r="G92" s="42"/>
      <c r="Q92" s="86"/>
    </row>
    <row r="93" spans="3:17">
      <c r="C93" s="40"/>
      <c r="D93" s="40"/>
      <c r="E93" s="42"/>
      <c r="F93" s="42"/>
      <c r="G93" s="42"/>
      <c r="Q93" s="86"/>
    </row>
    <row r="94" spans="3:17">
      <c r="C94" s="40"/>
      <c r="D94" s="40"/>
      <c r="E94" s="42"/>
      <c r="F94" s="42"/>
      <c r="G94" s="42"/>
    </row>
    <row r="95" spans="3:17">
      <c r="C95" s="40"/>
      <c r="D95" s="40"/>
      <c r="E95" s="42"/>
      <c r="F95" s="42"/>
      <c r="G95" s="42"/>
    </row>
    <row r="96" spans="3:17">
      <c r="C96" s="40"/>
      <c r="D96" s="40"/>
      <c r="E96" s="42"/>
      <c r="F96" s="42"/>
      <c r="G96" s="42"/>
    </row>
    <row r="97" spans="3:7">
      <c r="C97" s="40"/>
      <c r="D97" s="40"/>
      <c r="E97" s="42"/>
      <c r="F97" s="42"/>
      <c r="G97" s="42"/>
    </row>
    <row r="98" spans="3:7">
      <c r="C98" s="40"/>
      <c r="D98" s="40"/>
      <c r="E98" s="42"/>
      <c r="F98" s="42"/>
      <c r="G98" s="42"/>
    </row>
    <row r="99" spans="3:7" ht="5.15" customHeight="1">
      <c r="C99" s="55"/>
      <c r="E99" s="45"/>
      <c r="F99" s="45"/>
      <c r="G99" s="45"/>
    </row>
    <row r="100" spans="3:7">
      <c r="C100" s="55"/>
      <c r="E100" s="46"/>
      <c r="F100" s="46"/>
      <c r="G100" s="46"/>
    </row>
  </sheetData>
  <pageMargins left="0.75" right="0.33" top="1" bottom="1" header="0.5" footer="0.5"/>
  <pageSetup scale="68" orientation="landscape" r:id="rId1"/>
  <headerFooter alignWithMargins="0">
    <oddHeader>&amp;C&amp;G</oddHeader>
    <oddFooter>&amp;C&amp;G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BA38-EFFB-47C2-89FF-6389083B81A7}">
  <sheetPr>
    <tabColor rgb="FF92D050"/>
    <pageSetUpPr fitToPage="1"/>
  </sheetPr>
  <dimension ref="B4:O106"/>
  <sheetViews>
    <sheetView showGridLines="0" view="pageLayout" topLeftCell="A64" zoomScaleNormal="100" workbookViewId="0">
      <selection activeCell="L78" sqref="L78"/>
    </sheetView>
  </sheetViews>
  <sheetFormatPr defaultRowHeight="12.5"/>
  <cols>
    <col min="2" max="2" width="4.81640625" customWidth="1"/>
    <col min="3" max="3" width="55.54296875" customWidth="1"/>
    <col min="4" max="4" width="1.453125" customWidth="1"/>
    <col min="5" max="5" width="12.1796875" bestFit="1" customWidth="1"/>
    <col min="6" max="6" width="1.453125" customWidth="1"/>
    <col min="7" max="7" width="12.1796875" customWidth="1"/>
    <col min="8" max="8" width="2.453125" customWidth="1"/>
    <col min="9" max="9" width="11.7265625" bestFit="1" customWidth="1"/>
    <col min="10" max="10" width="11.7265625" customWidth="1"/>
    <col min="12" max="12" width="15.26953125" customWidth="1"/>
    <col min="13" max="13" width="18" customWidth="1"/>
    <col min="14" max="14" width="13.1796875" bestFit="1" customWidth="1"/>
    <col min="15" max="15" width="1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IV'!E8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5" ht="15.5">
      <c r="C17" s="18" t="s">
        <v>0</v>
      </c>
      <c r="D17" s="18"/>
      <c r="E17" s="19"/>
      <c r="F17" s="18"/>
      <c r="G17" s="19"/>
      <c r="H17" s="7"/>
      <c r="I17" s="50"/>
    </row>
    <row r="18" spans="3:15" ht="12.75" customHeight="1">
      <c r="C18" s="13" t="s">
        <v>1</v>
      </c>
      <c r="D18" s="13"/>
      <c r="E18" s="21">
        <f>G80</f>
        <v>7.8237506747245819E-2</v>
      </c>
      <c r="F18" s="13"/>
      <c r="G18" s="20"/>
      <c r="H18" s="21"/>
      <c r="I18" s="50"/>
      <c r="J18" s="35"/>
      <c r="L18" s="29"/>
      <c r="M18" s="37"/>
    </row>
    <row r="19" spans="3:15">
      <c r="C19" s="13" t="s">
        <v>2</v>
      </c>
      <c r="D19" s="13"/>
      <c r="E19" s="25">
        <f>-(G78+I79)/I78</f>
        <v>1.2369182186656256</v>
      </c>
      <c r="F19" s="13"/>
      <c r="G19" s="14"/>
      <c r="H19" s="15"/>
      <c r="J19" s="35"/>
      <c r="L19" s="29"/>
      <c r="M19" s="37"/>
      <c r="N19" s="91"/>
    </row>
    <row r="20" spans="3:15">
      <c r="C20" s="13"/>
      <c r="D20" s="13"/>
      <c r="E20" s="13"/>
      <c r="F20" s="13"/>
      <c r="G20" s="15"/>
      <c r="J20" s="35"/>
      <c r="L20" s="29"/>
      <c r="M20" s="37"/>
    </row>
    <row r="21" spans="3:15" ht="15.5">
      <c r="C21" s="26" t="s">
        <v>29</v>
      </c>
      <c r="D21" s="27"/>
      <c r="E21" s="27"/>
      <c r="F21" s="27"/>
      <c r="I21" s="28"/>
      <c r="J21" s="35"/>
      <c r="L21" s="29"/>
      <c r="M21" s="37"/>
      <c r="N21" s="91"/>
    </row>
    <row r="22" spans="3:15">
      <c r="C22" s="30">
        <v>3.1670629999999999E-3</v>
      </c>
      <c r="D22" s="17"/>
      <c r="E22" s="17"/>
      <c r="F22" s="17"/>
      <c r="G22" s="31"/>
      <c r="H22" s="17"/>
      <c r="I22" s="17"/>
      <c r="J22" s="35"/>
      <c r="L22" s="29"/>
      <c r="M22" s="37"/>
    </row>
    <row r="23" spans="3:15" ht="15.5">
      <c r="C23" s="17"/>
      <c r="D23" s="17"/>
      <c r="E23" s="28"/>
      <c r="F23" s="34"/>
      <c r="G23" s="34"/>
      <c r="H23" s="17"/>
      <c r="I23" s="16"/>
      <c r="J23" s="35"/>
      <c r="L23" s="12"/>
      <c r="M23" s="37"/>
    </row>
    <row r="24" spans="3:15">
      <c r="C24" s="17" t="s">
        <v>17</v>
      </c>
      <c r="D24" s="17"/>
      <c r="E24" s="28">
        <v>43136</v>
      </c>
      <c r="F24" s="34"/>
      <c r="G24" s="34">
        <v>-40134.769999999997</v>
      </c>
      <c r="H24" s="17"/>
      <c r="I24" s="16"/>
      <c r="J24" s="35"/>
      <c r="K24" s="17"/>
      <c r="L24" s="59"/>
      <c r="M24" s="37"/>
    </row>
    <row r="25" spans="3:15">
      <c r="C25" s="17"/>
      <c r="D25" s="17"/>
      <c r="E25" s="28">
        <v>43193</v>
      </c>
      <c r="F25" s="34"/>
      <c r="G25" s="34">
        <v>-4131.08</v>
      </c>
      <c r="H25" s="17"/>
      <c r="I25" s="16"/>
      <c r="J25" s="35"/>
      <c r="K25" s="116"/>
      <c r="L25" s="59"/>
      <c r="M25" s="37"/>
    </row>
    <row r="26" spans="3:15">
      <c r="C26" s="17"/>
      <c r="D26" s="17"/>
      <c r="E26" s="28">
        <v>43286</v>
      </c>
      <c r="F26" s="34"/>
      <c r="G26" s="34">
        <v>-3769.23</v>
      </c>
      <c r="H26" s="17"/>
      <c r="I26" s="16"/>
      <c r="J26" s="35"/>
      <c r="K26" s="116"/>
      <c r="L26" s="59"/>
      <c r="M26" s="37"/>
    </row>
    <row r="27" spans="3:15">
      <c r="C27" s="17"/>
      <c r="D27" s="17"/>
      <c r="E27" s="28">
        <v>43328</v>
      </c>
      <c r="F27" s="34"/>
      <c r="G27" s="34">
        <v>-14142.15</v>
      </c>
      <c r="H27" s="17"/>
      <c r="I27" s="16"/>
      <c r="J27" s="35"/>
      <c r="K27" s="116"/>
      <c r="L27" s="59"/>
      <c r="M27" s="37"/>
    </row>
    <row r="28" spans="3:15">
      <c r="C28" s="17"/>
      <c r="E28" s="28">
        <v>43369</v>
      </c>
      <c r="G28" s="34">
        <v>-293698.46000000002</v>
      </c>
      <c r="H28" s="17"/>
      <c r="I28" s="16"/>
      <c r="J28" s="35"/>
      <c r="K28" s="116"/>
      <c r="L28" s="29"/>
      <c r="M28" s="37"/>
      <c r="O28" s="37"/>
    </row>
    <row r="29" spans="3:15">
      <c r="E29" s="28">
        <v>43391</v>
      </c>
      <c r="G29" s="34">
        <v>78400</v>
      </c>
      <c r="H29" s="17"/>
      <c r="I29" s="16"/>
      <c r="J29" s="16"/>
      <c r="K29" s="17"/>
    </row>
    <row r="30" spans="3:15">
      <c r="E30" s="28">
        <v>43461</v>
      </c>
      <c r="G30" s="34">
        <v>-5096.01</v>
      </c>
      <c r="H30" s="17"/>
      <c r="I30" s="16"/>
      <c r="J30" s="16"/>
      <c r="K30" s="17"/>
    </row>
    <row r="31" spans="3:15">
      <c r="C31" s="17" t="s">
        <v>19</v>
      </c>
      <c r="D31" s="17"/>
      <c r="E31" s="28">
        <v>43494</v>
      </c>
      <c r="G31" s="34">
        <v>-7870.16</v>
      </c>
      <c r="H31" s="17"/>
      <c r="I31" s="16"/>
      <c r="J31" s="16"/>
      <c r="K31" s="17"/>
    </row>
    <row r="32" spans="3:15">
      <c r="C32" s="17"/>
      <c r="D32" s="17"/>
      <c r="E32" s="28">
        <v>43622</v>
      </c>
      <c r="G32" s="34">
        <v>-5246.77</v>
      </c>
      <c r="H32" s="17"/>
      <c r="I32" s="16"/>
      <c r="J32" s="16"/>
      <c r="K32" s="17"/>
    </row>
    <row r="33" spans="3:11">
      <c r="C33" s="17"/>
      <c r="D33" s="17"/>
      <c r="E33" s="28">
        <v>43670</v>
      </c>
      <c r="F33" s="34"/>
      <c r="G33" s="34">
        <v>-7900.31</v>
      </c>
      <c r="H33" s="17"/>
      <c r="I33" s="16"/>
      <c r="J33" s="16"/>
      <c r="K33" s="17"/>
    </row>
    <row r="34" spans="3:11">
      <c r="C34" s="17"/>
      <c r="D34" s="17"/>
      <c r="E34" s="28">
        <v>43742</v>
      </c>
      <c r="F34" s="34"/>
      <c r="G34" s="34">
        <v>-5729.23</v>
      </c>
      <c r="H34" s="17"/>
      <c r="I34" s="16"/>
      <c r="J34" s="16"/>
      <c r="K34" s="17"/>
    </row>
    <row r="35" spans="3:11">
      <c r="C35" s="17"/>
      <c r="D35" s="17"/>
      <c r="E35" s="28">
        <v>43794</v>
      </c>
      <c r="F35" s="34"/>
      <c r="G35" s="34">
        <v>-14021.53</v>
      </c>
      <c r="H35" s="17"/>
      <c r="I35" s="16"/>
      <c r="J35" s="16"/>
      <c r="K35" s="17"/>
    </row>
    <row r="36" spans="3:11">
      <c r="C36" s="17"/>
      <c r="D36" s="17"/>
      <c r="E36" s="28">
        <v>43801</v>
      </c>
      <c r="F36" s="34"/>
      <c r="G36" s="34">
        <v>-26867.08</v>
      </c>
      <c r="H36" s="17"/>
      <c r="I36" s="16"/>
      <c r="J36" s="16"/>
      <c r="K36" s="17"/>
    </row>
    <row r="37" spans="3:11">
      <c r="C37" s="17" t="s">
        <v>20</v>
      </c>
      <c r="D37" s="17"/>
      <c r="E37" s="28">
        <v>43671</v>
      </c>
      <c r="F37" s="34"/>
      <c r="G37" s="34">
        <v>25873.43</v>
      </c>
      <c r="H37" s="17"/>
      <c r="I37" s="16"/>
      <c r="J37" s="16"/>
      <c r="K37" s="17"/>
    </row>
    <row r="38" spans="3:11">
      <c r="C38" s="17" t="s">
        <v>21</v>
      </c>
      <c r="D38" s="17"/>
      <c r="E38" s="28">
        <v>43859</v>
      </c>
      <c r="F38" s="34"/>
      <c r="G38" s="34">
        <v>-7598.78</v>
      </c>
      <c r="H38" s="17"/>
      <c r="I38" s="16"/>
      <c r="J38" s="16"/>
      <c r="K38" s="17"/>
    </row>
    <row r="39" spans="3:11">
      <c r="C39" s="17"/>
      <c r="D39" s="17"/>
      <c r="E39" s="28">
        <v>43916</v>
      </c>
      <c r="F39" s="34"/>
      <c r="G39" s="34">
        <v>-7447.99</v>
      </c>
      <c r="H39" s="17"/>
      <c r="I39" s="16"/>
      <c r="J39" s="16"/>
      <c r="K39" s="17"/>
    </row>
    <row r="40" spans="3:11">
      <c r="C40" s="17"/>
      <c r="D40" s="17"/>
      <c r="E40" s="28">
        <v>44103</v>
      </c>
      <c r="F40" s="34"/>
      <c r="G40" s="34">
        <v>-9619.08</v>
      </c>
      <c r="H40" s="17"/>
      <c r="I40" s="16"/>
      <c r="J40" s="16"/>
      <c r="K40" s="17"/>
    </row>
    <row r="41" spans="3:11">
      <c r="C41" s="17"/>
      <c r="D41" s="17"/>
      <c r="E41" s="28">
        <v>44126</v>
      </c>
      <c r="F41" s="34"/>
      <c r="G41" s="34">
        <v>-32264.62</v>
      </c>
      <c r="H41" s="17"/>
      <c r="I41" s="16"/>
      <c r="J41" s="16"/>
      <c r="K41" s="17"/>
    </row>
    <row r="42" spans="3:11">
      <c r="C42" s="17" t="s">
        <v>31</v>
      </c>
      <c r="D42" s="17"/>
      <c r="E42" s="28">
        <v>44200</v>
      </c>
      <c r="F42" s="34"/>
      <c r="G42" s="34">
        <v>-5307.07</v>
      </c>
      <c r="H42" s="17"/>
      <c r="I42" s="16"/>
      <c r="J42" s="16"/>
      <c r="K42" s="17"/>
    </row>
    <row r="43" spans="3:11">
      <c r="C43" s="17"/>
      <c r="D43" s="17"/>
      <c r="E43" s="28">
        <v>44376</v>
      </c>
      <c r="F43" s="34"/>
      <c r="G43" s="34">
        <v>-5729.22</v>
      </c>
      <c r="H43" s="17"/>
      <c r="I43" s="16"/>
      <c r="J43" s="16"/>
      <c r="K43" s="17"/>
    </row>
    <row r="44" spans="3:11">
      <c r="C44" s="17"/>
      <c r="D44" s="17"/>
      <c r="E44" s="28">
        <v>44466</v>
      </c>
      <c r="F44" s="34"/>
      <c r="G44" s="34">
        <v>-3769.23</v>
      </c>
      <c r="H44" s="17"/>
      <c r="I44" s="16"/>
      <c r="J44" s="16"/>
      <c r="K44" s="17"/>
    </row>
    <row r="45" spans="3:11">
      <c r="C45" s="17"/>
      <c r="D45" s="17"/>
      <c r="E45" s="28">
        <v>44530</v>
      </c>
      <c r="F45" s="34"/>
      <c r="G45" s="34">
        <v>-7448.01</v>
      </c>
      <c r="H45" s="17"/>
      <c r="I45" s="16"/>
      <c r="J45" s="16"/>
      <c r="K45" s="17"/>
    </row>
    <row r="46" spans="3:11">
      <c r="C46" s="17" t="s">
        <v>22</v>
      </c>
      <c r="D46" s="17"/>
      <c r="E46" s="28">
        <v>44463</v>
      </c>
      <c r="F46" s="34"/>
      <c r="G46" s="34">
        <v>4310.1000000000004</v>
      </c>
      <c r="H46" s="17"/>
      <c r="I46" s="16"/>
      <c r="J46" s="16"/>
      <c r="K46" s="17"/>
    </row>
    <row r="47" spans="3:11">
      <c r="C47" s="17"/>
      <c r="D47" s="17"/>
      <c r="E47" s="28">
        <v>44484</v>
      </c>
      <c r="F47" s="34"/>
      <c r="G47" s="34">
        <v>190670.31</v>
      </c>
      <c r="H47" s="17"/>
      <c r="I47" s="16"/>
      <c r="J47" s="16"/>
      <c r="K47" s="17"/>
    </row>
    <row r="48" spans="3:11">
      <c r="C48" s="17"/>
      <c r="D48" s="17"/>
      <c r="E48" s="28">
        <v>44539</v>
      </c>
      <c r="F48" s="34"/>
      <c r="G48" s="34">
        <v>15666.13</v>
      </c>
      <c r="H48" s="17"/>
      <c r="I48" s="16"/>
      <c r="J48" s="16"/>
      <c r="K48" s="17"/>
    </row>
    <row r="49" spans="3:11">
      <c r="C49" s="17" t="s">
        <v>32</v>
      </c>
      <c r="D49" s="17"/>
      <c r="E49" s="28">
        <v>44606</v>
      </c>
      <c r="F49" s="34"/>
      <c r="G49" s="34">
        <v>-94954.46</v>
      </c>
      <c r="H49" s="17"/>
      <c r="I49" s="16"/>
      <c r="J49" s="16"/>
      <c r="K49" s="17"/>
    </row>
    <row r="50" spans="3:11">
      <c r="C50" s="17"/>
      <c r="D50" s="17"/>
      <c r="E50" s="28">
        <v>44649</v>
      </c>
      <c r="F50" s="34"/>
      <c r="G50" s="34">
        <v>-3769.23</v>
      </c>
      <c r="H50" s="17"/>
      <c r="I50" s="16"/>
      <c r="J50" s="16"/>
      <c r="K50" s="17"/>
    </row>
    <row r="51" spans="3:11">
      <c r="C51" s="17"/>
      <c r="D51" s="17"/>
      <c r="E51" s="28">
        <v>44672</v>
      </c>
      <c r="F51" s="34"/>
      <c r="G51" s="34">
        <v>-1537.85</v>
      </c>
      <c r="H51" s="17"/>
      <c r="I51" s="16"/>
      <c r="J51" s="16"/>
      <c r="K51" s="17"/>
    </row>
    <row r="52" spans="3:11">
      <c r="C52" s="17"/>
      <c r="D52" s="17"/>
      <c r="E52" s="28">
        <v>44736</v>
      </c>
      <c r="F52" s="34"/>
      <c r="G52" s="34">
        <v>-12393.23</v>
      </c>
      <c r="H52" s="17"/>
      <c r="I52" s="16"/>
      <c r="J52" s="16"/>
      <c r="K52" s="17"/>
    </row>
    <row r="53" spans="3:11">
      <c r="C53" s="17"/>
      <c r="D53" s="17"/>
      <c r="E53" s="28">
        <v>44764</v>
      </c>
      <c r="F53" s="34"/>
      <c r="G53" s="34">
        <v>-60036.31</v>
      </c>
      <c r="H53" s="17"/>
      <c r="I53" s="16"/>
      <c r="J53" s="16"/>
      <c r="K53" s="17"/>
    </row>
    <row r="54" spans="3:11">
      <c r="C54" s="17"/>
      <c r="D54" s="17"/>
      <c r="E54" s="28">
        <v>44819</v>
      </c>
      <c r="F54" s="34"/>
      <c r="G54" s="34">
        <v>-136235.06</v>
      </c>
      <c r="H54" s="17"/>
      <c r="I54" s="16"/>
      <c r="J54" s="16"/>
      <c r="K54" s="17"/>
    </row>
    <row r="55" spans="3:11">
      <c r="C55" s="17"/>
      <c r="D55" s="17"/>
      <c r="E55" s="28">
        <v>44875</v>
      </c>
      <c r="F55" s="34"/>
      <c r="G55" s="34">
        <v>-6724.31</v>
      </c>
      <c r="H55" s="17"/>
      <c r="I55" s="16"/>
      <c r="J55" s="16"/>
      <c r="K55" s="17"/>
    </row>
    <row r="56" spans="3:11">
      <c r="C56" s="17"/>
      <c r="D56" s="17"/>
      <c r="E56" s="28">
        <v>44915</v>
      </c>
      <c r="F56" s="34"/>
      <c r="G56" s="34">
        <v>-61152.01</v>
      </c>
      <c r="H56" s="17"/>
      <c r="I56" s="16"/>
      <c r="J56" s="16"/>
      <c r="K56" s="17"/>
    </row>
    <row r="57" spans="3:11">
      <c r="C57" s="17" t="s">
        <v>23</v>
      </c>
      <c r="D57" s="17"/>
      <c r="E57" s="28">
        <v>44615</v>
      </c>
      <c r="F57" s="34"/>
      <c r="G57" s="34">
        <v>3257.23</v>
      </c>
      <c r="H57" s="17"/>
      <c r="I57" s="16"/>
      <c r="J57" s="16"/>
      <c r="K57" s="17"/>
    </row>
    <row r="58" spans="3:11">
      <c r="C58" s="17"/>
      <c r="D58" s="17"/>
      <c r="E58" s="28">
        <v>44785</v>
      </c>
      <c r="F58" s="34"/>
      <c r="G58" s="34">
        <v>10883.37</v>
      </c>
      <c r="H58" s="17"/>
      <c r="I58" s="16"/>
      <c r="J58" s="16"/>
      <c r="K58" s="17"/>
    </row>
    <row r="59" spans="3:11">
      <c r="C59" s="17"/>
      <c r="D59" s="17"/>
      <c r="E59" s="28">
        <v>44895</v>
      </c>
      <c r="F59" s="34"/>
      <c r="G59" s="34">
        <v>5060.8</v>
      </c>
      <c r="H59" s="17"/>
      <c r="I59" s="16"/>
      <c r="J59" s="16"/>
      <c r="K59" s="17"/>
    </row>
    <row r="60" spans="3:11">
      <c r="C60" s="17" t="s">
        <v>33</v>
      </c>
      <c r="D60" s="17"/>
      <c r="E60" s="28">
        <v>44931</v>
      </c>
      <c r="F60" s="34"/>
      <c r="G60" s="34">
        <v>-6513.23</v>
      </c>
      <c r="H60" s="17"/>
      <c r="I60" s="16"/>
      <c r="J60" s="16"/>
      <c r="K60" s="17"/>
    </row>
    <row r="61" spans="3:11">
      <c r="C61" s="17"/>
      <c r="D61" s="17"/>
      <c r="E61" s="28">
        <v>45107</v>
      </c>
      <c r="F61" s="34"/>
      <c r="G61" s="34">
        <v>-2593.23</v>
      </c>
      <c r="H61" s="17"/>
      <c r="I61" s="16"/>
      <c r="J61" s="16"/>
      <c r="K61" s="17"/>
    </row>
    <row r="62" spans="3:11">
      <c r="C62" s="17"/>
      <c r="D62" s="17"/>
      <c r="E62" s="28">
        <v>45117</v>
      </c>
      <c r="F62" s="34"/>
      <c r="G62" s="34">
        <v>-3859.69</v>
      </c>
      <c r="H62" s="17"/>
      <c r="I62" s="16"/>
      <c r="J62" s="16"/>
      <c r="K62" s="17"/>
    </row>
    <row r="63" spans="3:11">
      <c r="C63" s="17"/>
      <c r="D63" s="17"/>
      <c r="E63" s="28">
        <v>45203</v>
      </c>
      <c r="F63" s="34"/>
      <c r="G63" s="34">
        <v>-4372.32</v>
      </c>
      <c r="H63" s="17"/>
      <c r="I63" s="16"/>
      <c r="J63" s="16"/>
      <c r="K63" s="17"/>
    </row>
    <row r="64" spans="3:11">
      <c r="C64" s="17"/>
      <c r="D64" s="17"/>
      <c r="E64" s="28">
        <v>45232</v>
      </c>
      <c r="F64" s="34"/>
      <c r="G64" s="34">
        <v>-3467.69</v>
      </c>
      <c r="H64" s="17"/>
      <c r="I64" s="16"/>
      <c r="J64" s="16"/>
      <c r="K64" s="17"/>
    </row>
    <row r="65" spans="3:15">
      <c r="C65" s="17"/>
      <c r="D65" s="17"/>
      <c r="E65" s="28">
        <v>45281</v>
      </c>
      <c r="F65" s="34"/>
      <c r="G65" s="34">
        <v>-3528</v>
      </c>
      <c r="H65" s="17"/>
      <c r="I65" s="16"/>
      <c r="J65" s="16"/>
      <c r="K65" s="17"/>
    </row>
    <row r="66" spans="3:15">
      <c r="C66" s="17" t="s">
        <v>24</v>
      </c>
      <c r="D66" s="17"/>
      <c r="E66" s="28">
        <v>45051</v>
      </c>
      <c r="F66" s="34"/>
      <c r="G66" s="34">
        <v>74979.179999999993</v>
      </c>
      <c r="H66" s="17"/>
      <c r="I66" s="16"/>
      <c r="J66" s="16"/>
      <c r="K66" s="17"/>
    </row>
    <row r="67" spans="3:15">
      <c r="C67" s="17"/>
      <c r="D67" s="17"/>
      <c r="E67" s="28">
        <v>45109</v>
      </c>
      <c r="F67" s="34"/>
      <c r="G67" s="34">
        <v>-31.67</v>
      </c>
      <c r="H67" s="17"/>
      <c r="I67" s="16"/>
      <c r="J67" s="16"/>
      <c r="K67" s="17"/>
    </row>
    <row r="68" spans="3:15">
      <c r="C68" s="17"/>
      <c r="D68" s="17"/>
      <c r="E68" s="28">
        <v>45132</v>
      </c>
      <c r="F68" s="34"/>
      <c r="G68" s="34">
        <v>20507.98</v>
      </c>
      <c r="H68" s="17"/>
      <c r="I68" s="16"/>
      <c r="J68" s="16"/>
      <c r="K68" s="17"/>
    </row>
    <row r="69" spans="3:15">
      <c r="C69" s="17"/>
      <c r="D69" s="17"/>
      <c r="E69" s="28">
        <v>45162</v>
      </c>
      <c r="F69" s="34"/>
      <c r="G69" s="34">
        <v>35283.449999999997</v>
      </c>
      <c r="H69" s="17"/>
      <c r="I69" s="16"/>
      <c r="J69" s="16"/>
      <c r="K69" s="17"/>
    </row>
    <row r="70" spans="3:15">
      <c r="C70" s="17"/>
      <c r="D70" s="17"/>
      <c r="E70" s="28">
        <v>45184</v>
      </c>
      <c r="F70" s="34"/>
      <c r="G70" s="34">
        <v>10503.69</v>
      </c>
      <c r="H70" s="17"/>
      <c r="I70" s="16"/>
      <c r="J70" s="16"/>
      <c r="K70" s="17"/>
    </row>
    <row r="71" spans="3:15">
      <c r="C71" s="17"/>
      <c r="D71" s="17"/>
      <c r="E71" s="28">
        <v>45280</v>
      </c>
      <c r="F71" s="34"/>
      <c r="G71" s="34">
        <v>7327.35</v>
      </c>
      <c r="H71" s="17"/>
      <c r="I71" s="16"/>
      <c r="J71" s="16"/>
      <c r="K71" s="17"/>
    </row>
    <row r="72" spans="3:15">
      <c r="C72" s="17" t="s">
        <v>36</v>
      </c>
      <c r="D72" s="17"/>
      <c r="E72" s="28">
        <v>45327</v>
      </c>
      <c r="F72" s="34"/>
      <c r="G72" s="34">
        <v>-1899.7</v>
      </c>
      <c r="H72" s="17"/>
      <c r="I72" s="16"/>
      <c r="J72" s="16"/>
      <c r="K72" s="17"/>
    </row>
    <row r="73" spans="3:15">
      <c r="C73" s="17"/>
      <c r="D73" s="17"/>
      <c r="E73" s="28">
        <v>45362</v>
      </c>
      <c r="F73" s="34"/>
      <c r="G73" s="34">
        <v>-4794.46</v>
      </c>
      <c r="H73" s="17"/>
      <c r="I73" s="16"/>
      <c r="J73" s="16"/>
      <c r="K73" s="17"/>
    </row>
    <row r="74" spans="3:15">
      <c r="C74" s="17"/>
      <c r="D74" s="17"/>
      <c r="E74" s="28">
        <v>45393</v>
      </c>
      <c r="F74" s="34"/>
      <c r="G74" s="34">
        <v>-1869.54</v>
      </c>
      <c r="H74" s="17"/>
      <c r="I74" s="16"/>
      <c r="J74" s="16"/>
      <c r="K74" s="17"/>
    </row>
    <row r="75" spans="3:15">
      <c r="C75" s="17" t="s">
        <v>35</v>
      </c>
      <c r="D75" s="17"/>
      <c r="E75" s="28">
        <v>45329</v>
      </c>
      <c r="F75" s="34"/>
      <c r="G75" s="34">
        <v>14204.15</v>
      </c>
      <c r="H75" s="17"/>
      <c r="I75" s="16"/>
      <c r="J75" s="16"/>
      <c r="K75" s="17"/>
    </row>
    <row r="76" spans="3:15">
      <c r="C76" s="17"/>
      <c r="D76" s="17"/>
      <c r="E76" s="28"/>
      <c r="F76" s="34"/>
      <c r="G76" s="34"/>
      <c r="H76" s="17"/>
      <c r="I76" s="16"/>
      <c r="J76" s="16"/>
      <c r="K76" s="17"/>
    </row>
    <row r="77" spans="3:15" ht="4.5" customHeight="1">
      <c r="C77" s="17"/>
      <c r="D77" s="17"/>
      <c r="E77" s="28"/>
      <c r="F77" s="17"/>
      <c r="G77" s="34"/>
      <c r="H77" s="17"/>
      <c r="I77" s="16"/>
      <c r="J77" s="16"/>
      <c r="O77" s="36"/>
    </row>
    <row r="78" spans="3:15" ht="15.5">
      <c r="C78" s="17" t="s">
        <v>25</v>
      </c>
      <c r="D78" s="17"/>
      <c r="E78" s="28">
        <f>+E8</f>
        <v>45473</v>
      </c>
      <c r="F78" s="17"/>
      <c r="G78" s="35">
        <f>L78*C22</f>
        <v>619391.56871018</v>
      </c>
      <c r="H78" s="17"/>
      <c r="I78" s="34">
        <f>+SUMIF($G$24:$G$77,"&lt;0",$G$24:$G$77)+G29-G67</f>
        <v>-839091.09999999974</v>
      </c>
      <c r="J78" s="17" t="s">
        <v>26</v>
      </c>
      <c r="L78" s="117">
        <v>195572860</v>
      </c>
      <c r="M78" s="12"/>
    </row>
    <row r="79" spans="3:15">
      <c r="C79" s="17"/>
      <c r="D79" s="17"/>
      <c r="E79" s="17"/>
      <c r="F79" s="17"/>
      <c r="G79" s="17"/>
      <c r="H79" s="17"/>
      <c r="I79" s="34">
        <f>+SUMIF($G$24:$G$77,"&gt;0",$G$24:$G$77)-G29+G67</f>
        <v>418495.49999999994</v>
      </c>
      <c r="J79" s="17" t="s">
        <v>27</v>
      </c>
    </row>
    <row r="80" spans="3:15">
      <c r="C80" t="s">
        <v>28</v>
      </c>
      <c r="G80" s="38">
        <f>+XIRR(G24:G78,E24:E78)</f>
        <v>7.8237506747245819E-2</v>
      </c>
      <c r="H80" s="17"/>
    </row>
    <row r="81" spans="3:8">
      <c r="C81" s="17"/>
      <c r="D81" s="17"/>
      <c r="E81" s="17"/>
      <c r="F81" s="17"/>
      <c r="G81" s="17"/>
      <c r="H81" s="17"/>
    </row>
    <row r="82" spans="3:8">
      <c r="C82" s="17"/>
      <c r="D82" s="17"/>
      <c r="E82" s="17"/>
      <c r="F82" s="17"/>
      <c r="G82" s="17"/>
      <c r="H82" s="17"/>
    </row>
    <row r="83" spans="3:8">
      <c r="C83" s="40"/>
      <c r="D83" s="40"/>
      <c r="E83" s="39"/>
      <c r="F83" s="17"/>
      <c r="G83" s="39"/>
      <c r="H83" s="17"/>
    </row>
    <row r="84" spans="3:8">
      <c r="C84" s="40"/>
      <c r="D84" s="40"/>
      <c r="E84" s="39"/>
      <c r="F84" s="40"/>
      <c r="G84" s="39"/>
      <c r="H84" s="17"/>
    </row>
    <row r="85" spans="3:8">
      <c r="C85" s="40"/>
      <c r="D85" s="40"/>
      <c r="E85" s="39"/>
      <c r="F85" s="17"/>
      <c r="G85" s="39"/>
      <c r="H85" s="17"/>
    </row>
    <row r="86" spans="3:8">
      <c r="C86" s="40"/>
      <c r="D86" s="40"/>
      <c r="E86" s="40"/>
      <c r="F86" s="40"/>
      <c r="G86" s="40"/>
    </row>
    <row r="87" spans="3:8">
      <c r="C87" s="40"/>
      <c r="D87" s="40"/>
      <c r="E87" s="39"/>
      <c r="F87" s="39"/>
      <c r="G87" s="39"/>
    </row>
    <row r="88" spans="3:8">
      <c r="C88" s="40"/>
      <c r="D88" s="40"/>
      <c r="E88" s="40"/>
      <c r="F88" s="40"/>
      <c r="G88" s="40"/>
    </row>
    <row r="89" spans="3:8">
      <c r="C89" s="40"/>
      <c r="D89" s="40"/>
      <c r="E89" s="60"/>
      <c r="F89" s="41"/>
      <c r="G89" s="60"/>
      <c r="H89" s="17"/>
    </row>
    <row r="90" spans="3:8">
      <c r="C90" s="40"/>
      <c r="D90" s="40"/>
      <c r="E90" s="42"/>
      <c r="F90" s="41"/>
      <c r="G90" s="42"/>
      <c r="H90" s="17"/>
    </row>
    <row r="91" spans="3:8">
      <c r="C91" s="40"/>
      <c r="D91" s="40"/>
      <c r="E91" s="42"/>
      <c r="F91" s="41"/>
      <c r="G91" s="42"/>
      <c r="H91" s="17"/>
    </row>
    <row r="92" spans="3:8">
      <c r="C92" s="43"/>
      <c r="D92" s="40"/>
      <c r="E92" s="42"/>
      <c r="F92" s="41"/>
      <c r="G92" s="42"/>
      <c r="H92" s="17"/>
    </row>
    <row r="93" spans="3:8">
      <c r="C93" s="43"/>
      <c r="D93" s="40"/>
      <c r="E93" s="42"/>
      <c r="F93" s="41"/>
      <c r="G93" s="42"/>
      <c r="H93" s="17"/>
    </row>
    <row r="94" spans="3:8">
      <c r="C94" s="44"/>
      <c r="D94" s="40"/>
      <c r="E94" s="42"/>
      <c r="F94" s="41"/>
      <c r="G94" s="42"/>
      <c r="H94" s="17"/>
    </row>
    <row r="95" spans="3:8">
      <c r="C95" s="40"/>
      <c r="D95" s="40"/>
      <c r="E95" s="42"/>
      <c r="F95" s="41"/>
      <c r="G95" s="42"/>
      <c r="H95" s="17"/>
    </row>
    <row r="96" spans="3:8">
      <c r="C96" s="40"/>
      <c r="D96" s="40"/>
      <c r="E96" s="42"/>
      <c r="F96" s="41"/>
      <c r="G96" s="42"/>
      <c r="H96" s="17"/>
    </row>
    <row r="97" spans="3:8">
      <c r="C97" s="40"/>
      <c r="D97" s="40"/>
      <c r="E97" s="42"/>
      <c r="F97" s="41"/>
      <c r="G97" s="42"/>
      <c r="H97" s="17"/>
    </row>
    <row r="98" spans="3:8">
      <c r="C98" s="40"/>
      <c r="D98" s="40"/>
      <c r="E98" s="42"/>
      <c r="F98" s="41"/>
      <c r="G98" s="42"/>
      <c r="H98" s="17"/>
    </row>
    <row r="99" spans="3:8">
      <c r="C99" s="40"/>
      <c r="D99" s="40"/>
      <c r="E99" s="42"/>
      <c r="F99" s="41"/>
      <c r="G99" s="42"/>
      <c r="H99" s="17"/>
    </row>
    <row r="100" spans="3:8">
      <c r="C100" s="40"/>
      <c r="D100" s="40"/>
      <c r="E100" s="42"/>
      <c r="F100" s="41"/>
      <c r="G100" s="42"/>
      <c r="H100" s="17"/>
    </row>
    <row r="101" spans="3:8" ht="4.9000000000000004" customHeight="1">
      <c r="E101" s="45"/>
      <c r="F101" s="45"/>
      <c r="G101" s="45"/>
      <c r="H101" s="17"/>
    </row>
    <row r="102" spans="3:8">
      <c r="C102" s="17"/>
      <c r="D102" s="17"/>
      <c r="E102" s="17"/>
      <c r="F102" s="17"/>
      <c r="G102" s="17"/>
      <c r="H102" s="17"/>
    </row>
    <row r="103" spans="3:8">
      <c r="C103" s="17"/>
      <c r="D103" s="17"/>
      <c r="E103" s="17"/>
      <c r="F103" s="17"/>
      <c r="G103" s="17"/>
      <c r="H103" s="17"/>
    </row>
    <row r="104" spans="3:8">
      <c r="C104" s="17"/>
      <c r="D104" s="17"/>
      <c r="E104" s="17"/>
      <c r="F104" s="17"/>
      <c r="G104" s="17"/>
      <c r="H104" s="17"/>
    </row>
    <row r="105" spans="3:8">
      <c r="C105" s="17"/>
      <c r="D105" s="17"/>
      <c r="E105" s="17"/>
      <c r="F105" s="17"/>
      <c r="G105" s="17"/>
      <c r="H105" s="17"/>
    </row>
    <row r="106" spans="3:8">
      <c r="C106" s="17"/>
      <c r="D106" s="17"/>
      <c r="E106" s="17"/>
      <c r="F106" s="17"/>
      <c r="G106" s="17"/>
      <c r="H106" s="17"/>
    </row>
  </sheetData>
  <pageMargins left="0.75" right="0.33" top="1" bottom="1" header="0.5" footer="0.5"/>
  <pageSetup scale="46" orientation="landscape" r:id="rId1"/>
  <headerFooter alignWithMargins="0">
    <oddHeader>&amp;C&amp;G</oddHeader>
    <oddFooter>&amp;C&amp;G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A6B1-5B91-4EED-81D8-B5BEE2E98FA5}">
  <sheetPr>
    <tabColor rgb="FF92D050"/>
    <pageSetUpPr fitToPage="1"/>
  </sheetPr>
  <dimension ref="B4:N100"/>
  <sheetViews>
    <sheetView showGridLines="0" view="pageLayout" topLeftCell="A4" zoomScaleNormal="100" workbookViewId="0">
      <selection activeCell="C21" sqref="C21"/>
    </sheetView>
  </sheetViews>
  <sheetFormatPr defaultRowHeight="12.5"/>
  <cols>
    <col min="2" max="2" width="4.81640625" customWidth="1"/>
    <col min="3" max="3" width="50" customWidth="1"/>
    <col min="4" max="4" width="1.453125" customWidth="1"/>
    <col min="5" max="5" width="12.1796875" bestFit="1" customWidth="1"/>
    <col min="6" max="6" width="1.453125" customWidth="1"/>
    <col min="7" max="7" width="12.26953125" customWidth="1"/>
    <col min="8" max="8" width="2.453125" customWidth="1"/>
    <col min="9" max="9" width="11.7265625" bestFit="1" customWidth="1"/>
    <col min="10" max="10" width="11.7265625" customWidth="1"/>
    <col min="12" max="12" width="15" customWidth="1"/>
    <col min="13" max="13" width="18.81640625" customWidth="1"/>
    <col min="14" max="14" width="11.26953125" bestFit="1" customWidth="1"/>
  </cols>
  <sheetData>
    <row r="4" spans="2:9" ht="18">
      <c r="B4" s="3"/>
      <c r="C4" s="3"/>
      <c r="D4" s="3"/>
      <c r="E4" s="3"/>
      <c r="F4" s="3"/>
    </row>
    <row r="6" spans="2:9">
      <c r="C6" s="4"/>
      <c r="D6" s="4"/>
      <c r="E6" s="4"/>
      <c r="F6" s="4"/>
    </row>
    <row r="7" spans="2:9" ht="13">
      <c r="B7" s="5"/>
      <c r="C7" s="6"/>
      <c r="D7" s="6"/>
      <c r="E7" s="6"/>
      <c r="F7" s="6"/>
    </row>
    <row r="8" spans="2:9" ht="15.5">
      <c r="C8" s="7"/>
      <c r="D8" s="7"/>
      <c r="E8" s="87">
        <f>+'EFM IV'!E8</f>
        <v>45473</v>
      </c>
      <c r="F8" s="9"/>
      <c r="G8" s="10"/>
      <c r="H8" s="10"/>
      <c r="I8" s="11"/>
    </row>
    <row r="9" spans="2:9" ht="15.5">
      <c r="C9" s="7"/>
      <c r="D9" s="7"/>
      <c r="E9" s="7"/>
      <c r="F9" s="7"/>
      <c r="G9" s="12"/>
    </row>
    <row r="10" spans="2:9">
      <c r="C10" s="13"/>
      <c r="D10" s="13"/>
      <c r="E10" s="14"/>
      <c r="F10" s="13"/>
      <c r="G10" s="59"/>
      <c r="H10" s="15"/>
      <c r="I10" s="50"/>
    </row>
    <row r="11" spans="2:9">
      <c r="C11" s="13"/>
      <c r="D11" s="13"/>
      <c r="E11" s="14"/>
      <c r="F11" s="13"/>
      <c r="G11" s="14"/>
      <c r="H11" s="15"/>
      <c r="I11" s="50"/>
    </row>
    <row r="12" spans="2:9" ht="15.5">
      <c r="C12" s="18"/>
      <c r="D12" s="18"/>
      <c r="E12" s="19"/>
      <c r="F12" s="18"/>
      <c r="G12" s="19"/>
      <c r="H12" s="7"/>
      <c r="I12" s="50"/>
    </row>
    <row r="13" spans="2:9">
      <c r="C13" s="13"/>
      <c r="D13" s="13"/>
      <c r="E13" s="20"/>
      <c r="F13" s="13"/>
      <c r="G13" s="59"/>
      <c r="H13" s="21"/>
      <c r="I13" s="50"/>
    </row>
    <row r="14" spans="2:9">
      <c r="C14" s="13"/>
      <c r="D14" s="13"/>
      <c r="E14" s="22"/>
      <c r="F14" s="13"/>
      <c r="G14" s="59"/>
      <c r="H14" s="23"/>
      <c r="I14" s="50"/>
    </row>
    <row r="15" spans="2:9">
      <c r="C15" s="13"/>
      <c r="D15" s="13"/>
      <c r="E15" s="14"/>
      <c r="F15" s="13"/>
      <c r="G15" s="14"/>
      <c r="H15" s="15"/>
      <c r="I15" s="50"/>
    </row>
    <row r="16" spans="2:9" ht="15.5">
      <c r="C16" s="7"/>
      <c r="D16" s="7"/>
      <c r="E16" s="19"/>
      <c r="F16" s="7"/>
      <c r="G16" s="19"/>
      <c r="H16" s="7"/>
      <c r="I16" s="50"/>
    </row>
    <row r="17" spans="3:14" ht="15.5">
      <c r="C17" s="18" t="s">
        <v>0</v>
      </c>
      <c r="D17" s="18"/>
      <c r="E17" s="19"/>
      <c r="F17" s="18"/>
      <c r="G17" s="19"/>
      <c r="H17" s="7"/>
      <c r="I17" s="50"/>
    </row>
    <row r="18" spans="3:14" ht="12.75" customHeight="1">
      <c r="C18" s="13" t="s">
        <v>1</v>
      </c>
      <c r="D18" s="13"/>
      <c r="E18" s="21">
        <f>G79</f>
        <v>8.0467638373374964E-2</v>
      </c>
      <c r="F18" s="13"/>
      <c r="G18" s="20"/>
      <c r="H18" s="21"/>
      <c r="I18" s="50"/>
      <c r="J18" s="35"/>
      <c r="L18" s="29"/>
      <c r="M18" s="37"/>
    </row>
    <row r="19" spans="3:14">
      <c r="C19" s="13" t="s">
        <v>2</v>
      </c>
      <c r="D19" s="13"/>
      <c r="E19" s="25">
        <f>-(G77+I78)/(I77)</f>
        <v>1.2431521432496737</v>
      </c>
      <c r="F19" s="13"/>
      <c r="G19" s="14"/>
      <c r="H19" s="15"/>
      <c r="J19" s="35"/>
      <c r="L19" s="29"/>
      <c r="M19" s="37"/>
      <c r="N19" s="91"/>
    </row>
    <row r="20" spans="3:14">
      <c r="C20" s="13"/>
      <c r="D20" s="13"/>
      <c r="E20" s="13"/>
      <c r="F20" s="13"/>
      <c r="G20" s="15"/>
      <c r="J20" s="35"/>
      <c r="L20" s="29"/>
      <c r="M20" s="37"/>
    </row>
    <row r="21" spans="3:14" ht="15.5">
      <c r="C21" s="26" t="s">
        <v>29</v>
      </c>
      <c r="D21" s="27"/>
      <c r="E21" s="27"/>
      <c r="F21" s="27"/>
      <c r="I21" s="28"/>
      <c r="J21" s="35"/>
      <c r="L21" s="29"/>
      <c r="M21" s="37"/>
      <c r="N21" s="91"/>
    </row>
    <row r="22" spans="3:14">
      <c r="C22" s="89">
        <v>1.7458101E-2</v>
      </c>
      <c r="D22" s="17"/>
      <c r="E22" s="17"/>
      <c r="F22" s="17"/>
      <c r="G22" s="31"/>
      <c r="H22" s="17"/>
      <c r="I22" s="17"/>
      <c r="J22" s="35"/>
      <c r="M22" s="37"/>
    </row>
    <row r="23" spans="3:14" ht="15.5">
      <c r="C23" s="17"/>
      <c r="D23" s="17"/>
      <c r="E23" s="28"/>
      <c r="F23" s="34"/>
      <c r="G23" s="34"/>
      <c r="H23" s="17"/>
      <c r="I23" s="16"/>
      <c r="J23" s="35"/>
      <c r="L23" s="12"/>
      <c r="M23" s="37"/>
    </row>
    <row r="24" spans="3:14">
      <c r="C24" s="17" t="s">
        <v>17</v>
      </c>
      <c r="D24" s="17"/>
      <c r="E24" s="28">
        <v>43136</v>
      </c>
      <c r="F24" s="34"/>
      <c r="G24" s="34">
        <v>-200673.85</v>
      </c>
      <c r="H24" s="17"/>
      <c r="I24" s="16"/>
      <c r="J24" s="35"/>
      <c r="K24" s="17"/>
      <c r="L24" s="59"/>
      <c r="M24" s="37"/>
    </row>
    <row r="25" spans="3:14">
      <c r="C25" s="17"/>
      <c r="D25" s="17"/>
      <c r="E25" s="28">
        <v>43193</v>
      </c>
      <c r="F25" s="34"/>
      <c r="G25" s="34">
        <v>-20655.39</v>
      </c>
      <c r="H25" s="17"/>
      <c r="I25" s="16"/>
      <c r="J25" s="35"/>
      <c r="K25" s="116"/>
      <c r="L25" s="59"/>
      <c r="M25" s="37"/>
    </row>
    <row r="26" spans="3:14">
      <c r="C26" s="17"/>
      <c r="D26" s="17"/>
      <c r="E26" s="28">
        <v>43286</v>
      </c>
      <c r="F26" s="34"/>
      <c r="G26" s="34">
        <v>-18846.150000000001</v>
      </c>
      <c r="H26" s="17"/>
      <c r="I26" s="16"/>
      <c r="J26" s="35"/>
      <c r="K26" s="116"/>
      <c r="L26" s="59"/>
      <c r="M26" s="37"/>
    </row>
    <row r="27" spans="3:14">
      <c r="C27" s="17"/>
      <c r="D27" s="17"/>
      <c r="E27" s="28">
        <v>43328</v>
      </c>
      <c r="F27" s="34"/>
      <c r="G27" s="34">
        <v>-70710.78</v>
      </c>
      <c r="H27" s="17"/>
      <c r="I27" s="16"/>
      <c r="J27" s="35"/>
      <c r="K27" s="116"/>
      <c r="L27" s="59"/>
      <c r="M27" s="37"/>
    </row>
    <row r="28" spans="3:14">
      <c r="C28" s="17"/>
      <c r="E28" s="28">
        <v>43369</v>
      </c>
      <c r="G28" s="34">
        <v>-1468492.3</v>
      </c>
      <c r="H28" s="17"/>
      <c r="I28" s="16"/>
      <c r="J28" s="35"/>
      <c r="K28" s="116"/>
      <c r="M28" s="37"/>
    </row>
    <row r="29" spans="3:14">
      <c r="E29" s="28">
        <v>43391</v>
      </c>
      <c r="G29" s="34">
        <v>392000</v>
      </c>
      <c r="H29" s="17"/>
      <c r="I29" s="16"/>
      <c r="J29" s="16"/>
      <c r="K29" s="17"/>
    </row>
    <row r="30" spans="3:14">
      <c r="E30" s="28">
        <v>43461</v>
      </c>
      <c r="G30" s="34">
        <v>-25480</v>
      </c>
      <c r="H30" s="17"/>
      <c r="I30" s="16"/>
      <c r="J30" s="16"/>
      <c r="K30" s="17"/>
    </row>
    <row r="31" spans="3:14">
      <c r="C31" s="17" t="s">
        <v>19</v>
      </c>
      <c r="D31" s="17"/>
      <c r="E31" s="28">
        <v>43494</v>
      </c>
      <c r="G31" s="34">
        <v>-39350.78</v>
      </c>
      <c r="H31" s="17"/>
      <c r="I31" s="16"/>
    </row>
    <row r="32" spans="3:14">
      <c r="C32" s="17"/>
      <c r="D32" s="17"/>
      <c r="E32" s="28">
        <v>43622</v>
      </c>
      <c r="G32" s="34">
        <v>-26233.85</v>
      </c>
      <c r="H32" s="17"/>
      <c r="I32" s="16"/>
      <c r="J32" s="16"/>
      <c r="K32" s="17"/>
      <c r="M32" s="97"/>
      <c r="N32" s="36"/>
    </row>
    <row r="33" spans="3:14">
      <c r="C33" s="17"/>
      <c r="D33" s="17"/>
      <c r="E33" s="28">
        <v>43670</v>
      </c>
      <c r="F33" s="34"/>
      <c r="G33" s="34">
        <v>-39501.54</v>
      </c>
      <c r="H33" s="17"/>
      <c r="I33" s="16"/>
      <c r="J33" s="16"/>
      <c r="K33" s="17"/>
      <c r="M33" s="97"/>
      <c r="N33" s="36"/>
    </row>
    <row r="34" spans="3:14">
      <c r="C34" s="17"/>
      <c r="D34" s="17"/>
      <c r="E34" s="28">
        <v>43742</v>
      </c>
      <c r="F34" s="34"/>
      <c r="G34" s="34">
        <v>-28646.15</v>
      </c>
      <c r="H34" s="17"/>
      <c r="I34" s="16"/>
      <c r="J34" s="16"/>
      <c r="K34" s="17"/>
      <c r="M34" s="97"/>
      <c r="N34" s="36"/>
    </row>
    <row r="35" spans="3:14">
      <c r="C35" s="17"/>
      <c r="D35" s="17"/>
      <c r="E35" s="28">
        <v>43794</v>
      </c>
      <c r="F35" s="34"/>
      <c r="G35" s="34">
        <v>-70107.7</v>
      </c>
      <c r="H35" s="17"/>
      <c r="I35" s="16"/>
      <c r="J35" s="16"/>
      <c r="K35" s="17"/>
      <c r="M35" s="97"/>
      <c r="N35" s="36"/>
    </row>
    <row r="36" spans="3:14">
      <c r="C36" s="17"/>
      <c r="D36" s="17"/>
      <c r="E36" s="28">
        <v>43801</v>
      </c>
      <c r="F36" s="34"/>
      <c r="G36" s="34">
        <v>-134335.38</v>
      </c>
      <c r="H36" s="17"/>
      <c r="I36" s="16"/>
      <c r="J36" s="16"/>
      <c r="K36" s="17"/>
      <c r="M36" s="97"/>
      <c r="N36" s="36"/>
    </row>
    <row r="37" spans="3:14">
      <c r="C37" s="17" t="s">
        <v>20</v>
      </c>
      <c r="D37" s="17"/>
      <c r="E37" s="28">
        <v>43671</v>
      </c>
      <c r="F37" s="34"/>
      <c r="G37" s="34">
        <v>129646.89</v>
      </c>
      <c r="H37" s="17"/>
      <c r="I37" s="16"/>
      <c r="J37" s="16"/>
      <c r="K37" s="17"/>
      <c r="M37" s="97"/>
      <c r="N37" s="36"/>
    </row>
    <row r="38" spans="3:14">
      <c r="C38" s="17" t="s">
        <v>21</v>
      </c>
      <c r="D38" s="17"/>
      <c r="E38" s="28">
        <v>43859</v>
      </c>
      <c r="F38" s="34"/>
      <c r="G38" s="34">
        <v>-37993.85</v>
      </c>
      <c r="H38" s="17"/>
      <c r="I38" s="16"/>
      <c r="J38" s="16"/>
      <c r="K38" s="17"/>
      <c r="M38" s="97"/>
      <c r="N38" s="36"/>
    </row>
    <row r="39" spans="3:14">
      <c r="C39" s="17"/>
      <c r="D39" s="17"/>
      <c r="E39" s="28">
        <v>43916</v>
      </c>
      <c r="F39" s="34"/>
      <c r="G39" s="34">
        <v>-37240</v>
      </c>
      <c r="H39" s="17"/>
      <c r="I39" s="16"/>
      <c r="J39" s="16"/>
      <c r="K39" s="17"/>
      <c r="M39" s="97"/>
      <c r="N39" s="36"/>
    </row>
    <row r="40" spans="3:14">
      <c r="C40" s="17"/>
      <c r="D40" s="17"/>
      <c r="E40" s="28">
        <v>44103</v>
      </c>
      <c r="F40" s="34"/>
      <c r="G40" s="34">
        <v>-48095.38</v>
      </c>
      <c r="H40" s="17"/>
      <c r="I40" s="16"/>
      <c r="J40" s="16"/>
      <c r="K40" s="17"/>
      <c r="M40" s="97"/>
      <c r="N40" s="36"/>
    </row>
    <row r="41" spans="3:14">
      <c r="C41" s="17"/>
      <c r="D41" s="17"/>
      <c r="E41" s="28">
        <v>44126</v>
      </c>
      <c r="F41" s="34"/>
      <c r="G41" s="34">
        <v>-161323.07</v>
      </c>
      <c r="H41" s="17"/>
      <c r="I41" s="16"/>
      <c r="J41" s="16"/>
      <c r="K41" s="17"/>
      <c r="M41" s="97"/>
      <c r="N41" s="36"/>
    </row>
    <row r="42" spans="3:14">
      <c r="C42" s="17" t="s">
        <v>31</v>
      </c>
      <c r="D42" s="17"/>
      <c r="E42" s="28">
        <v>44200</v>
      </c>
      <c r="F42" s="34"/>
      <c r="G42" s="34">
        <v>-26535.39</v>
      </c>
      <c r="H42" s="17"/>
      <c r="I42" s="16"/>
      <c r="J42" s="16"/>
      <c r="K42" s="17"/>
      <c r="M42" s="97"/>
      <c r="N42" s="36"/>
    </row>
    <row r="43" spans="3:14">
      <c r="C43" s="17"/>
      <c r="D43" s="17"/>
      <c r="E43" s="28">
        <v>44376</v>
      </c>
      <c r="F43" s="34"/>
      <c r="G43" s="34">
        <v>-28646.16</v>
      </c>
      <c r="H43" s="17"/>
      <c r="I43" s="16"/>
      <c r="J43" s="16"/>
      <c r="K43" s="17"/>
      <c r="M43" s="97"/>
      <c r="N43" s="36"/>
    </row>
    <row r="44" spans="3:14">
      <c r="C44" s="17"/>
      <c r="D44" s="17"/>
      <c r="E44" s="28">
        <v>44466</v>
      </c>
      <c r="F44" s="34"/>
      <c r="G44" s="34">
        <v>-18846.150000000001</v>
      </c>
      <c r="H44" s="17"/>
      <c r="I44" s="16"/>
      <c r="J44" s="16"/>
      <c r="K44" s="17"/>
      <c r="M44" s="97"/>
      <c r="N44" s="36"/>
    </row>
    <row r="45" spans="3:14">
      <c r="C45" s="17"/>
      <c r="D45" s="17"/>
      <c r="E45" s="28">
        <v>44530</v>
      </c>
      <c r="F45" s="34"/>
      <c r="G45" s="34">
        <v>-37240.01</v>
      </c>
      <c r="H45" s="17"/>
      <c r="I45" s="16"/>
      <c r="J45" s="16"/>
      <c r="K45" s="17"/>
      <c r="M45" s="97"/>
      <c r="N45" s="36"/>
    </row>
    <row r="46" spans="3:14">
      <c r="C46" s="17" t="s">
        <v>22</v>
      </c>
      <c r="D46" s="17"/>
      <c r="E46" s="28">
        <v>44463</v>
      </c>
      <c r="F46" s="34"/>
      <c r="G46" s="34">
        <v>22626.91</v>
      </c>
      <c r="H46" s="17"/>
      <c r="I46" s="16"/>
      <c r="J46" s="16"/>
      <c r="K46" s="17"/>
      <c r="M46" s="97"/>
      <c r="N46" s="36"/>
    </row>
    <row r="47" spans="3:14">
      <c r="C47" s="17"/>
      <c r="D47" s="17"/>
      <c r="E47" s="28">
        <v>44484</v>
      </c>
      <c r="F47" s="34"/>
      <c r="G47" s="34">
        <v>969199.17</v>
      </c>
      <c r="H47" s="17"/>
      <c r="I47" s="16"/>
      <c r="J47" s="16"/>
      <c r="K47" s="17"/>
      <c r="M47" s="97"/>
      <c r="N47" s="36"/>
    </row>
    <row r="48" spans="3:14">
      <c r="C48" s="17"/>
      <c r="D48" s="17"/>
      <c r="E48" s="28">
        <v>44539</v>
      </c>
      <c r="F48" s="34"/>
      <c r="G48" s="34">
        <v>78313.97</v>
      </c>
      <c r="H48" s="17"/>
      <c r="I48" s="16"/>
      <c r="J48" s="16"/>
      <c r="K48" s="17"/>
      <c r="M48" s="97"/>
      <c r="N48" s="36"/>
    </row>
    <row r="49" spans="3:14">
      <c r="C49" s="17" t="s">
        <v>32</v>
      </c>
      <c r="D49" s="17"/>
      <c r="E49" s="28">
        <v>44606</v>
      </c>
      <c r="F49" s="34"/>
      <c r="G49" s="34">
        <v>-474772.3</v>
      </c>
      <c r="H49" s="17"/>
      <c r="I49" s="16"/>
      <c r="J49" s="16"/>
      <c r="K49" s="17"/>
      <c r="M49" s="97"/>
      <c r="N49" s="36"/>
    </row>
    <row r="50" spans="3:14">
      <c r="C50" s="17"/>
      <c r="D50" s="17"/>
      <c r="E50" s="28">
        <v>44649</v>
      </c>
      <c r="F50" s="34"/>
      <c r="G50" s="34">
        <v>-18846.150000000001</v>
      </c>
      <c r="H50" s="17"/>
      <c r="I50" s="16"/>
      <c r="J50" s="16"/>
      <c r="K50" s="17"/>
      <c r="M50" s="97"/>
      <c r="N50" s="36"/>
    </row>
    <row r="51" spans="3:14">
      <c r="C51" s="17"/>
      <c r="D51" s="17"/>
      <c r="E51" s="28">
        <v>44672</v>
      </c>
      <c r="F51" s="34"/>
      <c r="G51" s="34">
        <v>-7689.23</v>
      </c>
      <c r="H51" s="17"/>
      <c r="I51" s="16"/>
      <c r="J51" s="16"/>
      <c r="K51" s="17"/>
      <c r="M51" s="97"/>
      <c r="N51" s="36"/>
    </row>
    <row r="52" spans="3:14">
      <c r="C52" s="17"/>
      <c r="D52" s="17"/>
      <c r="E52" s="28">
        <v>44736</v>
      </c>
      <c r="F52" s="34"/>
      <c r="G52" s="34">
        <v>-61966.16</v>
      </c>
      <c r="H52" s="17"/>
      <c r="I52" s="16"/>
      <c r="J52" s="16"/>
      <c r="K52" s="17"/>
      <c r="M52" s="97"/>
      <c r="N52" s="36"/>
    </row>
    <row r="53" spans="3:14">
      <c r="C53" s="17"/>
      <c r="D53" s="17"/>
      <c r="E53" s="28">
        <v>44764</v>
      </c>
      <c r="F53" s="34"/>
      <c r="G53" s="34">
        <v>-300181.53999999998</v>
      </c>
      <c r="H53" s="17"/>
      <c r="I53" s="16"/>
      <c r="J53" s="16"/>
      <c r="K53" s="17"/>
      <c r="M53" s="97"/>
      <c r="N53" s="36"/>
    </row>
    <row r="54" spans="3:14">
      <c r="C54" s="17"/>
      <c r="D54" s="17"/>
      <c r="E54" s="28">
        <v>44819</v>
      </c>
      <c r="F54" s="34"/>
      <c r="G54" s="34">
        <v>-681175.39</v>
      </c>
      <c r="H54" s="17"/>
      <c r="I54" s="16"/>
      <c r="J54" s="16"/>
      <c r="K54" s="17"/>
      <c r="M54" s="97"/>
      <c r="N54" s="36"/>
    </row>
    <row r="55" spans="3:14">
      <c r="C55" s="17"/>
      <c r="D55" s="17"/>
      <c r="E55" s="28">
        <v>44875</v>
      </c>
      <c r="F55" s="34"/>
      <c r="G55" s="34">
        <v>-33621.54</v>
      </c>
      <c r="H55" s="17"/>
      <c r="I55" s="16"/>
      <c r="J55" s="16"/>
      <c r="K55" s="17"/>
      <c r="M55" s="97"/>
      <c r="N55" s="36"/>
    </row>
    <row r="56" spans="3:14">
      <c r="C56" s="17"/>
      <c r="D56" s="17"/>
      <c r="E56" s="28">
        <v>44915</v>
      </c>
      <c r="F56" s="34"/>
      <c r="G56" s="34">
        <v>-305760</v>
      </c>
      <c r="H56" s="17"/>
      <c r="I56" s="16"/>
      <c r="J56" s="16"/>
      <c r="K56" s="17"/>
      <c r="M56" s="97"/>
      <c r="N56" s="36"/>
    </row>
    <row r="57" spans="3:14">
      <c r="C57" s="17" t="s">
        <v>23</v>
      </c>
      <c r="D57" s="17"/>
      <c r="E57" s="28">
        <v>44615</v>
      </c>
      <c r="F57" s="34"/>
      <c r="G57" s="34">
        <v>16557.02</v>
      </c>
      <c r="H57" s="17"/>
      <c r="I57" s="16"/>
      <c r="J57" s="16"/>
      <c r="K57" s="17"/>
      <c r="M57" s="97"/>
      <c r="N57" s="36"/>
    </row>
    <row r="58" spans="3:14">
      <c r="C58" s="17"/>
      <c r="D58" s="17"/>
      <c r="E58" s="28">
        <v>44785</v>
      </c>
      <c r="F58" s="34"/>
      <c r="G58" s="34">
        <v>54642.34</v>
      </c>
      <c r="H58" s="17"/>
      <c r="I58" s="16"/>
      <c r="J58" s="16"/>
      <c r="K58" s="17"/>
      <c r="M58" s="97"/>
      <c r="N58" s="36"/>
    </row>
    <row r="59" spans="3:14">
      <c r="C59" s="17"/>
      <c r="D59" s="17"/>
      <c r="E59" s="28">
        <v>44895</v>
      </c>
      <c r="F59" s="34"/>
      <c r="G59" s="34">
        <v>25685.79</v>
      </c>
      <c r="H59" s="17"/>
      <c r="I59" s="16"/>
      <c r="J59" s="16"/>
      <c r="K59" s="17"/>
      <c r="M59" s="97"/>
      <c r="N59" s="36"/>
    </row>
    <row r="60" spans="3:14">
      <c r="C60" s="17" t="s">
        <v>33</v>
      </c>
      <c r="D60" s="17"/>
      <c r="E60" s="28">
        <v>44931</v>
      </c>
      <c r="F60" s="34"/>
      <c r="G60" s="34">
        <v>-32566.16</v>
      </c>
      <c r="H60" s="17"/>
      <c r="I60" s="16"/>
      <c r="J60" s="16"/>
      <c r="K60" s="17"/>
      <c r="M60" s="97"/>
      <c r="N60" s="36"/>
    </row>
    <row r="61" spans="3:14">
      <c r="C61" s="17"/>
      <c r="D61" s="17"/>
      <c r="E61" s="28">
        <v>45107</v>
      </c>
      <c r="F61" s="34"/>
      <c r="G61" s="34">
        <v>-12966.16</v>
      </c>
      <c r="H61" s="17"/>
      <c r="I61" s="16"/>
      <c r="J61" s="16"/>
      <c r="K61" s="17"/>
      <c r="M61" s="97"/>
      <c r="N61" s="36"/>
    </row>
    <row r="62" spans="3:14">
      <c r="C62" s="17"/>
      <c r="D62" s="17"/>
      <c r="E62" s="28">
        <v>45117</v>
      </c>
      <c r="F62" s="34"/>
      <c r="G62" s="34">
        <v>-19298.46</v>
      </c>
      <c r="H62" s="17"/>
      <c r="I62" s="16"/>
      <c r="J62" s="16"/>
      <c r="K62" s="17"/>
      <c r="M62" s="97"/>
      <c r="N62" s="36"/>
    </row>
    <row r="63" spans="3:14">
      <c r="C63" s="17"/>
      <c r="D63" s="17"/>
      <c r="E63" s="28">
        <v>45203</v>
      </c>
      <c r="F63" s="34"/>
      <c r="G63" s="34">
        <v>-21861.53</v>
      </c>
      <c r="H63" s="17"/>
      <c r="I63" s="16"/>
      <c r="J63" s="16"/>
      <c r="K63" s="17"/>
      <c r="M63" s="97"/>
      <c r="N63" s="36"/>
    </row>
    <row r="64" spans="3:14">
      <c r="C64" s="17"/>
      <c r="D64" s="17"/>
      <c r="E64" s="28">
        <v>45232</v>
      </c>
      <c r="F64" s="34"/>
      <c r="G64" s="34">
        <v>-17338.46</v>
      </c>
      <c r="H64" s="17"/>
      <c r="I64" s="16"/>
      <c r="J64" s="16"/>
      <c r="K64" s="17"/>
      <c r="M64" s="97"/>
      <c r="N64" s="36"/>
    </row>
    <row r="65" spans="3:14">
      <c r="C65" s="17"/>
      <c r="D65" s="17"/>
      <c r="E65" s="28">
        <v>45281</v>
      </c>
      <c r="F65" s="34"/>
      <c r="G65" s="34">
        <v>-17640</v>
      </c>
      <c r="H65" s="17"/>
      <c r="I65" s="16"/>
      <c r="J65" s="16"/>
      <c r="K65" s="17"/>
      <c r="M65" s="97"/>
      <c r="N65" s="36"/>
    </row>
    <row r="66" spans="3:14">
      <c r="C66" s="17" t="s">
        <v>24</v>
      </c>
      <c r="D66" s="17"/>
      <c r="E66" s="28">
        <v>45051</v>
      </c>
      <c r="F66" s="34"/>
      <c r="G66" s="34">
        <v>406750</v>
      </c>
      <c r="H66" s="17"/>
      <c r="I66" s="16"/>
      <c r="J66" s="16"/>
      <c r="K66" s="17"/>
      <c r="M66" s="97"/>
      <c r="N66" s="36"/>
    </row>
    <row r="67" spans="3:14">
      <c r="C67" s="17"/>
      <c r="D67" s="17"/>
      <c r="E67" s="28">
        <v>45132</v>
      </c>
      <c r="F67" s="34"/>
      <c r="G67" s="34">
        <v>102817.88</v>
      </c>
      <c r="H67" s="17"/>
      <c r="I67" s="16"/>
      <c r="J67" s="16"/>
      <c r="K67" s="17"/>
      <c r="M67" s="97"/>
      <c r="N67" s="36"/>
    </row>
    <row r="68" spans="3:14">
      <c r="C68" s="17"/>
      <c r="D68" s="17"/>
      <c r="E68" s="28">
        <v>45162</v>
      </c>
      <c r="F68" s="34"/>
      <c r="G68" s="34">
        <v>176788.2</v>
      </c>
      <c r="H68" s="17"/>
      <c r="I68" s="16"/>
      <c r="J68" s="16"/>
      <c r="K68" s="17"/>
      <c r="M68" s="97"/>
      <c r="N68" s="36"/>
    </row>
    <row r="69" spans="3:14">
      <c r="C69" s="17"/>
      <c r="D69" s="17"/>
      <c r="E69" s="28">
        <v>45184</v>
      </c>
      <c r="F69" s="34"/>
      <c r="G69" s="34">
        <v>52518.47</v>
      </c>
      <c r="H69" s="17"/>
      <c r="I69" s="16"/>
      <c r="J69" s="16"/>
      <c r="K69" s="17"/>
      <c r="M69" s="97"/>
      <c r="N69" s="36"/>
    </row>
    <row r="70" spans="3:14">
      <c r="C70" s="17"/>
      <c r="D70" s="17"/>
      <c r="E70" s="28">
        <v>45280</v>
      </c>
      <c r="F70" s="34"/>
      <c r="G70" s="34">
        <v>36588.129999999997</v>
      </c>
      <c r="H70" s="17"/>
      <c r="I70" s="16"/>
      <c r="J70" s="16"/>
      <c r="K70" s="17"/>
      <c r="M70" s="97"/>
      <c r="N70" s="36"/>
    </row>
    <row r="71" spans="3:14">
      <c r="C71" s="17" t="s">
        <v>36</v>
      </c>
      <c r="D71" s="17"/>
      <c r="E71" s="28">
        <v>45327</v>
      </c>
      <c r="F71" s="34"/>
      <c r="G71" s="34">
        <v>-9498.4699999999993</v>
      </c>
      <c r="H71" s="17"/>
      <c r="I71" s="16"/>
      <c r="J71" s="16"/>
      <c r="K71" s="17"/>
      <c r="M71" s="97"/>
      <c r="N71" s="36"/>
    </row>
    <row r="72" spans="3:14">
      <c r="C72" s="17"/>
      <c r="D72" s="17"/>
      <c r="E72" s="28">
        <v>45362</v>
      </c>
      <c r="F72" s="34"/>
      <c r="G72" s="34">
        <v>-23972.31</v>
      </c>
      <c r="H72" s="17"/>
      <c r="I72" s="16"/>
      <c r="J72" s="16"/>
      <c r="K72" s="17"/>
      <c r="M72" s="97"/>
      <c r="N72" s="36"/>
    </row>
    <row r="73" spans="3:14">
      <c r="C73" s="17"/>
      <c r="D73" s="17"/>
      <c r="E73" s="28">
        <v>45393</v>
      </c>
      <c r="F73" s="34"/>
      <c r="G73" s="34">
        <v>-9347.7000000000007</v>
      </c>
      <c r="H73" s="17"/>
      <c r="I73" s="16"/>
      <c r="J73" s="16"/>
      <c r="K73" s="17"/>
      <c r="M73" s="97"/>
      <c r="N73" s="36"/>
    </row>
    <row r="74" spans="3:14">
      <c r="C74" s="17" t="s">
        <v>35</v>
      </c>
      <c r="D74" s="17"/>
      <c r="E74" s="28">
        <v>45329</v>
      </c>
      <c r="F74" s="34"/>
      <c r="G74" s="34">
        <v>70858.52</v>
      </c>
      <c r="H74" s="17"/>
      <c r="I74" s="16"/>
      <c r="J74" s="16"/>
      <c r="K74" s="17"/>
      <c r="M74" s="97"/>
      <c r="N74" s="36"/>
    </row>
    <row r="75" spans="3:14">
      <c r="C75" s="17"/>
      <c r="D75" s="17"/>
      <c r="E75" s="28"/>
      <c r="F75" s="34"/>
      <c r="G75" s="34"/>
      <c r="H75" s="17"/>
      <c r="I75" s="16"/>
      <c r="J75" s="16"/>
      <c r="K75" s="17"/>
      <c r="M75" s="97"/>
      <c r="N75" s="36"/>
    </row>
    <row r="76" spans="3:14" ht="4.5" customHeight="1">
      <c r="C76" s="17"/>
      <c r="D76" s="17"/>
      <c r="E76" s="28"/>
      <c r="F76" s="17"/>
      <c r="G76" s="34"/>
      <c r="H76" s="17"/>
      <c r="I76" s="16"/>
      <c r="J76" s="16"/>
    </row>
    <row r="77" spans="3:14" ht="15.5">
      <c r="C77" s="17" t="s">
        <v>25</v>
      </c>
      <c r="D77" s="17"/>
      <c r="E77" s="28">
        <f>+E8</f>
        <v>45473</v>
      </c>
      <c r="F77" s="17"/>
      <c r="G77" s="35">
        <f>L77*C22</f>
        <v>3072596.1321445019</v>
      </c>
      <c r="H77" s="17"/>
      <c r="I77" s="34">
        <f>+SUMIF($G$24:$G$76,"&lt;0",$G$24:$G$76)+G29</f>
        <v>-4195455.4399999995</v>
      </c>
      <c r="J77" s="17" t="s">
        <v>26</v>
      </c>
      <c r="L77" s="59">
        <v>175998302</v>
      </c>
      <c r="M77" s="12"/>
    </row>
    <row r="78" spans="3:14">
      <c r="C78" s="17"/>
      <c r="D78" s="17"/>
      <c r="E78" s="17"/>
      <c r="F78" s="17"/>
      <c r="G78" s="17"/>
      <c r="H78" s="17"/>
      <c r="I78" s="34">
        <f>+SUMIF($G$24:$G$76,"&gt;0",$G$24:$G$76)-G29</f>
        <v>2142993.2900000005</v>
      </c>
      <c r="J78" s="17" t="s">
        <v>27</v>
      </c>
    </row>
    <row r="79" spans="3:14">
      <c r="C79" t="s">
        <v>28</v>
      </c>
      <c r="G79" s="38">
        <f>+XIRR(G24:G77,E24:E77)</f>
        <v>8.0467638373374964E-2</v>
      </c>
      <c r="H79" s="17"/>
    </row>
    <row r="80" spans="3:14">
      <c r="G80" s="38"/>
      <c r="H80" s="17"/>
    </row>
    <row r="81" spans="3:8">
      <c r="C81" s="40"/>
      <c r="D81" s="40"/>
      <c r="E81" s="39"/>
      <c r="F81" s="40"/>
      <c r="G81" s="39"/>
      <c r="H81" s="17"/>
    </row>
    <row r="82" spans="3:8">
      <c r="C82" s="40"/>
      <c r="D82" s="40"/>
      <c r="E82" s="39"/>
      <c r="F82" s="40"/>
      <c r="G82" s="39"/>
      <c r="H82" s="17"/>
    </row>
    <row r="83" spans="3:8">
      <c r="C83" s="40"/>
      <c r="D83" s="40"/>
      <c r="E83" s="39"/>
      <c r="F83" s="40"/>
      <c r="G83" s="39"/>
      <c r="H83" s="17"/>
    </row>
    <row r="84" spans="3:8">
      <c r="C84" s="40"/>
      <c r="D84" s="40"/>
      <c r="E84" s="2"/>
      <c r="F84" s="2"/>
      <c r="G84" s="2"/>
    </row>
    <row r="85" spans="3:8">
      <c r="C85" s="40"/>
      <c r="D85" s="40"/>
      <c r="E85" s="39"/>
      <c r="F85" s="39"/>
      <c r="G85" s="39"/>
    </row>
    <row r="86" spans="3:8">
      <c r="C86" s="40"/>
      <c r="D86" s="40"/>
      <c r="E86" s="40"/>
      <c r="F86" s="40"/>
      <c r="G86" s="40"/>
    </row>
    <row r="87" spans="3:8">
      <c r="C87" s="40"/>
      <c r="D87" s="40"/>
      <c r="E87" s="60"/>
      <c r="F87" s="41"/>
      <c r="G87" s="60"/>
      <c r="H87" s="17"/>
    </row>
    <row r="88" spans="3:8">
      <c r="C88" s="40"/>
      <c r="D88" s="40"/>
      <c r="E88" s="42"/>
      <c r="F88" s="41"/>
      <c r="G88" s="42"/>
      <c r="H88" s="17"/>
    </row>
    <row r="89" spans="3:8">
      <c r="C89" s="40"/>
      <c r="D89" s="40"/>
      <c r="E89" s="42"/>
      <c r="F89" s="41"/>
      <c r="G89" s="42"/>
      <c r="H89" s="17"/>
    </row>
    <row r="90" spans="3:8">
      <c r="C90" s="43"/>
      <c r="D90" s="40"/>
      <c r="E90" s="42"/>
      <c r="F90" s="41"/>
      <c r="G90" s="42"/>
      <c r="H90" s="17"/>
    </row>
    <row r="91" spans="3:8">
      <c r="C91" s="43"/>
      <c r="D91" s="40"/>
      <c r="E91" s="42"/>
      <c r="F91" s="41"/>
      <c r="G91" s="42"/>
      <c r="H91" s="17"/>
    </row>
    <row r="92" spans="3:8">
      <c r="C92" s="44"/>
      <c r="D92" s="40"/>
      <c r="E92" s="42"/>
      <c r="F92" s="41"/>
      <c r="G92" s="42"/>
      <c r="H92" s="17"/>
    </row>
    <row r="93" spans="3:8">
      <c r="C93" s="40"/>
      <c r="D93" s="40"/>
      <c r="E93" s="42"/>
      <c r="F93" s="41"/>
      <c r="G93" s="42"/>
      <c r="H93" s="17"/>
    </row>
    <row r="94" spans="3:8">
      <c r="C94" s="40"/>
      <c r="D94" s="40"/>
      <c r="E94" s="42"/>
      <c r="F94" s="41"/>
      <c r="G94" s="42"/>
      <c r="H94" s="17"/>
    </row>
    <row r="95" spans="3:8">
      <c r="C95" s="40"/>
      <c r="D95" s="40"/>
      <c r="E95" s="42"/>
      <c r="F95" s="41"/>
      <c r="G95" s="42"/>
      <c r="H95" s="17"/>
    </row>
    <row r="96" spans="3:8">
      <c r="C96" s="40"/>
      <c r="D96" s="40"/>
      <c r="E96" s="42"/>
      <c r="F96" s="41"/>
      <c r="G96" s="42"/>
      <c r="H96" s="17"/>
    </row>
    <row r="97" spans="3:8">
      <c r="C97" s="40"/>
      <c r="D97" s="40"/>
      <c r="E97" s="42"/>
      <c r="F97" s="41"/>
      <c r="G97" s="42"/>
      <c r="H97" s="17"/>
    </row>
    <row r="98" spans="3:8">
      <c r="C98" s="40"/>
      <c r="D98" s="40"/>
      <c r="E98" s="42"/>
      <c r="F98" s="41"/>
      <c r="G98" s="42"/>
      <c r="H98" s="17"/>
    </row>
    <row r="99" spans="3:8" ht="4.9000000000000004" customHeight="1">
      <c r="C99" s="17"/>
      <c r="D99" s="17"/>
      <c r="E99" s="17"/>
      <c r="F99" s="17"/>
      <c r="G99" s="17"/>
      <c r="H99" s="17"/>
    </row>
    <row r="100" spans="3:8">
      <c r="C100" s="17"/>
      <c r="D100" s="17"/>
      <c r="E100" s="17"/>
      <c r="F100" s="17"/>
      <c r="G100" s="17"/>
      <c r="H100" s="17"/>
    </row>
  </sheetData>
  <mergeCells count="1">
    <mergeCell ref="E84:G84"/>
  </mergeCells>
  <pageMargins left="0.7" right="0.7" top="0.75" bottom="0.75" header="0.3" footer="0.3"/>
  <pageSetup scale="47" orientation="landscape" r:id="rId1"/>
  <headerFooter>
    <oddHeader>&amp;C&amp;G</oddHeader>
    <oddFooter>&amp;C&amp;G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663C-2388-42D0-AF02-1583ECAEE97B}">
  <sheetPr>
    <tabColor rgb="FF92D050"/>
    <pageSetUpPr fitToPage="1"/>
  </sheetPr>
  <dimension ref="B4:Q64"/>
  <sheetViews>
    <sheetView showGridLines="0" tabSelected="1" view="pageLayout" topLeftCell="A6" zoomScaleNormal="100" workbookViewId="0">
      <selection activeCell="G37" sqref="G37"/>
    </sheetView>
  </sheetViews>
  <sheetFormatPr defaultRowHeight="12.5"/>
  <cols>
    <col min="2" max="2" width="4.81640625" customWidth="1"/>
    <col min="3" max="3" width="50.1796875" customWidth="1"/>
    <col min="4" max="4" width="1.453125" customWidth="1"/>
    <col min="5" max="5" width="12.1796875" bestFit="1" customWidth="1"/>
    <col min="6" max="6" width="1.453125" customWidth="1"/>
    <col min="7" max="7" width="12.81640625" bestFit="1" customWidth="1"/>
    <col min="8" max="8" width="2.453125" customWidth="1"/>
    <col min="9" max="9" width="19.1796875" bestFit="1" customWidth="1"/>
    <col min="10" max="10" width="19.453125" bestFit="1" customWidth="1"/>
    <col min="12" max="12" width="18.54296875" customWidth="1"/>
    <col min="13" max="13" width="16.54296875" bestFit="1" customWidth="1"/>
    <col min="14" max="14" width="10.1796875" bestFit="1" customWidth="1"/>
    <col min="15" max="15" width="11.26953125" bestFit="1" customWidth="1"/>
    <col min="16" max="16" width="10" bestFit="1" customWidth="1"/>
  </cols>
  <sheetData>
    <row r="4" spans="2:15" ht="18">
      <c r="B4" s="3"/>
      <c r="C4" s="3"/>
      <c r="D4" s="3"/>
      <c r="E4" s="3"/>
      <c r="F4" s="3"/>
    </row>
    <row r="6" spans="2:15">
      <c r="C6" s="4"/>
      <c r="D6" s="4"/>
      <c r="E6" s="4"/>
      <c r="F6" s="4"/>
    </row>
    <row r="7" spans="2:15" ht="13">
      <c r="B7" s="5"/>
      <c r="C7" s="6"/>
      <c r="D7" s="6"/>
      <c r="E7" s="6"/>
      <c r="F7" s="6"/>
    </row>
    <row r="8" spans="2:15" ht="15.5">
      <c r="C8" s="7"/>
      <c r="D8" s="7"/>
      <c r="E8" s="62">
        <v>45473</v>
      </c>
      <c r="F8" s="9"/>
      <c r="G8" s="10"/>
      <c r="H8" s="10"/>
      <c r="I8" s="11"/>
    </row>
    <row r="9" spans="2:15" ht="15.5">
      <c r="C9" s="7"/>
      <c r="D9" s="7"/>
      <c r="E9" s="7"/>
      <c r="F9" s="7"/>
      <c r="G9" s="12"/>
      <c r="J9" s="12"/>
    </row>
    <row r="10" spans="2:15">
      <c r="C10" s="13"/>
      <c r="D10" s="13"/>
      <c r="E10" s="14"/>
      <c r="F10" s="13"/>
      <c r="G10" s="59"/>
      <c r="H10" s="15"/>
      <c r="I10" s="92"/>
      <c r="J10" s="120"/>
      <c r="O10" s="102"/>
    </row>
    <row r="11" spans="2:15">
      <c r="C11" s="13"/>
      <c r="D11" s="13"/>
      <c r="E11" s="14"/>
      <c r="F11" s="13"/>
      <c r="G11" s="14"/>
      <c r="H11" s="15"/>
      <c r="I11" s="50"/>
      <c r="J11" s="50"/>
    </row>
    <row r="12" spans="2:15" ht="15.5">
      <c r="C12" s="18"/>
      <c r="D12" s="18"/>
      <c r="E12" s="19"/>
      <c r="F12" s="18"/>
      <c r="G12" s="19"/>
      <c r="H12" s="7"/>
      <c r="J12" s="37"/>
    </row>
    <row r="13" spans="2:15">
      <c r="C13" s="13"/>
      <c r="D13" s="13"/>
      <c r="E13" s="20"/>
      <c r="F13" s="13"/>
      <c r="G13" s="59"/>
      <c r="H13" s="21"/>
      <c r="I13" s="50"/>
      <c r="O13" s="102"/>
    </row>
    <row r="14" spans="2:15">
      <c r="C14" s="13"/>
      <c r="D14" s="13"/>
      <c r="E14" s="22"/>
      <c r="F14" s="13"/>
      <c r="G14" s="59"/>
      <c r="H14" s="23"/>
      <c r="I14" s="50"/>
    </row>
    <row r="15" spans="2:15">
      <c r="C15" s="13"/>
      <c r="D15" s="13"/>
      <c r="E15" s="14"/>
      <c r="F15" s="13"/>
      <c r="G15" s="14"/>
      <c r="H15" s="15"/>
      <c r="I15" s="50"/>
    </row>
    <row r="16" spans="2:15" ht="15.5">
      <c r="C16" s="7"/>
      <c r="D16" s="7"/>
      <c r="E16" s="19"/>
      <c r="F16" s="7"/>
      <c r="G16" s="19"/>
      <c r="H16" s="7"/>
      <c r="I16" s="50"/>
    </row>
    <row r="17" spans="3:15" ht="15.5">
      <c r="C17" s="18" t="s">
        <v>0</v>
      </c>
      <c r="D17" s="18"/>
      <c r="E17" s="19"/>
      <c r="F17" s="18"/>
      <c r="G17" s="19"/>
      <c r="H17" s="7"/>
      <c r="I17" s="50"/>
      <c r="M17" s="55"/>
      <c r="N17" s="55"/>
    </row>
    <row r="18" spans="3:15" ht="12.75" customHeight="1">
      <c r="C18" s="13" t="s">
        <v>1</v>
      </c>
      <c r="D18" s="13"/>
      <c r="E18" s="21">
        <f>G41</f>
        <v>0.15559234142303469</v>
      </c>
      <c r="F18" s="13"/>
      <c r="G18" s="20"/>
      <c r="H18" s="21"/>
      <c r="I18" s="50"/>
      <c r="J18" s="35"/>
      <c r="L18" s="29"/>
      <c r="M18" s="105"/>
      <c r="N18" s="55"/>
    </row>
    <row r="19" spans="3:15">
      <c r="C19" s="13" t="s">
        <v>2</v>
      </c>
      <c r="D19" s="13"/>
      <c r="E19" s="25">
        <f>-(G39+I40)/I39</f>
        <v>1.1517562387281943</v>
      </c>
      <c r="F19" s="13"/>
      <c r="G19" s="14"/>
      <c r="H19" s="15"/>
      <c r="J19" s="35"/>
      <c r="L19" s="29"/>
      <c r="M19" s="105"/>
      <c r="N19" s="106"/>
    </row>
    <row r="20" spans="3:15">
      <c r="C20" s="13"/>
      <c r="D20" s="13"/>
      <c r="E20" s="13"/>
      <c r="F20" s="13"/>
      <c r="G20" s="15"/>
      <c r="J20" s="35"/>
      <c r="L20" s="29"/>
      <c r="M20" s="105"/>
      <c r="N20" s="55"/>
    </row>
    <row r="21" spans="3:15" ht="15.5">
      <c r="C21" s="26" t="s">
        <v>29</v>
      </c>
      <c r="D21" s="27"/>
      <c r="E21" s="27"/>
      <c r="F21" s="27"/>
      <c r="I21" s="28"/>
      <c r="J21" s="35"/>
      <c r="L21" s="29"/>
      <c r="M21" s="105"/>
      <c r="N21" s="106"/>
    </row>
    <row r="22" spans="3:15">
      <c r="C22" s="30">
        <v>1</v>
      </c>
      <c r="D22" s="17"/>
      <c r="E22" s="17"/>
      <c r="F22" s="17"/>
      <c r="G22" s="31"/>
      <c r="H22" s="17"/>
      <c r="I22" s="17"/>
      <c r="J22" s="35"/>
      <c r="L22" s="29"/>
      <c r="M22" s="105"/>
      <c r="N22" s="55"/>
    </row>
    <row r="23" spans="3:15" ht="15.5">
      <c r="C23" s="17"/>
      <c r="D23" s="17"/>
      <c r="E23" s="28"/>
      <c r="F23" s="34"/>
      <c r="G23" s="34"/>
      <c r="H23" s="17"/>
      <c r="I23" s="16"/>
      <c r="J23" s="35"/>
      <c r="L23" s="12"/>
      <c r="M23" s="105"/>
      <c r="N23" s="55"/>
    </row>
    <row r="24" spans="3:15">
      <c r="C24" s="17" t="s">
        <v>33</v>
      </c>
      <c r="D24" s="17"/>
      <c r="E24" s="28">
        <v>44950</v>
      </c>
      <c r="F24" s="34"/>
      <c r="G24" s="34">
        <v>-76575349.769999996</v>
      </c>
      <c r="H24" s="17"/>
      <c r="I24" s="16"/>
      <c r="J24" s="35"/>
      <c r="K24" s="17"/>
      <c r="L24" s="59"/>
      <c r="M24" s="105"/>
      <c r="N24" s="55"/>
      <c r="O24" s="16"/>
    </row>
    <row r="25" spans="3:15">
      <c r="C25" s="17"/>
      <c r="D25" s="17"/>
      <c r="E25" s="28">
        <v>44988</v>
      </c>
      <c r="F25" s="34"/>
      <c r="G25" s="34">
        <v>-7249182.4800000004</v>
      </c>
      <c r="H25" s="17"/>
      <c r="I25" s="16"/>
      <c r="J25" s="35"/>
      <c r="K25" s="116"/>
      <c r="L25" s="59"/>
      <c r="M25" s="105"/>
      <c r="N25" s="55"/>
      <c r="O25" s="16"/>
    </row>
    <row r="26" spans="3:15">
      <c r="C26" s="17"/>
      <c r="D26" s="17"/>
      <c r="E26" s="28">
        <v>45027</v>
      </c>
      <c r="F26" s="34"/>
      <c r="G26" s="34">
        <v>-8628801.0299999993</v>
      </c>
      <c r="H26" s="17"/>
      <c r="I26" s="16"/>
      <c r="J26" s="35"/>
      <c r="K26" s="116"/>
      <c r="L26" s="59"/>
      <c r="M26" s="105"/>
      <c r="N26" s="55"/>
      <c r="O26" s="16"/>
    </row>
    <row r="27" spans="3:15">
      <c r="C27" s="17"/>
      <c r="D27" s="17"/>
      <c r="E27" s="28">
        <v>45048</v>
      </c>
      <c r="F27" s="34"/>
      <c r="G27" s="34">
        <v>-95262249.99000001</v>
      </c>
      <c r="H27" s="17"/>
      <c r="I27" s="16"/>
      <c r="J27" s="35"/>
      <c r="K27" s="116"/>
      <c r="L27" s="59"/>
      <c r="M27" s="105"/>
      <c r="N27" s="55"/>
      <c r="O27" s="16"/>
    </row>
    <row r="28" spans="3:15">
      <c r="C28" s="17"/>
      <c r="D28" s="17"/>
      <c r="E28" s="28">
        <v>45114</v>
      </c>
      <c r="F28" s="34"/>
      <c r="G28" s="34">
        <v>-9451874.9900000002</v>
      </c>
      <c r="H28" s="17"/>
      <c r="I28" s="16"/>
      <c r="J28" s="35"/>
      <c r="K28" s="116"/>
      <c r="L28" s="29"/>
      <c r="M28" s="105"/>
      <c r="N28" s="55"/>
    </row>
    <row r="29" spans="3:15">
      <c r="C29" s="17"/>
      <c r="D29" s="17"/>
      <c r="E29" s="28">
        <v>45132</v>
      </c>
      <c r="F29" s="34"/>
      <c r="G29" s="34">
        <f>-10162729.06+590732.39</f>
        <v>-9571996.6699999999</v>
      </c>
      <c r="H29" s="17"/>
      <c r="I29" s="16"/>
      <c r="J29" s="16"/>
      <c r="K29" s="17"/>
      <c r="M29" s="55"/>
      <c r="N29" s="55"/>
    </row>
    <row r="30" spans="3:15">
      <c r="C30" s="17"/>
      <c r="D30" s="17"/>
      <c r="E30" s="28">
        <v>45163</v>
      </c>
      <c r="F30" s="34"/>
      <c r="G30" s="34">
        <v>-36731040.990000002</v>
      </c>
      <c r="H30" s="17"/>
      <c r="I30" s="16"/>
      <c r="J30" s="16"/>
      <c r="K30" s="17"/>
      <c r="M30" s="55"/>
      <c r="N30" s="55"/>
    </row>
    <row r="31" spans="3:15">
      <c r="C31" s="17"/>
      <c r="D31" s="17"/>
      <c r="E31" s="28">
        <v>45233</v>
      </c>
      <c r="F31" s="34"/>
      <c r="G31" s="34">
        <v>-14518860.390000001</v>
      </c>
      <c r="H31" s="17"/>
      <c r="I31" s="16"/>
      <c r="J31" s="16"/>
      <c r="K31" s="17"/>
      <c r="N31" s="97"/>
      <c r="O31" s="36"/>
    </row>
    <row r="32" spans="3:15">
      <c r="C32" s="17"/>
      <c r="D32" s="17"/>
      <c r="E32" s="28">
        <v>45251</v>
      </c>
      <c r="F32" s="34"/>
      <c r="G32" s="34">
        <v>-39026731.07</v>
      </c>
      <c r="H32" s="17"/>
      <c r="I32" s="16"/>
      <c r="J32" s="16"/>
      <c r="K32" s="17"/>
      <c r="N32" s="97"/>
      <c r="O32" s="36"/>
    </row>
    <row r="33" spans="3:15" ht="13.5" customHeight="1">
      <c r="C33" s="17"/>
      <c r="D33" s="17"/>
      <c r="E33" s="28">
        <v>45282</v>
      </c>
      <c r="F33" s="34"/>
      <c r="G33" s="34">
        <v>-10386618.289999999</v>
      </c>
      <c r="H33" s="17"/>
      <c r="I33" s="16"/>
      <c r="J33" s="16"/>
      <c r="K33" s="17"/>
      <c r="L33" s="12"/>
      <c r="N33" s="97"/>
      <c r="O33" s="36"/>
    </row>
    <row r="34" spans="3:15" ht="13.5" customHeight="1">
      <c r="C34" s="17" t="s">
        <v>33</v>
      </c>
      <c r="D34" s="17"/>
      <c r="E34" s="28">
        <v>45345</v>
      </c>
      <c r="F34" s="34"/>
      <c r="G34" s="34">
        <v>-5509656.1500000004</v>
      </c>
      <c r="H34" s="17"/>
      <c r="I34" s="16"/>
      <c r="J34" s="16"/>
      <c r="K34" s="17"/>
      <c r="L34" s="12"/>
      <c r="N34" s="97"/>
      <c r="O34" s="36"/>
    </row>
    <row r="35" spans="3:15" ht="13.5" customHeight="1">
      <c r="C35" s="17"/>
      <c r="D35" s="17"/>
      <c r="E35" s="28">
        <v>45362</v>
      </c>
      <c r="F35" s="34"/>
      <c r="G35" s="34">
        <v>-34435350.93</v>
      </c>
      <c r="H35" s="17"/>
      <c r="I35" s="16"/>
      <c r="J35" s="16"/>
      <c r="K35" s="17"/>
      <c r="L35" s="12"/>
      <c r="N35" s="97"/>
      <c r="O35" s="36"/>
    </row>
    <row r="36" spans="3:15" ht="13.5" customHeight="1">
      <c r="C36" s="17"/>
      <c r="D36" s="17"/>
      <c r="E36" s="28">
        <v>45392</v>
      </c>
      <c r="F36" s="34"/>
      <c r="G36" s="34">
        <v>-3040410.09</v>
      </c>
      <c r="H36" s="17"/>
      <c r="I36" s="16"/>
      <c r="J36" s="16"/>
      <c r="K36" s="17"/>
      <c r="L36" s="12"/>
      <c r="N36" s="97"/>
      <c r="O36" s="36"/>
    </row>
    <row r="37" spans="3:15" ht="13.5" customHeight="1">
      <c r="C37" s="17"/>
      <c r="D37" s="17"/>
      <c r="E37" s="28">
        <v>45450</v>
      </c>
      <c r="F37" s="34"/>
      <c r="G37" s="34">
        <v>-3841666.66</v>
      </c>
      <c r="H37" s="17"/>
      <c r="I37" s="16"/>
      <c r="J37" s="16"/>
      <c r="K37" s="17"/>
      <c r="L37" s="12"/>
      <c r="N37" s="97"/>
      <c r="O37" s="36"/>
    </row>
    <row r="38" spans="3:15" ht="4.5" customHeight="1">
      <c r="C38" s="17"/>
      <c r="D38" s="17"/>
      <c r="E38" s="28"/>
      <c r="F38" s="17"/>
      <c r="G38" s="34"/>
      <c r="H38" s="17"/>
      <c r="I38" s="16"/>
      <c r="J38" s="16"/>
      <c r="O38" s="36"/>
    </row>
    <row r="39" spans="3:15" ht="15.5">
      <c r="C39" s="17" t="s">
        <v>25</v>
      </c>
      <c r="D39" s="17"/>
      <c r="E39" s="28">
        <f>+E8</f>
        <v>45473</v>
      </c>
      <c r="F39" s="17"/>
      <c r="G39" s="35">
        <f>L39</f>
        <v>407986370</v>
      </c>
      <c r="H39" s="17"/>
      <c r="I39" s="34">
        <f>+SUMIF($G$24:$G$38,"&lt;0",$G$24:$G$38)</f>
        <v>-354229789.5</v>
      </c>
      <c r="J39" s="17" t="s">
        <v>26</v>
      </c>
      <c r="L39" s="59">
        <v>407986370</v>
      </c>
      <c r="M39" s="12"/>
    </row>
    <row r="40" spans="3:15">
      <c r="C40" s="17"/>
      <c r="D40" s="17"/>
      <c r="E40" s="17"/>
      <c r="F40" s="17"/>
      <c r="G40" s="17"/>
      <c r="H40" s="17"/>
      <c r="I40" s="34">
        <f>+SUMIF($G$24:$G$38,"&gt;0",$G$24:$G$38)</f>
        <v>0</v>
      </c>
      <c r="J40" s="17" t="s">
        <v>27</v>
      </c>
      <c r="M40" s="36"/>
    </row>
    <row r="41" spans="3:15">
      <c r="C41" t="s">
        <v>28</v>
      </c>
      <c r="G41" s="38">
        <f>+XIRR(G24:G39,E24:E39,0.01)</f>
        <v>0.15559234142303469</v>
      </c>
      <c r="H41" s="17"/>
      <c r="M41" s="37"/>
    </row>
    <row r="42" spans="3:15">
      <c r="C42" s="17"/>
      <c r="D42" s="17"/>
      <c r="E42" s="17"/>
      <c r="F42" s="17"/>
      <c r="G42" s="17"/>
      <c r="H42" s="17"/>
    </row>
    <row r="43" spans="3:15">
      <c r="C43" s="17"/>
      <c r="D43" s="17"/>
      <c r="E43" s="17"/>
      <c r="F43" s="17"/>
      <c r="G43" s="38"/>
      <c r="H43" s="17"/>
      <c r="M43" s="37"/>
    </row>
    <row r="44" spans="3:15">
      <c r="C44" s="40"/>
      <c r="D44" s="40"/>
      <c r="E44" s="39"/>
      <c r="F44" s="40"/>
      <c r="G44" s="39"/>
      <c r="H44" s="17"/>
      <c r="M44" s="37"/>
    </row>
    <row r="45" spans="3:15">
      <c r="C45" s="40"/>
      <c r="D45" s="40"/>
      <c r="E45" s="39"/>
      <c r="F45" s="40"/>
      <c r="G45" s="39"/>
      <c r="H45" s="17"/>
      <c r="M45" s="37"/>
    </row>
    <row r="46" spans="3:15">
      <c r="C46" s="40"/>
      <c r="D46" s="40"/>
      <c r="E46" s="39"/>
      <c r="F46" s="40"/>
      <c r="G46" s="39"/>
      <c r="H46" s="17"/>
      <c r="M46" s="37"/>
    </row>
    <row r="47" spans="3:15">
      <c r="C47" s="40"/>
      <c r="D47" s="40"/>
      <c r="E47" s="40"/>
      <c r="F47" s="40"/>
      <c r="G47" s="40"/>
      <c r="I47" s="37"/>
    </row>
    <row r="48" spans="3:15">
      <c r="C48" s="40"/>
      <c r="D48" s="40"/>
      <c r="E48" s="39"/>
      <c r="F48" s="39"/>
      <c r="G48" s="39"/>
    </row>
    <row r="49" spans="3:17">
      <c r="C49" s="40"/>
      <c r="D49" s="40"/>
      <c r="E49" s="40"/>
      <c r="F49" s="40"/>
      <c r="G49" s="40"/>
      <c r="Q49" s="86"/>
    </row>
    <row r="50" spans="3:17">
      <c r="Q50" s="86"/>
    </row>
    <row r="51" spans="3:17">
      <c r="Q51" s="86"/>
    </row>
    <row r="52" spans="3:17">
      <c r="Q52" s="86"/>
    </row>
    <row r="53" spans="3:17">
      <c r="Q53" s="86"/>
    </row>
    <row r="54" spans="3:17">
      <c r="Q54" s="86"/>
    </row>
    <row r="55" spans="3:17">
      <c r="Q55" s="86"/>
    </row>
    <row r="56" spans="3:17">
      <c r="Q56" s="86"/>
    </row>
    <row r="59" spans="3:17" hidden="1"/>
    <row r="60" spans="3:17" hidden="1"/>
    <row r="61" spans="3:17" hidden="1"/>
    <row r="62" spans="3:17" ht="5.15" customHeight="1"/>
    <row r="63" spans="3:17" ht="5.15" customHeight="1"/>
    <row r="64" spans="3:17" ht="5.15" customHeight="1"/>
  </sheetData>
  <pageMargins left="0.75" right="0.33" top="1" bottom="1" header="0.5" footer="0.5"/>
  <pageSetup scale="68" orientation="landscape" r:id="rId1"/>
  <headerFooter alignWithMargins="0">
    <oddHeader>&amp;C&amp;G</oddHeader>
    <oddFooter>&amp;C&amp;G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20E6F6-FD4F-4490-9756-D876BED7672A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2D691889-F39B-43B1-80FC-84E2F0CAE7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3CEA8-51E5-4A63-A729-1DDB0F763CA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14</vt:i4>
      </vt:variant>
    </vt:vector>
  </HeadingPairs>
  <TitlesOfParts>
    <vt:vector size="40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Fund XII</vt:lpstr>
      <vt:lpstr>EETF I-A</vt:lpstr>
      <vt:lpstr>EFM II</vt:lpstr>
      <vt:lpstr>Sheet1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  <vt:lpstr>EFM V</vt:lpstr>
      <vt:lpstr>CY_FiHis_FF1</vt:lpstr>
      <vt:lpstr>CY_FiHis_FF2</vt:lpstr>
      <vt:lpstr>CY_FiHis_FF3</vt:lpstr>
      <vt:lpstr>'EFM V'!CY_FiHis_MF</vt:lpstr>
      <vt:lpstr>CY_FiHis_MF</vt:lpstr>
      <vt:lpstr>'EFM II'!Print_Area</vt:lpstr>
      <vt:lpstr>'EFM III'!Print_Area</vt:lpstr>
      <vt:lpstr>'EFM IV'!Print_Area</vt:lpstr>
      <vt:lpstr>'EFM V'!Print_Area</vt:lpstr>
      <vt:lpstr>'Fund X'!Print_Area</vt:lpstr>
      <vt:lpstr>'Fund XI'!Print_Area</vt:lpstr>
      <vt:lpstr>'Fund XI-C'!Print_Area</vt:lpstr>
      <vt:lpstr>'Fund XI-D'!Print_Area</vt:lpstr>
      <vt:lpstr>'Fund XII'!Print_Area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Bryson</dc:creator>
  <cp:keywords/>
  <dc:description/>
  <cp:lastModifiedBy>Zachary Doan</cp:lastModifiedBy>
  <dcterms:created xsi:type="dcterms:W3CDTF">2024-04-18T14:26:32Z</dcterms:created>
  <dcterms:modified xsi:type="dcterms:W3CDTF">2025-12-28T22:44:40Z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