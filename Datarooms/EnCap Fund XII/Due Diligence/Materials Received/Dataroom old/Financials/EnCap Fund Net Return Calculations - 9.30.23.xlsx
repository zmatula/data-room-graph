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3\Q3\Net returns\"/>
    </mc:Choice>
  </mc:AlternateContent>
  <bookViews>
    <workbookView xWindow="28680" yWindow="-120" windowWidth="29040" windowHeight="15840" activeTab="0"/>
  </bookViews>
  <sheets>
    <sheet name="VIII" sheetId="16" r:id="rId3"/>
    <sheet name="VIII-B" sheetId="17" r:id="rId4"/>
    <sheet name="VIII-C" sheetId="18" r:id="rId5"/>
    <sheet name="VIII-D" sheetId="19" r:id="rId6"/>
    <sheet name="Fund IX" sheetId="20" r:id="rId7"/>
    <sheet name="Fund IX-C" sheetId="21" r:id="rId8"/>
    <sheet name="Fund IX-D" sheetId="22" r:id="rId9"/>
    <sheet name="Fund X" sheetId="13" r:id="rId10"/>
    <sheet name="Fund X-C" sheetId="14" r:id="rId11"/>
    <sheet name="Fund X-D" sheetId="15" r:id="rId12"/>
    <sheet name="Fund XI" sheetId="10" r:id="rId13"/>
    <sheet name="Fund XI-C" sheetId="11" r:id="rId14"/>
    <sheet name="Fund XI-D" sheetId="12" r:id="rId15"/>
    <sheet name="EETF I-A" sheetId="9" r:id="rId16"/>
    <sheet name="EFM II" sheetId="3" r:id="rId17"/>
    <sheet name="EFM II-C" sheetId="5" r:id="rId18"/>
    <sheet name="EFM II-D" sheetId="8" r:id="rId19"/>
    <sheet name="EFM III" sheetId="26" r:id="rId20"/>
    <sheet name="EFM III-C" sheetId="27" r:id="rId21"/>
    <sheet name="EFM III-D" sheetId="28" r:id="rId22"/>
    <sheet name="EFM IV" sheetId="23" r:id="rId23"/>
    <sheet name="EFM IV-C" sheetId="24" r:id="rId24"/>
    <sheet name="EFM IV-D" sheetId="25" r:id="rId25"/>
  </sheets>
  <definedNames>
    <definedName name="CQ">#REF!</definedName>
    <definedName name="CQ_and_PY_Date">#REF!</definedName>
    <definedName name="CQ_CAPS">#REF!</definedName>
    <definedName name="CQ_Comparative">#REF!</definedName>
    <definedName name="CY_FiHis_FF1">'EFM II-C'!$C$108:$E$119</definedName>
    <definedName name="CY_FiHis_FF2">'EFM II-D'!$C$108:$E$119</definedName>
    <definedName name="CY_FiHis_FF3">'VIII-D'!$C$147:$E$158</definedName>
    <definedName name="CY_FiHis_MF">'EFM II'!$C$108:$E$119</definedName>
    <definedName name="CYTD">#REF!</definedName>
    <definedName name="CYTD_and_YE_PY_Date">#REF!</definedName>
    <definedName name="FS_Stm_Oprations">#REF!</definedName>
    <definedName name="Period_05">#REF!</definedName>
    <definedName name="_xlnm.Print_Area" localSheetId="14">'EFM II'!$A$1:$J$115</definedName>
    <definedName name="_xlnm.Print_Area" localSheetId="17">'EFM III'!$A$1:$O$136</definedName>
    <definedName name="_xlnm.Print_Area" localSheetId="20">'EFM IV'!$A$1:$O$86</definedName>
    <definedName name="_xlnm.Print_Area" localSheetId="7">'Fund X'!$A$1:$J$175</definedName>
    <definedName name="_xlnm.Print_Area" localSheetId="10">'Fund XI'!$A$1:$J$139</definedName>
    <definedName name="_xlnm.Print_Area" localSheetId="11">'Fund XI-C'!$A$1:$J$139</definedName>
    <definedName name="_xlnm.Print_Area" localSheetId="12">'Fund XI-D'!$A$1:$J$139</definedName>
    <definedName name="PY">#REF!</definedName>
    <definedName name="PY_Date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6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74" authorId="0" shapeId="0" xr:uid="{672573A1-31C2-4A39-BC1B-C08D22DAB78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<sst xmlns="http://schemas.openxmlformats.org/spreadsheetml/2006/main" count="562" uniqueCount="34">
  <si>
    <t>Total return</t>
  </si>
  <si>
    <t>Net assets</t>
  </si>
  <si>
    <t>Internal rate of return</t>
  </si>
  <si>
    <t>Internal rate of return after incentive allocation</t>
  </si>
  <si>
    <t>Contributions 2012</t>
  </si>
  <si>
    <t>Contributions 2013</t>
  </si>
  <si>
    <t>ROI</t>
  </si>
  <si>
    <t>Contributions 2014</t>
  </si>
  <si>
    <t>Distributions 2014</t>
  </si>
  <si>
    <t>Contributions 2015</t>
  </si>
  <si>
    <t>Distributions 2015</t>
  </si>
  <si>
    <t>check figure-Contributions</t>
  </si>
  <si>
    <t>check figure-Distributions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</si>
  <si>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</si>
  <si>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</si>
  <si>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</si>
  <si>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</si>
  <si>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</si>
  <si>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</si>
  <si>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</si>
  <si>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</si>
  <si>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</si>
  <si>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2020</t>
  </si>
  <si>
    <t>Distributions 2021</t>
  </si>
  <si>
    <t>Contributions 2021</t>
  </si>
  <si>
    <t>Distributions 2022</t>
  </si>
  <si>
    <t>Distributions 2023</t>
  </si>
  <si>
    <t>Contributions 2022</t>
  </si>
  <si>
    <t>Contributions 2023</t>
  </si>
  <si>
    <t xml:space="preserve">  Contributions 2010</t>
  </si>
  <si>
    <t xml:space="preserve">  Contributions 2011</t>
  </si>
  <si>
    <t>Distribution 2012</t>
  </si>
  <si>
    <t>Distributions 2013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</si>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</sst>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%_);\(0.00%\)"/>
    <numFmt numFmtId="168" formatCode="0.000000%"/>
    <numFmt numFmtId="169" formatCode="0.0000000%"/>
    <numFmt numFmtId="170" formatCode="_(* #,##0_);_(* \(#,##0\);_(* &quot;—&quot;_);_(@_)"/>
    <numFmt numFmtId="171" formatCode="_(* #,##0.000000_);_(* \(#,##0.000000\);_(* &quot;-&quot;??_);_(@_)"/>
    <numFmt numFmtId="172" formatCode="_(* #,##0.00000_);_(* \(#,##0.00000\);_(* &quot;-&quot;??_);_(@_)"/>
    <numFmt numFmtId="173" formatCode="0.0_);\(0.0\)"/>
    <numFmt numFmtId="174" formatCode="_(&quot;$&quot;* #,##0_);_(&quot;$&quot;* \(#,##0\);_(&quot;$&quot;* &quot;-&quot;??_);_(@_)"/>
    <numFmt numFmtId="175" formatCode="m/d;@"/>
  </numFmts>
  <fonts count="28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sz val="7"/>
      <name val="Arial"/>
      <family val="2"/>
    </font>
    <font>
      <sz val="8"/>
      <name val="CG Times (W1)"/>
      <family val="1"/>
    </font>
    <font>
      <sz val="9"/>
      <name val="Arial"/>
      <family val="2"/>
    </font>
    <font>
      <sz val="9"/>
      <color indexed="8"/>
      <name val="Arial"/>
      <family val="2"/>
    </font>
    <font>
      <sz val="10"/>
      <name val="Helv"/>
      <family val="2"/>
    </font>
    <font>
      <b/>
      <sz val="9"/>
      <color indexed="8"/>
      <name val="Helv"/>
      <family val="2"/>
    </font>
    <font>
      <i/>
      <sz val="10"/>
      <color rgb="FFFF000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4" fontId="0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0" fontId="7" fillId="0" borderId="0" xfId="0" applyNumberFormat="1" applyFont="1" applyAlignment="1">
      <alignment horizontal="right" vertical="top" wrapText="1"/>
    </xf>
    <xf numFmtId="10" fontId="4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0" fontId="9" fillId="0" borderId="0" xfId="0" applyFont="1"/>
    <xf numFmtId="0" fontId="3" fillId="0" borderId="0" xfId="0" applyFont="1"/>
    <xf numFmtId="165" fontId="7" fillId="0" borderId="0" xfId="0" applyNumberFormat="1" applyFont="1" applyAlignment="1">
      <alignment horizontal="right" vertical="top" wrapText="1"/>
    </xf>
    <xf numFmtId="165" fontId="6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0" fillId="0" borderId="0" xfId="0" applyAlignment="1">
      <alignment horizontal="center"/>
    </xf>
    <xf numFmtId="166" fontId="11" fillId="0" borderId="0" xfId="0" applyNumberFormat="1" applyFont="1"/>
    <xf numFmtId="43" fontId="11" fillId="0" borderId="0" xfId="18" applyFont="1" applyBorder="1"/>
    <xf numFmtId="0" fontId="0" fillId="0" borderId="0" xfId="0" applyFont="1"/>
    <xf numFmtId="0" fontId="11" fillId="0" borderId="0" xfId="0" applyFont="1"/>
    <xf numFmtId="0" fontId="13" fillId="0" borderId="0" xfId="0" applyFont="1"/>
    <xf numFmtId="43" fontId="11" fillId="0" borderId="0" xfId="0" applyNumberFormat="1" applyFont="1"/>
    <xf numFmtId="167" fontId="11" fillId="0" borderId="0" xfId="22" applyNumberFormat="1" applyFont="1" applyAlignment="1">
      <alignment horizontal="right" wrapText="1"/>
    </xf>
    <xf numFmtId="43" fontId="12" fillId="0" borderId="0" xfId="0" applyNumberFormat="1" applyFont="1"/>
    <xf numFmtId="0" fontId="14" fillId="0" borderId="0" xfId="0" applyFont="1"/>
    <xf numFmtId="0" fontId="11" fillId="0" borderId="0" xfId="0" applyFont="1" applyAlignment="1">
      <alignment horizontal="center"/>
    </xf>
    <xf numFmtId="168" fontId="12" fillId="0" borderId="0" xfId="0" applyNumberFormat="1" applyFont="1"/>
    <xf numFmtId="169" fontId="12" fillId="0" borderId="0" xfId="0" applyNumberFormat="1" applyFont="1"/>
    <xf numFmtId="14" fontId="5" fillId="0" borderId="0" xfId="0" applyNumberFormat="1" applyFont="1" applyAlignment="1">
      <alignment horizontal="center" vertical="top" wrapText="1"/>
    </xf>
    <xf numFmtId="0" fontId="0" fillId="0" borderId="0" xfId="0" applyFont="1" applyAlignment="1">
      <alignment horizontal="right"/>
    </xf>
    <xf numFmtId="14" fontId="17" fillId="0" borderId="0" xfId="0" applyNumberFormat="1" applyFont="1" applyAlignment="1">
      <alignment horizontal="center" vertical="top" wrapText="1"/>
    </xf>
    <xf numFmtId="43" fontId="11" fillId="0" borderId="0" xfId="18" applyFont="1" applyFill="1" applyBorder="1"/>
    <xf numFmtId="0" fontId="14" fillId="0" borderId="0" xfId="0" applyFont="1" applyAlignment="1">
      <alignment horizontal="center"/>
    </xf>
    <xf numFmtId="14" fontId="11" fillId="0" borderId="0" xfId="0" applyNumberFormat="1" applyFont="1"/>
    <xf numFmtId="0" fontId="10" fillId="0" borderId="0" xfId="0" applyFont="1" applyAlignment="1">
      <alignment horizontal="right" vertical="top" wrapText="1"/>
    </xf>
    <xf numFmtId="165" fontId="0" fillId="0" borderId="0" xfId="15" applyNumberFormat="1" applyFont="1" applyFill="1"/>
    <xf numFmtId="43" fontId="16" fillId="0" borderId="0" xfId="0" applyNumberFormat="1" applyFont="1"/>
    <xf numFmtId="43" fontId="11" fillId="2" borderId="0" xfId="0" applyNumberFormat="1" applyFont="1" applyFill="1"/>
    <xf numFmtId="0" fontId="11" fillId="2" borderId="0" xfId="0" applyFont="1" applyFill="1"/>
    <xf numFmtId="4" fontId="0" fillId="0" borderId="0" xfId="0" applyNumberFormat="1"/>
    <xf numFmtId="3" fontId="0" fillId="0" borderId="0" xfId="0" applyNumberFormat="1"/>
    <xf numFmtId="9" fontId="0" fillId="0" borderId="0" xfId="15" applyFont="1" applyFill="1"/>
    <xf numFmtId="0" fontId="18" fillId="0" borderId="0" xfId="0" applyFont="1"/>
    <xf numFmtId="165" fontId="15" fillId="0" borderId="0" xfId="0" applyNumberFormat="1" applyFont="1" applyAlignment="1">
      <alignment horizontal="right" vertical="top" wrapText="1"/>
    </xf>
    <xf numFmtId="165" fontId="14" fillId="0" borderId="0" xfId="15" applyNumberFormat="1" applyFont="1" applyFill="1" applyBorder="1"/>
    <xf numFmtId="167" fontId="11" fillId="0" borderId="0" xfId="22" applyNumberFormat="1" applyFont="1" applyFill="1" applyAlignment="1">
      <alignment horizontal="right" wrapText="1"/>
    </xf>
    <xf numFmtId="170" fontId="0" fillId="0" borderId="0" xfId="0" applyNumberFormat="1"/>
    <xf numFmtId="43" fontId="11" fillId="0" borderId="0" xfId="18" applyFont="1" applyFill="1"/>
    <xf numFmtId="0" fontId="6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169" fontId="0" fillId="0" borderId="0" xfId="15" applyNumberFormat="1" applyFont="1" applyFill="1"/>
    <xf numFmtId="43" fontId="0" fillId="0" borderId="0" xfId="0" applyNumberFormat="1"/>
    <xf numFmtId="164" fontId="4" fillId="0" borderId="0" xfId="18" applyNumberFormat="1" applyFont="1" applyFill="1" applyBorder="1" applyAlignment="1">
      <alignment horizontal="right" vertical="top" wrapText="1"/>
    </xf>
    <xf numFmtId="164" fontId="0" fillId="0" borderId="0" xfId="18" applyNumberFormat="1" applyFont="1" applyFill="1"/>
    <xf numFmtId="164" fontId="0" fillId="0" borderId="0" xfId="0" applyNumberFormat="1"/>
    <xf numFmtId="165" fontId="8" fillId="0" borderId="0" xfId="0" applyNumberFormat="1" applyFont="1" applyAlignment="1">
      <alignment horizontal="right" vertical="top" wrapText="1"/>
    </xf>
    <xf numFmtId="0" fontId="0" fillId="2" borderId="0" xfId="0" applyFill="1"/>
    <xf numFmtId="43" fontId="11" fillId="2" borderId="0" xfId="18" applyFont="1" applyFill="1"/>
    <xf numFmtId="43" fontId="12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1" fontId="11" fillId="0" borderId="0" xfId="0" applyNumberFormat="1" applyFont="1"/>
    <xf numFmtId="172" fontId="11" fillId="0" borderId="0" xfId="0" applyNumberFormat="1" applyFont="1"/>
    <xf numFmtId="43" fontId="0" fillId="0" borderId="0" xfId="18" applyFont="1" applyFill="1"/>
    <xf numFmtId="9" fontId="0" fillId="0" borderId="0" xfId="15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left" indent="2"/>
    </xf>
    <xf numFmtId="0" fontId="0" fillId="2" borderId="0" xfId="0" applyFont="1" applyFill="1"/>
    <xf numFmtId="164" fontId="4" fillId="0" borderId="0" xfId="18" applyNumberFormat="1" applyFont="1" applyBorder="1" applyAlignment="1">
      <alignment horizontal="right" vertical="top" wrapText="1"/>
    </xf>
    <xf numFmtId="165" fontId="14" fillId="0" borderId="0" xfId="15" applyNumberFormat="1" applyFont="1" applyFill="1"/>
    <xf numFmtId="165" fontId="0" fillId="0" borderId="0" xfId="15" applyNumberFormat="1" applyFont="1"/>
    <xf numFmtId="9" fontId="0" fillId="0" borderId="0" xfId="15" applyFont="1"/>
    <xf numFmtId="9" fontId="11" fillId="0" borderId="0" xfId="15" applyFont="1"/>
    <xf numFmtId="9" fontId="11" fillId="0" borderId="0" xfId="15" applyFont="1" applyFill="1"/>
    <xf numFmtId="173" fontId="11" fillId="0" borderId="0" xfId="0" applyNumberFormat="1" applyFont="1"/>
    <xf numFmtId="10" fontId="0" fillId="0" borderId="0" xfId="0" applyNumberFormat="1"/>
    <xf numFmtId="165" fontId="0" fillId="2" borderId="0" xfId="15" applyNumberFormat="1" applyFont="1" applyFill="1"/>
    <xf numFmtId="14" fontId="17" fillId="0" borderId="0" xfId="0" applyNumberFormat="1" applyFont="1" applyAlignment="1">
      <alignment vertical="top" wrapText="1"/>
    </xf>
    <xf numFmtId="174" fontId="0" fillId="0" borderId="0" xfId="23" applyNumberFormat="1" applyFont="1"/>
    <xf numFmtId="0" fontId="0" fillId="0" borderId="0" xfId="0" applyAlignment="1">
      <alignment horizontal="center"/>
    </xf>
    <xf numFmtId="164" fontId="11" fillId="0" borderId="0" xfId="18" applyNumberFormat="1" applyFont="1" applyFill="1"/>
    <xf numFmtId="168" fontId="21" fillId="0" borderId="0" xfId="0" applyNumberFormat="1" applyFont="1" applyAlignment="1">
      <alignment horizontal="right"/>
    </xf>
    <xf numFmtId="43" fontId="22" fillId="0" borderId="0" xfId="18" applyFont="1"/>
    <xf numFmtId="164" fontId="0" fillId="0" borderId="0" xfId="18" applyNumberFormat="1" applyFont="1" applyBorder="1"/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5" fillId="2" borderId="0" xfId="0" applyFont="1" applyFill="1" applyAlignment="1">
      <alignment horizontal="center" vertical="top" wrapText="1"/>
    </xf>
    <xf numFmtId="10" fontId="7" fillId="2" borderId="0" xfId="0" applyNumberFormat="1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10" fontId="4" fillId="2" borderId="0" xfId="0" applyNumberFormat="1" applyFont="1" applyFill="1" applyAlignment="1">
      <alignment horizontal="right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14" fontId="17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0" fontId="4" fillId="2" borderId="0" xfId="0" applyFont="1" applyFill="1" applyAlignment="1">
      <alignment vertical="top" wrapText="1"/>
    </xf>
    <xf numFmtId="0" fontId="9" fillId="2" borderId="0" xfId="0" applyFont="1" applyFill="1"/>
    <xf numFmtId="14" fontId="0" fillId="0" borderId="0" xfId="0" applyNumberFormat="1"/>
    <xf numFmtId="165" fontId="0" fillId="0" borderId="0" xfId="0" applyNumberFormat="1"/>
    <xf numFmtId="0" fontId="18" fillId="0" borderId="0" xfId="0" applyFont="1" applyAlignment="1">
      <alignment horizontal="right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center" wrapText="1"/>
    </xf>
    <xf numFmtId="0" fontId="4" fillId="0" borderId="0" xfId="0" applyFont="1" applyFill="1" applyAlignment="1">
      <alignment vertical="top" wrapText="1"/>
    </xf>
    <xf numFmtId="165" fontId="7" fillId="0" borderId="0" xfId="0" applyNumberFormat="1" applyFont="1" applyFill="1" applyAlignment="1">
      <alignment horizontal="right" vertical="top" wrapText="1"/>
    </xf>
    <xf numFmtId="0" fontId="3" fillId="0" borderId="0" xfId="0" applyFont="1" applyFill="1"/>
    <xf numFmtId="165" fontId="6" fillId="0" borderId="0" xfId="0" applyNumberFormat="1" applyFont="1" applyFill="1" applyAlignment="1">
      <alignment horizontal="right" vertical="top" wrapText="1"/>
    </xf>
    <xf numFmtId="165" fontId="4" fillId="0" borderId="0" xfId="0" applyNumberFormat="1" applyFont="1" applyFill="1" applyAlignment="1">
      <alignment horizontal="right" vertical="top" wrapText="1"/>
    </xf>
    <xf numFmtId="165" fontId="8" fillId="0" borderId="0" xfId="0" applyNumberFormat="1" applyFont="1" applyFill="1" applyAlignment="1">
      <alignment horizontal="right" vertical="top" wrapText="1"/>
    </xf>
    <xf numFmtId="43" fontId="11" fillId="0" borderId="0" xfId="0" applyNumberFormat="1" applyFont="1" applyFill="1"/>
    <xf numFmtId="0" fontId="11" fillId="0" borderId="0" xfId="0" applyFont="1" applyFill="1"/>
    <xf numFmtId="0" fontId="0" fillId="0" borderId="0" xfId="0" applyFill="1"/>
    <xf numFmtId="0" fontId="14" fillId="0" borderId="0" xfId="0" applyFont="1" applyFill="1" applyBorder="1"/>
    <xf numFmtId="165" fontId="15" fillId="0" borderId="0" xfId="0" applyNumberFormat="1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indent="1"/>
    </xf>
    <xf numFmtId="0" fontId="14" fillId="0" borderId="0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vertical="top" wrapText="1"/>
    </xf>
    <xf numFmtId="165" fontId="7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/>
    <xf numFmtId="165" fontId="6" fillId="0" borderId="0" xfId="0" applyNumberFormat="1" applyFont="1" applyFill="1" applyBorder="1" applyAlignment="1">
      <alignment horizontal="right" vertical="top" wrapText="1"/>
    </xf>
    <xf numFmtId="165" fontId="4" fillId="0" borderId="0" xfId="0" applyNumberFormat="1" applyFont="1" applyFill="1" applyBorder="1" applyAlignment="1">
      <alignment horizontal="right" vertical="top" wrapText="1"/>
    </xf>
    <xf numFmtId="165" fontId="8" fillId="0" borderId="0" xfId="0" applyNumberFormat="1" applyFont="1" applyFill="1" applyBorder="1" applyAlignment="1">
      <alignment horizontal="right" vertical="top" wrapText="1"/>
    </xf>
    <xf numFmtId="43" fontId="0" fillId="0" borderId="0" xfId="0" applyNumberFormat="1" applyFill="1"/>
    <xf numFmtId="164" fontId="23" fillId="0" borderId="0" xfId="18" applyNumberFormat="1" applyFont="1" applyFill="1" applyBorder="1" applyAlignment="1">
      <alignment horizontal="right" vertical="top" wrapText="1"/>
    </xf>
    <xf numFmtId="165" fontId="24" fillId="0" borderId="0" xfId="0" applyNumberFormat="1" applyFont="1" applyFill="1" applyAlignment="1">
      <alignment horizontal="right" vertical="top" wrapText="1"/>
    </xf>
    <xf numFmtId="165" fontId="25" fillId="0" borderId="0" xfId="0" applyNumberFormat="1" applyFont="1" applyFill="1" applyAlignment="1">
      <alignment horizontal="right" vertical="top" wrapText="1"/>
    </xf>
    <xf numFmtId="164" fontId="26" fillId="0" borderId="0" xfId="18" applyNumberFormat="1" applyFont="1" applyFill="1" applyBorder="1" applyAlignment="1">
      <alignment horizontal="right" wrapText="1"/>
    </xf>
    <xf numFmtId="165" fontId="27" fillId="0" borderId="0" xfId="0" applyNumberFormat="1" applyFont="1" applyFill="1" applyAlignment="1">
      <alignment horizontal="right" wrapText="1"/>
    </xf>
    <xf numFmtId="165" fontId="11" fillId="0" borderId="0" xfId="0" applyNumberFormat="1" applyFont="1" applyFill="1" applyAlignment="1">
      <alignment horizontal="right" wrapText="1"/>
    </xf>
    <xf numFmtId="4" fontId="0" fillId="0" borderId="0" xfId="0" applyNumberFormat="1" applyFill="1"/>
    <xf numFmtId="43" fontId="11" fillId="0" borderId="0" xfId="0" applyNumberFormat="1" applyFont="1" applyFill="1" applyBorder="1"/>
    <xf numFmtId="0" fontId="11" fillId="0" borderId="0" xfId="0" applyFont="1" applyFill="1" applyBorder="1"/>
    <xf numFmtId="43" fontId="0" fillId="0" borderId="0" xfId="0" applyNumberFormat="1" applyFill="1" applyBorder="1"/>
    <xf numFmtId="175" fontId="11" fillId="0" borderId="0" xfId="0" applyNumberFormat="1" applyFont="1" applyFill="1" applyAlignment="1">
      <alignment horizontal="left"/>
    </xf>
    <xf numFmtId="43" fontId="12" fillId="0" borderId="0" xfId="0" applyNumberFormat="1" applyFont="1" applyFill="1"/>
    <xf numFmtId="41" fontId="4" fillId="0" borderId="0" xfId="18" applyNumberFormat="1" applyFont="1" applyFill="1" applyBorder="1" applyAlignment="1">
      <alignment horizontal="right" vertical="top" wrapText="1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Currency 2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16" Type="http://schemas.openxmlformats.org/officeDocument/2006/relationships/worksheet" Target="worksheets/sheet14.xml"/><Relationship Id="rId29" Type="http://schemas.openxmlformats.org/officeDocument/2006/relationships/customXml" Target="../customXml/item2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3" Type="http://schemas.openxmlformats.org/officeDocument/2006/relationships/worksheet" Target="worksheets/sheet2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calcChain" Target="calcChain.xml"/><Relationship Id="rId14" Type="http://schemas.openxmlformats.org/officeDocument/2006/relationships/worksheet" Target="worksheets/sheet12.xml"/><Relationship Id="rId30" Type="http://schemas.openxmlformats.org/officeDocument/2006/relationships/customXml" Target="../customXml/item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3748F5-AA52-47F6-AC1F-69C2C3F1A36E}">
  <sheetPr>
    <pageSetUpPr fitToPage="1"/>
  </sheetPr>
  <dimension ref="B4:P175"/>
  <sheetViews>
    <sheetView showGridLines="0" tabSelected="1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9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0" ht="12.75">
      <c r="C10" s="105"/>
      <c r="D10" s="105"/>
      <c r="E10" s="106"/>
      <c r="F10" s="105"/>
      <c r="G10" s="54"/>
      <c r="H10" s="8"/>
      <c r="I10" s="23"/>
      <c r="J10" s="21"/>
    </row>
    <row r="11" spans="3:10" ht="12.75">
      <c r="C11" s="105"/>
      <c r="D11" s="105"/>
      <c r="E11" s="106"/>
      <c r="F11" s="105"/>
      <c r="G11" s="106"/>
      <c r="H11" s="8"/>
      <c r="I11" s="23"/>
      <c r="J11" s="21"/>
    </row>
    <row r="12" spans="3:10" ht="15.75">
      <c r="C12" s="107"/>
      <c r="D12" s="107"/>
      <c r="E12" s="108"/>
      <c r="F12" s="107"/>
      <c r="G12" s="108"/>
      <c r="H12" s="5"/>
      <c r="I12" s="23"/>
      <c r="J12" s="21"/>
    </row>
    <row r="13" spans="3:10" ht="12.75">
      <c r="C13" s="105"/>
      <c r="D13" s="105"/>
      <c r="E13" s="109"/>
      <c r="F13" s="105"/>
      <c r="G13" s="54"/>
      <c r="H13" s="9"/>
      <c r="I13" s="23"/>
      <c r="J13" s="21"/>
    </row>
    <row r="14" spans="3:10" ht="12.75">
      <c r="C14" s="105"/>
      <c r="D14" s="105"/>
      <c r="E14" s="110"/>
      <c r="F14" s="105"/>
      <c r="G14" s="54"/>
      <c r="H14" s="10"/>
      <c r="I14" s="23"/>
      <c r="J14" s="21"/>
    </row>
    <row r="15" spans="3:10" ht="12.75">
      <c r="C15" s="105"/>
      <c r="D15" s="105"/>
      <c r="E15" s="106"/>
      <c r="F15" s="105"/>
      <c r="G15" s="106"/>
      <c r="H15" s="8"/>
      <c r="I15" s="23"/>
      <c r="J15" s="21"/>
    </row>
    <row r="16" spans="3:10" ht="15.75">
      <c r="C16" s="5"/>
      <c r="D16" s="5"/>
      <c r="E16" s="14"/>
      <c r="F16" s="5"/>
      <c r="G16" s="14"/>
      <c r="H16" s="5"/>
      <c r="I16" s="23"/>
      <c r="J16" s="21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G139</f>
        <v>0.00695449411869049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(G137+I138)/-I137</f>
        <v>1.0348297001485132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8.31429E-4</v>
      </c>
      <c r="D22" s="21"/>
      <c r="E22" s="21"/>
      <c r="F22" s="21"/>
      <c r="G22" s="27"/>
      <c r="H22" s="21"/>
      <c r="I22" s="21"/>
      <c r="J22" s="21"/>
    </row>
    <row r="23" spans="3:16" ht="12.75">
      <c r="C23" s="21" t="s">
        <v>29</v>
      </c>
      <c r="D23" s="21"/>
      <c r="E23" s="18">
        <v>40512</v>
      </c>
      <c r="F23" s="21"/>
      <c r="G23" s="19">
        <v>-63000</v>
      </c>
      <c r="H23" s="21"/>
      <c r="I23" s="23"/>
      <c r="J23" s="23"/>
      <c r="P23" s="80"/>
    </row>
    <row r="24" spans="3:16" ht="12.75">
      <c r="C24" s="21" t="s">
        <v>30</v>
      </c>
      <c r="D24" s="21"/>
      <c r="E24" s="18">
        <v>40570</v>
      </c>
      <c r="F24" s="33"/>
      <c r="G24" s="19">
        <v>-31500</v>
      </c>
      <c r="H24" s="21"/>
      <c r="I24" s="23"/>
      <c r="J24" s="23"/>
      <c r="P24" s="80"/>
    </row>
    <row r="25" spans="3:16" ht="12.75">
      <c r="C25" s="21"/>
      <c r="D25" s="21"/>
      <c r="E25" s="18">
        <v>40661</v>
      </c>
      <c r="F25" s="33"/>
      <c r="G25" s="19">
        <v>-24194.61</v>
      </c>
      <c r="H25" s="21"/>
      <c r="I25" s="23"/>
      <c r="J25" s="23"/>
      <c r="P25" s="80"/>
    </row>
    <row r="26" spans="3:16" ht="12.75">
      <c r="C26" s="21"/>
      <c r="D26" s="21"/>
      <c r="E26" s="18">
        <v>40704</v>
      </c>
      <c r="F26" s="33"/>
      <c r="G26" s="19">
        <v>-38162.64</v>
      </c>
      <c r="H26" s="21"/>
      <c r="I26" s="23"/>
      <c r="J26" s="23"/>
      <c r="P26" s="80"/>
    </row>
    <row r="27" spans="3:16" ht="12.75">
      <c r="C27" s="21"/>
      <c r="D27" s="21"/>
      <c r="E27" s="18">
        <v>40751</v>
      </c>
      <c r="F27" s="33"/>
      <c r="G27" s="19">
        <v>-36499.78</v>
      </c>
      <c r="H27" s="21"/>
      <c r="I27" s="23"/>
      <c r="J27" s="23"/>
      <c r="P27" s="80"/>
    </row>
    <row r="28" spans="3:16" ht="12.75">
      <c r="C28" s="21"/>
      <c r="D28" s="21"/>
      <c r="E28" s="18">
        <v>40765</v>
      </c>
      <c r="F28" s="33"/>
      <c r="G28" s="19">
        <v>-60694.39</v>
      </c>
      <c r="H28" s="21"/>
      <c r="I28" s="23"/>
      <c r="J28" s="23"/>
      <c r="P28" s="80"/>
    </row>
    <row r="29" spans="3:16" ht="12.75">
      <c r="C29" s="21"/>
      <c r="D29" s="21"/>
      <c r="E29" s="18">
        <v>40813</v>
      </c>
      <c r="F29" s="33"/>
      <c r="G29" s="19">
        <v>-53460.95</v>
      </c>
      <c r="H29" s="21"/>
      <c r="I29" s="23"/>
      <c r="J29" s="23"/>
      <c r="P29" s="80"/>
    </row>
    <row r="30" spans="3:16" ht="12.75">
      <c r="C30" s="21"/>
      <c r="D30" s="21"/>
      <c r="E30" s="18">
        <v>40879</v>
      </c>
      <c r="F30" s="33"/>
      <c r="G30" s="19">
        <v>-25691.19</v>
      </c>
      <c r="H30" s="21"/>
      <c r="I30" s="23"/>
      <c r="J30" s="23"/>
      <c r="P30" s="80"/>
    </row>
    <row r="31" spans="3:16" ht="12.75">
      <c r="C31" s="21"/>
      <c r="D31" s="21"/>
      <c r="E31" s="18">
        <v>40886</v>
      </c>
      <c r="F31" s="33"/>
      <c r="G31" s="19">
        <v>-35003.2</v>
      </c>
      <c r="H31" s="21"/>
      <c r="I31" s="23"/>
      <c r="J31" s="23"/>
      <c r="P31" s="80"/>
    </row>
    <row r="32" spans="3:16" ht="12.75">
      <c r="C32" s="21" t="s">
        <v>4</v>
      </c>
      <c r="D32" s="21"/>
      <c r="E32" s="18">
        <v>40927</v>
      </c>
      <c r="F32" s="33"/>
      <c r="G32" s="19">
        <v>-58532.67</v>
      </c>
      <c r="H32" s="21"/>
      <c r="I32" s="23"/>
      <c r="J32" s="23"/>
      <c r="P32" s="80"/>
    </row>
    <row r="33" spans="3:16" ht="12.75">
      <c r="C33" s="21"/>
      <c r="D33" s="21"/>
      <c r="E33" s="18">
        <v>40942</v>
      </c>
      <c r="F33" s="33"/>
      <c r="G33" s="19">
        <v>-274371.9</v>
      </c>
      <c r="H33" s="21"/>
      <c r="I33" s="23"/>
      <c r="J33" s="23"/>
      <c r="P33" s="80"/>
    </row>
    <row r="34" spans="3:16" ht="12.75">
      <c r="C34" s="21"/>
      <c r="D34" s="21"/>
      <c r="E34" s="18">
        <v>40970</v>
      </c>
      <c r="F34" s="33"/>
      <c r="G34" s="19">
        <v>-43650.08</v>
      </c>
      <c r="H34" s="21"/>
      <c r="I34" s="23"/>
      <c r="J34" s="23"/>
      <c r="P34" s="80"/>
    </row>
    <row r="35" spans="3:16" ht="12.75">
      <c r="C35" s="21"/>
      <c r="D35" s="21"/>
      <c r="E35" s="18">
        <v>41001</v>
      </c>
      <c r="F35" s="33"/>
      <c r="G35" s="19">
        <v>-25524.90</v>
      </c>
      <c r="H35" s="21"/>
      <c r="I35" s="23"/>
      <c r="J35" s="23"/>
      <c r="P35" s="80"/>
    </row>
    <row r="36" spans="3:16" ht="12.75">
      <c r="C36" s="21"/>
      <c r="D36" s="21"/>
      <c r="E36" s="18">
        <v>41024</v>
      </c>
      <c r="F36" s="33"/>
      <c r="G36" s="19">
        <v>-30264.05</v>
      </c>
      <c r="H36" s="21"/>
      <c r="I36" s="23"/>
      <c r="J36" s="23"/>
      <c r="P36" s="80"/>
    </row>
    <row r="37" spans="3:16" ht="12.75">
      <c r="C37" s="21"/>
      <c r="D37" s="21"/>
      <c r="E37" s="18">
        <v>41054</v>
      </c>
      <c r="F37" s="33"/>
      <c r="G37" s="19">
        <v>-39409.78</v>
      </c>
      <c r="H37" s="21"/>
      <c r="I37" s="23"/>
      <c r="J37" s="23"/>
      <c r="P37" s="80"/>
    </row>
    <row r="38" spans="3:16" ht="12.75">
      <c r="C38" s="21"/>
      <c r="D38" s="21"/>
      <c r="E38" s="18">
        <v>41080</v>
      </c>
      <c r="F38" s="33"/>
      <c r="G38" s="19">
        <v>-73082.70</v>
      </c>
      <c r="H38" s="21"/>
      <c r="I38" s="23"/>
      <c r="J38" s="23"/>
      <c r="P38" s="80"/>
    </row>
    <row r="39" spans="3:16" ht="12.75">
      <c r="C39" s="21"/>
      <c r="D39" s="21"/>
      <c r="E39" s="18">
        <v>41103</v>
      </c>
      <c r="F39" s="33"/>
      <c r="G39" s="19">
        <v>-23695.76</v>
      </c>
      <c r="H39" s="21"/>
      <c r="I39" s="23"/>
      <c r="J39" s="23"/>
      <c r="P39" s="80"/>
    </row>
    <row r="40" spans="3:16" ht="12.75">
      <c r="C40" s="21"/>
      <c r="D40" s="21"/>
      <c r="E40" s="18">
        <v>41121</v>
      </c>
      <c r="F40" s="33"/>
      <c r="G40" s="19">
        <v>-22864.33</v>
      </c>
      <c r="H40" s="21"/>
      <c r="I40" s="23"/>
      <c r="J40" s="23"/>
      <c r="P40" s="80"/>
    </row>
    <row r="41" spans="3:16" ht="12.75">
      <c r="C41" s="21"/>
      <c r="D41" s="21"/>
      <c r="E41" s="18">
        <v>41152</v>
      </c>
      <c r="F41" s="33"/>
      <c r="G41" s="19">
        <v>-30264</v>
      </c>
      <c r="H41" s="21"/>
      <c r="I41" s="23"/>
      <c r="J41" s="23"/>
      <c r="P41" s="80"/>
    </row>
    <row r="42" spans="3:16" ht="12.75">
      <c r="C42" s="21"/>
      <c r="D42" s="21"/>
      <c r="E42" s="18">
        <v>41180</v>
      </c>
      <c r="F42" s="33"/>
      <c r="G42" s="19">
        <v>-57368.58</v>
      </c>
      <c r="H42" s="21"/>
      <c r="I42" s="23"/>
      <c r="J42" s="23"/>
      <c r="P42" s="80"/>
    </row>
    <row r="43" spans="3:16" ht="12.75">
      <c r="C43" s="21"/>
      <c r="D43" s="21"/>
      <c r="E43" s="18">
        <v>41194</v>
      </c>
      <c r="F43" s="33"/>
      <c r="G43" s="19">
        <v>-28185.43</v>
      </c>
      <c r="H43" s="21"/>
      <c r="I43" s="23"/>
      <c r="J43" s="23"/>
      <c r="P43" s="80"/>
    </row>
    <row r="44" spans="3:16" ht="12.75">
      <c r="C44" s="21"/>
      <c r="D44" s="21"/>
      <c r="E44" s="18">
        <v>41250</v>
      </c>
      <c r="F44" s="33"/>
      <c r="G44" s="19">
        <v>-127125.41</v>
      </c>
      <c r="H44" s="21"/>
      <c r="I44" s="23"/>
      <c r="J44" s="23"/>
      <c r="P44" s="80"/>
    </row>
    <row r="45" spans="3:16" ht="12.75">
      <c r="C45" s="21"/>
      <c r="D45" s="21"/>
      <c r="E45" s="18">
        <v>41264</v>
      </c>
      <c r="F45" s="33"/>
      <c r="G45" s="19">
        <v>-112908</v>
      </c>
      <c r="H45" s="21"/>
      <c r="I45" s="23"/>
      <c r="J45" s="23"/>
      <c r="P45" s="80"/>
    </row>
    <row r="46" spans="3:16" ht="12.75">
      <c r="C46" s="21" t="s">
        <v>31</v>
      </c>
      <c r="D46" s="21"/>
      <c r="E46" s="18">
        <v>41030</v>
      </c>
      <c r="F46" s="33"/>
      <c r="G46" s="19">
        <v>112056.47</v>
      </c>
      <c r="H46" s="21"/>
      <c r="I46" s="23"/>
      <c r="J46" s="23"/>
      <c r="P46" s="80"/>
    </row>
    <row r="47" spans="3:16" ht="12.75">
      <c r="C47" s="21"/>
      <c r="D47" s="21"/>
      <c r="E47" s="18">
        <v>41108</v>
      </c>
      <c r="F47" s="33"/>
      <c r="G47" s="19">
        <v>24215.98</v>
      </c>
      <c r="H47" s="21"/>
      <c r="I47" s="23"/>
      <c r="J47" s="23"/>
      <c r="P47" s="80"/>
    </row>
    <row r="48" spans="3:16" ht="12.75">
      <c r="C48" s="21"/>
      <c r="D48" s="21"/>
      <c r="E48" s="18">
        <v>41137</v>
      </c>
      <c r="F48" s="33"/>
      <c r="G48" s="19">
        <v>10363.64</v>
      </c>
      <c r="H48" s="21"/>
      <c r="I48" s="23"/>
      <c r="J48" s="23"/>
      <c r="P48" s="80"/>
    </row>
    <row r="49" spans="3:16" ht="12.75">
      <c r="C49" s="21"/>
      <c r="D49" s="21"/>
      <c r="E49" s="18">
        <v>41173</v>
      </c>
      <c r="F49" s="33"/>
      <c r="G49" s="19">
        <v>223637.66</v>
      </c>
      <c r="H49" s="21"/>
      <c r="I49" s="23"/>
      <c r="J49" s="23"/>
      <c r="P49" s="80"/>
    </row>
    <row r="50" spans="3:16" ht="12.75">
      <c r="C50" s="21" t="s">
        <v>5</v>
      </c>
      <c r="D50" s="21"/>
      <c r="E50" s="18">
        <v>41284</v>
      </c>
      <c r="F50" s="33"/>
      <c r="G50" s="19">
        <v>-33340.28</v>
      </c>
      <c r="H50" s="21"/>
      <c r="I50" s="23"/>
      <c r="J50" s="23"/>
      <c r="P50" s="80"/>
    </row>
    <row r="51" spans="3:16" ht="12.75">
      <c r="C51" s="21"/>
      <c r="D51" s="21"/>
      <c r="E51" s="18">
        <v>41298</v>
      </c>
      <c r="F51" s="33"/>
      <c r="G51" s="19">
        <v>-42652.29</v>
      </c>
      <c r="H51" s="21"/>
      <c r="I51" s="23"/>
      <c r="J51" s="23"/>
      <c r="P51" s="80"/>
    </row>
    <row r="52" spans="3:16" ht="12.75">
      <c r="C52" s="21"/>
      <c r="D52" s="21"/>
      <c r="E52" s="18">
        <v>41345</v>
      </c>
      <c r="F52" s="33"/>
      <c r="G52" s="19">
        <v>-43733.14</v>
      </c>
      <c r="H52" s="21"/>
      <c r="I52" s="23"/>
      <c r="J52" s="23"/>
      <c r="P52" s="80"/>
    </row>
    <row r="53" spans="3:16" ht="12.75">
      <c r="C53" s="21"/>
      <c r="D53" s="21"/>
      <c r="E53" s="18">
        <v>41360</v>
      </c>
      <c r="F53" s="33"/>
      <c r="G53" s="19">
        <v>-39160.28</v>
      </c>
      <c r="H53" s="21"/>
      <c r="I53" s="23"/>
      <c r="J53" s="23"/>
      <c r="P53" s="80"/>
    </row>
    <row r="54" spans="3:16" ht="12.75">
      <c r="C54" s="21"/>
      <c r="D54" s="21"/>
      <c r="E54" s="18">
        <v>41393</v>
      </c>
      <c r="F54" s="33"/>
      <c r="G54" s="19">
        <v>-31511.15</v>
      </c>
      <c r="H54" s="21"/>
      <c r="I54" s="23"/>
      <c r="J54" s="23"/>
      <c r="P54" s="80"/>
    </row>
    <row r="55" spans="3:16" ht="12.75">
      <c r="C55" s="21"/>
      <c r="D55" s="21"/>
      <c r="E55" s="18">
        <v>41404</v>
      </c>
      <c r="F55" s="33"/>
      <c r="G55" s="19">
        <v>-42901.72</v>
      </c>
      <c r="H55" s="21"/>
      <c r="I55" s="23"/>
      <c r="J55" s="23"/>
      <c r="P55" s="80"/>
    </row>
    <row r="56" spans="3:16" ht="12.75">
      <c r="C56" s="21"/>
      <c r="D56" s="21"/>
      <c r="E56" s="18">
        <v>41423</v>
      </c>
      <c r="F56" s="33"/>
      <c r="G56" s="19">
        <v>-37164.86</v>
      </c>
      <c r="H56" s="21"/>
      <c r="I56" s="23"/>
      <c r="J56" s="23"/>
      <c r="P56" s="80"/>
    </row>
    <row r="57" spans="3:16" ht="12.75">
      <c r="C57" s="21"/>
      <c r="D57" s="21"/>
      <c r="E57" s="18">
        <v>41446</v>
      </c>
      <c r="F57" s="33"/>
      <c r="G57" s="19">
        <v>-113573.14</v>
      </c>
      <c r="H57" s="21"/>
      <c r="I57" s="23"/>
      <c r="J57" s="23"/>
      <c r="P57" s="80"/>
    </row>
    <row r="58" spans="3:16" ht="12.75">
      <c r="C58" s="21"/>
      <c r="D58" s="21"/>
      <c r="E58" s="18">
        <v>41481</v>
      </c>
      <c r="F58" s="33"/>
      <c r="G58" s="19">
        <v>-35502</v>
      </c>
      <c r="H58" s="21"/>
      <c r="I58" s="23"/>
      <c r="J58" s="23"/>
      <c r="P58" s="80"/>
    </row>
    <row r="59" spans="3:16" ht="12.75">
      <c r="C59" s="21"/>
      <c r="D59" s="21"/>
      <c r="E59" s="18">
        <v>41501</v>
      </c>
      <c r="F59" s="33"/>
      <c r="G59" s="19">
        <v>-33423.42</v>
      </c>
      <c r="H59" s="21"/>
      <c r="I59" s="23"/>
      <c r="J59" s="23"/>
      <c r="P59" s="80"/>
    </row>
    <row r="60" spans="3:16" ht="12.75">
      <c r="C60" s="21"/>
      <c r="D60" s="21"/>
      <c r="E60" s="18">
        <v>41514</v>
      </c>
      <c r="F60" s="33"/>
      <c r="G60" s="19">
        <v>-48472.28</v>
      </c>
      <c r="H60" s="21"/>
      <c r="I60" s="23"/>
      <c r="J60" s="23"/>
      <c r="P60" s="80"/>
    </row>
    <row r="61" spans="3:16" ht="12.75">
      <c r="C61" s="21"/>
      <c r="D61" s="21"/>
      <c r="E61" s="18">
        <v>41551</v>
      </c>
      <c r="F61" s="33"/>
      <c r="G61" s="19">
        <v>-28933.72</v>
      </c>
      <c r="H61" s="21"/>
      <c r="I61" s="23"/>
      <c r="J61" s="23"/>
      <c r="P61" s="80"/>
    </row>
    <row r="62" spans="3:16" ht="12.75">
      <c r="C62" s="21"/>
      <c r="D62" s="21"/>
      <c r="E62" s="18">
        <v>41577</v>
      </c>
      <c r="F62" s="33"/>
      <c r="G62" s="19">
        <v>-46310.57</v>
      </c>
      <c r="H62" s="21"/>
      <c r="P62" s="80"/>
    </row>
    <row r="63" spans="3:16" ht="12.75">
      <c r="C63" s="21"/>
      <c r="D63" s="21"/>
      <c r="E63" s="18">
        <v>41599</v>
      </c>
      <c r="F63" s="33"/>
      <c r="G63" s="19">
        <v>-29266.29</v>
      </c>
      <c r="H63" s="21"/>
      <c r="P63" s="80"/>
    </row>
    <row r="64" spans="3:16" ht="12.75">
      <c r="C64" s="21"/>
      <c r="D64" s="21"/>
      <c r="E64" s="18">
        <v>41624</v>
      </c>
      <c r="F64" s="33"/>
      <c r="G64" s="19">
        <v>-58532.56</v>
      </c>
      <c r="H64" s="21"/>
      <c r="P64" s="80"/>
    </row>
    <row r="65" spans="3:16" ht="12.75">
      <c r="C65" s="21" t="s">
        <v>32</v>
      </c>
      <c r="D65" s="21"/>
      <c r="E65" s="18">
        <v>41418</v>
      </c>
      <c r="F65" s="33"/>
      <c r="G65" s="19">
        <v>13529.21</v>
      </c>
      <c r="H65" s="21"/>
      <c r="P65" s="80"/>
    </row>
    <row r="66" spans="3:16" ht="12.75">
      <c r="C66" s="21"/>
      <c r="D66" s="21"/>
      <c r="E66" s="18">
        <v>41618</v>
      </c>
      <c r="F66" s="33"/>
      <c r="G66" s="19">
        <v>32263.89</v>
      </c>
      <c r="H66" s="21"/>
      <c r="P66" s="80"/>
    </row>
    <row r="67" spans="3:16" ht="12.75">
      <c r="C67" s="21" t="s">
        <v>7</v>
      </c>
      <c r="D67" s="21"/>
      <c r="E67" s="18">
        <v>41646</v>
      </c>
      <c r="F67" s="33"/>
      <c r="G67" s="33">
        <v>-41322</v>
      </c>
      <c r="H67" s="21"/>
      <c r="I67" s="23"/>
      <c r="J67" s="21"/>
      <c r="P67" s="80"/>
    </row>
    <row r="68" spans="3:16" ht="12.75">
      <c r="C68" s="21"/>
      <c r="D68" s="21"/>
      <c r="E68" s="18">
        <v>41670</v>
      </c>
      <c r="F68" s="33"/>
      <c r="G68" s="33">
        <v>-30679.72</v>
      </c>
      <c r="H68" s="21"/>
      <c r="I68" s="23"/>
      <c r="J68" s="21"/>
      <c r="P68" s="80"/>
    </row>
    <row r="69" spans="3:16" ht="12.75">
      <c r="C69" s="21"/>
      <c r="D69" s="21"/>
      <c r="E69" s="18">
        <v>41697</v>
      </c>
      <c r="F69" s="33"/>
      <c r="G69" s="33">
        <v>-54624.85</v>
      </c>
      <c r="H69" s="21"/>
      <c r="I69" s="23"/>
      <c r="J69" s="21"/>
      <c r="P69" s="80"/>
    </row>
    <row r="70" spans="3:16" ht="12.75">
      <c r="C70" s="21"/>
      <c r="D70" s="21"/>
      <c r="E70" s="18">
        <v>41704</v>
      </c>
      <c r="F70" s="33"/>
      <c r="G70" s="33">
        <v>-39576</v>
      </c>
      <c r="H70" s="21"/>
      <c r="I70" s="23"/>
      <c r="J70" s="21"/>
      <c r="P70" s="80"/>
    </row>
    <row r="71" spans="3:16" ht="12.75">
      <c r="C71" s="21"/>
      <c r="D71" s="21"/>
      <c r="E71" s="18">
        <v>41718</v>
      </c>
      <c r="F71" s="33"/>
      <c r="G71" s="33">
        <v>-34587.43</v>
      </c>
      <c r="H71" s="21"/>
      <c r="I71" s="23"/>
      <c r="J71" s="21"/>
      <c r="P71" s="80"/>
    </row>
    <row r="72" spans="3:16" ht="12.75">
      <c r="C72" s="21"/>
      <c r="D72" s="21"/>
      <c r="E72" s="18">
        <v>41750</v>
      </c>
      <c r="F72" s="33"/>
      <c r="G72" s="33">
        <v>-54957.43</v>
      </c>
      <c r="H72" s="21"/>
      <c r="I72" s="23"/>
      <c r="J72" s="21"/>
      <c r="P72" s="80"/>
    </row>
    <row r="73" spans="3:16" ht="12.75">
      <c r="C73" s="21"/>
      <c r="D73" s="21"/>
      <c r="E73" s="18">
        <v>41779</v>
      </c>
      <c r="F73" s="33"/>
      <c r="G73" s="33">
        <v>-54874.28</v>
      </c>
      <c r="H73" s="21"/>
      <c r="P73" s="80"/>
    </row>
    <row r="74" spans="3:16" ht="12.75">
      <c r="C74" s="21"/>
      <c r="D74" s="21"/>
      <c r="E74" s="18">
        <v>41814</v>
      </c>
      <c r="F74" s="33"/>
      <c r="G74" s="33">
        <v>-40490.57</v>
      </c>
      <c r="H74" s="21"/>
      <c r="P74" s="80"/>
    </row>
    <row r="75" spans="3:16" ht="12.75">
      <c r="C75" s="21"/>
      <c r="D75" s="21"/>
      <c r="E75" s="18">
        <v>41877</v>
      </c>
      <c r="F75" s="33"/>
      <c r="G75" s="33">
        <v>-63770.57</v>
      </c>
      <c r="H75" s="21"/>
      <c r="P75" s="80"/>
    </row>
    <row r="76" spans="3:16" ht="12.75">
      <c r="C76" s="21"/>
      <c r="D76" s="21"/>
      <c r="E76" s="18">
        <v>41913</v>
      </c>
      <c r="F76" s="33"/>
      <c r="G76" s="33">
        <v>-26439.43</v>
      </c>
      <c r="H76" s="21"/>
      <c r="P76" s="80"/>
    </row>
    <row r="77" spans="3:16" ht="12.75">
      <c r="C77" s="21"/>
      <c r="D77" s="21"/>
      <c r="E77" s="18">
        <v>41943</v>
      </c>
      <c r="F77" s="33"/>
      <c r="G77" s="33">
        <v>-33755.99</v>
      </c>
      <c r="H77" s="21"/>
      <c r="P77" s="80"/>
    </row>
    <row r="78" spans="3:16" ht="12.75">
      <c r="C78" s="21"/>
      <c r="D78" s="21"/>
      <c r="E78" s="18">
        <v>41990</v>
      </c>
      <c r="F78" s="33"/>
      <c r="G78" s="33">
        <v>-35335.71</v>
      </c>
      <c r="H78" s="21"/>
      <c r="P78" s="80"/>
    </row>
    <row r="79" spans="3:16" ht="12.75">
      <c r="C79" s="21" t="s">
        <v>8</v>
      </c>
      <c r="D79" s="21"/>
      <c r="E79" s="18">
        <v>41816</v>
      </c>
      <c r="F79" s="33"/>
      <c r="G79" s="33">
        <v>87804.85</v>
      </c>
      <c r="H79" s="21"/>
      <c r="P79" s="80"/>
    </row>
    <row r="80" spans="3:16" ht="12.75">
      <c r="C80" s="21"/>
      <c r="D80" s="21"/>
      <c r="E80" s="18">
        <v>41857</v>
      </c>
      <c r="F80" s="33"/>
      <c r="G80" s="33">
        <v>358214.75</v>
      </c>
      <c r="H80" s="21"/>
      <c r="P80" s="80"/>
    </row>
    <row r="81" spans="3:16" ht="12.75">
      <c r="C81" s="21" t="s">
        <v>9</v>
      </c>
      <c r="D81" s="21"/>
      <c r="E81" s="18">
        <v>42011</v>
      </c>
      <c r="F81" s="33"/>
      <c r="G81" s="33">
        <v>-27769.71</v>
      </c>
      <c r="H81" s="21"/>
      <c r="P81" s="80"/>
    </row>
    <row r="82" spans="3:16" ht="12.75">
      <c r="C82" s="21"/>
      <c r="D82" s="21"/>
      <c r="E82" s="18">
        <v>42027</v>
      </c>
      <c r="F82" s="33"/>
      <c r="G82" s="33">
        <v>-35834.57</v>
      </c>
      <c r="H82" s="21"/>
      <c r="P82" s="80"/>
    </row>
    <row r="83" spans="3:16" ht="12.75">
      <c r="C83" s="21"/>
      <c r="D83" s="21"/>
      <c r="E83" s="18">
        <v>42075</v>
      </c>
      <c r="F83" s="33"/>
      <c r="G83" s="33">
        <v>-35917.71</v>
      </c>
      <c r="H83" s="21"/>
      <c r="P83" s="80"/>
    </row>
    <row r="84" spans="3:16" ht="12.75">
      <c r="C84" s="21"/>
      <c r="D84" s="21"/>
      <c r="E84" s="18">
        <v>42138</v>
      </c>
      <c r="F84" s="33"/>
      <c r="G84" s="33">
        <v>-53211.43</v>
      </c>
      <c r="H84" s="21"/>
      <c r="P84" s="80"/>
    </row>
    <row r="85" spans="3:16" ht="12.75">
      <c r="C85" s="21"/>
      <c r="D85" s="21"/>
      <c r="E85" s="18">
        <v>42265</v>
      </c>
      <c r="F85" s="33"/>
      <c r="G85" s="33">
        <v>-24028.29</v>
      </c>
      <c r="H85" s="21"/>
      <c r="P85" s="80"/>
    </row>
    <row r="86" spans="3:16" ht="12.75">
      <c r="C86" s="21"/>
      <c r="D86" s="21"/>
      <c r="E86" s="18">
        <v>42297</v>
      </c>
      <c r="F86" s="33"/>
      <c r="G86" s="33">
        <v>-41987.13</v>
      </c>
      <c r="H86" s="21"/>
      <c r="P86" s="80"/>
    </row>
    <row r="87" spans="3:16" ht="12.75">
      <c r="C87" s="21"/>
      <c r="D87" s="21"/>
      <c r="E87" s="18">
        <v>42352</v>
      </c>
      <c r="F87" s="33"/>
      <c r="G87" s="33">
        <v>-37663.71</v>
      </c>
      <c r="H87" s="21"/>
      <c r="P87" s="80"/>
    </row>
    <row r="88" spans="3:16" ht="12.75">
      <c r="C88" s="21" t="s">
        <v>10</v>
      </c>
      <c r="D88" s="21"/>
      <c r="E88" s="18">
        <v>42055</v>
      </c>
      <c r="F88" s="33"/>
      <c r="G88" s="33">
        <v>27318.78</v>
      </c>
      <c r="H88" s="21"/>
      <c r="P88" s="80"/>
    </row>
    <row r="89" spans="3:16" ht="12.75">
      <c r="C89" s="21"/>
      <c r="D89" s="21"/>
      <c r="E89" s="18">
        <v>42150</v>
      </c>
      <c r="F89" s="33"/>
      <c r="G89" s="33">
        <v>28614.74</v>
      </c>
      <c r="H89" s="21"/>
      <c r="I89" s="23"/>
      <c r="J89" s="21"/>
      <c r="P89" s="80"/>
    </row>
    <row r="90" spans="3:16" ht="12.75">
      <c r="C90" s="21"/>
      <c r="D90" s="21"/>
      <c r="E90" s="18">
        <v>42251</v>
      </c>
      <c r="F90" s="33"/>
      <c r="G90" s="33">
        <v>85826.47</v>
      </c>
      <c r="H90" s="21"/>
      <c r="I90" s="23"/>
      <c r="J90" s="21"/>
      <c r="P90" s="80"/>
    </row>
    <row r="91" spans="3:16" ht="12.75">
      <c r="C91" s="21" t="s">
        <v>13</v>
      </c>
      <c r="D91" s="21"/>
      <c r="E91" s="18">
        <v>42424</v>
      </c>
      <c r="F91" s="33"/>
      <c r="G91" s="33">
        <v>-37746.86</v>
      </c>
      <c r="H91" s="21"/>
      <c r="I91" s="23"/>
      <c r="J91" s="21"/>
      <c r="P91" s="80"/>
    </row>
    <row r="92" spans="3:16" ht="12.75">
      <c r="C92" s="21"/>
      <c r="D92" s="21"/>
      <c r="E92" s="18">
        <v>42452</v>
      </c>
      <c r="F92" s="33"/>
      <c r="G92" s="33">
        <v>-28185.43</v>
      </c>
      <c r="H92" s="21"/>
      <c r="I92" s="23"/>
      <c r="J92" s="21"/>
      <c r="P92" s="80"/>
    </row>
    <row r="93" spans="3:16" ht="12.75">
      <c r="C93" s="21"/>
      <c r="D93" s="21"/>
      <c r="E93" s="18">
        <v>42485</v>
      </c>
      <c r="F93" s="33"/>
      <c r="G93" s="33">
        <v>-35003.14</v>
      </c>
      <c r="H93" s="21"/>
      <c r="I93" s="23"/>
      <c r="J93" s="21"/>
      <c r="P93" s="80"/>
    </row>
    <row r="94" spans="3:16" ht="12.75">
      <c r="C94" s="21"/>
      <c r="D94" s="21"/>
      <c r="E94" s="18">
        <v>42558</v>
      </c>
      <c r="F94" s="33"/>
      <c r="G94" s="33">
        <v>-21783.44</v>
      </c>
      <c r="H94" s="21"/>
      <c r="I94" s="23"/>
      <c r="J94" s="21"/>
      <c r="P94" s="80"/>
    </row>
    <row r="95" spans="3:16" ht="12.75">
      <c r="C95" s="21"/>
      <c r="D95" s="21"/>
      <c r="E95" s="18">
        <v>42578</v>
      </c>
      <c r="F95" s="33"/>
      <c r="G95" s="33">
        <v>-21617.15</v>
      </c>
      <c r="H95" s="21"/>
      <c r="P95" s="80"/>
    </row>
    <row r="96" spans="3:16" ht="12.75">
      <c r="C96" s="21"/>
      <c r="D96" s="21"/>
      <c r="E96" s="18">
        <v>42636</v>
      </c>
      <c r="F96" s="33"/>
      <c r="G96" s="33">
        <v>-28351.72</v>
      </c>
      <c r="H96" s="21"/>
      <c r="P96" s="80"/>
    </row>
    <row r="97" spans="3:16" ht="12.75">
      <c r="C97" s="21"/>
      <c r="D97" s="21"/>
      <c r="E97" s="18">
        <v>42664</v>
      </c>
      <c r="F97" s="33"/>
      <c r="G97" s="33">
        <v>-27270.85</v>
      </c>
      <c r="H97" s="21"/>
      <c r="P97" s="80"/>
    </row>
    <row r="98" spans="3:16" ht="12.75">
      <c r="C98" s="21"/>
      <c r="D98" s="21"/>
      <c r="E98" s="18">
        <v>42697</v>
      </c>
      <c r="F98" s="33"/>
      <c r="G98" s="33">
        <v>-16628.57</v>
      </c>
      <c r="H98" s="21"/>
      <c r="P98" s="80"/>
    </row>
    <row r="99" spans="3:16" ht="12.75">
      <c r="C99" s="21"/>
      <c r="D99" s="21"/>
      <c r="E99" s="18">
        <v>42727</v>
      </c>
      <c r="F99" s="33"/>
      <c r="G99" s="33">
        <v>-48056.58</v>
      </c>
      <c r="H99" s="21"/>
      <c r="P99" s="80"/>
    </row>
    <row r="100" spans="3:16" ht="12.75">
      <c r="C100" s="21" t="s">
        <v>14</v>
      </c>
      <c r="D100" s="21"/>
      <c r="E100" s="18">
        <v>42404</v>
      </c>
      <c r="F100" s="33"/>
      <c r="G100" s="33">
        <v>17201.94</v>
      </c>
      <c r="H100" s="21"/>
      <c r="P100" s="80"/>
    </row>
    <row r="101" spans="3:16" ht="12.75">
      <c r="C101" s="21"/>
      <c r="D101" s="21"/>
      <c r="E101" s="18">
        <v>42451</v>
      </c>
      <c r="F101" s="33"/>
      <c r="G101" s="33">
        <v>16945.08</v>
      </c>
      <c r="H101" s="21"/>
      <c r="P101" s="80"/>
    </row>
    <row r="102" spans="3:16" ht="12.75">
      <c r="C102" s="21"/>
      <c r="D102" s="21"/>
      <c r="E102" s="18">
        <v>42549</v>
      </c>
      <c r="F102" s="33"/>
      <c r="G102" s="33">
        <v>9603.11</v>
      </c>
      <c r="H102" s="21"/>
      <c r="P102" s="80"/>
    </row>
    <row r="103" spans="3:16" ht="12.75">
      <c r="C103" s="21"/>
      <c r="D103" s="21"/>
      <c r="E103" s="18">
        <v>42584</v>
      </c>
      <c r="F103" s="33"/>
      <c r="G103" s="33">
        <v>235463.57</v>
      </c>
      <c r="H103" s="21"/>
      <c r="P103" s="80"/>
    </row>
    <row r="104" spans="3:16" ht="12.75">
      <c r="C104" s="21"/>
      <c r="D104" s="21"/>
      <c r="E104" s="18">
        <v>42632</v>
      </c>
      <c r="F104" s="33"/>
      <c r="G104" s="33">
        <v>15345.25</v>
      </c>
      <c r="H104" s="21"/>
      <c r="I104" s="23"/>
      <c r="J104" s="21"/>
      <c r="P104" s="80"/>
    </row>
    <row r="105" spans="3:16" ht="12.75">
      <c r="C105" s="21"/>
      <c r="D105" s="21"/>
      <c r="E105" s="18">
        <v>42656</v>
      </c>
      <c r="F105" s="33"/>
      <c r="G105" s="33">
        <v>60038.88</v>
      </c>
      <c r="H105" s="21"/>
      <c r="I105" s="111"/>
      <c r="J105" s="112"/>
      <c r="K105" s="113"/>
      <c r="L105" s="113"/>
      <c r="P105" s="80"/>
    </row>
    <row r="106" spans="3:16" ht="15.75">
      <c r="C106" s="21"/>
      <c r="D106" s="21"/>
      <c r="E106" s="18">
        <v>42723</v>
      </c>
      <c r="F106" s="33"/>
      <c r="G106" s="33">
        <v>57485.25</v>
      </c>
      <c r="H106" s="21"/>
      <c r="I106" s="111"/>
      <c r="J106" s="112"/>
      <c r="K106" s="113"/>
      <c r="L106" s="104"/>
      <c r="P106" s="80"/>
    </row>
    <row r="107" spans="3:16" ht="12.75">
      <c r="C107" s="21" t="s">
        <v>15</v>
      </c>
      <c r="D107" s="21"/>
      <c r="E107" s="18">
        <v>42795</v>
      </c>
      <c r="G107" s="33">
        <v>-22531.71</v>
      </c>
      <c r="H107" s="21"/>
      <c r="I107" s="111"/>
      <c r="J107" s="112"/>
      <c r="K107" s="113"/>
      <c r="L107" s="54"/>
      <c r="P107" s="80"/>
    </row>
    <row r="108" spans="3:16" ht="12.75">
      <c r="C108" s="21"/>
      <c r="D108" s="21"/>
      <c r="E108" s="18">
        <v>42822</v>
      </c>
      <c r="F108" s="33"/>
      <c r="G108" s="33">
        <v>-12471.43</v>
      </c>
      <c r="H108" s="21"/>
      <c r="I108" s="111"/>
      <c r="J108" s="112"/>
      <c r="K108" s="113"/>
      <c r="L108" s="54"/>
      <c r="P108" s="80"/>
    </row>
    <row r="109" spans="3:16" ht="12.75">
      <c r="C109" s="21"/>
      <c r="D109" s="21"/>
      <c r="E109" s="18">
        <v>42843</v>
      </c>
      <c r="F109" s="33"/>
      <c r="G109" s="33">
        <v>-22116</v>
      </c>
      <c r="H109" s="21"/>
      <c r="I109" s="111"/>
      <c r="J109" s="112"/>
      <c r="K109" s="113"/>
      <c r="L109" s="54"/>
      <c r="P109" s="80"/>
    </row>
    <row r="110" spans="3:16" ht="12.75">
      <c r="C110" s="21"/>
      <c r="D110" s="21"/>
      <c r="E110" s="18">
        <v>42909</v>
      </c>
      <c r="F110" s="33"/>
      <c r="G110" s="33">
        <v>-32342.57</v>
      </c>
      <c r="H110" s="21"/>
      <c r="I110" s="111"/>
      <c r="J110" s="112"/>
      <c r="K110" s="113"/>
      <c r="L110" s="54"/>
      <c r="P110" s="80"/>
    </row>
    <row r="111" spans="3:16" ht="12.75">
      <c r="C111" s="21"/>
      <c r="D111" s="21"/>
      <c r="E111" s="18">
        <v>43054</v>
      </c>
      <c r="F111" s="33"/>
      <c r="G111" s="33">
        <v>-21783.43</v>
      </c>
      <c r="H111" s="21"/>
      <c r="I111" s="111"/>
      <c r="J111" s="112"/>
      <c r="K111" s="113"/>
      <c r="L111" s="113"/>
      <c r="P111" s="80"/>
    </row>
    <row r="112" spans="3:16" ht="12.75">
      <c r="C112" s="21"/>
      <c r="D112" s="21"/>
      <c r="E112" s="18">
        <v>43090</v>
      </c>
      <c r="F112" s="33"/>
      <c r="G112" s="33">
        <v>-27187.72</v>
      </c>
      <c r="H112" s="21"/>
      <c r="I112" s="111"/>
      <c r="J112" s="112"/>
      <c r="K112" s="113"/>
      <c r="L112" s="113"/>
      <c r="P112" s="80"/>
    </row>
    <row r="113" spans="3:16" ht="12.75">
      <c r="C113" s="21" t="s">
        <v>16</v>
      </c>
      <c r="D113" s="21"/>
      <c r="E113" s="18">
        <v>42823</v>
      </c>
      <c r="F113" s="33"/>
      <c r="G113" s="33">
        <v>87512.22</v>
      </c>
      <c r="H113" s="21"/>
      <c r="I113" s="111"/>
      <c r="J113" s="112"/>
      <c r="K113" s="113"/>
      <c r="L113" s="113"/>
      <c r="P113" s="80"/>
    </row>
    <row r="114" spans="3:16" ht="12.75">
      <c r="C114" s="21"/>
      <c r="D114" s="21"/>
      <c r="E114" s="18">
        <v>42859</v>
      </c>
      <c r="F114" s="33"/>
      <c r="G114" s="33">
        <v>13701.77</v>
      </c>
      <c r="H114" s="21"/>
      <c r="I114" s="23"/>
      <c r="J114" s="21"/>
      <c r="P114" s="80"/>
    </row>
    <row r="115" spans="3:16" ht="12.75">
      <c r="C115" s="21"/>
      <c r="D115" s="21"/>
      <c r="E115" s="18">
        <v>43020</v>
      </c>
      <c r="F115" s="33"/>
      <c r="G115" s="33">
        <v>34363.08</v>
      </c>
      <c r="H115" s="21"/>
      <c r="P115" s="80"/>
    </row>
    <row r="116" spans="3:16" ht="12.75">
      <c r="C116" s="21" t="s">
        <v>17</v>
      </c>
      <c r="D116" s="21"/>
      <c r="E116" s="18">
        <v>43364</v>
      </c>
      <c r="F116" s="33"/>
      <c r="G116" s="33">
        <v>-68177.15</v>
      </c>
      <c r="H116" s="21"/>
      <c r="I116" s="23"/>
      <c r="J116" s="21"/>
      <c r="P116" s="80"/>
    </row>
    <row r="117" spans="3:16" ht="12.75">
      <c r="C117" s="21"/>
      <c r="D117" s="21"/>
      <c r="E117" s="18">
        <v>43454</v>
      </c>
      <c r="F117" s="33"/>
      <c r="G117" s="33">
        <v>-69258</v>
      </c>
      <c r="H117" s="21"/>
      <c r="I117" s="23"/>
      <c r="J117" s="21"/>
      <c r="P117" s="80"/>
    </row>
    <row r="118" spans="3:16" ht="12.75">
      <c r="C118" s="21" t="s">
        <v>18</v>
      </c>
      <c r="D118" s="21"/>
      <c r="E118" s="18">
        <v>43152</v>
      </c>
      <c r="F118" s="33"/>
      <c r="G118" s="33">
        <v>203797.46</v>
      </c>
      <c r="H118" s="21"/>
      <c r="I118" s="23"/>
      <c r="J118" s="21"/>
      <c r="P118" s="80"/>
    </row>
    <row r="119" spans="3:16" ht="12.75">
      <c r="C119" s="21"/>
      <c r="D119" s="21"/>
      <c r="E119" s="18">
        <v>43186</v>
      </c>
      <c r="F119" s="33"/>
      <c r="G119" s="33">
        <v>123331.38</v>
      </c>
      <c r="H119" s="21"/>
      <c r="I119" s="23"/>
      <c r="J119" s="21"/>
      <c r="P119" s="80"/>
    </row>
    <row r="120" spans="3:16" ht="12.75">
      <c r="C120" s="21"/>
      <c r="D120" s="21"/>
      <c r="E120" s="18">
        <v>43262</v>
      </c>
      <c r="F120" s="33"/>
      <c r="G120" s="33">
        <v>17974.49</v>
      </c>
      <c r="H120" s="21"/>
      <c r="I120" s="23"/>
      <c r="J120" s="21"/>
      <c r="P120" s="80"/>
    </row>
    <row r="121" spans="3:16" ht="12.75">
      <c r="C121" s="21"/>
      <c r="D121" s="21"/>
      <c r="E121" s="18">
        <v>43404</v>
      </c>
      <c r="F121" s="33"/>
      <c r="G121" s="33">
        <v>16825.97</v>
      </c>
      <c r="H121" s="21"/>
      <c r="I121" s="23"/>
      <c r="J121" s="21"/>
      <c r="P121" s="80"/>
    </row>
    <row r="122" spans="3:16" ht="12.75">
      <c r="C122" s="21" t="s">
        <v>19</v>
      </c>
      <c r="D122" s="21"/>
      <c r="E122" s="18">
        <v>43649</v>
      </c>
      <c r="F122" s="33"/>
      <c r="G122" s="33">
        <v>-12222</v>
      </c>
      <c r="H122" s="21"/>
      <c r="I122" s="23"/>
      <c r="J122" s="21"/>
      <c r="P122" s="80"/>
    </row>
    <row r="123" spans="3:16" ht="12.75">
      <c r="C123" s="21" t="s">
        <v>20</v>
      </c>
      <c r="D123" s="21"/>
      <c r="E123" s="18">
        <v>43593</v>
      </c>
      <c r="F123" s="33"/>
      <c r="G123" s="33">
        <v>17577.72</v>
      </c>
      <c r="H123" s="21"/>
      <c r="I123" s="23"/>
      <c r="J123" s="21"/>
      <c r="P123" s="80"/>
    </row>
    <row r="124" spans="3:16" ht="12.75">
      <c r="C124" s="21"/>
      <c r="D124" s="21"/>
      <c r="E124" s="18">
        <v>43655</v>
      </c>
      <c r="F124" s="33"/>
      <c r="G124" s="33">
        <v>28892.81</v>
      </c>
      <c r="H124" s="21"/>
      <c r="I124" s="23"/>
      <c r="J124" s="21"/>
      <c r="P124" s="80"/>
    </row>
    <row r="125" spans="3:16" ht="12.75">
      <c r="C125" s="21" t="s">
        <v>21</v>
      </c>
      <c r="D125" s="21"/>
      <c r="E125" s="18">
        <v>43928</v>
      </c>
      <c r="F125" s="33"/>
      <c r="G125" s="33">
        <v>-10559.14</v>
      </c>
      <c r="H125" s="21"/>
      <c r="I125" s="23"/>
      <c r="J125" s="21"/>
      <c r="P125" s="80"/>
    </row>
    <row r="126" spans="3:16" ht="15.75">
      <c r="C126" s="21"/>
      <c r="D126" s="21"/>
      <c r="E126" s="18">
        <v>44070</v>
      </c>
      <c r="F126" s="33"/>
      <c r="G126" s="33">
        <v>-107186.50</v>
      </c>
      <c r="H126" s="21"/>
      <c r="I126" s="23"/>
      <c r="J126" s="21"/>
      <c r="L126" s="50"/>
      <c r="P126" s="80"/>
    </row>
    <row r="127" spans="3:16" ht="15.75">
      <c r="C127" s="21" t="s">
        <v>23</v>
      </c>
      <c r="D127" s="21"/>
      <c r="E127" s="18">
        <v>44302</v>
      </c>
      <c r="F127" s="33"/>
      <c r="G127" s="33">
        <v>54835.09</v>
      </c>
      <c r="H127" s="21"/>
      <c r="I127" s="23"/>
      <c r="J127" s="21"/>
      <c r="L127" s="50"/>
      <c r="P127" s="80"/>
    </row>
    <row r="128" spans="3:16" ht="15.75">
      <c r="C128" s="21" t="s">
        <v>25</v>
      </c>
      <c r="D128" s="21"/>
      <c r="E128" s="18">
        <v>44673</v>
      </c>
      <c r="F128" s="33"/>
      <c r="G128" s="33">
        <v>112375.78</v>
      </c>
      <c r="H128" s="21"/>
      <c r="I128" s="23"/>
      <c r="J128" s="21"/>
      <c r="L128" s="50"/>
      <c r="P128" s="80"/>
    </row>
    <row r="129" spans="3:16" ht="15.75">
      <c r="C129" s="21"/>
      <c r="D129" s="21"/>
      <c r="E129" s="18">
        <v>44727</v>
      </c>
      <c r="F129" s="33"/>
      <c r="G129" s="33">
        <v>17297.80</v>
      </c>
      <c r="H129" s="21"/>
      <c r="I129" s="23"/>
      <c r="J129" s="21"/>
      <c r="L129" s="50"/>
      <c r="P129" s="80"/>
    </row>
    <row r="130" spans="3:16" ht="15.75">
      <c r="C130" s="21"/>
      <c r="D130" s="21"/>
      <c r="E130" s="18">
        <v>44796</v>
      </c>
      <c r="F130" s="33"/>
      <c r="G130" s="33">
        <v>15289.03</v>
      </c>
      <c r="H130" s="21"/>
      <c r="I130" s="23"/>
      <c r="J130" s="21"/>
      <c r="L130" s="50"/>
      <c r="P130" s="80"/>
    </row>
    <row r="131" spans="3:16" ht="15.75">
      <c r="C131" s="21"/>
      <c r="D131" s="21"/>
      <c r="E131" s="18">
        <v>44868</v>
      </c>
      <c r="F131" s="33"/>
      <c r="G131" s="33">
        <v>52310.32</v>
      </c>
      <c r="H131" s="21"/>
      <c r="I131" s="23"/>
      <c r="J131" s="21"/>
      <c r="L131" s="50"/>
      <c r="P131" s="80"/>
    </row>
    <row r="132" spans="3:16" ht="15.75">
      <c r="C132" s="21"/>
      <c r="D132" s="21"/>
      <c r="E132" s="18">
        <v>44911</v>
      </c>
      <c r="F132" s="33"/>
      <c r="G132" s="33">
        <v>40951.56</v>
      </c>
      <c r="H132" s="21"/>
      <c r="I132" s="23"/>
      <c r="J132" s="21"/>
      <c r="L132" s="50"/>
      <c r="P132" s="80"/>
    </row>
    <row r="133" spans="3:16" ht="15.75">
      <c r="C133" s="21" t="s">
        <v>26</v>
      </c>
      <c r="D133" s="21"/>
      <c r="E133" s="18">
        <v>44973</v>
      </c>
      <c r="F133" s="33"/>
      <c r="G133" s="33">
        <v>49219.58</v>
      </c>
      <c r="H133" s="21"/>
      <c r="I133" s="23"/>
      <c r="J133" s="21"/>
      <c r="L133" s="50"/>
      <c r="P133" s="80"/>
    </row>
    <row r="134" spans="3:16" ht="15.75">
      <c r="C134" s="21"/>
      <c r="D134" s="21"/>
      <c r="E134" s="18">
        <v>45079</v>
      </c>
      <c r="F134" s="33"/>
      <c r="G134" s="33">
        <v>33551.63</v>
      </c>
      <c r="H134" s="21"/>
      <c r="I134" s="23"/>
      <c r="J134" s="21"/>
      <c r="L134" s="50"/>
      <c r="P134" s="80"/>
    </row>
    <row r="135" spans="3:16" ht="15.75">
      <c r="C135" s="21"/>
      <c r="D135" s="21"/>
      <c r="E135" s="18">
        <v>45182</v>
      </c>
      <c r="F135" s="33"/>
      <c r="G135" s="33">
        <v>19666.11</v>
      </c>
      <c r="H135" s="21"/>
      <c r="I135" s="23"/>
      <c r="J135" s="21"/>
      <c r="L135" s="50"/>
      <c r="P135" s="80"/>
    </row>
    <row r="136" spans="3:16" ht="12.75">
      <c r="C136" s="21"/>
      <c r="D136" s="21"/>
      <c r="E136" s="18"/>
      <c r="F136" s="21"/>
      <c r="G136" s="33"/>
      <c r="H136" s="21"/>
      <c r="I136" s="23"/>
      <c r="P136" s="80"/>
    </row>
    <row r="137" spans="3:16" ht="12.75">
      <c r="C137" s="21" t="s">
        <v>1</v>
      </c>
      <c r="D137" s="21"/>
      <c r="E137" s="18">
        <f>+E8</f>
        <v>45199</v>
      </c>
      <c r="F137" s="21"/>
      <c r="G137" s="49">
        <f>L137/0.97*C22</f>
        <v>1180856.0238312155</v>
      </c>
      <c r="H137" s="21"/>
      <c r="I137" s="33">
        <f>+SUMIF($G$23:$G$136,"&lt;0",$G$23:$G$136)</f>
        <v>-3417237.97</v>
      </c>
      <c r="J137" s="21" t="s">
        <v>11</v>
      </c>
      <c r="L137" s="54">
        <v>1.377664651E9</v>
      </c>
      <c r="M137" s="65"/>
      <c r="P137" s="80"/>
    </row>
    <row r="138" spans="3:14" ht="12.75">
      <c r="C138" s="21"/>
      <c r="D138" s="21"/>
      <c r="E138" s="21"/>
      <c r="F138" s="21"/>
      <c r="G138" s="21"/>
      <c r="H138" s="21"/>
      <c r="I138" s="33">
        <f>+SUMIF($G$23:$G$136,"&gt;0",$G$23:$G$136)</f>
        <v>2355403.319999999</v>
      </c>
      <c r="J138" s="21" t="s">
        <v>12</v>
      </c>
      <c r="L138" s="53"/>
      <c r="M138" s="65"/>
      <c r="N138" s="53"/>
    </row>
    <row r="139" spans="3:13" ht="12.75">
      <c r="C139" s="20" t="s">
        <v>0</v>
      </c>
      <c r="G139" s="47">
        <f>XIRR(G23:G137,E23:E137,0.1)</f>
        <v>0.00695449411869049</v>
      </c>
      <c r="H139" s="21"/>
      <c r="M139" s="53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3"/>
      <c r="H141" s="21"/>
    </row>
    <row r="142" spans="3:8" ht="12.75">
      <c r="C142" s="21"/>
      <c r="D142" s="21"/>
      <c r="E142" s="21"/>
      <c r="F142" s="21"/>
      <c r="G142" s="34"/>
      <c r="H142" s="21"/>
    </row>
    <row r="143" spans="3:9" ht="12.75">
      <c r="C143" s="26"/>
      <c r="D143" s="26"/>
      <c r="E143" s="34"/>
      <c r="F143" s="26"/>
      <c r="G143" s="34"/>
      <c r="H143" s="21"/>
      <c r="I143" s="53"/>
    </row>
    <row r="144" spans="3:8" ht="12.75">
      <c r="C144" s="26"/>
      <c r="D144" s="26"/>
      <c r="E144" s="34"/>
      <c r="F144" s="26"/>
      <c r="G144" s="34"/>
      <c r="H144" s="21"/>
    </row>
    <row r="145" spans="3:8" ht="12.75">
      <c r="C145" s="26"/>
      <c r="D145" s="26"/>
      <c r="E145" s="51"/>
      <c r="F145" s="51"/>
      <c r="G145" s="51"/>
      <c r="H145" s="20"/>
    </row>
    <row r="146" spans="3:8" ht="12.75">
      <c r="C146" s="26"/>
      <c r="D146" s="26"/>
      <c r="E146" s="34"/>
      <c r="F146" s="34"/>
      <c r="G146" s="34"/>
      <c r="H146" s="20"/>
    </row>
    <row r="147" spans="3:8" ht="12.75">
      <c r="C147" s="26"/>
      <c r="D147" s="26"/>
      <c r="E147" s="26"/>
      <c r="F147" s="26"/>
      <c r="G147" s="26"/>
      <c r="H147" s="20"/>
    </row>
    <row r="148" spans="3:8" ht="12.75">
      <c r="C148" s="114"/>
      <c r="D148" s="114"/>
      <c r="E148" s="115"/>
      <c r="F148" s="71"/>
      <c r="G148" s="46"/>
      <c r="H148" s="20"/>
    </row>
    <row r="149" spans="3:8" ht="12.75">
      <c r="C149" s="114"/>
      <c r="D149" s="114"/>
      <c r="E149" s="46"/>
      <c r="F149" s="71"/>
      <c r="G149" s="46"/>
      <c r="H149" s="20"/>
    </row>
    <row r="150" spans="3:8" ht="12.75">
      <c r="C150" s="114"/>
      <c r="D150" s="114"/>
      <c r="E150" s="46"/>
      <c r="F150" s="71"/>
      <c r="G150" s="46"/>
      <c r="H150" s="20"/>
    </row>
    <row r="151" spans="3:8" ht="12.75">
      <c r="C151" s="116"/>
      <c r="D151" s="114"/>
      <c r="E151" s="46"/>
      <c r="F151" s="71"/>
      <c r="G151" s="46"/>
      <c r="H151" s="20"/>
    </row>
    <row r="152" spans="3:8" ht="12.75">
      <c r="C152" s="116"/>
      <c r="D152" s="114"/>
      <c r="E152" s="46"/>
      <c r="F152" s="71"/>
      <c r="G152" s="46"/>
      <c r="H152" s="20"/>
    </row>
    <row r="153" spans="3:8" ht="12.75">
      <c r="C153" s="117"/>
      <c r="D153" s="114"/>
      <c r="E153" s="46"/>
      <c r="F153" s="71"/>
      <c r="G153" s="46"/>
      <c r="H153" s="20"/>
    </row>
    <row r="154" spans="3:8" ht="12.75">
      <c r="C154" s="114"/>
      <c r="D154" s="114"/>
      <c r="E154" s="46"/>
      <c r="F154" s="71"/>
      <c r="G154" s="46"/>
      <c r="H154" s="20"/>
    </row>
    <row r="155" spans="3:8" ht="12.75">
      <c r="C155" s="114"/>
      <c r="D155" s="114"/>
      <c r="E155" s="46"/>
      <c r="F155" s="71"/>
      <c r="G155" s="46"/>
      <c r="H155" s="20"/>
    </row>
    <row r="156" spans="3:8" ht="12.75">
      <c r="C156" s="114"/>
      <c r="D156" s="114"/>
      <c r="E156" s="46"/>
      <c r="F156" s="71"/>
      <c r="G156" s="46"/>
      <c r="H156" s="20"/>
    </row>
    <row r="157" spans="3:8" ht="12.75">
      <c r="C157" s="114"/>
      <c r="D157" s="114"/>
      <c r="E157" s="46"/>
      <c r="F157" s="71"/>
      <c r="G157" s="46"/>
      <c r="H157" s="20"/>
    </row>
    <row r="158" spans="3:8" ht="12.75">
      <c r="C158" s="114"/>
      <c r="D158" s="114"/>
      <c r="E158" s="46"/>
      <c r="F158" s="71"/>
      <c r="G158" s="46"/>
      <c r="H158" s="20"/>
    </row>
    <row r="159" spans="3:8" ht="12.75">
      <c r="C159" s="114"/>
      <c r="D159" s="114"/>
      <c r="E159" s="46"/>
      <c r="F159" s="71"/>
      <c r="G159" s="46"/>
      <c r="H159" s="20"/>
    </row>
    <row r="160" spans="3:8" ht="5.1" customHeight="1">
      <c r="C160" s="20"/>
      <c r="D160" s="20"/>
      <c r="E160" s="37"/>
      <c r="F160" s="37"/>
      <c r="G160" s="37"/>
      <c r="H160" s="20"/>
    </row>
    <row r="161" spans="3:8" ht="12.75">
      <c r="C161" s="20"/>
      <c r="D161" s="20"/>
      <c r="E161" s="43"/>
      <c r="F161" s="43"/>
      <c r="G161" s="43"/>
      <c r="H161" s="20"/>
    </row>
    <row r="162" spans="3:8" ht="12.75">
      <c r="C162" s="21"/>
      <c r="D162" s="21"/>
      <c r="E162" s="74"/>
      <c r="F162" s="75"/>
      <c r="G162" s="74"/>
      <c r="H162" s="21"/>
    </row>
    <row r="163" spans="3:8" ht="12.75">
      <c r="C163" s="21"/>
      <c r="D163" s="21"/>
      <c r="E163" s="74"/>
      <c r="F163" s="75"/>
      <c r="G163" s="74"/>
      <c r="H163" s="21"/>
    </row>
    <row r="164" spans="3:8" ht="12.75">
      <c r="C164" s="21"/>
      <c r="D164" s="21"/>
      <c r="E164" s="74"/>
      <c r="F164" s="75"/>
      <c r="G164" s="74"/>
      <c r="H164" s="21"/>
    </row>
    <row r="165" spans="3:8" ht="12.75">
      <c r="C165" s="21"/>
      <c r="D165" s="21"/>
      <c r="E165" s="76"/>
      <c r="F165" s="76"/>
      <c r="G165" s="76"/>
      <c r="H165" s="21"/>
    </row>
    <row r="166" spans="3:8" ht="12.75">
      <c r="C166" s="21"/>
      <c r="D166" s="21"/>
      <c r="E166" s="21"/>
      <c r="F166" s="21"/>
      <c r="G166" s="21"/>
      <c r="H166" s="21"/>
    </row>
    <row r="167" spans="3:8" ht="12.75">
      <c r="C167" s="21"/>
      <c r="D167" s="21"/>
      <c r="E167" s="21"/>
      <c r="F167" s="21"/>
      <c r="G167" s="21"/>
      <c r="H167" s="21"/>
    </row>
    <row r="168" spans="3:8" ht="12.75">
      <c r="C168" s="21"/>
      <c r="D168" s="21"/>
      <c r="E168" s="21"/>
      <c r="F168" s="21"/>
      <c r="G168" s="21"/>
      <c r="H168" s="21"/>
    </row>
    <row r="169" spans="3:8" ht="12.75">
      <c r="C169" s="21"/>
      <c r="D169" s="21"/>
      <c r="E169" s="21"/>
      <c r="F169" s="21"/>
      <c r="G169" s="21"/>
      <c r="H169" s="21"/>
    </row>
    <row r="170" spans="3:8" ht="12.75">
      <c r="C170" s="21"/>
      <c r="D170" s="21"/>
      <c r="E170" s="21"/>
      <c r="F170" s="21"/>
      <c r="G170" s="21"/>
      <c r="H170" s="21"/>
    </row>
    <row r="171" spans="3:8" ht="12.75">
      <c r="C171" s="21"/>
      <c r="D171" s="21"/>
      <c r="E171" s="21"/>
      <c r="F171" s="21"/>
      <c r="G171" s="21"/>
      <c r="H171" s="21"/>
    </row>
    <row r="172" spans="3:8" ht="12.75">
      <c r="C172" s="21"/>
      <c r="D172" s="21"/>
      <c r="E172" s="21"/>
      <c r="F172" s="21"/>
      <c r="G172" s="21"/>
      <c r="H172" s="21"/>
    </row>
    <row r="173" spans="3:8" ht="12.75">
      <c r="C173" s="21"/>
      <c r="D173" s="21"/>
      <c r="E173" s="21"/>
      <c r="F173" s="21"/>
      <c r="G173" s="21"/>
      <c r="H173" s="21"/>
    </row>
    <row r="174" spans="3:8" ht="12.75">
      <c r="C174" s="21"/>
      <c r="D174" s="21"/>
      <c r="E174" s="21"/>
      <c r="F174" s="21"/>
      <c r="G174" s="21"/>
      <c r="H174" s="21"/>
    </row>
    <row r="175" spans="3:8" ht="12.75">
      <c r="C175" s="21"/>
      <c r="D175" s="21"/>
      <c r="E175" s="21"/>
      <c r="F175" s="21"/>
      <c r="G175" s="21"/>
      <c r="H175" s="21"/>
    </row>
  </sheetData>
  <mergeCells count="1">
    <mergeCell ref="E145:G145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71C1AD-D91F-49F1-BB04-2E189139716B}">
  <sheetPr>
    <pageSetUpPr fitToPage="1"/>
  </sheetPr>
  <dimension ref="B4:L159"/>
  <sheetViews>
    <sheetView showGridLines="0" view="pageLayout" zoomScaleNormal="100" workbookViewId="0" topLeftCell="A1">
      <selection pane="topLeft" activeCell="C11" sqref="C11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79">
        <f>+VIII!E8</f>
        <v>45199</v>
      </c>
      <c r="F8" s="36"/>
      <c r="G8" s="6"/>
      <c r="H8" s="81"/>
      <c r="I8" s="81"/>
    </row>
    <row r="9" spans="3:7" ht="15.75">
      <c r="C9" s="118"/>
      <c r="D9" s="118"/>
      <c r="E9" s="118"/>
      <c r="F9" s="118"/>
      <c r="G9" s="119"/>
    </row>
    <row r="10" spans="3:9" ht="12.75">
      <c r="C10" s="120"/>
      <c r="D10" s="120"/>
      <c r="E10" s="121"/>
      <c r="F10" s="120"/>
      <c r="G10" s="54"/>
      <c r="H10" s="55"/>
      <c r="I10" s="55"/>
    </row>
    <row r="11" spans="3:9" ht="12.75">
      <c r="C11" s="120"/>
      <c r="D11" s="120"/>
      <c r="E11" s="121"/>
      <c r="F11" s="120"/>
      <c r="G11" s="121"/>
      <c r="H11" s="55"/>
      <c r="I11" s="55"/>
    </row>
    <row r="12" spans="3:9" ht="15.75">
      <c r="C12" s="122"/>
      <c r="D12" s="122"/>
      <c r="E12" s="123"/>
      <c r="F12" s="122"/>
      <c r="G12" s="123"/>
      <c r="H12" s="55"/>
      <c r="I12" s="55"/>
    </row>
    <row r="13" spans="3:9" ht="12.75">
      <c r="C13" s="120"/>
      <c r="D13" s="120"/>
      <c r="E13" s="124"/>
      <c r="F13" s="120"/>
      <c r="G13" s="54"/>
      <c r="H13" s="55"/>
      <c r="I13" s="55"/>
    </row>
    <row r="14" spans="3:9" ht="12.75">
      <c r="C14" s="120"/>
      <c r="D14" s="120"/>
      <c r="E14" s="125"/>
      <c r="F14" s="120"/>
      <c r="G14" s="54"/>
      <c r="H14" s="55"/>
      <c r="I14" s="55"/>
    </row>
    <row r="15" spans="3:9" ht="12.75">
      <c r="C15" s="120"/>
      <c r="D15" s="120"/>
      <c r="E15" s="121"/>
      <c r="F15" s="120"/>
      <c r="G15" s="121"/>
      <c r="H15" s="55"/>
      <c r="I15" s="55"/>
    </row>
    <row r="16" spans="3:9" ht="15.75">
      <c r="C16" s="5"/>
      <c r="D16" s="5"/>
      <c r="E16" s="14"/>
      <c r="F16" s="5"/>
      <c r="G16" s="14"/>
      <c r="H16" s="5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+G139</f>
        <v>0.0048341423273086555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(G137+I138)/-I137</f>
        <v>1.0245786782651194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5"/>
      <c r="I20" s="55"/>
    </row>
    <row r="21" spans="3:10" ht="12.75">
      <c r="C21" s="22" t="s">
        <v>33</v>
      </c>
      <c r="D21" s="7"/>
      <c r="E21" s="7"/>
      <c r="F21" s="7"/>
      <c r="G21" s="8"/>
      <c r="H21" s="82"/>
      <c r="I21" s="18"/>
      <c r="J21" s="21"/>
    </row>
    <row r="22" spans="3:10" ht="15.75">
      <c r="C22" s="83">
        <v>0.033025234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29</v>
      </c>
      <c r="D23" s="21"/>
      <c r="E23" s="18">
        <v>40512</v>
      </c>
      <c r="F23" s="21"/>
      <c r="G23" s="19">
        <v>-157500</v>
      </c>
      <c r="H23" s="21"/>
      <c r="I23" s="23"/>
      <c r="J23" s="23"/>
      <c r="L23" s="53"/>
    </row>
    <row r="24" spans="3:12" ht="12.75">
      <c r="C24" s="21" t="s">
        <v>30</v>
      </c>
      <c r="D24" s="21"/>
      <c r="E24" s="18">
        <v>40570</v>
      </c>
      <c r="F24" s="21"/>
      <c r="G24" s="33">
        <v>-78750</v>
      </c>
      <c r="H24" s="21"/>
      <c r="I24" s="23"/>
      <c r="J24" s="23"/>
      <c r="L24" s="53"/>
    </row>
    <row r="25" spans="3:12" ht="12.75">
      <c r="C25" s="21"/>
      <c r="D25" s="21"/>
      <c r="E25" s="18">
        <v>40661</v>
      </c>
      <c r="F25" s="21"/>
      <c r="G25" s="33">
        <v>-60486.43</v>
      </c>
      <c r="H25" s="21"/>
      <c r="I25" s="23"/>
      <c r="J25" s="23"/>
      <c r="L25" s="53"/>
    </row>
    <row r="26" spans="3:12" ht="12.75">
      <c r="C26" s="21"/>
      <c r="D26" s="21"/>
      <c r="E26" s="18">
        <v>40704</v>
      </c>
      <c r="F26" s="21"/>
      <c r="G26" s="33">
        <v>-95406.42</v>
      </c>
      <c r="H26" s="21"/>
      <c r="I26" s="23"/>
      <c r="J26" s="23"/>
      <c r="L26" s="53"/>
    </row>
    <row r="27" spans="3:12" ht="12.75">
      <c r="C27" s="21"/>
      <c r="D27" s="21"/>
      <c r="E27" s="18">
        <v>40751</v>
      </c>
      <c r="F27" s="21"/>
      <c r="G27" s="33">
        <v>-91249.28</v>
      </c>
      <c r="H27" s="21"/>
      <c r="I27" s="23"/>
      <c r="J27" s="23"/>
      <c r="L27" s="53"/>
    </row>
    <row r="28" spans="3:12" ht="12.75">
      <c r="C28" s="21"/>
      <c r="D28" s="21"/>
      <c r="E28" s="18">
        <v>40765</v>
      </c>
      <c r="F28" s="21"/>
      <c r="G28" s="33">
        <v>-151735.71</v>
      </c>
      <c r="H28" s="21"/>
      <c r="I28" s="23"/>
      <c r="J28" s="23"/>
      <c r="L28" s="53"/>
    </row>
    <row r="29" spans="3:12" ht="12.75">
      <c r="C29" s="21"/>
      <c r="D29" s="21"/>
      <c r="E29" s="18">
        <v>40813</v>
      </c>
      <c r="F29" s="21"/>
      <c r="G29" s="33">
        <v>-133652.14</v>
      </c>
      <c r="H29" s="21"/>
      <c r="I29" s="23"/>
      <c r="J29" s="23"/>
      <c r="L29" s="53"/>
    </row>
    <row r="30" spans="3:12" ht="12.75">
      <c r="C30" s="21"/>
      <c r="D30" s="21"/>
      <c r="E30" s="18">
        <v>40879</v>
      </c>
      <c r="F30" s="21"/>
      <c r="G30" s="33">
        <v>-64227.85</v>
      </c>
      <c r="H30" s="21"/>
      <c r="I30" s="23"/>
      <c r="J30" s="23"/>
      <c r="L30" s="53"/>
    </row>
    <row r="31" spans="3:12" ht="12.75">
      <c r="C31" s="21"/>
      <c r="D31" s="21"/>
      <c r="E31" s="18">
        <v>40886</v>
      </c>
      <c r="F31" s="21"/>
      <c r="G31" s="33">
        <v>-87507.85</v>
      </c>
      <c r="H31" s="21"/>
      <c r="I31" s="23"/>
      <c r="J31" s="23"/>
      <c r="L31" s="53"/>
    </row>
    <row r="32" spans="3:12" ht="12.75">
      <c r="C32" s="21" t="s">
        <v>4</v>
      </c>
      <c r="D32" s="21"/>
      <c r="E32" s="18">
        <v>40927</v>
      </c>
      <c r="F32" s="21"/>
      <c r="G32" s="23">
        <v>-146331.42</v>
      </c>
      <c r="H32" s="21"/>
      <c r="I32" s="23"/>
      <c r="J32" s="23"/>
      <c r="L32" s="53"/>
    </row>
    <row r="33" spans="3:12" ht="12.75">
      <c r="C33" s="21"/>
      <c r="D33" s="21"/>
      <c r="E33" s="18">
        <v>40942</v>
      </c>
      <c r="F33" s="21"/>
      <c r="G33" s="23">
        <v>-685928.54</v>
      </c>
      <c r="H33" s="21"/>
      <c r="I33" s="23"/>
      <c r="J33" s="23"/>
      <c r="L33" s="53"/>
    </row>
    <row r="34" spans="3:12" ht="12.75">
      <c r="C34" s="21"/>
      <c r="D34" s="21"/>
      <c r="E34" s="18">
        <v>40970</v>
      </c>
      <c r="F34" s="21"/>
      <c r="G34" s="23">
        <v>-109124.99</v>
      </c>
      <c r="H34" s="21"/>
      <c r="I34" s="23"/>
      <c r="J34" s="23"/>
      <c r="L34" s="53"/>
    </row>
    <row r="35" spans="3:12" ht="12.75">
      <c r="C35" s="21"/>
      <c r="D35" s="21"/>
      <c r="E35" s="18">
        <v>41001</v>
      </c>
      <c r="F35" s="21"/>
      <c r="G35" s="23">
        <v>-63812.14</v>
      </c>
      <c r="H35" s="21"/>
      <c r="I35" s="23"/>
      <c r="J35" s="23"/>
      <c r="L35" s="53"/>
    </row>
    <row r="36" spans="3:12" ht="12.75">
      <c r="C36" s="21"/>
      <c r="D36" s="21"/>
      <c r="E36" s="18">
        <v>41024</v>
      </c>
      <c r="F36" s="21"/>
      <c r="G36" s="23">
        <v>-75660</v>
      </c>
      <c r="H36" s="21"/>
      <c r="I36" s="23"/>
      <c r="J36" s="23"/>
      <c r="L36" s="53"/>
    </row>
    <row r="37" spans="3:12" ht="12.75">
      <c r="C37" s="21"/>
      <c r="D37" s="21"/>
      <c r="E37" s="18">
        <v>41054</v>
      </c>
      <c r="F37" s="21"/>
      <c r="G37" s="23">
        <v>-98524.28</v>
      </c>
      <c r="H37" s="21"/>
      <c r="I37" s="23"/>
      <c r="J37" s="23"/>
      <c r="L37" s="53"/>
    </row>
    <row r="38" spans="3:12" ht="12.75">
      <c r="C38" s="21"/>
      <c r="D38" s="21"/>
      <c r="E38" s="18">
        <v>41080</v>
      </c>
      <c r="F38" s="21"/>
      <c r="G38" s="23">
        <v>-182706.42</v>
      </c>
      <c r="H38" s="21"/>
      <c r="I38" s="23"/>
      <c r="J38" s="23"/>
      <c r="L38" s="53"/>
    </row>
    <row r="39" spans="3:12" ht="12.75">
      <c r="C39" s="21"/>
      <c r="D39" s="21"/>
      <c r="E39" s="18">
        <v>41103</v>
      </c>
      <c r="F39" s="21"/>
      <c r="G39" s="23">
        <v>-59239.28</v>
      </c>
      <c r="H39" s="21"/>
      <c r="I39" s="23"/>
      <c r="J39" s="23"/>
      <c r="L39" s="53"/>
    </row>
    <row r="40" spans="3:12" ht="12.75">
      <c r="C40" s="21"/>
      <c r="D40" s="21"/>
      <c r="E40" s="18">
        <v>41121</v>
      </c>
      <c r="F40" s="21"/>
      <c r="G40" s="23">
        <v>-57160.71</v>
      </c>
      <c r="H40" s="21"/>
      <c r="I40" s="23"/>
      <c r="J40" s="23"/>
      <c r="L40" s="53"/>
    </row>
    <row r="41" spans="3:12" ht="12.75">
      <c r="C41" s="21"/>
      <c r="D41" s="21"/>
      <c r="E41" s="18">
        <v>41152</v>
      </c>
      <c r="F41" s="21"/>
      <c r="G41" s="23">
        <v>-75660.01</v>
      </c>
      <c r="H41" s="21"/>
      <c r="I41" s="23"/>
      <c r="J41" s="23"/>
      <c r="L41" s="53"/>
    </row>
    <row r="42" spans="3:12" ht="12.75">
      <c r="C42" s="21"/>
      <c r="D42" s="21"/>
      <c r="E42" s="18">
        <v>41180</v>
      </c>
      <c r="F42" s="21"/>
      <c r="G42" s="23">
        <v>-143421.43</v>
      </c>
      <c r="H42" s="21"/>
      <c r="I42" s="23"/>
      <c r="J42" s="23"/>
      <c r="L42" s="53"/>
    </row>
    <row r="43" spans="3:12" ht="12.75">
      <c r="C43" s="21"/>
      <c r="D43" s="21"/>
      <c r="E43" s="18">
        <v>41194</v>
      </c>
      <c r="F43" s="21"/>
      <c r="G43" s="23">
        <v>-70463.57</v>
      </c>
      <c r="H43" s="21"/>
      <c r="I43" s="23"/>
      <c r="J43" s="23"/>
      <c r="L43" s="53"/>
    </row>
    <row r="44" spans="3:12" ht="12.75">
      <c r="C44" s="21"/>
      <c r="D44" s="21"/>
      <c r="E44" s="18">
        <v>41250</v>
      </c>
      <c r="F44" s="21"/>
      <c r="G44" s="23">
        <v>-317813.58</v>
      </c>
      <c r="H44" s="21"/>
      <c r="I44" s="23"/>
      <c r="J44" s="23"/>
      <c r="L44" s="53"/>
    </row>
    <row r="45" spans="3:12" ht="12.75">
      <c r="C45" s="21"/>
      <c r="D45" s="21"/>
      <c r="E45" s="18">
        <v>41264</v>
      </c>
      <c r="F45" s="21"/>
      <c r="G45" s="23">
        <v>-282270</v>
      </c>
      <c r="H45" s="21"/>
      <c r="I45" s="23"/>
      <c r="J45" s="23"/>
      <c r="L45" s="53"/>
    </row>
    <row r="46" spans="3:12" ht="12.75">
      <c r="C46" s="21" t="s">
        <v>31</v>
      </c>
      <c r="D46" s="21"/>
      <c r="E46" s="18">
        <v>41030</v>
      </c>
      <c r="F46" s="21"/>
      <c r="G46" s="33">
        <v>235528.56</v>
      </c>
      <c r="H46" s="21"/>
      <c r="I46" s="23"/>
      <c r="J46" s="23"/>
      <c r="L46" s="53"/>
    </row>
    <row r="47" spans="3:12" ht="12.75">
      <c r="C47" s="21"/>
      <c r="D47" s="21"/>
      <c r="E47" s="18">
        <v>41108</v>
      </c>
      <c r="F47" s="21"/>
      <c r="G47" s="33">
        <v>59889.22</v>
      </c>
      <c r="H47" s="21"/>
      <c r="I47" s="23"/>
      <c r="J47" s="23"/>
      <c r="L47" s="53"/>
    </row>
    <row r="48" spans="3:12" ht="12.75">
      <c r="C48" s="21"/>
      <c r="D48" s="21"/>
      <c r="E48" s="18">
        <v>41137</v>
      </c>
      <c r="F48" s="21"/>
      <c r="G48" s="33">
        <v>25909.14</v>
      </c>
      <c r="H48" s="21"/>
      <c r="I48" s="23"/>
      <c r="J48" s="23"/>
      <c r="L48" s="53"/>
    </row>
    <row r="49" spans="3:12" ht="12.75">
      <c r="C49" s="21"/>
      <c r="D49" s="21"/>
      <c r="E49" s="18">
        <v>41173</v>
      </c>
      <c r="F49" s="21"/>
      <c r="G49" s="33">
        <v>519144.04</v>
      </c>
      <c r="H49" s="21"/>
      <c r="I49" s="23"/>
      <c r="J49" s="23"/>
      <c r="L49" s="53"/>
    </row>
    <row r="50" spans="3:12" ht="12.75">
      <c r="C50" s="21" t="s">
        <v>5</v>
      </c>
      <c r="D50" s="21"/>
      <c r="E50" s="18">
        <v>41284</v>
      </c>
      <c r="F50" s="21"/>
      <c r="G50" s="33">
        <v>-83350.73</v>
      </c>
      <c r="H50" s="21"/>
      <c r="I50" s="23"/>
      <c r="J50" s="23"/>
      <c r="L50" s="53"/>
    </row>
    <row r="51" spans="3:12" ht="12.75">
      <c r="C51" s="21"/>
      <c r="D51" s="21"/>
      <c r="E51" s="18">
        <v>41298</v>
      </c>
      <c r="F51" s="21"/>
      <c r="G51" s="33">
        <v>-106630.71</v>
      </c>
      <c r="H51" s="21"/>
      <c r="I51" s="23"/>
      <c r="J51" s="23"/>
      <c r="L51" s="53"/>
    </row>
    <row r="52" spans="3:12" ht="12.75">
      <c r="C52" s="21"/>
      <c r="D52" s="21"/>
      <c r="E52" s="18">
        <v>41345</v>
      </c>
      <c r="F52" s="21"/>
      <c r="G52" s="33">
        <v>-109332.86</v>
      </c>
      <c r="H52" s="21"/>
      <c r="I52" s="23"/>
      <c r="J52" s="23"/>
      <c r="L52" s="53"/>
    </row>
    <row r="53" spans="3:12" ht="12.75">
      <c r="C53" s="21"/>
      <c r="D53" s="21"/>
      <c r="E53" s="18">
        <v>41360</v>
      </c>
      <c r="F53" s="21"/>
      <c r="G53" s="33">
        <v>-97900.71</v>
      </c>
      <c r="H53" s="21"/>
      <c r="I53" s="23"/>
      <c r="J53" s="23"/>
      <c r="L53" s="53"/>
    </row>
    <row r="54" spans="3:12" ht="12.75">
      <c r="C54" s="21"/>
      <c r="D54" s="21"/>
      <c r="E54" s="18">
        <v>41393</v>
      </c>
      <c r="F54" s="21"/>
      <c r="G54" s="33">
        <v>-78777.85</v>
      </c>
      <c r="H54" s="21"/>
      <c r="I54" s="23"/>
      <c r="J54" s="23"/>
      <c r="L54" s="53"/>
    </row>
    <row r="55" spans="3:12" ht="12.75">
      <c r="C55" s="21"/>
      <c r="D55" s="21"/>
      <c r="E55" s="18">
        <v>41404</v>
      </c>
      <c r="F55" s="21"/>
      <c r="G55" s="33">
        <v>-107254.28</v>
      </c>
      <c r="H55" s="21"/>
      <c r="I55" s="23"/>
      <c r="J55" s="23"/>
      <c r="L55" s="53"/>
    </row>
    <row r="56" spans="3:12" ht="12.75">
      <c r="C56" s="21"/>
      <c r="D56" s="21"/>
      <c r="E56" s="18">
        <v>41423</v>
      </c>
      <c r="F56" s="21"/>
      <c r="G56" s="33">
        <v>-92912.15</v>
      </c>
      <c r="H56" s="21"/>
      <c r="I56" s="23"/>
      <c r="J56" s="23"/>
      <c r="L56" s="53"/>
    </row>
    <row r="57" spans="3:12" ht="12.75">
      <c r="C57" s="21"/>
      <c r="D57" s="21"/>
      <c r="E57" s="18">
        <v>41446</v>
      </c>
      <c r="F57" s="21"/>
      <c r="G57" s="33">
        <v>-283932.86</v>
      </c>
      <c r="H57" s="21"/>
      <c r="I57" s="23"/>
      <c r="J57" s="23"/>
      <c r="L57" s="53"/>
    </row>
    <row r="58" spans="3:12" ht="12.75">
      <c r="C58" s="21"/>
      <c r="D58" s="21"/>
      <c r="E58" s="18">
        <v>41481</v>
      </c>
      <c r="F58" s="21"/>
      <c r="G58" s="33">
        <v>-88755</v>
      </c>
      <c r="H58" s="21"/>
      <c r="I58" s="23"/>
      <c r="J58" s="23"/>
      <c r="L58" s="53"/>
    </row>
    <row r="59" spans="3:12" ht="12.75">
      <c r="C59" s="21"/>
      <c r="D59" s="21"/>
      <c r="E59" s="18">
        <v>41501</v>
      </c>
      <c r="F59" s="21"/>
      <c r="G59" s="33">
        <v>-83558.57</v>
      </c>
      <c r="H59" s="21"/>
      <c r="I59" s="23"/>
      <c r="J59" s="23"/>
      <c r="L59" s="53"/>
    </row>
    <row r="60" spans="3:12" ht="12.75">
      <c r="C60" s="21"/>
      <c r="D60" s="21"/>
      <c r="E60" s="18">
        <v>41514</v>
      </c>
      <c r="F60" s="21"/>
      <c r="G60" s="33">
        <v>-121180.72</v>
      </c>
      <c r="H60" s="21"/>
      <c r="I60" s="23"/>
      <c r="J60" s="23"/>
      <c r="L60" s="53"/>
    </row>
    <row r="61" spans="3:12" ht="12.75">
      <c r="C61" s="21"/>
      <c r="D61" s="21"/>
      <c r="E61" s="18">
        <v>41551</v>
      </c>
      <c r="F61" s="21"/>
      <c r="G61" s="33">
        <v>-72334.28</v>
      </c>
      <c r="H61" s="21"/>
      <c r="I61" s="23"/>
      <c r="J61" s="23"/>
      <c r="L61" s="53"/>
    </row>
    <row r="62" spans="3:12" ht="12.75">
      <c r="C62" s="21"/>
      <c r="D62" s="21"/>
      <c r="E62" s="18">
        <v>41577</v>
      </c>
      <c r="F62" s="21"/>
      <c r="G62" s="33">
        <v>-115776.43</v>
      </c>
      <c r="H62" s="21"/>
      <c r="L62" s="53"/>
    </row>
    <row r="63" spans="3:12" ht="12.75">
      <c r="C63" s="21"/>
      <c r="D63" s="21"/>
      <c r="E63" s="18">
        <v>41599</v>
      </c>
      <c r="F63" s="21"/>
      <c r="G63" s="33">
        <v>-73165.71</v>
      </c>
      <c r="H63" s="21"/>
      <c r="L63" s="53"/>
    </row>
    <row r="64" spans="3:12" ht="12.75">
      <c r="C64" s="21"/>
      <c r="D64" s="21"/>
      <c r="E64" s="18">
        <v>41624</v>
      </c>
      <c r="F64" s="21"/>
      <c r="G64" s="33">
        <v>-146331.43</v>
      </c>
      <c r="H64" s="21"/>
      <c r="L64" s="53"/>
    </row>
    <row r="65" spans="3:12" ht="12.75">
      <c r="C65" s="21" t="s">
        <v>32</v>
      </c>
      <c r="D65" s="21"/>
      <c r="E65" s="18">
        <v>41418</v>
      </c>
      <c r="F65" s="21"/>
      <c r="G65" s="33">
        <v>32143.76</v>
      </c>
      <c r="H65" s="21"/>
      <c r="L65" s="53"/>
    </row>
    <row r="66" spans="3:12" ht="12.75">
      <c r="C66" s="21"/>
      <c r="D66" s="21"/>
      <c r="E66" s="18">
        <v>41618</v>
      </c>
      <c r="F66" s="21"/>
      <c r="G66" s="33">
        <v>120407.15</v>
      </c>
      <c r="H66" s="21"/>
      <c r="L66" s="53"/>
    </row>
    <row r="67" spans="3:12" ht="12.75">
      <c r="C67" s="21" t="s">
        <v>7</v>
      </c>
      <c r="D67" s="21"/>
      <c r="E67" s="18">
        <v>41646</v>
      </c>
      <c r="F67" s="21"/>
      <c r="G67" s="33">
        <v>-103305.01</v>
      </c>
      <c r="H67" s="21"/>
      <c r="I67" s="23"/>
      <c r="J67" s="21"/>
      <c r="L67" s="53"/>
    </row>
    <row r="68" spans="3:12" ht="12.75">
      <c r="C68" s="21"/>
      <c r="D68" s="21"/>
      <c r="E68" s="18">
        <v>41670</v>
      </c>
      <c r="F68" s="21"/>
      <c r="G68" s="33">
        <v>-76699.29</v>
      </c>
      <c r="H68" s="21"/>
      <c r="I68" s="23"/>
      <c r="J68" s="21"/>
      <c r="L68" s="53"/>
    </row>
    <row r="69" spans="3:12" ht="12.75">
      <c r="C69" s="21"/>
      <c r="D69" s="21"/>
      <c r="E69" s="18">
        <v>41697</v>
      </c>
      <c r="F69" s="21"/>
      <c r="G69" s="33">
        <v>-136562.13</v>
      </c>
      <c r="H69" s="21"/>
      <c r="I69" s="23"/>
      <c r="J69" s="21"/>
      <c r="L69" s="53"/>
    </row>
    <row r="70" spans="3:12" ht="12.75">
      <c r="C70" s="21"/>
      <c r="D70" s="21"/>
      <c r="E70" s="18">
        <v>41704</v>
      </c>
      <c r="F70" s="21"/>
      <c r="G70" s="33">
        <v>-98940</v>
      </c>
      <c r="H70" s="21"/>
      <c r="I70" s="23"/>
      <c r="J70" s="21"/>
      <c r="L70" s="53"/>
    </row>
    <row r="71" spans="3:12" ht="12.75">
      <c r="C71" s="21"/>
      <c r="D71" s="21"/>
      <c r="E71" s="18">
        <v>41718</v>
      </c>
      <c r="F71" s="21"/>
      <c r="G71" s="33">
        <v>-86468.56</v>
      </c>
      <c r="H71" s="21"/>
      <c r="I71" s="23"/>
      <c r="J71" s="21"/>
      <c r="L71" s="53"/>
    </row>
    <row r="72" spans="3:12" ht="12.75">
      <c r="C72" s="21"/>
      <c r="D72" s="21"/>
      <c r="E72" s="18">
        <v>41750</v>
      </c>
      <c r="F72" s="21"/>
      <c r="G72" s="33">
        <v>-137393.57</v>
      </c>
      <c r="H72" s="21"/>
      <c r="I72" s="23"/>
      <c r="J72" s="21"/>
      <c r="L72" s="53"/>
    </row>
    <row r="73" spans="3:12" ht="12.75">
      <c r="C73" s="21"/>
      <c r="D73" s="21"/>
      <c r="E73" s="18">
        <v>41779</v>
      </c>
      <c r="F73" s="21"/>
      <c r="G73" s="33">
        <v>-137185.7</v>
      </c>
      <c r="H73" s="21"/>
      <c r="I73" s="39"/>
      <c r="J73" s="40"/>
      <c r="L73" s="53"/>
    </row>
    <row r="74" spans="3:12" ht="12.75">
      <c r="C74" s="21"/>
      <c r="D74" s="21"/>
      <c r="E74" s="18">
        <v>41814</v>
      </c>
      <c r="F74" s="21"/>
      <c r="G74" s="33">
        <v>-101226.43</v>
      </c>
      <c r="H74" s="21"/>
      <c r="L74" s="53"/>
    </row>
    <row r="75" spans="3:12" ht="12.75">
      <c r="C75" s="21"/>
      <c r="D75" s="21"/>
      <c r="E75" s="18">
        <v>41877</v>
      </c>
      <c r="F75" s="21"/>
      <c r="G75" s="33">
        <v>-159426.43</v>
      </c>
      <c r="H75" s="21"/>
      <c r="L75" s="53"/>
    </row>
    <row r="76" spans="3:12" ht="12.75">
      <c r="C76" s="21"/>
      <c r="D76" s="21"/>
      <c r="E76" s="18">
        <v>41913</v>
      </c>
      <c r="F76" s="21"/>
      <c r="G76" s="33">
        <v>-66098.57</v>
      </c>
      <c r="H76" s="21"/>
      <c r="L76" s="53"/>
    </row>
    <row r="77" spans="3:12" ht="12.75">
      <c r="C77" s="21"/>
      <c r="D77" s="21"/>
      <c r="E77" s="18">
        <v>41943</v>
      </c>
      <c r="F77" s="21"/>
      <c r="G77" s="33">
        <v>-84390.01</v>
      </c>
      <c r="H77" s="21"/>
      <c r="L77" s="53"/>
    </row>
    <row r="78" spans="3:12" ht="12.75">
      <c r="C78" s="21"/>
      <c r="D78" s="21"/>
      <c r="E78" s="18">
        <v>41990</v>
      </c>
      <c r="F78" s="21"/>
      <c r="G78" s="33">
        <v>-88339.29</v>
      </c>
      <c r="H78" s="21"/>
      <c r="L78" s="53"/>
    </row>
    <row r="79" spans="3:12" ht="12.75">
      <c r="C79" s="21" t="s">
        <v>8</v>
      </c>
      <c r="D79" s="21"/>
      <c r="E79" s="18">
        <v>41816</v>
      </c>
      <c r="F79" s="21"/>
      <c r="G79" s="33">
        <v>199985.24</v>
      </c>
      <c r="H79" s="21"/>
      <c r="L79" s="53"/>
    </row>
    <row r="80" spans="3:12" ht="12.75">
      <c r="C80" s="21"/>
      <c r="D80" s="21"/>
      <c r="E80" s="18">
        <v>41857</v>
      </c>
      <c r="F80" s="21"/>
      <c r="G80" s="33">
        <v>809416.30</v>
      </c>
      <c r="H80" s="21"/>
      <c r="L80" s="53"/>
    </row>
    <row r="81" spans="3:12" ht="12.75">
      <c r="C81" s="21" t="s">
        <v>9</v>
      </c>
      <c r="D81" s="21"/>
      <c r="E81" s="18">
        <v>42011</v>
      </c>
      <c r="F81" s="21"/>
      <c r="G81" s="33">
        <v>-69424.29</v>
      </c>
      <c r="H81" s="21"/>
      <c r="L81" s="53"/>
    </row>
    <row r="82" spans="3:12" ht="12.75">
      <c r="C82" s="21"/>
      <c r="D82" s="21"/>
      <c r="E82" s="18">
        <v>42027</v>
      </c>
      <c r="F82" s="21"/>
      <c r="G82" s="33">
        <v>-89586.43</v>
      </c>
      <c r="H82" s="21"/>
      <c r="L82" s="53"/>
    </row>
    <row r="83" spans="3:12" ht="12.75">
      <c r="C83" s="21"/>
      <c r="D83" s="21"/>
      <c r="E83" s="18">
        <v>42075</v>
      </c>
      <c r="F83" s="21"/>
      <c r="G83" s="33">
        <v>-89794.29</v>
      </c>
      <c r="H83" s="21"/>
      <c r="L83" s="53"/>
    </row>
    <row r="84" spans="4:12" ht="12.75">
      <c r="D84" s="21"/>
      <c r="E84" s="18">
        <v>42138</v>
      </c>
      <c r="F84" s="21"/>
      <c r="G84" s="33">
        <v>-133028.58</v>
      </c>
      <c r="H84" s="21"/>
      <c r="L84" s="53"/>
    </row>
    <row r="85" spans="4:12" ht="12.75">
      <c r="D85" s="21"/>
      <c r="E85" s="18">
        <v>42265</v>
      </c>
      <c r="F85" s="21"/>
      <c r="G85" s="33">
        <v>-60070.70</v>
      </c>
      <c r="H85" s="21"/>
      <c r="L85" s="53"/>
    </row>
    <row r="86" spans="4:12" ht="12.75">
      <c r="D86" s="21"/>
      <c r="E86" s="18">
        <v>42297</v>
      </c>
      <c r="F86" s="21"/>
      <c r="G86" s="33">
        <v>-104967.86</v>
      </c>
      <c r="H86" s="21"/>
      <c r="L86" s="53"/>
    </row>
    <row r="87" spans="4:12" ht="12.75">
      <c r="D87" s="21"/>
      <c r="E87" s="18">
        <v>42352</v>
      </c>
      <c r="F87" s="21"/>
      <c r="G87" s="33">
        <v>-94159.28</v>
      </c>
      <c r="H87" s="21"/>
      <c r="L87" s="53"/>
    </row>
    <row r="88" spans="3:12" ht="12.75" customHeight="1">
      <c r="C88" s="21" t="s">
        <v>10</v>
      </c>
      <c r="D88" s="21"/>
      <c r="E88" s="18">
        <v>42055</v>
      </c>
      <c r="F88" s="21"/>
      <c r="G88" s="33">
        <v>0</v>
      </c>
      <c r="H88" s="21"/>
      <c r="I88" s="23"/>
      <c r="L88" s="53"/>
    </row>
    <row r="89" spans="3:12" ht="12.75" customHeight="1">
      <c r="C89" s="21"/>
      <c r="D89" s="21"/>
      <c r="E89" s="18">
        <v>42150</v>
      </c>
      <c r="F89" s="21"/>
      <c r="G89" s="33">
        <v>133058.82</v>
      </c>
      <c r="H89" s="21"/>
      <c r="I89" s="23"/>
      <c r="L89" s="53"/>
    </row>
    <row r="90" spans="3:12" ht="12.75" customHeight="1">
      <c r="C90" s="21"/>
      <c r="D90" s="21"/>
      <c r="E90" s="18">
        <v>42251</v>
      </c>
      <c r="F90" s="21"/>
      <c r="G90" s="33">
        <v>214566.18</v>
      </c>
      <c r="H90" s="21"/>
      <c r="I90" s="23"/>
      <c r="L90" s="53"/>
    </row>
    <row r="91" spans="3:12" ht="12.75" customHeight="1">
      <c r="C91" s="21" t="s">
        <v>13</v>
      </c>
      <c r="D91" s="21"/>
      <c r="E91" s="18">
        <v>42424</v>
      </c>
      <c r="F91" s="21"/>
      <c r="G91" s="33">
        <v>-94367.15</v>
      </c>
      <c r="H91" s="21"/>
      <c r="I91" s="23"/>
      <c r="L91" s="53"/>
    </row>
    <row r="92" spans="3:12" ht="12.75" customHeight="1">
      <c r="C92" s="21"/>
      <c r="D92" s="21"/>
      <c r="E92" s="18">
        <v>42452</v>
      </c>
      <c r="F92" s="21"/>
      <c r="G92" s="33">
        <v>-70463.56</v>
      </c>
      <c r="H92" s="21"/>
      <c r="I92" s="23"/>
      <c r="L92" s="53"/>
    </row>
    <row r="93" spans="3:12" ht="12.75" customHeight="1">
      <c r="C93" s="21"/>
      <c r="D93" s="21"/>
      <c r="E93" s="18">
        <v>42485</v>
      </c>
      <c r="F93" s="21"/>
      <c r="G93" s="33">
        <v>-87507.85</v>
      </c>
      <c r="H93" s="21"/>
      <c r="L93" s="53"/>
    </row>
    <row r="94" spans="3:12" ht="12.75" customHeight="1">
      <c r="C94" s="21"/>
      <c r="D94" s="21"/>
      <c r="E94" s="18">
        <v>42558</v>
      </c>
      <c r="F94" s="21"/>
      <c r="G94" s="33">
        <v>-54458.57</v>
      </c>
      <c r="H94" s="21"/>
      <c r="L94" s="53"/>
    </row>
    <row r="95" spans="3:12" ht="12.75" customHeight="1">
      <c r="C95" s="21"/>
      <c r="D95" s="21"/>
      <c r="E95" s="18">
        <v>42578</v>
      </c>
      <c r="F95" s="21"/>
      <c r="G95" s="33">
        <v>-54042.86</v>
      </c>
      <c r="H95" s="21"/>
      <c r="L95" s="53"/>
    </row>
    <row r="96" spans="3:12" ht="12.75" customHeight="1">
      <c r="C96" s="21"/>
      <c r="D96" s="21"/>
      <c r="E96" s="18">
        <v>42636</v>
      </c>
      <c r="F96" s="21"/>
      <c r="G96" s="33">
        <v>-70879.29</v>
      </c>
      <c r="H96" s="21"/>
      <c r="L96" s="53"/>
    </row>
    <row r="97" spans="3:12" ht="12.75" customHeight="1">
      <c r="C97" s="21"/>
      <c r="D97" s="21"/>
      <c r="E97" s="18">
        <v>42664</v>
      </c>
      <c r="F97" s="21"/>
      <c r="G97" s="33">
        <v>-68177.14</v>
      </c>
      <c r="H97" s="21"/>
      <c r="L97" s="53"/>
    </row>
    <row r="98" spans="3:12" ht="12.75" customHeight="1">
      <c r="C98" s="21"/>
      <c r="D98" s="21"/>
      <c r="E98" s="18">
        <v>42697</v>
      </c>
      <c r="F98" s="21"/>
      <c r="G98" s="33">
        <v>-41571.43</v>
      </c>
      <c r="H98" s="21"/>
      <c r="L98" s="53"/>
    </row>
    <row r="99" spans="3:12" ht="12.75" customHeight="1">
      <c r="C99" s="21"/>
      <c r="D99" s="21"/>
      <c r="E99" s="18">
        <v>42727</v>
      </c>
      <c r="F99" s="21"/>
      <c r="G99" s="33">
        <v>-120141.43</v>
      </c>
      <c r="H99" s="21"/>
      <c r="L99" s="53"/>
    </row>
    <row r="100" spans="3:12" ht="12.75" customHeight="1">
      <c r="C100" s="21" t="s">
        <v>14</v>
      </c>
      <c r="D100" s="21"/>
      <c r="E100" s="18">
        <v>42404</v>
      </c>
      <c r="F100" s="21"/>
      <c r="G100" s="33">
        <v>125567.95</v>
      </c>
      <c r="H100" s="21"/>
      <c r="I100" s="23"/>
      <c r="L100" s="53"/>
    </row>
    <row r="101" spans="3:12" ht="12.75" customHeight="1">
      <c r="C101" s="21"/>
      <c r="D101" s="21"/>
      <c r="E101" s="18">
        <v>42451</v>
      </c>
      <c r="F101" s="21"/>
      <c r="G101" s="33">
        <v>42362.70</v>
      </c>
      <c r="H101" s="21"/>
      <c r="I101" s="23"/>
      <c r="L101" s="53"/>
    </row>
    <row r="102" spans="3:12" ht="12.75" customHeight="1">
      <c r="C102" s="21"/>
      <c r="D102" s="21"/>
      <c r="E102" s="18">
        <v>42549</v>
      </c>
      <c r="F102" s="21"/>
      <c r="G102" s="33">
        <v>22061.54</v>
      </c>
      <c r="H102" s="21"/>
      <c r="I102" s="23"/>
      <c r="L102" s="53"/>
    </row>
    <row r="103" spans="3:12" ht="12.75" customHeight="1">
      <c r="C103" s="21"/>
      <c r="D103" s="21"/>
      <c r="E103" s="18">
        <v>42584</v>
      </c>
      <c r="F103" s="21"/>
      <c r="G103" s="33">
        <v>588658.97</v>
      </c>
      <c r="H103" s="21"/>
      <c r="I103" s="23"/>
      <c r="L103" s="53"/>
    </row>
    <row r="104" spans="3:12" ht="12.75" customHeight="1">
      <c r="C104" s="21"/>
      <c r="D104" s="21"/>
      <c r="E104" s="18">
        <v>42632</v>
      </c>
      <c r="F104" s="21"/>
      <c r="G104" s="33">
        <v>37306.49</v>
      </c>
      <c r="H104" s="21"/>
      <c r="I104" s="23"/>
      <c r="L104" s="53"/>
    </row>
    <row r="105" spans="3:12" ht="12.75" customHeight="1">
      <c r="C105" s="21"/>
      <c r="D105" s="21"/>
      <c r="E105" s="18">
        <v>42656</v>
      </c>
      <c r="F105" s="21"/>
      <c r="G105" s="33">
        <v>150097.2</v>
      </c>
      <c r="H105" s="21"/>
      <c r="I105" s="23"/>
      <c r="L105" s="53"/>
    </row>
    <row r="106" spans="3:12" ht="12.75" customHeight="1">
      <c r="C106" s="21"/>
      <c r="D106" s="21"/>
      <c r="E106" s="18">
        <v>42723</v>
      </c>
      <c r="F106" s="21"/>
      <c r="G106" s="33">
        <v>143473.42</v>
      </c>
      <c r="H106" s="21"/>
      <c r="I106" s="111"/>
      <c r="J106" s="113"/>
      <c r="K106" s="113"/>
      <c r="L106" s="104"/>
    </row>
    <row r="107" spans="3:12" ht="12.75" customHeight="1">
      <c r="C107" s="21" t="s">
        <v>15</v>
      </c>
      <c r="D107" s="21"/>
      <c r="E107" s="18">
        <v>42795</v>
      </c>
      <c r="F107" s="21"/>
      <c r="G107" s="33">
        <v>-56329.29</v>
      </c>
      <c r="H107" s="21"/>
      <c r="I107" s="111"/>
      <c r="J107" s="112"/>
      <c r="K107" s="113"/>
      <c r="L107" s="54"/>
    </row>
    <row r="108" spans="3:12" ht="12.75" customHeight="1">
      <c r="C108" s="21"/>
      <c r="D108" s="21"/>
      <c r="E108" s="18">
        <v>42822</v>
      </c>
      <c r="F108" s="21"/>
      <c r="G108" s="33">
        <v>-31178.57</v>
      </c>
      <c r="H108" s="21"/>
      <c r="I108" s="111"/>
      <c r="J108" s="112"/>
      <c r="K108" s="113"/>
      <c r="L108" s="54"/>
    </row>
    <row r="109" spans="3:12" ht="12.75" customHeight="1">
      <c r="C109" s="21"/>
      <c r="D109" s="21"/>
      <c r="E109" s="18">
        <v>42843</v>
      </c>
      <c r="F109" s="21"/>
      <c r="G109" s="33">
        <v>-55290</v>
      </c>
      <c r="H109" s="21"/>
      <c r="I109" s="111"/>
      <c r="J109" s="112"/>
      <c r="K109" s="113"/>
      <c r="L109" s="54"/>
    </row>
    <row r="110" spans="3:12" ht="12.75" customHeight="1">
      <c r="C110" s="21"/>
      <c r="D110" s="21"/>
      <c r="E110" s="18">
        <v>42909</v>
      </c>
      <c r="F110" s="21"/>
      <c r="G110" s="33">
        <v>-80856.42</v>
      </c>
      <c r="H110" s="21"/>
      <c r="I110" s="111"/>
      <c r="J110" s="112"/>
      <c r="K110" s="113"/>
      <c r="L110" s="54"/>
    </row>
    <row r="111" spans="3:12" ht="12.75" customHeight="1">
      <c r="C111" s="21"/>
      <c r="D111" s="21"/>
      <c r="E111" s="18">
        <v>43054</v>
      </c>
      <c r="F111" s="21"/>
      <c r="G111" s="33">
        <v>-54458.58</v>
      </c>
      <c r="H111" s="21"/>
      <c r="I111" s="111"/>
      <c r="J111" s="112"/>
      <c r="K111" s="113"/>
      <c r="L111" s="126"/>
    </row>
    <row r="112" spans="3:12" ht="12.75" customHeight="1">
      <c r="C112" s="21"/>
      <c r="D112" s="21"/>
      <c r="E112" s="18">
        <v>43090</v>
      </c>
      <c r="F112" s="21"/>
      <c r="G112" s="33">
        <v>-67969.28</v>
      </c>
      <c r="H112" s="21"/>
      <c r="I112" s="111"/>
      <c r="J112" s="112"/>
      <c r="K112" s="113"/>
      <c r="L112" s="126"/>
    </row>
    <row r="113" spans="3:12" ht="12.75" customHeight="1">
      <c r="C113" s="21" t="s">
        <v>16</v>
      </c>
      <c r="D113" s="21"/>
      <c r="E113" s="18">
        <v>42823</v>
      </c>
      <c r="F113" s="21"/>
      <c r="G113" s="33">
        <v>217020.23</v>
      </c>
      <c r="H113" s="21"/>
      <c r="I113" s="111"/>
      <c r="J113" s="112"/>
      <c r="K113" s="113"/>
      <c r="L113" s="126"/>
    </row>
    <row r="114" spans="3:12" ht="12.75" customHeight="1">
      <c r="C114" s="21"/>
      <c r="D114" s="21"/>
      <c r="E114" s="18">
        <v>42859</v>
      </c>
      <c r="F114" s="21"/>
      <c r="G114" s="33">
        <v>32505.74</v>
      </c>
      <c r="H114" s="21"/>
      <c r="I114" s="23"/>
      <c r="L114" s="53"/>
    </row>
    <row r="115" spans="3:12" ht="12.75" customHeight="1">
      <c r="C115" s="21"/>
      <c r="D115" s="21"/>
      <c r="E115" s="18">
        <v>43020</v>
      </c>
      <c r="F115" s="21"/>
      <c r="G115" s="33">
        <v>82653.95</v>
      </c>
      <c r="H115" s="21"/>
      <c r="I115" s="23"/>
      <c r="L115" s="53"/>
    </row>
    <row r="116" spans="3:12" ht="12.75" customHeight="1">
      <c r="C116" s="21" t="s">
        <v>17</v>
      </c>
      <c r="D116" s="21"/>
      <c r="E116" s="18">
        <v>43364</v>
      </c>
      <c r="F116" s="21"/>
      <c r="G116" s="33">
        <v>-170442.86</v>
      </c>
      <c r="H116" s="21"/>
      <c r="I116" s="23"/>
      <c r="L116" s="53"/>
    </row>
    <row r="117" spans="3:12" ht="12.75" customHeight="1">
      <c r="C117" s="21"/>
      <c r="D117" s="21"/>
      <c r="E117" s="18">
        <v>43454</v>
      </c>
      <c r="F117" s="21"/>
      <c r="G117" s="33">
        <v>-173145</v>
      </c>
      <c r="H117" s="21"/>
      <c r="I117" s="23"/>
      <c r="L117" s="53"/>
    </row>
    <row r="118" spans="3:12" ht="12.75" customHeight="1">
      <c r="C118" s="21" t="s">
        <v>18</v>
      </c>
      <c r="D118" s="21"/>
      <c r="E118" s="18">
        <v>43152</v>
      </c>
      <c r="F118" s="21"/>
      <c r="G118" s="33">
        <v>507551.35</v>
      </c>
      <c r="H118" s="21"/>
      <c r="I118" s="23"/>
      <c r="L118" s="53"/>
    </row>
    <row r="119" spans="3:12" ht="12.75" customHeight="1">
      <c r="C119" s="21"/>
      <c r="D119" s="21"/>
      <c r="E119" s="18">
        <v>43186</v>
      </c>
      <c r="F119" s="21"/>
      <c r="G119" s="33">
        <v>303400.82</v>
      </c>
      <c r="H119" s="21"/>
      <c r="I119" s="23"/>
      <c r="L119" s="53"/>
    </row>
    <row r="120" spans="3:12" ht="12.75" customHeight="1">
      <c r="C120" s="21"/>
      <c r="D120" s="21"/>
      <c r="E120" s="18">
        <v>43262</v>
      </c>
      <c r="F120" s="21"/>
      <c r="G120" s="33">
        <v>43362.99</v>
      </c>
      <c r="H120" s="21"/>
      <c r="I120" s="23"/>
      <c r="L120" s="53"/>
    </row>
    <row r="121" spans="3:12" ht="12.75" customHeight="1">
      <c r="C121" s="21"/>
      <c r="D121" s="21"/>
      <c r="E121" s="18">
        <v>43404</v>
      </c>
      <c r="F121" s="21"/>
      <c r="G121" s="33">
        <v>41363.8</v>
      </c>
      <c r="H121" s="21"/>
      <c r="I121" s="23"/>
      <c r="L121" s="53"/>
    </row>
    <row r="122" spans="3:12" ht="12.75" customHeight="1">
      <c r="C122" s="21" t="s">
        <v>19</v>
      </c>
      <c r="D122" s="21"/>
      <c r="E122" s="18">
        <v>43649</v>
      </c>
      <c r="F122" s="21"/>
      <c r="G122" s="33">
        <v>-30555</v>
      </c>
      <c r="H122" s="21"/>
      <c r="I122" s="23"/>
      <c r="L122" s="53"/>
    </row>
    <row r="123" spans="3:12" ht="12.75" customHeight="1">
      <c r="C123" s="21" t="s">
        <v>20</v>
      </c>
      <c r="D123" s="21"/>
      <c r="E123" s="18">
        <v>43593</v>
      </c>
      <c r="F123" s="21"/>
      <c r="G123" s="33">
        <v>43099.64</v>
      </c>
      <c r="H123" s="21"/>
      <c r="I123" s="23"/>
      <c r="L123" s="53"/>
    </row>
    <row r="124" spans="3:12" ht="12.75" customHeight="1">
      <c r="C124" s="21"/>
      <c r="D124" s="21"/>
      <c r="E124" s="18">
        <v>43655</v>
      </c>
      <c r="F124" s="21"/>
      <c r="G124" s="33">
        <v>72232.02</v>
      </c>
      <c r="H124" s="21"/>
      <c r="I124" s="23"/>
      <c r="L124" s="53"/>
    </row>
    <row r="125" spans="3:12" ht="12.75" customHeight="1">
      <c r="C125" s="21" t="s">
        <v>21</v>
      </c>
      <c r="D125" s="21"/>
      <c r="E125" s="18">
        <v>43928</v>
      </c>
      <c r="F125" s="21"/>
      <c r="G125" s="33">
        <v>-26397.86</v>
      </c>
      <c r="H125" s="21"/>
      <c r="I125" s="23"/>
      <c r="L125" s="53"/>
    </row>
    <row r="126" spans="3:12" ht="12.75" customHeight="1">
      <c r="C126" s="21"/>
      <c r="D126" s="21"/>
      <c r="E126" s="18">
        <v>44070</v>
      </c>
      <c r="F126" s="21"/>
      <c r="G126" s="33">
        <v>-267966.24</v>
      </c>
      <c r="H126" s="21"/>
      <c r="I126" s="23"/>
      <c r="L126" s="50"/>
    </row>
    <row r="127" spans="3:12" ht="12.75" customHeight="1">
      <c r="C127" s="21" t="s">
        <v>23</v>
      </c>
      <c r="D127" s="21"/>
      <c r="E127" s="18">
        <v>44302</v>
      </c>
      <c r="F127" s="21"/>
      <c r="G127" s="33">
        <v>131158.08</v>
      </c>
      <c r="H127" s="21"/>
      <c r="I127" s="23"/>
      <c r="L127" s="50"/>
    </row>
    <row r="128" spans="3:12" ht="12.75" customHeight="1">
      <c r="C128" s="21" t="s">
        <v>25</v>
      </c>
      <c r="D128" s="21"/>
      <c r="E128" s="18">
        <v>44673</v>
      </c>
      <c r="F128" s="21"/>
      <c r="G128" s="33">
        <v>278880.6</v>
      </c>
      <c r="H128" s="21"/>
      <c r="I128" s="23"/>
      <c r="L128" s="50"/>
    </row>
    <row r="129" spans="3:12" ht="12.75" customHeight="1">
      <c r="C129" s="21"/>
      <c r="D129" s="21"/>
      <c r="E129" s="18">
        <v>44727</v>
      </c>
      <c r="F129" s="21"/>
      <c r="G129" s="33">
        <v>40739.2</v>
      </c>
      <c r="H129" s="21"/>
      <c r="I129" s="23"/>
      <c r="L129" s="50"/>
    </row>
    <row r="130" spans="3:12" ht="12.75" customHeight="1">
      <c r="C130" s="21"/>
      <c r="D130" s="21"/>
      <c r="E130" s="18">
        <v>44796</v>
      </c>
      <c r="F130" s="21"/>
      <c r="G130" s="33">
        <v>37166.98</v>
      </c>
      <c r="H130" s="21"/>
      <c r="I130" s="23"/>
      <c r="L130" s="50"/>
    </row>
    <row r="131" spans="3:12" ht="12.75" customHeight="1">
      <c r="C131" s="21"/>
      <c r="D131" s="21"/>
      <c r="E131" s="18">
        <v>44868</v>
      </c>
      <c r="F131" s="21"/>
      <c r="G131" s="33">
        <v>158787.2</v>
      </c>
      <c r="H131" s="21"/>
      <c r="I131" s="23"/>
      <c r="L131" s="50"/>
    </row>
    <row r="132" spans="3:12" ht="12.75" customHeight="1">
      <c r="C132" s="21"/>
      <c r="D132" s="21"/>
      <c r="E132" s="18">
        <v>44911</v>
      </c>
      <c r="F132" s="21"/>
      <c r="G132" s="33">
        <v>101499.67</v>
      </c>
      <c r="H132" s="21"/>
      <c r="I132" s="23"/>
      <c r="L132" s="50"/>
    </row>
    <row r="133" spans="3:12" ht="12.75" customHeight="1">
      <c r="C133" s="21" t="s">
        <v>26</v>
      </c>
      <c r="D133" s="21"/>
      <c r="E133" s="18">
        <v>44973</v>
      </c>
      <c r="F133" s="21"/>
      <c r="G133" s="33">
        <v>122713.93</v>
      </c>
      <c r="H133" s="21"/>
      <c r="I133" s="23"/>
      <c r="L133" s="50"/>
    </row>
    <row r="134" spans="3:12" ht="12.75" customHeight="1">
      <c r="C134" s="21"/>
      <c r="D134" s="21"/>
      <c r="E134" s="18">
        <v>45079</v>
      </c>
      <c r="F134" s="21"/>
      <c r="G134" s="33">
        <v>80249.68</v>
      </c>
      <c r="H134" s="21"/>
      <c r="I134" s="23"/>
      <c r="L134" s="50"/>
    </row>
    <row r="135" spans="3:12" ht="12.75" customHeight="1">
      <c r="C135" s="21"/>
      <c r="D135" s="21"/>
      <c r="E135" s="18">
        <v>45182</v>
      </c>
      <c r="F135" s="21"/>
      <c r="G135" s="33">
        <v>36306.22</v>
      </c>
      <c r="H135" s="21"/>
      <c r="I135" s="23"/>
      <c r="L135" s="50"/>
    </row>
    <row r="136" spans="3:12" ht="4.5" customHeight="1">
      <c r="C136" s="21"/>
      <c r="D136" s="21"/>
      <c r="E136" s="18"/>
      <c r="F136" s="21"/>
      <c r="G136" s="33"/>
      <c r="H136" s="21"/>
      <c r="I136" s="23"/>
      <c r="L136" s="53"/>
    </row>
    <row r="137" spans="3:12" ht="12.75">
      <c r="C137" s="21" t="s">
        <v>1</v>
      </c>
      <c r="D137" s="21"/>
      <c r="E137" s="18">
        <f>+E8</f>
        <v>45199</v>
      </c>
      <c r="F137" s="21"/>
      <c r="G137" s="49">
        <f>L137*C22</f>
        <v>2962800.24851965</v>
      </c>
      <c r="H137" s="21"/>
      <c r="I137" s="33">
        <f>+SUMIF($G$23:$G$136,"&lt;0",$G$23:$G$136)</f>
        <v>-8543091.139999999</v>
      </c>
      <c r="J137" s="21" t="s">
        <v>11</v>
      </c>
      <c r="L137" s="54">
        <v>89713225</v>
      </c>
    </row>
    <row r="138" spans="7:10" ht="12.75">
      <c r="G138" s="23"/>
      <c r="H138" s="21"/>
      <c r="I138" s="33">
        <f>+SUMIF($G$23:$G$136,"&gt;0",$G$23:$G$136)</f>
        <v>5790268.78</v>
      </c>
      <c r="J138" s="21" t="s">
        <v>12</v>
      </c>
    </row>
    <row r="139" spans="3:10" ht="12.75">
      <c r="C139" s="20" t="s">
        <v>0</v>
      </c>
      <c r="G139" s="47">
        <f>XIRR(G23:G137,E23:E137,0.1)</f>
        <v>0.0048341423273086555</v>
      </c>
      <c r="H139" s="21"/>
      <c r="I139" s="21"/>
      <c r="J139" s="21"/>
    </row>
    <row r="142" spans="7:7" ht="12.75">
      <c r="G142" s="34"/>
    </row>
    <row r="143" spans="5:7" ht="12.75">
      <c r="E143" s="34"/>
      <c r="F143" s="26"/>
      <c r="G143" s="34"/>
    </row>
    <row r="144" spans="5:7" ht="12.75">
      <c r="E144" s="34"/>
      <c r="F144" s="26"/>
      <c r="G144" s="34"/>
    </row>
    <row r="145" spans="3:7" ht="12.75">
      <c r="C145" s="26"/>
      <c r="D145" s="26"/>
      <c r="E145" s="51"/>
      <c r="F145" s="51"/>
      <c r="G145" s="51"/>
    </row>
    <row r="146" spans="3:7" ht="12.75">
      <c r="C146" s="26"/>
      <c r="D146" s="26"/>
      <c r="E146" s="34"/>
      <c r="F146" s="34"/>
      <c r="G146" s="34"/>
    </row>
    <row r="147" spans="3:7" ht="12.75">
      <c r="C147" s="26"/>
      <c r="D147" s="26"/>
      <c r="E147" s="26"/>
      <c r="F147" s="26"/>
      <c r="G147" s="26"/>
    </row>
    <row r="148" spans="3:7" ht="12.75">
      <c r="C148" s="114"/>
      <c r="D148" s="114"/>
      <c r="E148" s="115"/>
      <c r="F148" s="71"/>
      <c r="G148" s="46"/>
    </row>
    <row r="149" spans="3:7" ht="12.75">
      <c r="C149" s="114"/>
      <c r="D149" s="114"/>
      <c r="E149" s="46"/>
      <c r="F149" s="71"/>
      <c r="G149" s="46"/>
    </row>
    <row r="150" spans="3:7" ht="12.75">
      <c r="C150" s="114"/>
      <c r="D150" s="114"/>
      <c r="E150" s="46"/>
      <c r="F150" s="71"/>
      <c r="G150" s="46"/>
    </row>
    <row r="151" spans="3:7" ht="12.75">
      <c r="C151" s="116"/>
      <c r="D151" s="114"/>
      <c r="E151" s="46"/>
      <c r="F151" s="71"/>
      <c r="G151" s="46"/>
    </row>
    <row r="152" spans="3:7" ht="12.75">
      <c r="C152" s="116"/>
      <c r="D152" s="114"/>
      <c r="E152" s="46"/>
      <c r="F152" s="71"/>
      <c r="G152" s="46"/>
    </row>
    <row r="153" spans="3:7" ht="12.75">
      <c r="C153" s="117"/>
      <c r="D153" s="114"/>
      <c r="E153" s="46"/>
      <c r="F153" s="71"/>
      <c r="G153" s="46"/>
    </row>
    <row r="154" spans="3:7" ht="12.75">
      <c r="C154" s="114"/>
      <c r="D154" s="114"/>
      <c r="E154" s="46"/>
      <c r="F154" s="71"/>
      <c r="G154" s="46"/>
    </row>
    <row r="155" spans="3:7" ht="12.75">
      <c r="C155" s="114"/>
      <c r="D155" s="114"/>
      <c r="E155" s="46"/>
      <c r="F155" s="71"/>
      <c r="G155" s="46"/>
    </row>
    <row r="156" spans="3:7" ht="12.75">
      <c r="C156" s="114"/>
      <c r="D156" s="114"/>
      <c r="E156" s="46"/>
      <c r="F156" s="71"/>
      <c r="G156" s="46"/>
    </row>
    <row r="157" spans="3:7" ht="12.75">
      <c r="C157" s="114"/>
      <c r="D157" s="114"/>
      <c r="E157" s="46"/>
      <c r="F157" s="71"/>
      <c r="G157" s="46"/>
    </row>
    <row r="158" spans="3:7" ht="12.75">
      <c r="C158" s="114"/>
      <c r="D158" s="114"/>
      <c r="E158" s="46"/>
      <c r="F158" s="71"/>
      <c r="G158" s="46"/>
    </row>
    <row r="159" spans="3:7" ht="12.75">
      <c r="C159" s="114"/>
      <c r="D159" s="114"/>
      <c r="E159" s="46"/>
      <c r="F159" s="71"/>
      <c r="G159" s="46"/>
    </row>
    <row r="160" ht="5.1" customHeight="1"/>
  </sheetData>
  <mergeCells count="2">
    <mergeCell ref="H8:I8"/>
    <mergeCell ref="E145:G145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AF0EDE-5657-45BE-918D-27A55D48334C}">
  <sheetPr>
    <pageSetUpPr fitToPage="1"/>
  </sheetPr>
  <dimension ref="B4:L160"/>
  <sheetViews>
    <sheetView showGridLines="0" view="pageLayout" zoomScaleNormal="100" workbookViewId="0" topLeftCell="A1">
      <selection pane="topLeft" activeCell="C11" sqref="C11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9">
        <f>+VIII!E8</f>
        <v>45199</v>
      </c>
      <c r="F8" s="36"/>
      <c r="G8" s="6"/>
      <c r="H8" s="81"/>
      <c r="I8" s="81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55"/>
      <c r="I10" s="55"/>
    </row>
    <row r="11" spans="3:9" ht="12.75">
      <c r="C11" s="105"/>
      <c r="D11" s="105"/>
      <c r="E11" s="106"/>
      <c r="F11" s="105"/>
      <c r="G11" s="106"/>
      <c r="H11" s="55"/>
      <c r="I11" s="55"/>
    </row>
    <row r="12" spans="3:9" ht="15.75">
      <c r="C12" s="107"/>
      <c r="D12" s="107"/>
      <c r="E12" s="108"/>
      <c r="F12" s="107"/>
      <c r="G12" s="108"/>
      <c r="H12" s="55"/>
      <c r="I12" s="55"/>
    </row>
    <row r="13" spans="3:9" ht="12.75">
      <c r="C13" s="105"/>
      <c r="D13" s="105"/>
      <c r="E13" s="109"/>
      <c r="F13" s="105"/>
      <c r="G13" s="54"/>
      <c r="H13" s="55"/>
      <c r="I13" s="55"/>
    </row>
    <row r="14" spans="3:9" ht="12.75">
      <c r="C14" s="105"/>
      <c r="D14" s="105"/>
      <c r="E14" s="110"/>
      <c r="F14" s="105"/>
      <c r="G14" s="54"/>
      <c r="H14" s="55"/>
      <c r="I14" s="55"/>
    </row>
    <row r="15" spans="3:9" ht="12.75">
      <c r="C15" s="105"/>
      <c r="D15" s="105"/>
      <c r="E15" s="106"/>
      <c r="F15" s="105"/>
      <c r="G15" s="106"/>
      <c r="H15" s="55"/>
      <c r="I15" s="55"/>
    </row>
    <row r="16" spans="3:9" ht="15.75">
      <c r="C16" s="5"/>
      <c r="D16" s="5"/>
      <c r="E16" s="14"/>
      <c r="F16" s="5"/>
      <c r="G16" s="14"/>
      <c r="H16" s="5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+G138</f>
        <v>0.005530443787574769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(G136+I137)/-I136</f>
        <v>1.0279640572632602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5"/>
      <c r="I20" s="55"/>
    </row>
    <row r="21" spans="3:10" ht="12.75">
      <c r="C21" s="22" t="s">
        <v>33</v>
      </c>
      <c r="D21" s="7"/>
      <c r="E21" s="7"/>
      <c r="F21" s="7"/>
      <c r="G21" s="8"/>
      <c r="H21" s="82"/>
      <c r="I21" s="18"/>
      <c r="J21" s="21"/>
    </row>
    <row r="22" spans="3:10" ht="15.75">
      <c r="C22" s="83">
        <v>0.151630023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30</v>
      </c>
      <c r="D23" s="21"/>
      <c r="E23" s="18">
        <v>40590</v>
      </c>
      <c r="F23" s="21"/>
      <c r="G23" s="33">
        <v>-3150000</v>
      </c>
      <c r="H23" s="21"/>
      <c r="I23" s="23"/>
      <c r="J23" s="23"/>
      <c r="L23" s="53"/>
    </row>
    <row r="24" spans="3:12" ht="12.75">
      <c r="C24" s="21"/>
      <c r="D24" s="21"/>
      <c r="E24" s="18">
        <v>40661</v>
      </c>
      <c r="F24" s="21"/>
      <c r="G24" s="33">
        <v>-806485.68</v>
      </c>
      <c r="H24" s="21"/>
      <c r="I24" s="23"/>
      <c r="J24" s="23"/>
      <c r="L24" s="53"/>
    </row>
    <row r="25" spans="3:12" ht="12.75">
      <c r="C25" s="21"/>
      <c r="D25" s="21"/>
      <c r="E25" s="18">
        <v>40704</v>
      </c>
      <c r="F25" s="21"/>
      <c r="G25" s="33">
        <v>-1272085.66</v>
      </c>
      <c r="H25" s="21"/>
      <c r="I25" s="23"/>
      <c r="J25" s="23"/>
      <c r="L25" s="53"/>
    </row>
    <row r="26" spans="3:12" ht="12.75">
      <c r="C26" s="21"/>
      <c r="D26" s="21"/>
      <c r="E26" s="18">
        <v>40751</v>
      </c>
      <c r="F26" s="21"/>
      <c r="G26" s="33">
        <v>-1216657.09</v>
      </c>
      <c r="H26" s="21"/>
      <c r="I26" s="23"/>
      <c r="J26" s="23"/>
      <c r="L26" s="53"/>
    </row>
    <row r="27" spans="3:12" ht="12.75">
      <c r="C27" s="21"/>
      <c r="D27" s="21"/>
      <c r="E27" s="18">
        <v>40765</v>
      </c>
      <c r="F27" s="21"/>
      <c r="G27" s="33">
        <v>-2023142.77</v>
      </c>
      <c r="H27" s="21"/>
      <c r="I27" s="23"/>
      <c r="J27" s="23"/>
      <c r="L27" s="53"/>
    </row>
    <row r="28" spans="3:12" ht="12.75">
      <c r="C28" s="21"/>
      <c r="D28" s="21"/>
      <c r="E28" s="18">
        <v>40813</v>
      </c>
      <c r="F28" s="21"/>
      <c r="G28" s="33">
        <v>-1782028.50</v>
      </c>
      <c r="H28" s="21"/>
      <c r="I28" s="23"/>
      <c r="J28" s="23"/>
      <c r="L28" s="53"/>
    </row>
    <row r="29" spans="3:12" ht="12.75">
      <c r="C29" s="21"/>
      <c r="D29" s="21"/>
      <c r="E29" s="18">
        <v>40879</v>
      </c>
      <c r="F29" s="21"/>
      <c r="G29" s="33">
        <v>-856371.39</v>
      </c>
      <c r="H29" s="21"/>
      <c r="I29" s="23"/>
      <c r="J29" s="23"/>
      <c r="L29" s="53"/>
    </row>
    <row r="30" spans="3:12" ht="12.75">
      <c r="C30" s="21"/>
      <c r="D30" s="21"/>
      <c r="E30" s="18">
        <v>40886</v>
      </c>
      <c r="F30" s="21"/>
      <c r="G30" s="33">
        <v>-1166771.38</v>
      </c>
      <c r="H30" s="21"/>
      <c r="I30" s="23"/>
      <c r="J30" s="23"/>
      <c r="L30" s="53"/>
    </row>
    <row r="31" spans="3:12" ht="12.75">
      <c r="C31" s="21" t="s">
        <v>4</v>
      </c>
      <c r="D31" s="21"/>
      <c r="E31" s="18">
        <v>40927</v>
      </c>
      <c r="F31" s="21"/>
      <c r="G31" s="33">
        <v>-1951085.63</v>
      </c>
      <c r="H31" s="21"/>
      <c r="I31" s="23"/>
      <c r="J31" s="23"/>
      <c r="L31" s="53"/>
    </row>
    <row r="32" spans="3:12" ht="12.75">
      <c r="C32" s="21"/>
      <c r="D32" s="21"/>
      <c r="E32" s="18">
        <v>40942</v>
      </c>
      <c r="F32" s="21"/>
      <c r="G32" s="33">
        <v>-9145713.91</v>
      </c>
      <c r="H32" s="21"/>
      <c r="I32" s="23"/>
      <c r="J32" s="23"/>
      <c r="L32" s="53"/>
    </row>
    <row r="33" spans="3:12" ht="12.75">
      <c r="C33" s="21"/>
      <c r="D33" s="21"/>
      <c r="E33" s="18">
        <v>40970</v>
      </c>
      <c r="F33" s="21"/>
      <c r="G33" s="33">
        <v>-1454999.94</v>
      </c>
      <c r="H33" s="21"/>
      <c r="I33" s="23"/>
      <c r="J33" s="23"/>
      <c r="L33" s="53"/>
    </row>
    <row r="34" spans="3:12" ht="12.75">
      <c r="C34" s="21"/>
      <c r="D34" s="21"/>
      <c r="E34" s="18">
        <v>41001</v>
      </c>
      <c r="F34" s="21"/>
      <c r="G34" s="33">
        <v>-850828.54</v>
      </c>
      <c r="H34" s="21"/>
      <c r="I34" s="23"/>
      <c r="J34" s="23"/>
      <c r="L34" s="53"/>
    </row>
    <row r="35" spans="3:12" ht="12.75">
      <c r="C35" s="21"/>
      <c r="D35" s="21"/>
      <c r="E35" s="18">
        <v>41024</v>
      </c>
      <c r="F35" s="21"/>
      <c r="G35" s="33">
        <v>-1008799.96</v>
      </c>
      <c r="H35" s="21"/>
      <c r="I35" s="23"/>
      <c r="J35" s="23"/>
      <c r="L35" s="53"/>
    </row>
    <row r="36" spans="3:12" ht="12.75">
      <c r="C36" s="21"/>
      <c r="D36" s="21"/>
      <c r="E36" s="18">
        <v>41054</v>
      </c>
      <c r="F36" s="21"/>
      <c r="G36" s="33">
        <v>-1313657.09</v>
      </c>
      <c r="H36" s="21"/>
      <c r="I36" s="23"/>
      <c r="J36" s="23"/>
      <c r="L36" s="53"/>
    </row>
    <row r="37" spans="3:12" ht="12.75">
      <c r="C37" s="21"/>
      <c r="D37" s="21"/>
      <c r="E37" s="18">
        <v>41080</v>
      </c>
      <c r="F37" s="21"/>
      <c r="G37" s="33">
        <v>-2436085.61</v>
      </c>
      <c r="H37" s="21"/>
      <c r="I37" s="23"/>
      <c r="J37" s="23"/>
      <c r="L37" s="53"/>
    </row>
    <row r="38" spans="3:12" ht="12.75">
      <c r="C38" s="21"/>
      <c r="D38" s="21"/>
      <c r="E38" s="18">
        <v>41103</v>
      </c>
      <c r="F38" s="21"/>
      <c r="G38" s="33">
        <v>-789857.11</v>
      </c>
      <c r="H38" s="21"/>
      <c r="I38" s="23"/>
      <c r="J38" s="23"/>
      <c r="L38" s="53"/>
    </row>
    <row r="39" spans="3:12" ht="12.75">
      <c r="C39" s="21"/>
      <c r="D39" s="21"/>
      <c r="E39" s="18">
        <v>41121</v>
      </c>
      <c r="F39" s="21"/>
      <c r="G39" s="33">
        <v>-762142.83</v>
      </c>
      <c r="H39" s="21"/>
      <c r="I39" s="23"/>
      <c r="J39" s="23"/>
      <c r="L39" s="53"/>
    </row>
    <row r="40" spans="3:12" ht="12.75">
      <c r="C40" s="21"/>
      <c r="D40" s="21"/>
      <c r="E40" s="18">
        <v>41152</v>
      </c>
      <c r="F40" s="21"/>
      <c r="G40" s="33">
        <v>-1008799.99</v>
      </c>
      <c r="H40" s="21"/>
      <c r="I40" s="23"/>
      <c r="J40" s="23"/>
      <c r="L40" s="53"/>
    </row>
    <row r="41" spans="3:12" ht="12.75">
      <c r="C41" s="21"/>
      <c r="D41" s="21"/>
      <c r="E41" s="18">
        <v>41180</v>
      </c>
      <c r="F41" s="21"/>
      <c r="G41" s="33">
        <v>-1912285.72</v>
      </c>
      <c r="H41" s="21"/>
      <c r="I41" s="23"/>
      <c r="J41" s="23"/>
      <c r="L41" s="53"/>
    </row>
    <row r="42" spans="3:12" ht="12.75">
      <c r="C42" s="21"/>
      <c r="D42" s="21"/>
      <c r="E42" s="18">
        <v>41194</v>
      </c>
      <c r="F42" s="21"/>
      <c r="G42" s="33">
        <v>-939514.29</v>
      </c>
      <c r="H42" s="21"/>
      <c r="I42" s="23"/>
      <c r="J42" s="23"/>
      <c r="L42" s="53"/>
    </row>
    <row r="43" spans="3:12" ht="12.75">
      <c r="C43" s="21"/>
      <c r="D43" s="21"/>
      <c r="E43" s="18">
        <v>41250</v>
      </c>
      <c r="F43" s="21"/>
      <c r="G43" s="33">
        <v>-4237514.28</v>
      </c>
      <c r="H43" s="21"/>
      <c r="I43" s="23"/>
      <c r="J43" s="23"/>
      <c r="L43" s="53"/>
    </row>
    <row r="44" spans="3:12" ht="12.75">
      <c r="C44" s="21"/>
      <c r="D44" s="21"/>
      <c r="E44" s="18">
        <v>41264</v>
      </c>
      <c r="F44" s="21"/>
      <c r="G44" s="33">
        <v>-3763600</v>
      </c>
      <c r="H44" s="21"/>
      <c r="I44" s="23"/>
      <c r="J44" s="23"/>
      <c r="L44" s="53"/>
    </row>
    <row r="45" spans="3:12" ht="12.75">
      <c r="C45" s="21" t="s">
        <v>31</v>
      </c>
      <c r="D45" s="21"/>
      <c r="E45" s="18">
        <v>41030</v>
      </c>
      <c r="F45" s="21"/>
      <c r="G45" s="33">
        <v>3231985.63</v>
      </c>
      <c r="H45" s="21"/>
      <c r="I45" s="23"/>
      <c r="J45" s="23"/>
      <c r="L45" s="53"/>
    </row>
    <row r="46" spans="3:12" ht="12.75">
      <c r="C46" s="21"/>
      <c r="D46" s="21"/>
      <c r="E46" s="18">
        <v>41108</v>
      </c>
      <c r="F46" s="21"/>
      <c r="G46" s="33">
        <v>805926.42</v>
      </c>
      <c r="H46" s="21"/>
      <c r="I46" s="23"/>
      <c r="J46" s="23"/>
      <c r="L46" s="53"/>
    </row>
    <row r="47" spans="3:12" ht="12.75">
      <c r="C47" s="21"/>
      <c r="D47" s="21"/>
      <c r="E47" s="18">
        <v>41137</v>
      </c>
      <c r="F47" s="21"/>
      <c r="G47" s="33">
        <v>345455.13</v>
      </c>
      <c r="H47" s="21"/>
      <c r="I47" s="23"/>
      <c r="J47" s="23"/>
      <c r="L47" s="53"/>
    </row>
    <row r="48" spans="3:12" ht="12.75">
      <c r="C48" s="21"/>
      <c r="D48" s="21"/>
      <c r="E48" s="18">
        <v>41173</v>
      </c>
      <c r="F48" s="21"/>
      <c r="G48" s="33">
        <v>7058897.29</v>
      </c>
      <c r="H48" s="21"/>
      <c r="I48" s="23"/>
      <c r="J48" s="23"/>
      <c r="L48" s="53"/>
    </row>
    <row r="49" spans="3:12" ht="12.75">
      <c r="C49" s="21" t="s">
        <v>5</v>
      </c>
      <c r="D49" s="21"/>
      <c r="E49" s="18">
        <v>41284</v>
      </c>
      <c r="F49" s="21"/>
      <c r="G49" s="33">
        <v>-1111342.85</v>
      </c>
      <c r="H49" s="21"/>
      <c r="I49" s="23"/>
      <c r="J49" s="23"/>
      <c r="L49" s="53"/>
    </row>
    <row r="50" spans="3:12" ht="12.75">
      <c r="C50" s="21"/>
      <c r="D50" s="21"/>
      <c r="E50" s="18">
        <v>41298</v>
      </c>
      <c r="F50" s="21"/>
      <c r="G50" s="33">
        <v>-1421742.86</v>
      </c>
      <c r="H50" s="21"/>
      <c r="I50" s="23"/>
      <c r="J50" s="23"/>
      <c r="L50" s="53"/>
    </row>
    <row r="51" spans="3:12" ht="12.75">
      <c r="C51" s="21"/>
      <c r="D51" s="21"/>
      <c r="E51" s="18">
        <v>41345</v>
      </c>
      <c r="F51" s="21"/>
      <c r="G51" s="33">
        <v>-1457771.43</v>
      </c>
      <c r="H51" s="21"/>
      <c r="I51" s="23"/>
      <c r="J51" s="23"/>
      <c r="L51" s="53"/>
    </row>
    <row r="52" spans="3:12" ht="12.75">
      <c r="C52" s="21"/>
      <c r="D52" s="21"/>
      <c r="E52" s="18">
        <v>41360</v>
      </c>
      <c r="F52" s="21"/>
      <c r="G52" s="33">
        <v>-1305342.83</v>
      </c>
      <c r="H52" s="21"/>
      <c r="I52" s="23"/>
      <c r="J52" s="23"/>
      <c r="L52" s="53"/>
    </row>
    <row r="53" spans="3:12" ht="12.75">
      <c r="C53" s="21"/>
      <c r="D53" s="21"/>
      <c r="E53" s="18">
        <v>41393</v>
      </c>
      <c r="F53" s="21"/>
      <c r="G53" s="33">
        <v>-1050371.45</v>
      </c>
      <c r="H53" s="21"/>
      <c r="I53" s="23"/>
      <c r="J53" s="23"/>
      <c r="L53" s="53"/>
    </row>
    <row r="54" spans="3:12" ht="12.75">
      <c r="C54" s="21"/>
      <c r="D54" s="21"/>
      <c r="E54" s="18">
        <v>41404</v>
      </c>
      <c r="F54" s="21"/>
      <c r="G54" s="33">
        <v>-1430057.15</v>
      </c>
      <c r="H54" s="21"/>
      <c r="I54" s="23"/>
      <c r="J54" s="23"/>
      <c r="L54" s="53"/>
    </row>
    <row r="55" spans="3:12" ht="12.75">
      <c r="C55" s="21"/>
      <c r="D55" s="21"/>
      <c r="E55" s="18">
        <v>41423</v>
      </c>
      <c r="F55" s="21"/>
      <c r="G55" s="33">
        <v>-1238828.57</v>
      </c>
      <c r="H55" s="21"/>
      <c r="I55" s="23"/>
      <c r="J55" s="23"/>
      <c r="L55" s="53"/>
    </row>
    <row r="56" spans="3:12" ht="12.75">
      <c r="C56" s="21"/>
      <c r="D56" s="21"/>
      <c r="E56" s="18">
        <v>41446</v>
      </c>
      <c r="F56" s="21"/>
      <c r="G56" s="33">
        <v>-3785771.43</v>
      </c>
      <c r="H56" s="21"/>
      <c r="I56" s="23"/>
      <c r="J56" s="23"/>
      <c r="L56" s="53"/>
    </row>
    <row r="57" spans="3:12" ht="12.75">
      <c r="C57" s="21"/>
      <c r="D57" s="21"/>
      <c r="E57" s="18">
        <v>41481</v>
      </c>
      <c r="F57" s="21"/>
      <c r="G57" s="33">
        <v>-1183400</v>
      </c>
      <c r="H57" s="21"/>
      <c r="I57" s="23"/>
      <c r="J57" s="23"/>
      <c r="L57" s="53"/>
    </row>
    <row r="58" spans="3:12" ht="12.75">
      <c r="C58" s="21"/>
      <c r="D58" s="21"/>
      <c r="E58" s="18">
        <v>41501</v>
      </c>
      <c r="F58" s="21"/>
      <c r="G58" s="33">
        <v>-1114114.29</v>
      </c>
      <c r="H58" s="21"/>
      <c r="I58" s="23"/>
      <c r="J58" s="23"/>
      <c r="L58" s="53"/>
    </row>
    <row r="59" spans="3:12" ht="12.75">
      <c r="C59" s="21"/>
      <c r="D59" s="21"/>
      <c r="E59" s="18">
        <v>41514</v>
      </c>
      <c r="F59" s="21"/>
      <c r="G59" s="33">
        <v>-1615742.86</v>
      </c>
      <c r="H59" s="21"/>
      <c r="I59" s="23"/>
      <c r="J59" s="23"/>
      <c r="L59" s="53"/>
    </row>
    <row r="60" spans="3:12" ht="12.75">
      <c r="C60" s="21"/>
      <c r="D60" s="21"/>
      <c r="E60" s="18">
        <v>41551</v>
      </c>
      <c r="F60" s="21"/>
      <c r="G60" s="33">
        <v>-964457.14</v>
      </c>
      <c r="H60" s="21"/>
      <c r="I60" s="23"/>
      <c r="J60" s="23"/>
      <c r="L60" s="53"/>
    </row>
    <row r="61" spans="3:12" ht="12.75">
      <c r="C61" s="21"/>
      <c r="D61" s="21"/>
      <c r="E61" s="18">
        <v>41577</v>
      </c>
      <c r="F61" s="21"/>
      <c r="G61" s="33">
        <v>-1543685.71</v>
      </c>
      <c r="H61" s="21"/>
      <c r="L61" s="53"/>
    </row>
    <row r="62" spans="3:12" ht="12.75">
      <c r="C62" s="21"/>
      <c r="D62" s="21"/>
      <c r="E62" s="18">
        <v>41599</v>
      </c>
      <c r="F62" s="21"/>
      <c r="G62" s="33">
        <v>-975542.86</v>
      </c>
      <c r="H62" s="21"/>
      <c r="L62" s="53"/>
    </row>
    <row r="63" spans="3:12" ht="12.75">
      <c r="C63" s="21"/>
      <c r="D63" s="21"/>
      <c r="E63" s="18">
        <v>41624</v>
      </c>
      <c r="F63" s="21"/>
      <c r="G63" s="33">
        <v>-1951085.70</v>
      </c>
      <c r="H63" s="21"/>
      <c r="L63" s="53"/>
    </row>
    <row r="64" spans="3:12" ht="12.75">
      <c r="C64" s="21" t="s">
        <v>32</v>
      </c>
      <c r="D64" s="21"/>
      <c r="E64" s="18">
        <v>41418</v>
      </c>
      <c r="F64" s="21"/>
      <c r="G64" s="33">
        <v>442046.13</v>
      </c>
      <c r="H64" s="21"/>
      <c r="L64" s="53"/>
    </row>
    <row r="65" spans="3:12" ht="12.75">
      <c r="C65" s="21"/>
      <c r="D65" s="21"/>
      <c r="E65" s="18">
        <v>41618</v>
      </c>
      <c r="F65" s="21"/>
      <c r="G65" s="33">
        <v>1627880.21</v>
      </c>
      <c r="H65" s="21"/>
      <c r="L65" s="53"/>
    </row>
    <row r="66" spans="3:12" ht="12.75">
      <c r="C66" s="21" t="s">
        <v>7</v>
      </c>
      <c r="D66" s="21"/>
      <c r="E66" s="18">
        <v>41646</v>
      </c>
      <c r="F66" s="21"/>
      <c r="G66" s="33">
        <v>-1377399.99</v>
      </c>
      <c r="H66" s="21"/>
      <c r="I66" s="23"/>
      <c r="J66" s="21"/>
      <c r="L66" s="53"/>
    </row>
    <row r="67" spans="3:12" ht="12.75">
      <c r="C67" s="21"/>
      <c r="D67" s="21"/>
      <c r="E67" s="18">
        <v>41670</v>
      </c>
      <c r="F67" s="21"/>
      <c r="G67" s="33">
        <v>-1022657.14</v>
      </c>
      <c r="H67" s="21"/>
      <c r="I67" s="23"/>
      <c r="J67" s="21"/>
      <c r="L67" s="53"/>
    </row>
    <row r="68" spans="3:12" ht="12.75">
      <c r="C68" s="21"/>
      <c r="D68" s="21"/>
      <c r="E68" s="18">
        <v>41697</v>
      </c>
      <c r="F68" s="21"/>
      <c r="G68" s="33">
        <v>-1820828.36</v>
      </c>
      <c r="H68" s="21"/>
      <c r="I68" s="23"/>
      <c r="J68" s="21"/>
      <c r="L68" s="53"/>
    </row>
    <row r="69" spans="3:12" ht="12.75">
      <c r="C69" s="21"/>
      <c r="D69" s="21"/>
      <c r="E69" s="18">
        <v>41704</v>
      </c>
      <c r="F69" s="21"/>
      <c r="G69" s="33">
        <v>-1319200</v>
      </c>
      <c r="H69" s="21"/>
      <c r="I69" s="23"/>
      <c r="J69" s="21"/>
      <c r="L69" s="53"/>
    </row>
    <row r="70" spans="3:12" ht="12.75">
      <c r="C70" s="21"/>
      <c r="D70" s="21"/>
      <c r="E70" s="18">
        <v>41718</v>
      </c>
      <c r="F70" s="21"/>
      <c r="G70" s="33">
        <v>-1152914.29</v>
      </c>
      <c r="H70" s="21"/>
      <c r="I70" s="23"/>
      <c r="J70" s="21"/>
      <c r="L70" s="53"/>
    </row>
    <row r="71" spans="3:12" ht="12.75">
      <c r="C71" s="21"/>
      <c r="D71" s="21"/>
      <c r="E71" s="18">
        <v>41750</v>
      </c>
      <c r="F71" s="21"/>
      <c r="G71" s="33">
        <v>-1831914.29</v>
      </c>
      <c r="H71" s="21"/>
      <c r="I71" s="23"/>
      <c r="J71" s="21"/>
      <c r="L71" s="53"/>
    </row>
    <row r="72" spans="3:12" ht="12.75">
      <c r="C72" s="21"/>
      <c r="D72" s="21"/>
      <c r="E72" s="18">
        <v>41779</v>
      </c>
      <c r="F72" s="21"/>
      <c r="G72" s="33">
        <v>-1829142.86</v>
      </c>
      <c r="H72" s="21"/>
      <c r="L72" s="53"/>
    </row>
    <row r="73" spans="3:12" ht="12.75">
      <c r="C73" s="21"/>
      <c r="D73" s="21"/>
      <c r="E73" s="18">
        <v>41814</v>
      </c>
      <c r="F73" s="21"/>
      <c r="G73" s="33">
        <v>-1349685.72</v>
      </c>
      <c r="H73" s="21"/>
      <c r="L73" s="53"/>
    </row>
    <row r="74" spans="3:12" ht="12.75">
      <c r="C74" s="21"/>
      <c r="D74" s="21"/>
      <c r="E74" s="18">
        <v>41877</v>
      </c>
      <c r="F74" s="21"/>
      <c r="G74" s="33">
        <v>-2125685.72</v>
      </c>
      <c r="H74" s="21"/>
      <c r="L74" s="53"/>
    </row>
    <row r="75" spans="3:12" ht="12.75">
      <c r="C75" s="21"/>
      <c r="D75" s="21"/>
      <c r="E75" s="18">
        <v>41913</v>
      </c>
      <c r="F75" s="21"/>
      <c r="G75" s="33">
        <v>-881314.29</v>
      </c>
      <c r="H75" s="21"/>
      <c r="L75" s="53"/>
    </row>
    <row r="76" spans="3:12" ht="12.75">
      <c r="C76" s="21"/>
      <c r="D76" s="21"/>
      <c r="E76" s="18">
        <v>41943</v>
      </c>
      <c r="F76" s="21"/>
      <c r="G76" s="33">
        <v>-1125200</v>
      </c>
      <c r="H76" s="21"/>
      <c r="L76" s="53"/>
    </row>
    <row r="77" spans="3:12" ht="12.75">
      <c r="C77" s="21"/>
      <c r="D77" s="21"/>
      <c r="E77" s="18">
        <v>41990</v>
      </c>
      <c r="F77" s="21"/>
      <c r="G77" s="33">
        <v>-1177857.15</v>
      </c>
      <c r="H77" s="21"/>
      <c r="L77" s="53"/>
    </row>
    <row r="78" spans="3:12" ht="12.75">
      <c r="C78" s="21" t="s">
        <v>8</v>
      </c>
      <c r="D78" s="21"/>
      <c r="E78" s="18">
        <v>41816</v>
      </c>
      <c r="F78" s="21"/>
      <c r="G78" s="33">
        <v>2837711.53</v>
      </c>
      <c r="H78" s="21"/>
      <c r="L78" s="53"/>
    </row>
    <row r="79" spans="3:12" ht="12.75">
      <c r="C79" s="21"/>
      <c r="D79" s="21"/>
      <c r="E79" s="18">
        <v>41857</v>
      </c>
      <c r="F79" s="21"/>
      <c r="G79" s="33">
        <v>1.022572136E7</v>
      </c>
      <c r="H79" s="21"/>
      <c r="L79" s="53"/>
    </row>
    <row r="80" spans="3:12" ht="12.75">
      <c r="C80" s="21" t="s">
        <v>9</v>
      </c>
      <c r="D80" s="21"/>
      <c r="E80" s="18">
        <v>42011</v>
      </c>
      <c r="F80" s="21"/>
      <c r="G80" s="33">
        <v>-925657.15</v>
      </c>
      <c r="H80" s="21"/>
      <c r="L80" s="53"/>
    </row>
    <row r="81" spans="3:12" ht="12.75">
      <c r="C81" s="21"/>
      <c r="D81" s="21"/>
      <c r="E81" s="18">
        <v>42027</v>
      </c>
      <c r="F81" s="21"/>
      <c r="G81" s="33">
        <v>-1194485.71</v>
      </c>
      <c r="H81" s="21"/>
      <c r="L81" s="53"/>
    </row>
    <row r="82" spans="3:12" ht="12.75">
      <c r="C82" s="21"/>
      <c r="D82" s="21"/>
      <c r="E82" s="18">
        <v>42075</v>
      </c>
      <c r="F82" s="21"/>
      <c r="G82" s="33">
        <v>-1197257.14</v>
      </c>
      <c r="H82" s="21"/>
      <c r="L82" s="53"/>
    </row>
    <row r="83" spans="3:12" ht="12.75">
      <c r="C83" s="21"/>
      <c r="D83" s="21"/>
      <c r="E83" s="18">
        <v>42138</v>
      </c>
      <c r="F83" s="21"/>
      <c r="G83" s="33">
        <v>-1773714.29</v>
      </c>
      <c r="H83" s="21"/>
      <c r="L83" s="53"/>
    </row>
    <row r="84" spans="3:12" ht="12.75">
      <c r="C84" s="21"/>
      <c r="D84" s="21"/>
      <c r="E84" s="18">
        <v>42265</v>
      </c>
      <c r="F84" s="21"/>
      <c r="G84" s="33">
        <v>-800942.85</v>
      </c>
      <c r="H84" s="21"/>
      <c r="L84" s="53"/>
    </row>
    <row r="85" spans="3:12" ht="12.75">
      <c r="C85" s="21"/>
      <c r="D85" s="21"/>
      <c r="E85" s="18">
        <v>42297</v>
      </c>
      <c r="F85" s="21"/>
      <c r="G85" s="33">
        <v>-1399571.42</v>
      </c>
      <c r="H85" s="21"/>
      <c r="L85" s="53"/>
    </row>
    <row r="86" spans="3:12" ht="12.75">
      <c r="C86" s="21"/>
      <c r="D86" s="21"/>
      <c r="E86" s="18">
        <v>42352</v>
      </c>
      <c r="F86" s="21"/>
      <c r="G86" s="33">
        <v>-1255457.13</v>
      </c>
      <c r="H86" s="21"/>
      <c r="L86" s="53"/>
    </row>
    <row r="87" spans="3:12" ht="12.75">
      <c r="C87" s="21" t="s">
        <v>10</v>
      </c>
      <c r="D87" s="21"/>
      <c r="E87" s="18">
        <v>42055</v>
      </c>
      <c r="F87" s="21"/>
      <c r="G87" s="33">
        <v>341725.53</v>
      </c>
      <c r="H87" s="21"/>
      <c r="I87" s="23"/>
      <c r="J87" s="21"/>
      <c r="L87" s="53"/>
    </row>
    <row r="88" spans="3:12" ht="12.75">
      <c r="C88" s="21"/>
      <c r="D88" s="21"/>
      <c r="E88" s="18">
        <v>42150</v>
      </c>
      <c r="F88" s="21"/>
      <c r="G88" s="33">
        <v>2090988.95</v>
      </c>
      <c r="H88" s="21"/>
      <c r="I88" s="23"/>
      <c r="J88" s="21"/>
      <c r="L88" s="53"/>
    </row>
    <row r="89" spans="3:12" ht="12.75">
      <c r="C89" s="21"/>
      <c r="D89" s="21"/>
      <c r="E89" s="18">
        <v>42251</v>
      </c>
      <c r="F89" s="21"/>
      <c r="G89" s="33">
        <v>2860882.35</v>
      </c>
      <c r="H89" s="21"/>
      <c r="I89" s="23"/>
      <c r="J89" s="21"/>
      <c r="L89" s="53"/>
    </row>
    <row r="90" spans="3:12" ht="12.75">
      <c r="C90" s="21" t="s">
        <v>13</v>
      </c>
      <c r="D90" s="21"/>
      <c r="E90" s="18">
        <v>42424</v>
      </c>
      <c r="F90" s="21"/>
      <c r="G90" s="33">
        <v>-1258228.58</v>
      </c>
      <c r="H90" s="21"/>
      <c r="I90" s="23"/>
      <c r="J90" s="21"/>
      <c r="L90" s="53"/>
    </row>
    <row r="91" spans="3:12" ht="12.75">
      <c r="C91" s="21"/>
      <c r="D91" s="21"/>
      <c r="E91" s="18">
        <v>42452</v>
      </c>
      <c r="F91" s="21"/>
      <c r="G91" s="33">
        <v>-939514.29</v>
      </c>
      <c r="H91" s="21"/>
      <c r="L91" s="53"/>
    </row>
    <row r="92" spans="3:12" ht="12.75">
      <c r="C92" s="21"/>
      <c r="D92" s="21"/>
      <c r="E92" s="18">
        <v>42485</v>
      </c>
      <c r="F92" s="21"/>
      <c r="G92" s="33">
        <v>-1166771.41</v>
      </c>
      <c r="H92" s="21"/>
      <c r="L92" s="53"/>
    </row>
    <row r="93" spans="3:12" ht="12.75">
      <c r="C93" s="21"/>
      <c r="D93" s="21"/>
      <c r="E93" s="18">
        <v>42558</v>
      </c>
      <c r="F93" s="21"/>
      <c r="G93" s="33">
        <v>-726114.28</v>
      </c>
      <c r="H93" s="21"/>
      <c r="L93" s="53"/>
    </row>
    <row r="94" spans="3:12" ht="12.75">
      <c r="C94" s="21"/>
      <c r="D94" s="21"/>
      <c r="E94" s="18">
        <v>42578</v>
      </c>
      <c r="F94" s="21"/>
      <c r="G94" s="33">
        <v>-720571.43</v>
      </c>
      <c r="H94" s="21"/>
      <c r="L94" s="53"/>
    </row>
    <row r="95" spans="3:12" ht="12.75">
      <c r="C95" s="21"/>
      <c r="D95" s="21"/>
      <c r="E95" s="18">
        <v>42636</v>
      </c>
      <c r="F95" s="21"/>
      <c r="G95" s="33">
        <v>-945057.13</v>
      </c>
      <c r="H95" s="21"/>
      <c r="L95" s="53"/>
    </row>
    <row r="96" spans="3:12" ht="12.75">
      <c r="C96" s="21"/>
      <c r="D96" s="21"/>
      <c r="E96" s="18">
        <v>42664</v>
      </c>
      <c r="F96" s="21"/>
      <c r="G96" s="33">
        <v>-909028.57</v>
      </c>
      <c r="H96" s="21"/>
      <c r="L96" s="53"/>
    </row>
    <row r="97" spans="3:12" ht="12.75">
      <c r="C97" s="21"/>
      <c r="D97" s="21"/>
      <c r="E97" s="18">
        <v>42697</v>
      </c>
      <c r="F97" s="21"/>
      <c r="G97" s="33">
        <v>-554285.71</v>
      </c>
      <c r="H97" s="21"/>
      <c r="L97" s="53"/>
    </row>
    <row r="98" spans="3:12" ht="12.75">
      <c r="C98" s="21"/>
      <c r="D98" s="21"/>
      <c r="E98" s="18">
        <v>42727</v>
      </c>
      <c r="F98" s="21"/>
      <c r="G98" s="33">
        <v>-1601885.71</v>
      </c>
      <c r="H98" s="21"/>
      <c r="L98" s="53"/>
    </row>
    <row r="99" spans="3:12" ht="12.75">
      <c r="C99" s="21" t="s">
        <v>14</v>
      </c>
      <c r="D99" s="21"/>
      <c r="E99" s="18">
        <v>42404</v>
      </c>
      <c r="F99" s="21"/>
      <c r="G99" s="33">
        <v>1521700.22</v>
      </c>
      <c r="H99" s="21"/>
      <c r="I99" s="23"/>
      <c r="J99" s="21"/>
      <c r="L99" s="53"/>
    </row>
    <row r="100" spans="3:12" ht="12.75">
      <c r="C100" s="21"/>
      <c r="D100" s="21"/>
      <c r="E100" s="18">
        <v>42451</v>
      </c>
      <c r="F100" s="21"/>
      <c r="G100" s="33">
        <v>564835.99</v>
      </c>
      <c r="H100" s="21"/>
      <c r="I100" s="23"/>
      <c r="J100" s="21"/>
      <c r="L100" s="53"/>
    </row>
    <row r="101" spans="3:12" ht="12.75">
      <c r="C101" s="21"/>
      <c r="D101" s="21"/>
      <c r="E101" s="18">
        <v>42549</v>
      </c>
      <c r="F101" s="21"/>
      <c r="G101" s="33">
        <v>308748.75</v>
      </c>
      <c r="H101" s="21"/>
      <c r="I101" s="23"/>
      <c r="J101" s="21"/>
      <c r="L101" s="53"/>
    </row>
    <row r="102" spans="3:12" ht="12.75">
      <c r="C102" s="21"/>
      <c r="D102" s="21"/>
      <c r="E102" s="18">
        <v>42584</v>
      </c>
      <c r="F102" s="21"/>
      <c r="G102" s="33">
        <v>7848786.04</v>
      </c>
      <c r="H102" s="21"/>
      <c r="I102" s="23"/>
      <c r="J102" s="21"/>
      <c r="L102" s="53"/>
    </row>
    <row r="103" spans="3:12" ht="12.75">
      <c r="C103" s="21"/>
      <c r="D103" s="21"/>
      <c r="E103" s="18">
        <v>42632</v>
      </c>
      <c r="F103" s="21"/>
      <c r="G103" s="33">
        <v>504739.76</v>
      </c>
      <c r="H103" s="21"/>
      <c r="I103" s="23"/>
      <c r="J103" s="21"/>
      <c r="L103" s="53"/>
    </row>
    <row r="104" spans="3:12" ht="12.75">
      <c r="C104" s="21"/>
      <c r="D104" s="21"/>
      <c r="E104" s="18">
        <v>42656</v>
      </c>
      <c r="F104" s="21"/>
      <c r="G104" s="33">
        <v>2001296.05</v>
      </c>
      <c r="H104" s="21"/>
      <c r="I104" s="23"/>
      <c r="J104" s="21"/>
      <c r="L104" s="53"/>
    </row>
    <row r="105" spans="3:12" ht="15.75">
      <c r="C105" s="21"/>
      <c r="D105" s="21"/>
      <c r="E105" s="18">
        <v>42723</v>
      </c>
      <c r="F105" s="21"/>
      <c r="G105" s="33">
        <v>1913313.91</v>
      </c>
      <c r="H105" s="21"/>
      <c r="I105" s="111"/>
      <c r="J105" s="112"/>
      <c r="K105" s="113"/>
      <c r="L105" s="104"/>
    </row>
    <row r="106" spans="3:12" ht="12.75">
      <c r="C106" s="21" t="s">
        <v>15</v>
      </c>
      <c r="D106" s="21"/>
      <c r="E106" s="18">
        <v>42795</v>
      </c>
      <c r="F106" s="21"/>
      <c r="G106" s="33">
        <v>-751057.15</v>
      </c>
      <c r="H106" s="21"/>
      <c r="I106" s="111"/>
      <c r="J106" s="112"/>
      <c r="K106" s="113"/>
      <c r="L106" s="54"/>
    </row>
    <row r="107" spans="3:12" ht="12.75">
      <c r="C107" s="21"/>
      <c r="D107" s="21"/>
      <c r="E107" s="18">
        <v>42822</v>
      </c>
      <c r="F107" s="21"/>
      <c r="G107" s="33">
        <v>-415714.29</v>
      </c>
      <c r="H107" s="21"/>
      <c r="I107" s="111"/>
      <c r="J107" s="112"/>
      <c r="K107" s="113"/>
      <c r="L107" s="54"/>
    </row>
    <row r="108" spans="3:12" ht="12.75">
      <c r="C108" s="21"/>
      <c r="D108" s="21"/>
      <c r="E108" s="18">
        <v>42843</v>
      </c>
      <c r="F108" s="21"/>
      <c r="G108" s="33">
        <v>-737200</v>
      </c>
      <c r="H108" s="21"/>
      <c r="I108" s="111"/>
      <c r="J108" s="112"/>
      <c r="K108" s="113"/>
      <c r="L108" s="54"/>
    </row>
    <row r="109" spans="3:12" ht="12.75">
      <c r="C109" s="21"/>
      <c r="D109" s="21"/>
      <c r="E109" s="18">
        <v>42909</v>
      </c>
      <c r="F109" s="21"/>
      <c r="G109" s="33">
        <v>-1078085.73</v>
      </c>
      <c r="H109" s="21"/>
      <c r="I109" s="111"/>
      <c r="J109" s="112"/>
      <c r="K109" s="113"/>
      <c r="L109" s="54"/>
    </row>
    <row r="110" spans="3:12" ht="12.75">
      <c r="C110" s="21"/>
      <c r="D110" s="21"/>
      <c r="E110" s="18">
        <v>43054</v>
      </c>
      <c r="F110" s="21"/>
      <c r="G110" s="33">
        <v>-726114.28</v>
      </c>
      <c r="H110" s="21"/>
      <c r="I110" s="111"/>
      <c r="J110" s="112"/>
      <c r="K110" s="113"/>
      <c r="L110" s="126"/>
    </row>
    <row r="111" spans="3:12" ht="12.75">
      <c r="C111" s="21"/>
      <c r="D111" s="21"/>
      <c r="E111" s="18">
        <v>43090</v>
      </c>
      <c r="F111" s="21"/>
      <c r="G111" s="33">
        <v>-906257.14</v>
      </c>
      <c r="H111" s="21"/>
      <c r="I111" s="111"/>
      <c r="J111" s="112"/>
      <c r="K111" s="113"/>
      <c r="L111" s="126"/>
    </row>
    <row r="112" spans="3:12" ht="12.75">
      <c r="C112" s="21" t="s">
        <v>16</v>
      </c>
      <c r="D112" s="21"/>
      <c r="E112" s="18">
        <v>42823</v>
      </c>
      <c r="F112" s="21"/>
      <c r="G112" s="33">
        <v>2905216.14</v>
      </c>
      <c r="H112" s="21"/>
      <c r="I112" s="111"/>
      <c r="J112" s="112"/>
      <c r="K112" s="113"/>
      <c r="L112" s="126"/>
    </row>
    <row r="113" spans="3:12" ht="12.75">
      <c r="C113" s="21"/>
      <c r="D113" s="21"/>
      <c r="E113" s="18">
        <v>42859</v>
      </c>
      <c r="F113" s="21"/>
      <c r="G113" s="33">
        <v>448540.14</v>
      </c>
      <c r="H113" s="21"/>
      <c r="L113" s="53"/>
    </row>
    <row r="114" spans="3:12" ht="12.75">
      <c r="C114" s="21"/>
      <c r="D114" s="21"/>
      <c r="E114" s="18">
        <v>43020</v>
      </c>
      <c r="F114" s="21"/>
      <c r="G114" s="33">
        <v>1124900.55</v>
      </c>
      <c r="H114" s="21"/>
      <c r="I114" s="23"/>
      <c r="J114" s="21"/>
      <c r="L114" s="53"/>
    </row>
    <row r="115" spans="3:12" ht="12.75">
      <c r="C115" s="21" t="s">
        <v>17</v>
      </c>
      <c r="D115" s="21"/>
      <c r="E115" s="18">
        <v>43364</v>
      </c>
      <c r="F115" s="21"/>
      <c r="G115" s="33">
        <v>-2272571.43</v>
      </c>
      <c r="H115" s="21"/>
      <c r="I115" s="23"/>
      <c r="J115" s="21"/>
      <c r="L115" s="53"/>
    </row>
    <row r="116" spans="3:12" ht="12.75">
      <c r="C116" s="21"/>
      <c r="D116" s="21"/>
      <c r="E116" s="18">
        <v>43454</v>
      </c>
      <c r="F116" s="21"/>
      <c r="G116" s="33">
        <v>-2308600</v>
      </c>
      <c r="H116" s="21"/>
      <c r="I116" s="23"/>
      <c r="J116" s="21"/>
      <c r="L116" s="53"/>
    </row>
    <row r="117" spans="3:12" ht="12.75">
      <c r="C117" s="21" t="s">
        <v>18</v>
      </c>
      <c r="D117" s="21"/>
      <c r="E117" s="18">
        <v>43152</v>
      </c>
      <c r="F117" s="21"/>
      <c r="G117" s="33">
        <v>6769084.64</v>
      </c>
      <c r="H117" s="21"/>
      <c r="I117" s="23"/>
      <c r="J117" s="21"/>
      <c r="L117" s="53"/>
    </row>
    <row r="118" spans="3:12" ht="12.75">
      <c r="C118" s="21"/>
      <c r="D118" s="21"/>
      <c r="E118" s="18">
        <v>43186</v>
      </c>
      <c r="F118" s="21"/>
      <c r="G118" s="33">
        <v>4103177.79</v>
      </c>
      <c r="H118" s="21"/>
      <c r="I118" s="23"/>
      <c r="J118" s="21"/>
      <c r="L118" s="53"/>
    </row>
    <row r="119" spans="3:12" ht="12.75">
      <c r="C119" s="21"/>
      <c r="D119" s="21"/>
      <c r="E119" s="18">
        <v>43262</v>
      </c>
      <c r="F119" s="21"/>
      <c r="G119" s="33">
        <v>592413.93</v>
      </c>
      <c r="H119" s="21"/>
      <c r="I119" s="23"/>
      <c r="J119" s="21"/>
      <c r="L119" s="53"/>
    </row>
    <row r="120" spans="3:12" ht="12.75">
      <c r="C120" s="21"/>
      <c r="D120" s="21"/>
      <c r="E120" s="18">
        <v>43404</v>
      </c>
      <c r="F120" s="21"/>
      <c r="G120" s="33">
        <v>557239.71</v>
      </c>
      <c r="H120" s="21"/>
      <c r="I120" s="23"/>
      <c r="J120" s="21"/>
      <c r="L120" s="53"/>
    </row>
    <row r="121" spans="3:12" ht="12.75">
      <c r="C121" s="21" t="s">
        <v>19</v>
      </c>
      <c r="D121" s="21"/>
      <c r="E121" s="18">
        <v>43649</v>
      </c>
      <c r="F121" s="21"/>
      <c r="G121" s="33">
        <v>-407400</v>
      </c>
      <c r="H121" s="21"/>
      <c r="I121" s="23"/>
      <c r="J121" s="21"/>
      <c r="L121" s="53"/>
    </row>
    <row r="122" spans="3:12" ht="12.75">
      <c r="C122" s="21" t="s">
        <v>20</v>
      </c>
      <c r="D122" s="21"/>
      <c r="E122" s="18">
        <v>43593</v>
      </c>
      <c r="F122" s="21"/>
      <c r="G122" s="33">
        <v>581602.77</v>
      </c>
      <c r="H122" s="21"/>
      <c r="I122" s="23"/>
      <c r="J122" s="21"/>
      <c r="L122" s="53"/>
    </row>
    <row r="123" spans="3:12" ht="12.75">
      <c r="C123" s="21"/>
      <c r="D123" s="21"/>
      <c r="E123" s="18">
        <v>43655</v>
      </c>
      <c r="F123" s="21"/>
      <c r="G123" s="33">
        <v>963093.60</v>
      </c>
      <c r="H123" s="21"/>
      <c r="I123" s="23"/>
      <c r="J123" s="21"/>
      <c r="L123" s="53"/>
    </row>
    <row r="124" spans="3:12" ht="12.75">
      <c r="C124" s="21" t="s">
        <v>21</v>
      </c>
      <c r="D124" s="21"/>
      <c r="E124" s="18">
        <v>43928</v>
      </c>
      <c r="F124" s="21"/>
      <c r="G124" s="33">
        <v>-351971.43</v>
      </c>
      <c r="H124" s="21"/>
      <c r="I124" s="23"/>
      <c r="J124" s="21"/>
      <c r="L124" s="53"/>
    </row>
    <row r="125" spans="3:12" ht="15.75">
      <c r="C125" s="21"/>
      <c r="D125" s="21"/>
      <c r="E125" s="18">
        <v>44070</v>
      </c>
      <c r="F125" s="21"/>
      <c r="G125" s="33">
        <v>-3572883.18</v>
      </c>
      <c r="H125" s="21"/>
      <c r="I125" s="23"/>
      <c r="J125" s="21"/>
      <c r="L125" s="50"/>
    </row>
    <row r="126" spans="3:12" ht="15.75">
      <c r="C126" s="21" t="s">
        <v>23</v>
      </c>
      <c r="D126" s="21"/>
      <c r="E126" s="18">
        <v>44302</v>
      </c>
      <c r="F126" s="21"/>
      <c r="G126" s="33">
        <v>1800716.96</v>
      </c>
      <c r="H126" s="21"/>
      <c r="I126" s="23"/>
      <c r="J126" s="21"/>
      <c r="L126" s="50"/>
    </row>
    <row r="127" spans="3:12" ht="15.75">
      <c r="C127" s="21" t="s">
        <v>25</v>
      </c>
      <c r="D127" s="21"/>
      <c r="E127" s="18">
        <v>44673</v>
      </c>
      <c r="F127" s="21"/>
      <c r="G127" s="33">
        <v>3732374.44</v>
      </c>
      <c r="H127" s="21"/>
      <c r="I127" s="23"/>
      <c r="J127" s="21"/>
      <c r="L127" s="50"/>
    </row>
    <row r="128" spans="3:12" ht="15.75">
      <c r="C128" s="21"/>
      <c r="D128" s="21"/>
      <c r="E128" s="18">
        <v>44727</v>
      </c>
      <c r="F128" s="21"/>
      <c r="G128" s="33">
        <v>565745.48</v>
      </c>
      <c r="H128" s="21"/>
      <c r="I128" s="23"/>
      <c r="J128" s="21"/>
      <c r="L128" s="50"/>
    </row>
    <row r="129" spans="3:12" ht="15.75">
      <c r="C129" s="21"/>
      <c r="D129" s="21"/>
      <c r="E129" s="18">
        <v>44796</v>
      </c>
      <c r="F129" s="21"/>
      <c r="G129" s="33">
        <v>505071.68</v>
      </c>
      <c r="H129" s="21"/>
      <c r="I129" s="23"/>
      <c r="J129" s="21"/>
      <c r="L129" s="50"/>
    </row>
    <row r="130" spans="3:12" ht="15.75">
      <c r="C130" s="21"/>
      <c r="D130" s="21"/>
      <c r="E130" s="18">
        <v>44868</v>
      </c>
      <c r="F130" s="21"/>
      <c r="G130" s="33">
        <v>1894506.75</v>
      </c>
      <c r="H130" s="21"/>
      <c r="I130" s="23"/>
      <c r="J130" s="21"/>
      <c r="L130" s="50"/>
    </row>
    <row r="131" spans="3:12" ht="15.75">
      <c r="C131" s="21"/>
      <c r="D131" s="21"/>
      <c r="E131" s="18">
        <v>44911</v>
      </c>
      <c r="F131" s="21"/>
      <c r="G131" s="33">
        <v>1357411.81</v>
      </c>
      <c r="H131" s="21"/>
      <c r="I131" s="23"/>
      <c r="J131" s="21"/>
      <c r="L131" s="50"/>
    </row>
    <row r="132" spans="3:12" ht="15.75">
      <c r="C132" s="21" t="s">
        <v>26</v>
      </c>
      <c r="D132" s="21"/>
      <c r="E132" s="18">
        <v>44973</v>
      </c>
      <c r="F132" s="21"/>
      <c r="G132" s="33">
        <v>1638777.01</v>
      </c>
      <c r="H132" s="21"/>
      <c r="I132" s="23"/>
      <c r="J132" s="21"/>
      <c r="L132" s="50"/>
    </row>
    <row r="133" spans="3:12" ht="15.75">
      <c r="C133" s="21"/>
      <c r="D133" s="21"/>
      <c r="E133" s="18">
        <v>45079</v>
      </c>
      <c r="F133" s="21"/>
      <c r="G133" s="33">
        <v>1040518.99</v>
      </c>
      <c r="H133" s="21"/>
      <c r="I133" s="23"/>
      <c r="J133" s="21"/>
      <c r="L133" s="50"/>
    </row>
    <row r="134" spans="3:12" ht="15.75">
      <c r="C134" s="21"/>
      <c r="D134" s="21"/>
      <c r="E134" s="18">
        <v>45182</v>
      </c>
      <c r="F134" s="21"/>
      <c r="G134" s="33">
        <v>549683.28</v>
      </c>
      <c r="H134" s="21"/>
      <c r="I134" s="23"/>
      <c r="J134" s="21"/>
      <c r="L134" s="50"/>
    </row>
    <row r="135" spans="3:12" ht="4.5" customHeight="1">
      <c r="C135" s="21"/>
      <c r="D135" s="21"/>
      <c r="E135" s="18"/>
      <c r="F135" s="21"/>
      <c r="G135" s="33"/>
      <c r="H135" s="21"/>
      <c r="I135" s="23"/>
      <c r="L135" s="53"/>
    </row>
    <row r="136" spans="3:12" ht="12.75">
      <c r="C136" s="21" t="s">
        <v>1</v>
      </c>
      <c r="D136" s="21"/>
      <c r="E136" s="18">
        <f>+E8</f>
        <v>45199</v>
      </c>
      <c r="F136" s="21"/>
      <c r="G136" s="49">
        <f>L136*C22</f>
        <v>3.9430491347714074E7</v>
      </c>
      <c r="H136" s="21"/>
      <c r="I136" s="33">
        <f>+SUMIF($G$23:$G$135,"&lt;0",$G$23:$G$135)</f>
        <v>-1.1390788174000004E8</v>
      </c>
      <c r="J136" s="21" t="s">
        <v>11</v>
      </c>
      <c r="L136" s="54">
        <v>260044090</v>
      </c>
    </row>
    <row r="137" spans="7:10" ht="12.75">
      <c r="G137" s="23"/>
      <c r="H137" s="21"/>
      <c r="I137" s="33">
        <f>+SUMIF($G$23:$G$135,"&gt;0",$G$23:$G$135)</f>
        <v>7.766271692E7</v>
      </c>
      <c r="J137" s="21" t="s">
        <v>12</v>
      </c>
    </row>
    <row r="138" spans="3:10" ht="12.75">
      <c r="C138" s="20" t="s">
        <v>0</v>
      </c>
      <c r="G138" s="47">
        <f>XIRR(G23:G136,E23:E136,0.1)</f>
        <v>0.005530443787574769</v>
      </c>
      <c r="H138" s="21"/>
      <c r="I138" s="21"/>
      <c r="J138" s="21"/>
    </row>
    <row r="141" spans="7:7" ht="12.75">
      <c r="G141" s="34"/>
    </row>
    <row r="142" spans="5:7" ht="12.75">
      <c r="E142" s="34"/>
      <c r="F142" s="26"/>
      <c r="G142" s="34"/>
    </row>
    <row r="143" spans="5:7" ht="12.75">
      <c r="E143" s="34"/>
      <c r="F143" s="26"/>
      <c r="G143" s="34"/>
    </row>
    <row r="144" spans="3:7" ht="12.75">
      <c r="C144" s="26"/>
      <c r="D144" s="26"/>
      <c r="E144" s="51"/>
      <c r="F144" s="51"/>
      <c r="G144" s="51"/>
    </row>
    <row r="145" spans="3:7" ht="12.75">
      <c r="C145" s="26"/>
      <c r="D145" s="26"/>
      <c r="E145" s="34"/>
      <c r="F145" s="34"/>
      <c r="G145" s="34"/>
    </row>
    <row r="146" spans="3:7" ht="12.75">
      <c r="C146" s="26"/>
      <c r="D146" s="26"/>
      <c r="E146" s="26"/>
      <c r="F146" s="26"/>
      <c r="G146" s="26"/>
    </row>
    <row r="147" spans="3:7" ht="12.75">
      <c r="C147" s="114"/>
      <c r="D147" s="114"/>
      <c r="E147" s="115"/>
      <c r="F147" s="71"/>
      <c r="G147" s="46"/>
    </row>
    <row r="148" spans="3:7" s="58" customFormat="1" ht="12.75">
      <c r="C148" s="114"/>
      <c r="D148" s="114"/>
      <c r="E148" s="46"/>
      <c r="F148" s="71"/>
      <c r="G148" s="46"/>
    </row>
    <row r="149" spans="3:7" s="58" customFormat="1" ht="12.75">
      <c r="C149" s="114"/>
      <c r="D149" s="114"/>
      <c r="E149" s="46"/>
      <c r="F149" s="71"/>
      <c r="G149" s="46"/>
    </row>
    <row r="150" spans="3:7" ht="12.75">
      <c r="C150" s="116"/>
      <c r="D150" s="114"/>
      <c r="E150" s="46"/>
      <c r="F150" s="71"/>
      <c r="G150" s="46"/>
    </row>
    <row r="151" spans="3:7" ht="12.75">
      <c r="C151" s="116"/>
      <c r="D151" s="114"/>
      <c r="E151" s="46"/>
      <c r="F151" s="71"/>
      <c r="G151" s="46"/>
    </row>
    <row r="152" spans="3:7" ht="12.75">
      <c r="C152" s="117"/>
      <c r="D152" s="114"/>
      <c r="E152" s="46"/>
      <c r="F152" s="71"/>
      <c r="G152" s="46"/>
    </row>
    <row r="153" spans="3:7" s="58" customFormat="1" ht="12.75">
      <c r="C153" s="114"/>
      <c r="D153" s="114"/>
      <c r="E153" s="46"/>
      <c r="F153" s="71"/>
      <c r="G153" s="46"/>
    </row>
    <row r="154" spans="3:7" ht="12.75">
      <c r="C154" s="114"/>
      <c r="D154" s="114"/>
      <c r="E154" s="46"/>
      <c r="F154" s="71"/>
      <c r="G154" s="46"/>
    </row>
    <row r="155" spans="3:7" ht="12.75">
      <c r="C155" s="114"/>
      <c r="D155" s="114"/>
      <c r="E155" s="46"/>
      <c r="F155" s="71"/>
      <c r="G155" s="46"/>
    </row>
    <row r="156" spans="3:7" ht="12.75">
      <c r="C156" s="114"/>
      <c r="D156" s="114"/>
      <c r="E156" s="46"/>
      <c r="F156" s="71"/>
      <c r="G156" s="46"/>
    </row>
    <row r="157" spans="3:7" ht="12.75">
      <c r="C157" s="114"/>
      <c r="D157" s="114"/>
      <c r="E157" s="46"/>
      <c r="F157" s="71"/>
      <c r="G157" s="46"/>
    </row>
    <row r="158" spans="3:7" ht="12.75">
      <c r="C158" s="114"/>
      <c r="D158" s="114"/>
      <c r="E158" s="46"/>
      <c r="F158" s="71"/>
      <c r="G158" s="46"/>
    </row>
    <row r="159" spans="4:6" s="58" customFormat="1" ht="5.1" customHeight="1">
      <c r="D159"/>
      <c r="F159"/>
    </row>
    <row r="160" spans="5:5" ht="12.75">
      <c r="E160" s="58"/>
    </row>
  </sheetData>
  <mergeCells count="2">
    <mergeCell ref="H8:I8"/>
    <mergeCell ref="E144:G144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2F9650-AAFD-4B5B-8D08-C4BC484C087C}">
  <sheetPr>
    <pageSetUpPr fitToPage="1"/>
  </sheetPr>
  <dimension ref="B4:M163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9">
        <f>+VIII!E8</f>
        <v>45199</v>
      </c>
      <c r="F8" s="36"/>
      <c r="G8" s="6"/>
      <c r="H8" s="6"/>
      <c r="I8" s="17"/>
    </row>
    <row r="9" spans="3:8" ht="15.75">
      <c r="C9" s="103"/>
      <c r="D9" s="103"/>
      <c r="E9" s="103"/>
      <c r="F9" s="103"/>
      <c r="G9" s="104"/>
      <c r="H9" s="5"/>
    </row>
    <row r="10" spans="3:9" ht="12.75">
      <c r="C10" s="105"/>
      <c r="D10" s="105"/>
      <c r="E10" s="106"/>
      <c r="F10" s="105"/>
      <c r="G10" s="54"/>
      <c r="H10" s="13"/>
      <c r="I10" s="16"/>
    </row>
    <row r="11" spans="3:9" ht="12.75">
      <c r="C11" s="105"/>
      <c r="D11" s="105"/>
      <c r="E11" s="106"/>
      <c r="F11" s="105"/>
      <c r="G11" s="106"/>
      <c r="H11" s="13"/>
      <c r="I11" s="16"/>
    </row>
    <row r="12" spans="3:9" ht="15.75">
      <c r="C12" s="107"/>
      <c r="D12" s="107"/>
      <c r="E12" s="108"/>
      <c r="F12" s="107"/>
      <c r="G12" s="108"/>
      <c r="H12" s="14"/>
      <c r="I12" s="16"/>
    </row>
    <row r="13" spans="3:9" ht="12.75">
      <c r="C13" s="105"/>
      <c r="D13" s="105"/>
      <c r="E13" s="109"/>
      <c r="F13" s="105"/>
      <c r="G13" s="54"/>
      <c r="H13" s="15"/>
      <c r="I13" s="16"/>
    </row>
    <row r="14" spans="3:9" ht="12.75">
      <c r="C14" s="105"/>
      <c r="D14" s="105"/>
      <c r="E14" s="110"/>
      <c r="F14" s="105"/>
      <c r="G14" s="54"/>
      <c r="H14" s="57"/>
      <c r="I14" s="55"/>
    </row>
    <row r="15" spans="3:9" ht="12.75">
      <c r="C15" s="105"/>
      <c r="D15" s="105"/>
      <c r="E15" s="106"/>
      <c r="F15" s="105"/>
      <c r="G15" s="106"/>
      <c r="H15" s="13"/>
      <c r="I15" s="16"/>
    </row>
    <row r="16" spans="3:9" ht="15.75">
      <c r="C16" s="5"/>
      <c r="D16" s="5"/>
      <c r="E16" s="14"/>
      <c r="F16" s="5"/>
      <c r="G16" s="14"/>
      <c r="H16" s="14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+G138</f>
        <v>0.006196805834770203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(G136+I137)/-I136</f>
        <v>1.031020006726032</v>
      </c>
      <c r="F19" s="7"/>
      <c r="G19" s="13"/>
      <c r="H19" s="8"/>
    </row>
    <row r="20" spans="3:8" ht="12.75">
      <c r="C20" s="7"/>
      <c r="D20" s="7"/>
      <c r="E20" s="7"/>
      <c r="F20" s="7"/>
      <c r="G20" s="8"/>
      <c r="H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1" ht="12.75">
      <c r="C22" s="28">
        <v>0.028643258</v>
      </c>
      <c r="D22" s="21"/>
      <c r="E22" s="21"/>
      <c r="F22" s="21"/>
      <c r="G22" s="21"/>
      <c r="H22" s="21"/>
      <c r="I22" s="21"/>
      <c r="J22" s="21"/>
      <c r="K22" s="77"/>
    </row>
    <row r="23" spans="3:13" ht="12.75">
      <c r="C23" s="21" t="s">
        <v>30</v>
      </c>
      <c r="D23" s="21"/>
      <c r="E23" s="18">
        <v>40590</v>
      </c>
      <c r="F23" s="21"/>
      <c r="G23" s="19">
        <v>-244125</v>
      </c>
      <c r="H23" s="19"/>
      <c r="I23" s="23"/>
      <c r="J23" s="23"/>
      <c r="M23" s="53"/>
    </row>
    <row r="24" spans="3:13" ht="12.75">
      <c r="C24" s="21"/>
      <c r="D24" s="21"/>
      <c r="E24" s="18">
        <v>40661</v>
      </c>
      <c r="F24" s="21"/>
      <c r="G24" s="19">
        <v>-62502.65</v>
      </c>
      <c r="H24" s="19"/>
      <c r="I24" s="23"/>
      <c r="J24" s="23"/>
      <c r="M24" s="53"/>
    </row>
    <row r="25" spans="3:13" ht="12.75">
      <c r="C25" s="21"/>
      <c r="D25" s="21"/>
      <c r="E25" s="18">
        <v>40704</v>
      </c>
      <c r="F25" s="21"/>
      <c r="G25" s="19">
        <v>-98586.65</v>
      </c>
      <c r="H25" s="19"/>
      <c r="I25" s="23"/>
      <c r="J25" s="23"/>
      <c r="M25" s="53"/>
    </row>
    <row r="26" spans="3:13" ht="12.75">
      <c r="C26" s="21"/>
      <c r="D26" s="21"/>
      <c r="E26" s="18">
        <v>40751</v>
      </c>
      <c r="F26" s="21"/>
      <c r="G26" s="19">
        <v>-94290.93</v>
      </c>
      <c r="H26" s="19"/>
      <c r="I26" s="23"/>
      <c r="J26" s="23"/>
      <c r="M26" s="53"/>
    </row>
    <row r="27" spans="3:13" ht="12.75">
      <c r="C27" s="21"/>
      <c r="D27" s="21"/>
      <c r="E27" s="18">
        <v>40765</v>
      </c>
      <c r="F27" s="21"/>
      <c r="G27" s="19">
        <v>-156793.58</v>
      </c>
      <c r="H27" s="19"/>
      <c r="I27" s="23"/>
      <c r="J27" s="23"/>
      <c r="M27" s="53"/>
    </row>
    <row r="28" spans="3:13" ht="12.75">
      <c r="C28" s="21"/>
      <c r="D28" s="21"/>
      <c r="E28" s="18">
        <v>40813</v>
      </c>
      <c r="F28" s="21"/>
      <c r="G28" s="19">
        <v>-138107.22</v>
      </c>
      <c r="H28" s="19"/>
      <c r="I28" s="23"/>
      <c r="J28" s="23"/>
      <c r="M28" s="53"/>
    </row>
    <row r="29" spans="3:13" ht="12.75">
      <c r="C29" s="21"/>
      <c r="D29" s="21"/>
      <c r="E29" s="18">
        <v>40879</v>
      </c>
      <c r="F29" s="21"/>
      <c r="G29" s="19">
        <v>-66368.79</v>
      </c>
      <c r="H29" s="19"/>
      <c r="I29" s="23"/>
      <c r="J29" s="23"/>
      <c r="M29" s="53"/>
    </row>
    <row r="30" spans="3:13" ht="12.75">
      <c r="C30" s="21"/>
      <c r="D30" s="21"/>
      <c r="E30" s="18">
        <v>40886</v>
      </c>
      <c r="F30" s="21"/>
      <c r="G30" s="19">
        <v>-90424.79</v>
      </c>
      <c r="H30" s="19"/>
      <c r="I30" s="23"/>
      <c r="J30" s="23"/>
      <c r="M30" s="53"/>
    </row>
    <row r="31" spans="3:13" ht="12.75">
      <c r="C31" s="21" t="s">
        <v>4</v>
      </c>
      <c r="D31" s="21"/>
      <c r="E31" s="18">
        <v>40927</v>
      </c>
      <c r="F31" s="21"/>
      <c r="G31" s="19">
        <v>-151209.15</v>
      </c>
      <c r="H31" s="19"/>
      <c r="I31" s="23"/>
      <c r="J31" s="23"/>
      <c r="M31" s="53"/>
    </row>
    <row r="32" spans="3:13" ht="12.75">
      <c r="C32" s="21"/>
      <c r="D32" s="21"/>
      <c r="E32" s="18">
        <v>40942</v>
      </c>
      <c r="F32" s="21"/>
      <c r="G32" s="19">
        <v>-708792.89</v>
      </c>
      <c r="H32" s="19"/>
      <c r="I32" s="23"/>
      <c r="J32" s="23"/>
      <c r="M32" s="53"/>
    </row>
    <row r="33" spans="3:13" ht="12.75">
      <c r="C33" s="21"/>
      <c r="D33" s="21"/>
      <c r="E33" s="18">
        <v>40970</v>
      </c>
      <c r="F33" s="21"/>
      <c r="G33" s="19">
        <v>-112762.51</v>
      </c>
      <c r="H33" s="19"/>
      <c r="I33" s="23"/>
      <c r="J33" s="23"/>
      <c r="M33" s="53"/>
    </row>
    <row r="34" spans="3:13" ht="12.75">
      <c r="C34" s="21"/>
      <c r="D34" s="21"/>
      <c r="E34" s="18">
        <v>41001</v>
      </c>
      <c r="F34" s="21"/>
      <c r="G34" s="19">
        <v>-65939.22</v>
      </c>
      <c r="H34" s="19"/>
      <c r="I34" s="23"/>
      <c r="J34" s="23"/>
      <c r="M34" s="53"/>
    </row>
    <row r="35" spans="3:13" ht="12.75">
      <c r="C35" s="21"/>
      <c r="D35" s="21"/>
      <c r="E35" s="18">
        <v>41024</v>
      </c>
      <c r="F35" s="21"/>
      <c r="G35" s="19">
        <v>-78182</v>
      </c>
      <c r="H35" s="19"/>
      <c r="I35" s="23"/>
      <c r="J35" s="23"/>
      <c r="M35" s="53"/>
    </row>
    <row r="36" spans="3:13" ht="12.75">
      <c r="C36" s="21"/>
      <c r="D36" s="21"/>
      <c r="E36" s="18">
        <v>41030</v>
      </c>
      <c r="F36" s="21"/>
      <c r="G36" s="19">
        <v>288418.75</v>
      </c>
      <c r="H36" s="19"/>
      <c r="I36" s="23"/>
      <c r="J36" s="23"/>
      <c r="M36" s="53"/>
    </row>
    <row r="37" spans="3:13" ht="12.75">
      <c r="C37" s="21"/>
      <c r="D37" s="21"/>
      <c r="E37" s="18">
        <v>41054</v>
      </c>
      <c r="F37" s="21"/>
      <c r="G37" s="19">
        <v>-101808.43</v>
      </c>
      <c r="H37" s="19"/>
      <c r="I37" s="23"/>
      <c r="J37" s="23"/>
      <c r="M37" s="53"/>
    </row>
    <row r="38" spans="3:13" ht="12.75">
      <c r="C38" s="21"/>
      <c r="D38" s="21"/>
      <c r="E38" s="18">
        <v>41080</v>
      </c>
      <c r="F38" s="21"/>
      <c r="G38" s="19">
        <v>-188796.65</v>
      </c>
      <c r="H38" s="19"/>
      <c r="I38" s="23"/>
      <c r="J38" s="23"/>
      <c r="M38" s="53"/>
    </row>
    <row r="39" spans="3:13" ht="12.75">
      <c r="C39" s="21"/>
      <c r="D39" s="21"/>
      <c r="E39" s="18">
        <v>41103</v>
      </c>
      <c r="F39" s="21"/>
      <c r="G39" s="19">
        <v>-61213.93</v>
      </c>
      <c r="H39" s="19"/>
      <c r="I39" s="23"/>
      <c r="J39" s="23"/>
      <c r="M39" s="53"/>
    </row>
    <row r="40" spans="3:13" ht="12.75">
      <c r="C40" s="21"/>
      <c r="D40" s="21"/>
      <c r="E40" s="18">
        <v>41108</v>
      </c>
      <c r="F40" s="21"/>
      <c r="G40" s="19">
        <v>62022.65</v>
      </c>
      <c r="H40" s="19"/>
      <c r="I40" s="23"/>
      <c r="J40" s="23"/>
      <c r="M40" s="53"/>
    </row>
    <row r="41" spans="3:13" ht="12.75">
      <c r="C41" s="21"/>
      <c r="D41" s="21"/>
      <c r="E41" s="18">
        <v>41121</v>
      </c>
      <c r="F41" s="21"/>
      <c r="G41" s="19">
        <v>-59066.07</v>
      </c>
      <c r="H41" s="19"/>
      <c r="I41" s="23"/>
      <c r="J41" s="23"/>
      <c r="M41" s="53"/>
    </row>
    <row r="42" spans="3:13" ht="12.75">
      <c r="C42" s="21"/>
      <c r="D42" s="21"/>
      <c r="E42" s="18">
        <v>41137</v>
      </c>
      <c r="F42" s="21"/>
      <c r="G42" s="19">
        <v>26772.78</v>
      </c>
      <c r="H42" s="19"/>
      <c r="I42" s="23"/>
      <c r="J42" s="23"/>
      <c r="M42" s="53"/>
    </row>
    <row r="43" spans="3:13" ht="12.75">
      <c r="C43" s="21"/>
      <c r="D43" s="21"/>
      <c r="E43" s="18">
        <v>41152</v>
      </c>
      <c r="F43" s="21"/>
      <c r="G43" s="19">
        <v>-78182.01</v>
      </c>
      <c r="H43" s="19"/>
      <c r="I43" s="23"/>
      <c r="J43" s="23"/>
      <c r="M43" s="53"/>
    </row>
    <row r="44" spans="3:13" ht="12.75">
      <c r="C44" s="21"/>
      <c r="D44" s="21"/>
      <c r="E44" s="18">
        <v>41173</v>
      </c>
      <c r="F44" s="21"/>
      <c r="G44" s="19">
        <v>577612.2</v>
      </c>
      <c r="H44" s="19"/>
      <c r="I44" s="23"/>
      <c r="J44" s="23"/>
      <c r="M44" s="53"/>
    </row>
    <row r="45" spans="3:13" ht="12.75">
      <c r="C45" s="21" t="s">
        <v>31</v>
      </c>
      <c r="D45" s="21"/>
      <c r="E45" s="18">
        <v>41180</v>
      </c>
      <c r="F45" s="21"/>
      <c r="G45" s="19">
        <v>-148202.14</v>
      </c>
      <c r="H45" s="19"/>
      <c r="I45" s="23"/>
      <c r="J45" s="23"/>
      <c r="M45" s="53"/>
    </row>
    <row r="46" spans="3:13" ht="12.75">
      <c r="C46" s="21"/>
      <c r="D46" s="21"/>
      <c r="E46" s="18">
        <v>41194</v>
      </c>
      <c r="F46" s="21"/>
      <c r="G46" s="19">
        <v>-72812.36</v>
      </c>
      <c r="H46" s="19"/>
      <c r="I46" s="23"/>
      <c r="J46" s="23"/>
      <c r="M46" s="53"/>
    </row>
    <row r="47" spans="3:13" ht="12.75">
      <c r="C47" s="21"/>
      <c r="D47" s="21"/>
      <c r="E47" s="18">
        <v>41250</v>
      </c>
      <c r="F47" s="21"/>
      <c r="G47" s="19">
        <v>-328407.36</v>
      </c>
      <c r="H47" s="19"/>
      <c r="I47" s="23"/>
      <c r="J47" s="23"/>
      <c r="M47" s="53"/>
    </row>
    <row r="48" spans="3:13" ht="12.75">
      <c r="C48" s="21"/>
      <c r="D48" s="21"/>
      <c r="E48" s="18">
        <v>41264</v>
      </c>
      <c r="F48" s="21"/>
      <c r="G48" s="19">
        <v>-291678.99</v>
      </c>
      <c r="H48" s="19"/>
      <c r="I48" s="23"/>
      <c r="J48" s="23"/>
      <c r="M48" s="53"/>
    </row>
    <row r="49" spans="3:13" ht="12.75">
      <c r="C49" s="21" t="s">
        <v>5</v>
      </c>
      <c r="D49" s="21"/>
      <c r="E49" s="18">
        <v>41284</v>
      </c>
      <c r="F49" s="21"/>
      <c r="G49" s="19">
        <v>-86129.08</v>
      </c>
      <c r="H49" s="19"/>
      <c r="I49" s="23"/>
      <c r="J49" s="23"/>
      <c r="M49" s="53"/>
    </row>
    <row r="50" spans="3:13" ht="12.75">
      <c r="C50" s="21"/>
      <c r="D50" s="21"/>
      <c r="E50" s="18">
        <v>41298</v>
      </c>
      <c r="F50" s="21"/>
      <c r="G50" s="19">
        <v>-110185.07</v>
      </c>
      <c r="H50" s="19"/>
      <c r="I50" s="23"/>
      <c r="J50" s="23"/>
      <c r="M50" s="53"/>
    </row>
    <row r="51" spans="3:13" ht="12.75">
      <c r="C51" s="21"/>
      <c r="D51" s="21"/>
      <c r="E51" s="18">
        <v>41345</v>
      </c>
      <c r="F51" s="21"/>
      <c r="G51" s="19">
        <v>-112977.29</v>
      </c>
      <c r="H51" s="19"/>
      <c r="I51" s="23"/>
      <c r="J51" s="23"/>
      <c r="M51" s="53"/>
    </row>
    <row r="52" spans="3:13" ht="12.75">
      <c r="C52" s="21"/>
      <c r="D52" s="21"/>
      <c r="E52" s="18">
        <v>41360</v>
      </c>
      <c r="F52" s="21"/>
      <c r="G52" s="19">
        <v>-101164.06</v>
      </c>
      <c r="H52" s="19"/>
      <c r="I52" s="23"/>
      <c r="J52" s="23"/>
      <c r="M52" s="53"/>
    </row>
    <row r="53" spans="3:13" ht="12.75">
      <c r="C53" s="21"/>
      <c r="D53" s="21"/>
      <c r="E53" s="18">
        <v>41393</v>
      </c>
      <c r="F53" s="21"/>
      <c r="G53" s="19">
        <v>-81403.80</v>
      </c>
      <c r="H53" s="19"/>
      <c r="I53" s="23"/>
      <c r="J53" s="23"/>
      <c r="M53" s="53"/>
    </row>
    <row r="54" spans="3:13" ht="12.75">
      <c r="C54" s="21"/>
      <c r="D54" s="21"/>
      <c r="E54" s="18">
        <v>41404</v>
      </c>
      <c r="F54" s="21"/>
      <c r="G54" s="19">
        <v>-110829.43</v>
      </c>
      <c r="H54" s="19"/>
      <c r="I54" s="23"/>
      <c r="J54" s="23"/>
      <c r="M54" s="53"/>
    </row>
    <row r="55" spans="3:13" ht="12.75">
      <c r="C55" s="21"/>
      <c r="D55" s="21"/>
      <c r="E55" s="18">
        <v>41418</v>
      </c>
      <c r="F55" s="21"/>
      <c r="G55" s="19">
        <v>33721.7</v>
      </c>
      <c r="H55" s="19"/>
      <c r="I55" s="23"/>
      <c r="J55" s="23"/>
      <c r="M55" s="53"/>
    </row>
    <row r="56" spans="3:13" ht="12.75">
      <c r="C56" s="21"/>
      <c r="D56" s="21"/>
      <c r="E56" s="18">
        <v>41423</v>
      </c>
      <c r="F56" s="21"/>
      <c r="G56" s="19">
        <v>-96009.23</v>
      </c>
      <c r="H56" s="19"/>
      <c r="I56" s="23"/>
      <c r="J56" s="23"/>
      <c r="M56" s="53"/>
    </row>
    <row r="57" spans="3:13" ht="12.75">
      <c r="C57" s="21"/>
      <c r="D57" s="21"/>
      <c r="E57" s="18">
        <v>41446</v>
      </c>
      <c r="F57" s="21"/>
      <c r="G57" s="19">
        <v>-293397.29</v>
      </c>
      <c r="H57" s="19"/>
      <c r="I57" s="23"/>
      <c r="J57" s="23"/>
      <c r="M57" s="53"/>
    </row>
    <row r="58" spans="3:13" ht="12.75">
      <c r="C58" s="21"/>
      <c r="D58" s="21"/>
      <c r="E58" s="18">
        <v>41481</v>
      </c>
      <c r="F58" s="21"/>
      <c r="G58" s="19">
        <v>-91713.51</v>
      </c>
      <c r="H58" s="19"/>
      <c r="I58" s="23"/>
      <c r="J58" s="23"/>
      <c r="M58" s="53"/>
    </row>
    <row r="59" spans="3:13" ht="12.75">
      <c r="C59" s="21"/>
      <c r="D59" s="21"/>
      <c r="E59" s="18">
        <v>41501</v>
      </c>
      <c r="F59" s="21"/>
      <c r="G59" s="19">
        <v>-86343.86</v>
      </c>
      <c r="H59" s="19"/>
      <c r="I59" s="23"/>
      <c r="J59" s="23"/>
      <c r="M59" s="53"/>
    </row>
    <row r="60" spans="3:13" ht="12.75">
      <c r="C60" s="21"/>
      <c r="D60" s="21"/>
      <c r="E60" s="18">
        <v>41514</v>
      </c>
      <c r="F60" s="21"/>
      <c r="G60" s="19">
        <v>-125220.07</v>
      </c>
      <c r="H60" s="19"/>
      <c r="I60" s="23"/>
      <c r="J60" s="23"/>
      <c r="M60" s="53"/>
    </row>
    <row r="61" spans="3:13" ht="12.75">
      <c r="C61" s="21"/>
      <c r="D61" s="21"/>
      <c r="E61" s="18">
        <v>41551</v>
      </c>
      <c r="F61" s="21"/>
      <c r="G61" s="19">
        <v>-74745.43</v>
      </c>
      <c r="H61" s="19"/>
      <c r="M61" s="53"/>
    </row>
    <row r="62" spans="3:13" ht="12.75">
      <c r="C62" s="21"/>
      <c r="D62" s="21"/>
      <c r="E62" s="18">
        <v>41577</v>
      </c>
      <c r="F62" s="21"/>
      <c r="G62" s="19">
        <v>-119635.65</v>
      </c>
      <c r="H62" s="19"/>
      <c r="M62" s="53"/>
    </row>
    <row r="63" spans="3:13" ht="12.75">
      <c r="C63" s="21"/>
      <c r="D63" s="21"/>
      <c r="E63" s="18">
        <v>41599</v>
      </c>
      <c r="F63" s="21"/>
      <c r="G63" s="19">
        <v>-75604.57</v>
      </c>
      <c r="H63" s="19"/>
      <c r="M63" s="53"/>
    </row>
    <row r="64" spans="3:13" ht="12.75">
      <c r="C64" s="21" t="s">
        <v>32</v>
      </c>
      <c r="D64" s="21"/>
      <c r="E64" s="18">
        <v>41618</v>
      </c>
      <c r="F64" s="21"/>
      <c r="G64" s="19">
        <v>81562.51</v>
      </c>
      <c r="H64" s="19"/>
      <c r="M64" s="53"/>
    </row>
    <row r="65" spans="3:13" ht="12.75">
      <c r="C65" s="21"/>
      <c r="D65" s="21"/>
      <c r="E65" s="18">
        <v>41624</v>
      </c>
      <c r="F65" s="21"/>
      <c r="G65" s="19">
        <v>-151209.15</v>
      </c>
      <c r="H65" s="19"/>
      <c r="M65" s="53"/>
    </row>
    <row r="66" spans="3:13" ht="12.75">
      <c r="C66" s="21" t="s">
        <v>7</v>
      </c>
      <c r="D66" s="21"/>
      <c r="E66" s="18">
        <v>41646</v>
      </c>
      <c r="F66" s="21"/>
      <c r="G66" s="33">
        <v>-106748.50</v>
      </c>
      <c r="H66" s="33"/>
      <c r="I66" s="23"/>
      <c r="J66" s="21"/>
      <c r="M66" s="53"/>
    </row>
    <row r="67" spans="3:13" ht="12.75">
      <c r="C67" s="21"/>
      <c r="D67" s="21"/>
      <c r="E67" s="18">
        <v>41670</v>
      </c>
      <c r="F67" s="21"/>
      <c r="G67" s="33">
        <v>-79255.94</v>
      </c>
      <c r="H67" s="33"/>
      <c r="I67" s="23"/>
      <c r="J67" s="21"/>
      <c r="M67" s="53"/>
    </row>
    <row r="68" spans="3:13" ht="12.75">
      <c r="C68" s="21"/>
      <c r="D68" s="21"/>
      <c r="E68" s="18">
        <v>41697</v>
      </c>
      <c r="F68" s="21"/>
      <c r="G68" s="33">
        <v>-141114.19</v>
      </c>
      <c r="H68" s="33"/>
      <c r="I68" s="23"/>
      <c r="J68" s="21"/>
      <c r="M68" s="53"/>
    </row>
    <row r="69" spans="3:13" ht="12.75">
      <c r="C69" s="21"/>
      <c r="D69" s="21"/>
      <c r="E69" s="18">
        <v>41704</v>
      </c>
      <c r="F69" s="21"/>
      <c r="G69" s="33">
        <v>-102238</v>
      </c>
      <c r="H69" s="33"/>
      <c r="I69" s="23"/>
      <c r="J69" s="21"/>
      <c r="M69" s="53"/>
    </row>
    <row r="70" spans="3:13" ht="12.75">
      <c r="C70" s="21"/>
      <c r="D70" s="21"/>
      <c r="E70" s="18">
        <v>41718</v>
      </c>
      <c r="F70" s="21"/>
      <c r="G70" s="33">
        <v>-89350.86</v>
      </c>
      <c r="H70" s="33"/>
      <c r="I70" s="23"/>
      <c r="J70" s="21"/>
      <c r="M70" s="53"/>
    </row>
    <row r="71" spans="3:13" ht="12.75">
      <c r="C71" s="21"/>
      <c r="D71" s="21"/>
      <c r="E71" s="18">
        <v>41750</v>
      </c>
      <c r="F71" s="21"/>
      <c r="G71" s="33">
        <v>-141973.37</v>
      </c>
      <c r="H71" s="33"/>
      <c r="I71" s="23"/>
      <c r="J71" s="21"/>
      <c r="M71" s="53"/>
    </row>
    <row r="72" spans="3:13" ht="12.75">
      <c r="C72" s="21"/>
      <c r="D72" s="21"/>
      <c r="E72" s="18">
        <v>41779</v>
      </c>
      <c r="F72" s="21"/>
      <c r="G72" s="33">
        <v>-141758.57</v>
      </c>
      <c r="H72" s="33"/>
      <c r="I72" s="39"/>
      <c r="J72" s="40"/>
      <c r="M72" s="53"/>
    </row>
    <row r="73" spans="3:13" ht="12.75">
      <c r="C73" s="21"/>
      <c r="D73" s="21"/>
      <c r="E73" s="18">
        <v>41814</v>
      </c>
      <c r="F73" s="21"/>
      <c r="G73" s="33">
        <v>-104600.65</v>
      </c>
      <c r="H73" s="33"/>
      <c r="M73" s="53"/>
    </row>
    <row r="74" spans="3:13" ht="12.75">
      <c r="C74" s="21"/>
      <c r="D74" s="21"/>
      <c r="E74" s="18">
        <v>41816</v>
      </c>
      <c r="F74" s="21"/>
      <c r="G74" s="33">
        <v>224314.23</v>
      </c>
      <c r="H74" s="33"/>
      <c r="M74" s="53"/>
    </row>
    <row r="75" spans="3:13" ht="12.75">
      <c r="C75" s="21"/>
      <c r="D75" s="21"/>
      <c r="E75" s="18">
        <v>41857</v>
      </c>
      <c r="F75" s="21"/>
      <c r="G75" s="33">
        <v>925110.26</v>
      </c>
      <c r="H75" s="33"/>
      <c r="M75" s="53"/>
    </row>
    <row r="76" spans="3:13" ht="12.75">
      <c r="C76" s="21"/>
      <c r="D76" s="21"/>
      <c r="E76" s="18">
        <v>41877</v>
      </c>
      <c r="F76" s="21"/>
      <c r="G76" s="33">
        <v>-164740.63</v>
      </c>
      <c r="H76" s="33"/>
      <c r="M76" s="53"/>
    </row>
    <row r="77" spans="3:13" ht="12.75">
      <c r="C77" s="21"/>
      <c r="D77" s="21"/>
      <c r="E77" s="18">
        <v>41913</v>
      </c>
      <c r="F77" s="21"/>
      <c r="G77" s="33">
        <v>-68301.86</v>
      </c>
      <c r="H77" s="33"/>
      <c r="M77" s="53"/>
    </row>
    <row r="78" spans="3:13" ht="12.75">
      <c r="C78" s="21" t="s">
        <v>8</v>
      </c>
      <c r="D78" s="21"/>
      <c r="E78" s="18">
        <v>41943</v>
      </c>
      <c r="F78" s="21"/>
      <c r="G78" s="33">
        <v>-87203</v>
      </c>
      <c r="H78" s="33"/>
      <c r="M78" s="53"/>
    </row>
    <row r="79" spans="3:13" ht="12.75">
      <c r="C79" s="21"/>
      <c r="D79" s="21"/>
      <c r="E79" s="18">
        <v>41990</v>
      </c>
      <c r="F79" s="21"/>
      <c r="G79" s="33">
        <v>-91283.93</v>
      </c>
      <c r="H79" s="33"/>
      <c r="M79" s="53"/>
    </row>
    <row r="80" spans="3:13" ht="12.75">
      <c r="C80" s="21" t="s">
        <v>9</v>
      </c>
      <c r="D80" s="21"/>
      <c r="E80" s="18">
        <v>42011</v>
      </c>
      <c r="F80" s="21"/>
      <c r="G80" s="33">
        <v>-71738.43</v>
      </c>
      <c r="H80" s="33"/>
      <c r="I80" s="23"/>
      <c r="J80" s="21"/>
      <c r="M80" s="53"/>
    </row>
    <row r="81" spans="3:13" ht="12.75">
      <c r="C81" s="21"/>
      <c r="D81" s="21"/>
      <c r="E81" s="18">
        <v>42027</v>
      </c>
      <c r="F81" s="21"/>
      <c r="G81" s="33">
        <v>-92572.64</v>
      </c>
      <c r="H81" s="33"/>
      <c r="M81" s="53"/>
    </row>
    <row r="82" spans="3:13" ht="12.75">
      <c r="C82" s="21"/>
      <c r="D82" s="21"/>
      <c r="E82" s="18">
        <v>42055</v>
      </c>
      <c r="F82" s="21"/>
      <c r="G82" s="33">
        <v>69906.86</v>
      </c>
      <c r="H82" s="33"/>
      <c r="M82" s="53"/>
    </row>
    <row r="83" spans="3:13" ht="12.75">
      <c r="C83" s="21"/>
      <c r="D83" s="21"/>
      <c r="E83" s="18">
        <v>42075</v>
      </c>
      <c r="F83" s="21"/>
      <c r="G83" s="33">
        <v>-92787.43</v>
      </c>
      <c r="H83" s="33"/>
      <c r="M83" s="53"/>
    </row>
    <row r="84" spans="3:13" ht="12.75">
      <c r="C84" s="21"/>
      <c r="D84" s="21"/>
      <c r="E84" s="18">
        <v>42138</v>
      </c>
      <c r="F84" s="21"/>
      <c r="G84" s="33">
        <v>-137462.86</v>
      </c>
      <c r="H84" s="33"/>
      <c r="M84" s="53"/>
    </row>
    <row r="85" spans="3:13" ht="12.75">
      <c r="C85" s="21"/>
      <c r="D85" s="21"/>
      <c r="E85" s="18">
        <v>42150</v>
      </c>
      <c r="F85" s="21"/>
      <c r="G85" s="33">
        <v>72217.50</v>
      </c>
      <c r="H85" s="33"/>
      <c r="M85" s="53"/>
    </row>
    <row r="86" spans="3:13" ht="12.75">
      <c r="C86" s="21"/>
      <c r="D86" s="21"/>
      <c r="E86" s="18">
        <v>42251</v>
      </c>
      <c r="F86" s="21"/>
      <c r="G86" s="33">
        <v>221326.52</v>
      </c>
      <c r="H86" s="33"/>
      <c r="M86" s="53"/>
    </row>
    <row r="87" spans="3:13" ht="12.75">
      <c r="C87" s="21" t="s">
        <v>10</v>
      </c>
      <c r="D87" s="21"/>
      <c r="E87" s="18">
        <v>42265</v>
      </c>
      <c r="F87" s="21"/>
      <c r="G87" s="33">
        <v>-62073.07</v>
      </c>
      <c r="H87" s="33"/>
      <c r="M87" s="53"/>
    </row>
    <row r="88" spans="3:13" ht="12.75">
      <c r="C88" s="21"/>
      <c r="D88" s="21"/>
      <c r="E88" s="18">
        <v>42297</v>
      </c>
      <c r="F88" s="21"/>
      <c r="G88" s="33">
        <v>-108466.79</v>
      </c>
      <c r="H88" s="33"/>
      <c r="I88" s="23"/>
      <c r="J88" s="21"/>
      <c r="M88" s="53"/>
    </row>
    <row r="89" spans="3:13" ht="12.75">
      <c r="C89" s="21"/>
      <c r="D89" s="21"/>
      <c r="E89" s="18">
        <v>42352</v>
      </c>
      <c r="F89" s="21"/>
      <c r="G89" s="33">
        <v>-97297.93</v>
      </c>
      <c r="H89" s="33"/>
      <c r="I89" s="23"/>
      <c r="J89" s="21"/>
      <c r="M89" s="53"/>
    </row>
    <row r="90" spans="3:13" ht="12.75">
      <c r="C90" s="21" t="s">
        <v>13</v>
      </c>
      <c r="D90" s="21"/>
      <c r="E90" s="18">
        <v>42404</v>
      </c>
      <c r="F90" s="21"/>
      <c r="G90" s="33">
        <v>43539.31</v>
      </c>
      <c r="H90" s="33"/>
      <c r="I90" s="23"/>
      <c r="J90" s="21"/>
      <c r="M90" s="53"/>
    </row>
    <row r="91" spans="3:13" ht="12.75">
      <c r="C91" s="21"/>
      <c r="D91" s="21"/>
      <c r="E91" s="18">
        <v>42424</v>
      </c>
      <c r="F91" s="21"/>
      <c r="G91" s="33">
        <v>-97512.72</v>
      </c>
      <c r="H91" s="33"/>
      <c r="I91" s="23"/>
      <c r="J91" s="21"/>
      <c r="M91" s="53"/>
    </row>
    <row r="92" spans="3:13" ht="12.75">
      <c r="C92" s="21"/>
      <c r="D92" s="21"/>
      <c r="E92" s="18">
        <v>42451</v>
      </c>
      <c r="F92" s="21"/>
      <c r="G92" s="33">
        <v>43774.79</v>
      </c>
      <c r="H92" s="33"/>
      <c r="I92" s="23"/>
      <c r="J92" s="21"/>
      <c r="M92" s="53"/>
    </row>
    <row r="93" spans="3:13" ht="12.75">
      <c r="C93" s="21"/>
      <c r="D93" s="21"/>
      <c r="E93" s="18">
        <v>42452</v>
      </c>
      <c r="F93" s="21"/>
      <c r="G93" s="33">
        <v>-72812.36</v>
      </c>
      <c r="H93" s="33"/>
      <c r="I93" s="23"/>
      <c r="J93" s="21"/>
      <c r="M93" s="53"/>
    </row>
    <row r="94" spans="3:13" ht="12.75">
      <c r="C94" s="21"/>
      <c r="D94" s="21"/>
      <c r="E94" s="18">
        <v>42485</v>
      </c>
      <c r="F94" s="21"/>
      <c r="G94" s="33">
        <v>-90424.77</v>
      </c>
      <c r="H94" s="33"/>
      <c r="I94" s="23"/>
      <c r="J94" s="21"/>
      <c r="M94" s="53"/>
    </row>
    <row r="95" spans="3:13" ht="12.75">
      <c r="C95" s="21"/>
      <c r="D95" s="21"/>
      <c r="E95" s="18">
        <v>42549</v>
      </c>
      <c r="F95" s="21"/>
      <c r="G95" s="33">
        <v>23005.35</v>
      </c>
      <c r="H95" s="33"/>
      <c r="M95" s="53"/>
    </row>
    <row r="96" spans="3:13" ht="12.75">
      <c r="C96" s="21"/>
      <c r="D96" s="21"/>
      <c r="E96" s="18">
        <v>42558</v>
      </c>
      <c r="F96" s="21"/>
      <c r="G96" s="33">
        <v>-56273.86</v>
      </c>
      <c r="H96" s="33"/>
      <c r="M96" s="53"/>
    </row>
    <row r="97" spans="3:13" ht="12.75">
      <c r="C97" s="21"/>
      <c r="D97" s="21"/>
      <c r="E97" s="18">
        <v>42578</v>
      </c>
      <c r="F97" s="21"/>
      <c r="G97" s="33">
        <v>-55844.29</v>
      </c>
      <c r="H97" s="33"/>
      <c r="M97" s="53"/>
    </row>
    <row r="98" spans="3:13" ht="12.75">
      <c r="C98" s="21"/>
      <c r="D98" s="21"/>
      <c r="E98" s="18">
        <v>42584</v>
      </c>
      <c r="F98" s="21"/>
      <c r="G98" s="33">
        <v>608280.91</v>
      </c>
      <c r="H98" s="33"/>
      <c r="M98" s="53"/>
    </row>
    <row r="99" spans="3:13" ht="12.75">
      <c r="C99" s="21" t="s">
        <v>14</v>
      </c>
      <c r="D99" s="21"/>
      <c r="E99" s="18">
        <v>42632</v>
      </c>
      <c r="F99" s="21"/>
      <c r="G99" s="33">
        <v>39248.07</v>
      </c>
      <c r="H99" s="33"/>
      <c r="M99" s="53"/>
    </row>
    <row r="100" spans="3:13" ht="12.75">
      <c r="C100" s="21"/>
      <c r="D100" s="21"/>
      <c r="E100" s="18">
        <v>42636</v>
      </c>
      <c r="F100" s="21"/>
      <c r="G100" s="33">
        <v>-73241.93</v>
      </c>
      <c r="H100" s="33"/>
      <c r="M100" s="53"/>
    </row>
    <row r="101" spans="3:13" ht="12.75">
      <c r="C101" s="21"/>
      <c r="D101" s="21"/>
      <c r="E101" s="18">
        <v>42656</v>
      </c>
      <c r="F101" s="21"/>
      <c r="G101" s="33">
        <v>155100.44</v>
      </c>
      <c r="H101" s="33"/>
      <c r="M101" s="53"/>
    </row>
    <row r="102" spans="3:13" ht="12.75">
      <c r="C102" s="21"/>
      <c r="D102" s="21"/>
      <c r="E102" s="18">
        <v>42664</v>
      </c>
      <c r="F102" s="21"/>
      <c r="G102" s="33">
        <v>-70449.71</v>
      </c>
      <c r="H102" s="33"/>
      <c r="I102" s="23"/>
      <c r="J102" s="21"/>
      <c r="M102" s="53"/>
    </row>
    <row r="103" spans="3:13" ht="12.75">
      <c r="C103" s="21"/>
      <c r="D103" s="21"/>
      <c r="E103" s="18">
        <v>42697</v>
      </c>
      <c r="F103" s="21"/>
      <c r="G103" s="33">
        <v>-42957.14</v>
      </c>
      <c r="H103" s="33"/>
      <c r="I103" s="23"/>
      <c r="J103" s="21"/>
      <c r="M103" s="53"/>
    </row>
    <row r="104" spans="3:13" ht="12.75">
      <c r="C104" s="21"/>
      <c r="D104" s="21"/>
      <c r="E104" s="18">
        <v>42723</v>
      </c>
      <c r="F104" s="21"/>
      <c r="G104" s="33">
        <v>148394.72</v>
      </c>
      <c r="H104" s="33"/>
      <c r="I104" s="23"/>
      <c r="J104" s="21"/>
      <c r="M104" s="53"/>
    </row>
    <row r="105" spans="3:13" ht="15.75">
      <c r="C105" s="21"/>
      <c r="D105" s="21"/>
      <c r="E105" s="18">
        <v>42727</v>
      </c>
      <c r="F105" s="21"/>
      <c r="G105" s="33">
        <v>-124146.13</v>
      </c>
      <c r="H105" s="33"/>
      <c r="I105" s="111"/>
      <c r="J105" s="112"/>
      <c r="K105" s="113"/>
      <c r="L105" s="104"/>
      <c r="M105" s="53"/>
    </row>
    <row r="106" spans="3:13" ht="12.75">
      <c r="C106" s="21" t="s">
        <v>15</v>
      </c>
      <c r="D106" s="21"/>
      <c r="E106" s="18">
        <v>42795</v>
      </c>
      <c r="F106" s="21"/>
      <c r="G106" s="33">
        <v>-58206.93</v>
      </c>
      <c r="H106" s="33"/>
      <c r="I106" s="111"/>
      <c r="J106" s="112"/>
      <c r="K106" s="113"/>
      <c r="L106" s="54"/>
      <c r="M106" s="53"/>
    </row>
    <row r="107" spans="3:13" ht="12.75">
      <c r="C107" s="21"/>
      <c r="D107" s="21"/>
      <c r="E107" s="18">
        <v>42822</v>
      </c>
      <c r="F107" s="21"/>
      <c r="G107" s="33">
        <v>-32217.86</v>
      </c>
      <c r="H107" s="33"/>
      <c r="I107" s="111"/>
      <c r="J107" s="112"/>
      <c r="K107" s="113"/>
      <c r="L107" s="54"/>
      <c r="M107" s="53"/>
    </row>
    <row r="108" spans="3:13" ht="12.75">
      <c r="C108" s="21"/>
      <c r="D108" s="21"/>
      <c r="E108" s="18">
        <v>42823</v>
      </c>
      <c r="F108" s="21"/>
      <c r="G108" s="33">
        <v>225802.36</v>
      </c>
      <c r="H108" s="33"/>
      <c r="I108" s="111"/>
      <c r="J108" s="112"/>
      <c r="K108" s="113"/>
      <c r="L108" s="54"/>
      <c r="M108" s="53"/>
    </row>
    <row r="109" spans="3:13" ht="12.75">
      <c r="C109" s="21"/>
      <c r="D109" s="21"/>
      <c r="E109" s="18">
        <v>42843</v>
      </c>
      <c r="F109" s="21"/>
      <c r="G109" s="33">
        <v>-57132.99</v>
      </c>
      <c r="H109" s="33"/>
      <c r="I109" s="111"/>
      <c r="J109" s="112"/>
      <c r="K109" s="113"/>
      <c r="L109" s="54"/>
      <c r="M109" s="53"/>
    </row>
    <row r="110" spans="3:13" ht="12.75">
      <c r="C110" s="21"/>
      <c r="D110" s="21"/>
      <c r="E110" s="18">
        <v>42859</v>
      </c>
      <c r="F110" s="21"/>
      <c r="G110" s="33">
        <v>34804.76</v>
      </c>
      <c r="H110" s="33"/>
      <c r="I110" s="111"/>
      <c r="J110" s="112"/>
      <c r="K110" s="113"/>
      <c r="L110" s="113"/>
      <c r="M110" s="53"/>
    </row>
    <row r="111" spans="3:13" ht="12.75">
      <c r="C111" s="21"/>
      <c r="D111" s="21"/>
      <c r="E111" s="18">
        <v>42909</v>
      </c>
      <c r="F111" s="21"/>
      <c r="G111" s="33">
        <v>-83551.64</v>
      </c>
      <c r="H111" s="33"/>
      <c r="I111" s="111"/>
      <c r="J111" s="112"/>
      <c r="K111" s="113"/>
      <c r="L111" s="113"/>
      <c r="M111" s="53"/>
    </row>
    <row r="112" spans="3:13" ht="12.75">
      <c r="C112" s="21" t="s">
        <v>16</v>
      </c>
      <c r="D112" s="21"/>
      <c r="E112" s="18">
        <v>43020</v>
      </c>
      <c r="F112" s="21"/>
      <c r="G112" s="33">
        <v>86533.37</v>
      </c>
      <c r="H112" s="33"/>
      <c r="I112" s="111"/>
      <c r="J112" s="112"/>
      <c r="K112" s="113"/>
      <c r="L112" s="113"/>
      <c r="M112" s="53"/>
    </row>
    <row r="113" spans="3:13" ht="12.75">
      <c r="C113" s="21"/>
      <c r="D113" s="21"/>
      <c r="E113" s="18">
        <v>43054</v>
      </c>
      <c r="F113" s="21"/>
      <c r="G113" s="33">
        <v>-56273.86</v>
      </c>
      <c r="H113" s="33"/>
      <c r="I113" s="23"/>
      <c r="J113" s="21"/>
      <c r="M113" s="53"/>
    </row>
    <row r="114" spans="3:13" ht="12.75">
      <c r="C114" s="21"/>
      <c r="D114" s="21"/>
      <c r="E114" s="18">
        <v>43090</v>
      </c>
      <c r="F114" s="21"/>
      <c r="G114" s="33">
        <v>-70234.93</v>
      </c>
      <c r="H114" s="33"/>
      <c r="I114" s="23"/>
      <c r="J114" s="21"/>
      <c r="M114" s="53"/>
    </row>
    <row r="115" spans="3:13" ht="12.75">
      <c r="C115" s="21" t="s">
        <v>17</v>
      </c>
      <c r="D115" s="21"/>
      <c r="E115" s="18">
        <v>43152</v>
      </c>
      <c r="F115" s="21"/>
      <c r="G115" s="33">
        <v>526301.60</v>
      </c>
      <c r="H115" s="33"/>
      <c r="I115" s="23"/>
      <c r="J115" s="21"/>
      <c r="M115" s="53"/>
    </row>
    <row r="116" spans="3:13" ht="12.75">
      <c r="C116" s="21"/>
      <c r="D116" s="21"/>
      <c r="E116" s="18">
        <v>43186</v>
      </c>
      <c r="F116" s="21"/>
      <c r="G116" s="33">
        <v>317547.57</v>
      </c>
      <c r="H116" s="33"/>
      <c r="I116" s="23"/>
      <c r="J116" s="21"/>
      <c r="M116" s="53"/>
    </row>
    <row r="117" spans="3:13" ht="12.75">
      <c r="C117" s="21" t="s">
        <v>18</v>
      </c>
      <c r="D117" s="21"/>
      <c r="E117" s="18">
        <v>43262</v>
      </c>
      <c r="F117" s="21"/>
      <c r="G117" s="33">
        <v>44950.31</v>
      </c>
      <c r="H117" s="33"/>
      <c r="I117" s="23"/>
      <c r="J117" s="21"/>
      <c r="M117" s="53"/>
    </row>
    <row r="118" spans="3:13" ht="12.75">
      <c r="C118" s="21"/>
      <c r="D118" s="21"/>
      <c r="E118" s="18">
        <v>43364</v>
      </c>
      <c r="F118" s="21"/>
      <c r="G118" s="33">
        <v>-176124.28</v>
      </c>
      <c r="H118" s="33"/>
      <c r="I118" s="23"/>
      <c r="J118" s="21"/>
      <c r="M118" s="53"/>
    </row>
    <row r="119" spans="3:13" ht="12.75">
      <c r="C119" s="21"/>
      <c r="D119" s="21"/>
      <c r="E119" s="18">
        <v>43404</v>
      </c>
      <c r="F119" s="21"/>
      <c r="G119" s="33">
        <v>43189.44</v>
      </c>
      <c r="H119" s="33"/>
      <c r="I119" s="23"/>
      <c r="J119" s="21"/>
      <c r="M119" s="53"/>
    </row>
    <row r="120" spans="3:13" ht="12.75">
      <c r="C120" s="21"/>
      <c r="D120" s="21"/>
      <c r="E120" s="18">
        <v>43454</v>
      </c>
      <c r="F120" s="21"/>
      <c r="G120" s="33">
        <v>-178916.50</v>
      </c>
      <c r="H120" s="33"/>
      <c r="I120" s="23"/>
      <c r="J120" s="21"/>
      <c r="M120" s="53"/>
    </row>
    <row r="121" spans="3:13" ht="12.75">
      <c r="C121" s="21" t="s">
        <v>19</v>
      </c>
      <c r="D121" s="21"/>
      <c r="E121" s="18">
        <v>43649</v>
      </c>
      <c r="F121" s="21"/>
      <c r="G121" s="33">
        <v>-31573.50</v>
      </c>
      <c r="H121" s="33"/>
      <c r="I121" s="33"/>
      <c r="J121" s="21"/>
      <c r="M121" s="53"/>
    </row>
    <row r="122" spans="3:13" ht="12.75">
      <c r="C122" s="21" t="s">
        <v>20</v>
      </c>
      <c r="D122" s="21"/>
      <c r="E122" s="18">
        <v>43593</v>
      </c>
      <c r="F122" s="21"/>
      <c r="G122" s="33">
        <v>44775.60</v>
      </c>
      <c r="H122" s="33"/>
      <c r="I122" s="23"/>
      <c r="J122" s="21"/>
      <c r="M122" s="53"/>
    </row>
    <row r="123" spans="3:13" ht="12.75">
      <c r="C123" s="21"/>
      <c r="D123" s="21"/>
      <c r="E123" s="18">
        <v>43655</v>
      </c>
      <c r="F123" s="21"/>
      <c r="G123" s="33">
        <v>74639.75</v>
      </c>
      <c r="H123" s="33"/>
      <c r="I123" s="23"/>
      <c r="J123" s="21"/>
      <c r="M123" s="53"/>
    </row>
    <row r="124" spans="3:13" ht="12.75">
      <c r="C124" s="21" t="s">
        <v>21</v>
      </c>
      <c r="D124" s="21"/>
      <c r="E124" s="18">
        <v>43928</v>
      </c>
      <c r="F124" s="21"/>
      <c r="G124" s="33">
        <v>-27277.78</v>
      </c>
      <c r="H124" s="33"/>
      <c r="I124" s="23"/>
      <c r="J124" s="21"/>
      <c r="M124" s="53"/>
    </row>
    <row r="125" spans="3:13" ht="15.75">
      <c r="C125" s="21"/>
      <c r="D125" s="21"/>
      <c r="E125" s="18">
        <v>44070</v>
      </c>
      <c r="F125" s="21"/>
      <c r="G125" s="33">
        <v>-276898.45</v>
      </c>
      <c r="H125" s="33"/>
      <c r="I125" s="23"/>
      <c r="J125" s="21"/>
      <c r="L125" s="50"/>
      <c r="M125" s="53"/>
    </row>
    <row r="126" spans="3:13" ht="15.75">
      <c r="C126" s="21" t="s">
        <v>23</v>
      </c>
      <c r="D126" s="21"/>
      <c r="E126" s="18">
        <v>44302</v>
      </c>
      <c r="F126" s="21"/>
      <c r="G126" s="33">
        <v>128116.15</v>
      </c>
      <c r="H126" s="33"/>
      <c r="I126" s="23"/>
      <c r="J126" s="21"/>
      <c r="L126" s="50"/>
      <c r="M126" s="53"/>
    </row>
    <row r="127" spans="3:13" ht="15.75">
      <c r="C127" s="21" t="s">
        <v>25</v>
      </c>
      <c r="D127" s="21"/>
      <c r="E127" s="18">
        <v>44673</v>
      </c>
      <c r="F127" s="21"/>
      <c r="G127" s="33">
        <v>288048.77</v>
      </c>
      <c r="H127" s="33"/>
      <c r="I127" s="23"/>
      <c r="J127" s="21"/>
      <c r="L127" s="50"/>
      <c r="M127" s="53"/>
    </row>
    <row r="128" spans="3:13" ht="15.75">
      <c r="C128" s="21"/>
      <c r="D128" s="21"/>
      <c r="E128" s="18">
        <v>44727</v>
      </c>
      <c r="F128" s="21"/>
      <c r="G128" s="33">
        <v>43194.18</v>
      </c>
      <c r="H128" s="33"/>
      <c r="I128" s="23"/>
      <c r="J128" s="21"/>
      <c r="L128" s="50"/>
      <c r="M128" s="53"/>
    </row>
    <row r="129" spans="3:13" ht="15.75">
      <c r="C129" s="21"/>
      <c r="D129" s="21"/>
      <c r="E129" s="18">
        <v>44796</v>
      </c>
      <c r="F129" s="21"/>
      <c r="G129" s="33">
        <v>38584.48</v>
      </c>
      <c r="H129" s="33"/>
      <c r="I129" s="23"/>
      <c r="J129" s="21"/>
      <c r="L129" s="50"/>
      <c r="M129" s="53"/>
    </row>
    <row r="130" spans="3:13" ht="15.75">
      <c r="C130" s="21"/>
      <c r="D130" s="21"/>
      <c r="E130" s="18">
        <v>44868</v>
      </c>
      <c r="F130" s="21"/>
      <c r="G130" s="33">
        <f>136541.13-1406.16</f>
        <v>135134.97</v>
      </c>
      <c r="H130" s="33"/>
      <c r="I130" s="23"/>
      <c r="J130" s="21"/>
      <c r="L130" s="50"/>
      <c r="M130" s="53"/>
    </row>
    <row r="131" spans="3:13" ht="15.75">
      <c r="C131" s="21"/>
      <c r="D131" s="21"/>
      <c r="E131" s="18">
        <v>44911</v>
      </c>
      <c r="F131" s="21"/>
      <c r="G131" s="33">
        <v>105378.05</v>
      </c>
      <c r="H131" s="33"/>
      <c r="I131" s="23"/>
      <c r="J131" s="21"/>
      <c r="L131" s="50"/>
      <c r="M131" s="53"/>
    </row>
    <row r="132" spans="3:13" ht="15.75">
      <c r="C132" s="21" t="s">
        <v>26</v>
      </c>
      <c r="D132" s="21"/>
      <c r="E132" s="18">
        <v>44973</v>
      </c>
      <c r="F132" s="21"/>
      <c r="G132" s="33">
        <v>127150.58</v>
      </c>
      <c r="H132" s="33"/>
      <c r="I132" s="23"/>
      <c r="J132" s="21"/>
      <c r="L132" s="50"/>
      <c r="M132" s="53"/>
    </row>
    <row r="133" spans="3:13" ht="15.75">
      <c r="C133" s="21"/>
      <c r="D133" s="21"/>
      <c r="E133" s="18">
        <v>45079</v>
      </c>
      <c r="F133" s="21"/>
      <c r="G133" s="33">
        <v>86675.06</v>
      </c>
      <c r="H133" s="33"/>
      <c r="I133" s="23"/>
      <c r="J133" s="21"/>
      <c r="L133" s="50"/>
      <c r="M133" s="53"/>
    </row>
    <row r="134" spans="3:13" ht="15.75">
      <c r="C134" s="21"/>
      <c r="D134" s="21"/>
      <c r="E134" s="18">
        <v>45182</v>
      </c>
      <c r="F134" s="21"/>
      <c r="G134" s="33">
        <v>50804.12</v>
      </c>
      <c r="H134" s="33"/>
      <c r="I134" s="23"/>
      <c r="J134" s="21"/>
      <c r="L134" s="50"/>
      <c r="M134" s="53"/>
    </row>
    <row r="135" spans="3:13" ht="4.5" customHeight="1">
      <c r="C135" s="21"/>
      <c r="D135" s="21"/>
      <c r="E135" s="18"/>
      <c r="F135" s="21"/>
      <c r="G135" s="33"/>
      <c r="H135" s="33"/>
      <c r="I135" s="23"/>
      <c r="M135" s="53"/>
    </row>
    <row r="136" spans="3:13" ht="12.75">
      <c r="C136" s="21" t="s">
        <v>1</v>
      </c>
      <c r="D136" s="21"/>
      <c r="E136" s="18">
        <f>+E8</f>
        <v>45199</v>
      </c>
      <c r="F136" s="21"/>
      <c r="G136" s="49">
        <f>L136*C22</f>
        <v>3055740.7303882763</v>
      </c>
      <c r="H136" s="49"/>
      <c r="I136" s="33">
        <f>+SUMIF($G$23:$G$135,"&lt;0",$G$23:$G$135)</f>
        <v>-8827861.09</v>
      </c>
      <c r="J136" s="21" t="s">
        <v>11</v>
      </c>
      <c r="L136" s="54">
        <v>106682722</v>
      </c>
      <c r="M136" s="53"/>
    </row>
    <row r="137" spans="3:13" ht="12.75">
      <c r="C137" s="21"/>
      <c r="D137" s="21"/>
      <c r="E137" s="21"/>
      <c r="F137" s="21"/>
      <c r="G137" s="21"/>
      <c r="H137" s="21"/>
      <c r="I137" s="33">
        <f>+SUMIF($G$23:$G$135,"&gt;0",$G$23:$G$135)</f>
        <v>6045960.67</v>
      </c>
      <c r="J137" s="21" t="s">
        <v>12</v>
      </c>
      <c r="L137" s="84"/>
      <c r="M137" s="53"/>
    </row>
    <row r="138" spans="3:8" ht="12.75">
      <c r="C138" s="20" t="s">
        <v>0</v>
      </c>
      <c r="G138" s="24">
        <f>+XIRR(G23:G136,E23:E136,0.1)</f>
        <v>0.006196805834770203</v>
      </c>
      <c r="H138" s="24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34"/>
      <c r="H141" s="21"/>
    </row>
    <row r="142" spans="3:8" ht="12.75">
      <c r="C142" s="21"/>
      <c r="D142" s="21"/>
      <c r="E142" s="34"/>
      <c r="F142" s="26"/>
      <c r="G142" s="34"/>
      <c r="H142" s="26"/>
    </row>
    <row r="143" spans="3:8" ht="12.75">
      <c r="C143" s="21"/>
      <c r="D143" s="21"/>
      <c r="E143" s="34"/>
      <c r="F143" s="26"/>
      <c r="G143" s="34"/>
      <c r="H143" s="26"/>
    </row>
    <row r="144" spans="3:8" ht="12.75">
      <c r="C144" s="26"/>
      <c r="D144" s="26"/>
      <c r="E144" s="51"/>
      <c r="F144" s="51"/>
      <c r="G144" s="51"/>
      <c r="H144" s="34"/>
    </row>
    <row r="145" spans="3:8" ht="12.75">
      <c r="C145" s="26"/>
      <c r="D145" s="26"/>
      <c r="E145" s="34"/>
      <c r="F145" s="34"/>
      <c r="G145" s="34"/>
      <c r="H145" s="34"/>
    </row>
    <row r="146" spans="3:8" ht="12.75">
      <c r="C146" s="26"/>
      <c r="D146" s="26"/>
      <c r="E146" s="26"/>
      <c r="F146" s="26"/>
      <c r="G146" s="26"/>
      <c r="H146" s="20"/>
    </row>
    <row r="147" spans="3:8" ht="12.75">
      <c r="C147" s="114"/>
      <c r="D147" s="114"/>
      <c r="E147" s="115"/>
      <c r="F147" s="71"/>
      <c r="G147" s="46"/>
      <c r="H147" s="74"/>
    </row>
    <row r="148" spans="3:8" ht="12.75">
      <c r="C148" s="114"/>
      <c r="D148" s="114"/>
      <c r="E148" s="46"/>
      <c r="F148" s="71"/>
      <c r="G148" s="46"/>
      <c r="H148" s="74"/>
    </row>
    <row r="149" spans="3:8" ht="12.75">
      <c r="C149" s="114"/>
      <c r="D149" s="114"/>
      <c r="E149" s="46"/>
      <c r="F149" s="71"/>
      <c r="G149" s="46"/>
      <c r="H149" s="76"/>
    </row>
    <row r="150" spans="3:8" ht="12.75">
      <c r="C150" s="116"/>
      <c r="D150" s="114"/>
      <c r="E150" s="46"/>
      <c r="F150" s="71"/>
      <c r="G150" s="46"/>
      <c r="H150" s="21"/>
    </row>
    <row r="151" spans="3:8" ht="12.75">
      <c r="C151" s="116"/>
      <c r="D151" s="114"/>
      <c r="E151" s="46"/>
      <c r="F151" s="71"/>
      <c r="G151" s="46"/>
      <c r="H151" s="21"/>
    </row>
    <row r="152" spans="3:8" ht="12.75">
      <c r="C152" s="117"/>
      <c r="D152" s="114"/>
      <c r="E152" s="46"/>
      <c r="F152" s="71"/>
      <c r="G152" s="46"/>
      <c r="H152" s="21"/>
    </row>
    <row r="153" spans="3:8" ht="12.75">
      <c r="C153" s="114"/>
      <c r="D153" s="114"/>
      <c r="E153" s="46"/>
      <c r="F153" s="71"/>
      <c r="G153" s="46"/>
      <c r="H153" s="21"/>
    </row>
    <row r="154" spans="3:8" ht="12.75">
      <c r="C154" s="114"/>
      <c r="D154" s="114"/>
      <c r="E154" s="46"/>
      <c r="F154" s="71"/>
      <c r="G154" s="46"/>
      <c r="H154" s="21"/>
    </row>
    <row r="155" spans="3:8" ht="12.75">
      <c r="C155" s="114"/>
      <c r="D155" s="114"/>
      <c r="E155" s="46"/>
      <c r="F155" s="71"/>
      <c r="G155" s="46"/>
      <c r="H155" s="21"/>
    </row>
    <row r="156" spans="3:8" ht="12.75">
      <c r="C156" s="114"/>
      <c r="D156" s="114"/>
      <c r="E156" s="46"/>
      <c r="F156" s="71"/>
      <c r="G156" s="46"/>
      <c r="H156" s="21"/>
    </row>
    <row r="157" spans="3:8" ht="12.75">
      <c r="C157" s="114"/>
      <c r="D157" s="114"/>
      <c r="E157" s="46"/>
      <c r="F157" s="71"/>
      <c r="G157" s="46"/>
      <c r="H157" s="21"/>
    </row>
    <row r="158" spans="3:8" ht="12.75">
      <c r="C158" s="114"/>
      <c r="D158" s="114"/>
      <c r="E158" s="46"/>
      <c r="F158" s="71"/>
      <c r="G158" s="46"/>
      <c r="H158" s="21"/>
    </row>
    <row r="159" spans="3:8" ht="5.1" customHeight="1">
      <c r="C159" s="21"/>
      <c r="D159" s="21"/>
      <c r="E159" s="21"/>
      <c r="F159" s="21"/>
      <c r="G159" s="21"/>
      <c r="H159" s="21"/>
    </row>
    <row r="160" spans="3:8" ht="12.75">
      <c r="C160" s="21"/>
      <c r="D160" s="21"/>
      <c r="E160" s="21"/>
      <c r="F160" s="21"/>
      <c r="G160" s="21"/>
      <c r="H160" s="21"/>
    </row>
    <row r="161" spans="3:8" ht="12.75">
      <c r="C161" s="21"/>
      <c r="D161" s="21"/>
      <c r="E161" s="21"/>
      <c r="F161" s="21"/>
      <c r="G161" s="21"/>
      <c r="H161" s="21"/>
    </row>
    <row r="162" spans="3:8" ht="12.75">
      <c r="C162" s="21"/>
      <c r="D162" s="21"/>
      <c r="E162" s="21"/>
      <c r="F162" s="21"/>
      <c r="G162" s="21"/>
      <c r="H162" s="21"/>
    </row>
    <row r="163" spans="3:8" ht="12.75">
      <c r="C163" s="21"/>
      <c r="D163" s="21"/>
      <c r="E163" s="21"/>
      <c r="F163" s="21"/>
      <c r="G163" s="21"/>
      <c r="H163" s="21"/>
    </row>
  </sheetData>
  <mergeCells count="1">
    <mergeCell ref="E144:G144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9E6F4B-A311-4D08-9028-2A68D125D1A3}">
  <sheetPr>
    <pageSetUpPr fitToPage="1"/>
  </sheetPr>
  <dimension ref="B4:L202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2">
        <v>45199</v>
      </c>
      <c r="F8" s="36"/>
      <c r="G8" s="6"/>
      <c r="H8" s="6"/>
    </row>
    <row r="9" spans="3:7" ht="15.75">
      <c r="C9" s="103"/>
      <c r="D9" s="103"/>
      <c r="E9" s="103"/>
      <c r="F9" s="103"/>
      <c r="G9" s="104"/>
    </row>
    <row r="10" spans="3:8" ht="12.75">
      <c r="C10" s="105"/>
      <c r="D10" s="105"/>
      <c r="E10" s="106"/>
      <c r="F10" s="105"/>
      <c r="G10" s="127"/>
      <c r="H10" s="8"/>
    </row>
    <row r="11" spans="3:8" ht="12.75">
      <c r="C11" s="105"/>
      <c r="D11" s="105"/>
      <c r="E11" s="106"/>
      <c r="F11" s="105"/>
      <c r="G11" s="128"/>
      <c r="H11" s="8"/>
    </row>
    <row r="12" spans="3:8" ht="15.75">
      <c r="C12" s="107"/>
      <c r="D12" s="107"/>
      <c r="E12" s="108"/>
      <c r="F12" s="107"/>
      <c r="G12" s="129"/>
      <c r="H12" s="5"/>
    </row>
    <row r="13" spans="3:8" ht="12.75">
      <c r="C13" s="105"/>
      <c r="D13" s="105"/>
      <c r="E13" s="109"/>
      <c r="F13" s="105"/>
      <c r="G13" s="127"/>
      <c r="H13" s="9"/>
    </row>
    <row r="14" spans="3:8" ht="12.75">
      <c r="C14" s="105"/>
      <c r="D14" s="105"/>
      <c r="E14" s="110"/>
      <c r="F14" s="105"/>
      <c r="G14" s="127"/>
      <c r="H14" s="10"/>
    </row>
    <row r="15" spans="3:8" ht="12.75">
      <c r="C15" s="105"/>
      <c r="D15" s="105"/>
      <c r="E15" s="106"/>
      <c r="F15" s="105"/>
      <c r="G15" s="106"/>
      <c r="H15" s="8"/>
    </row>
    <row r="16" spans="3:8" ht="15.75">
      <c r="C16" s="5"/>
      <c r="D16" s="5"/>
      <c r="E16" s="14"/>
      <c r="F16" s="5"/>
      <c r="G16" s="14"/>
      <c r="H16" s="5"/>
    </row>
    <row r="17" spans="3:8" ht="15.75">
      <c r="C17" s="12" t="s">
        <v>2</v>
      </c>
      <c r="D17" s="12"/>
      <c r="E17" s="14"/>
      <c r="F17" s="12"/>
      <c r="G17" s="14"/>
      <c r="H17" s="5"/>
    </row>
    <row r="18" spans="3:8" ht="12.75" customHeight="1">
      <c r="C18" s="7" t="s">
        <v>3</v>
      </c>
      <c r="D18" s="7"/>
      <c r="E18" s="9">
        <f>G166</f>
        <v>0.11035959124565123</v>
      </c>
      <c r="F18" s="7"/>
      <c r="G18" s="15"/>
      <c r="H18" s="9"/>
    </row>
    <row r="19" spans="3:8" ht="12.75">
      <c r="C19" s="7" t="s">
        <v>6</v>
      </c>
      <c r="D19" s="7"/>
      <c r="E19" s="38">
        <f>(G164+I165)/-I164</f>
        <v>1.5079903352887232</v>
      </c>
      <c r="F19" s="7"/>
      <c r="G19" s="38"/>
      <c r="H19" s="8"/>
    </row>
    <row r="20" spans="3:7" ht="12.75">
      <c r="C20" s="7"/>
      <c r="D20" s="7"/>
      <c r="E20" s="7"/>
      <c r="F20" s="7"/>
      <c r="G20" s="8"/>
    </row>
    <row r="21" spans="3:11" ht="15.75">
      <c r="C21" s="22" t="s">
        <v>33</v>
      </c>
      <c r="D21" s="11"/>
      <c r="E21" s="11"/>
      <c r="F21" s="11"/>
      <c r="I21" s="21"/>
      <c r="K21" s="25"/>
    </row>
    <row r="22" spans="3:9" ht="12.75">
      <c r="C22" s="28">
        <v>1.9399999999991462E-4</v>
      </c>
      <c r="D22" s="21"/>
      <c r="E22" s="21"/>
      <c r="F22" s="21"/>
      <c r="G22" s="27"/>
      <c r="H22" s="21"/>
      <c r="I22" s="21"/>
    </row>
    <row r="23" spans="3:9" ht="12.75">
      <c r="C23" s="21" t="s">
        <v>5</v>
      </c>
      <c r="D23" s="21"/>
      <c r="E23" s="18">
        <v>41282</v>
      </c>
      <c r="F23" s="33"/>
      <c r="G23" s="19">
        <v>-6000</v>
      </c>
      <c r="H23" s="21"/>
      <c r="I23" s="23"/>
    </row>
    <row r="24" spans="3:9" ht="12.75">
      <c r="C24" s="21"/>
      <c r="D24" s="21"/>
      <c r="E24" s="18">
        <v>41359</v>
      </c>
      <c r="F24" s="33"/>
      <c r="G24" s="19">
        <v>-4947</v>
      </c>
      <c r="H24" s="21"/>
      <c r="I24" s="23"/>
    </row>
    <row r="25" spans="3:9" ht="12.75">
      <c r="C25" s="21"/>
      <c r="D25" s="21"/>
      <c r="E25" s="18">
        <v>41381</v>
      </c>
      <c r="F25" s="33"/>
      <c r="G25" s="19">
        <v>-1920.60</v>
      </c>
      <c r="H25" s="21"/>
      <c r="I25" s="23"/>
    </row>
    <row r="26" spans="3:9" ht="12.75">
      <c r="C26" s="21"/>
      <c r="D26" s="21"/>
      <c r="E26" s="18">
        <v>41424</v>
      </c>
      <c r="F26" s="33"/>
      <c r="G26" s="19">
        <v>-1610.20</v>
      </c>
      <c r="H26" s="21"/>
      <c r="I26" s="23"/>
    </row>
    <row r="27" spans="3:9" ht="12.75">
      <c r="C27" s="21"/>
      <c r="D27" s="21"/>
      <c r="E27" s="18">
        <v>41446</v>
      </c>
      <c r="F27" s="33"/>
      <c r="G27" s="19">
        <v>-58665.60</v>
      </c>
      <c r="H27" s="21"/>
      <c r="I27" s="23"/>
    </row>
    <row r="28" spans="3:9" ht="12.75">
      <c r="C28" s="21"/>
      <c r="D28" s="21"/>
      <c r="E28" s="18">
        <v>41498</v>
      </c>
      <c r="F28" s="33"/>
      <c r="G28" s="19">
        <v>-3918.80</v>
      </c>
      <c r="H28" s="21"/>
      <c r="I28" s="23"/>
    </row>
    <row r="29" spans="3:9" ht="12.75">
      <c r="C29" s="21"/>
      <c r="D29" s="21"/>
      <c r="E29" s="18">
        <v>41527</v>
      </c>
      <c r="F29" s="33"/>
      <c r="G29" s="19">
        <v>-9855.2</v>
      </c>
      <c r="H29" s="21"/>
      <c r="I29" s="23"/>
    </row>
    <row r="30" spans="3:8" ht="12.75">
      <c r="C30" s="21"/>
      <c r="D30" s="21"/>
      <c r="E30" s="18">
        <v>41534</v>
      </c>
      <c r="F30" s="33"/>
      <c r="G30" s="19">
        <v>-5024.6</v>
      </c>
      <c r="H30" s="21"/>
    </row>
    <row r="31" spans="3:8" ht="12.75">
      <c r="C31" s="21"/>
      <c r="D31" s="21"/>
      <c r="E31" s="18">
        <v>41551</v>
      </c>
      <c r="F31" s="33"/>
      <c r="G31" s="19">
        <v>-4772.4</v>
      </c>
      <c r="H31" s="21"/>
    </row>
    <row r="32" spans="3:8" ht="12.75">
      <c r="C32" s="21"/>
      <c r="D32" s="21"/>
      <c r="E32" s="18">
        <v>41585</v>
      </c>
      <c r="F32" s="33"/>
      <c r="G32" s="19">
        <v>-9137.40</v>
      </c>
      <c r="H32" s="21"/>
    </row>
    <row r="33" spans="3:8" ht="12.75">
      <c r="C33" s="21"/>
      <c r="D33" s="21"/>
      <c r="E33" s="18">
        <v>41621</v>
      </c>
      <c r="F33" s="33"/>
      <c r="G33" s="19">
        <v>-16625.80</v>
      </c>
      <c r="H33" s="21"/>
    </row>
    <row r="34" spans="3:8" ht="12.75">
      <c r="C34" s="21"/>
      <c r="D34" s="21"/>
      <c r="E34" s="18">
        <v>41635</v>
      </c>
      <c r="F34" s="33"/>
      <c r="G34" s="19">
        <v>-6770.60</v>
      </c>
      <c r="H34" s="21"/>
    </row>
    <row r="35" spans="3:10" ht="12.75">
      <c r="C35" s="21" t="s">
        <v>7</v>
      </c>
      <c r="D35" s="21"/>
      <c r="E35" s="18">
        <v>41670</v>
      </c>
      <c r="F35" s="33"/>
      <c r="G35" s="33">
        <v>-5781.20</v>
      </c>
      <c r="H35" s="21"/>
      <c r="I35" s="23"/>
      <c r="J35" s="21"/>
    </row>
    <row r="36" spans="3:10" ht="12.75">
      <c r="C36" s="21"/>
      <c r="D36" s="21"/>
      <c r="E36" s="18">
        <v>41712</v>
      </c>
      <c r="F36" s="33"/>
      <c r="G36" s="33">
        <v>-14666.47</v>
      </c>
      <c r="H36" s="21"/>
      <c r="I36" s="23"/>
      <c r="J36" s="21"/>
    </row>
    <row r="37" spans="3:10" ht="12.75">
      <c r="C37" s="21"/>
      <c r="D37" s="21"/>
      <c r="E37" s="18">
        <v>41724</v>
      </c>
      <c r="F37" s="33"/>
      <c r="G37" s="33">
        <v>-5315.60</v>
      </c>
      <c r="H37" s="21"/>
      <c r="I37" s="23"/>
      <c r="J37" s="21"/>
    </row>
    <row r="38" spans="3:10" ht="12.75">
      <c r="C38" s="21"/>
      <c r="D38" s="21"/>
      <c r="E38" s="18">
        <v>41733</v>
      </c>
      <c r="F38" s="33"/>
      <c r="G38" s="33">
        <v>-8380.8</v>
      </c>
      <c r="H38" s="21"/>
      <c r="I38" s="23"/>
      <c r="J38" s="21"/>
    </row>
    <row r="39" spans="3:10" ht="12.75">
      <c r="C39" s="21"/>
      <c r="D39" s="21"/>
      <c r="E39" s="18">
        <v>41764</v>
      </c>
      <c r="F39" s="33"/>
      <c r="G39" s="33">
        <v>-7333.21</v>
      </c>
      <c r="H39" s="21"/>
      <c r="I39" s="23"/>
      <c r="J39" s="21"/>
    </row>
    <row r="40" spans="3:10" ht="12.75">
      <c r="C40" s="21"/>
      <c r="D40" s="21"/>
      <c r="E40" s="18">
        <v>41774</v>
      </c>
      <c r="F40" s="33"/>
      <c r="G40" s="33">
        <v>-10320.8</v>
      </c>
      <c r="H40" s="21"/>
      <c r="I40" s="23"/>
      <c r="J40" s="21"/>
    </row>
    <row r="41" spans="3:10" ht="12.75">
      <c r="C41" s="21"/>
      <c r="D41" s="21"/>
      <c r="E41" s="18">
        <v>41788</v>
      </c>
      <c r="F41" s="33"/>
      <c r="G41" s="33">
        <v>-8012.19</v>
      </c>
      <c r="H41" s="21"/>
      <c r="I41" s="23"/>
      <c r="J41" s="21"/>
    </row>
    <row r="42" spans="3:10" ht="12.75">
      <c r="C42" s="21"/>
      <c r="D42" s="21"/>
      <c r="E42" s="18">
        <v>41817</v>
      </c>
      <c r="F42" s="33"/>
      <c r="G42" s="33">
        <v>-14394.80</v>
      </c>
      <c r="H42" s="21"/>
      <c r="I42" s="23"/>
      <c r="J42" s="21"/>
    </row>
    <row r="43" spans="3:10" ht="12.75">
      <c r="C43" s="21"/>
      <c r="D43" s="21"/>
      <c r="E43" s="18">
        <v>41830</v>
      </c>
      <c r="F43" s="33"/>
      <c r="G43" s="33">
        <v>-9098.61</v>
      </c>
      <c r="H43" s="21"/>
      <c r="I43" s="23"/>
      <c r="J43" s="21"/>
    </row>
    <row r="44" spans="3:12" ht="12.75">
      <c r="C44" s="21"/>
      <c r="D44" s="21"/>
      <c r="E44" s="18">
        <v>41851</v>
      </c>
      <c r="F44" s="33"/>
      <c r="G44" s="33">
        <v>-5121.6</v>
      </c>
      <c r="H44" s="21"/>
      <c r="L44" s="42"/>
    </row>
    <row r="45" spans="3:12" ht="12.75">
      <c r="C45" s="21"/>
      <c r="D45" s="21"/>
      <c r="E45" s="18">
        <v>41859</v>
      </c>
      <c r="F45" s="33"/>
      <c r="G45" s="33">
        <v>-9777.60</v>
      </c>
      <c r="H45" s="21"/>
      <c r="L45" s="42"/>
    </row>
    <row r="46" spans="3:11" ht="12.75">
      <c r="C46" s="21"/>
      <c r="D46" s="21"/>
      <c r="E46" s="18">
        <v>41880</v>
      </c>
      <c r="F46" s="33"/>
      <c r="G46" s="33">
        <v>-6052.80</v>
      </c>
      <c r="H46" s="21"/>
      <c r="K46" s="85"/>
    </row>
    <row r="47" spans="3:8" ht="12.75">
      <c r="C47" s="21"/>
      <c r="D47" s="21"/>
      <c r="E47" s="18">
        <v>41900</v>
      </c>
      <c r="F47" s="33"/>
      <c r="G47" s="33">
        <v>-24948.41</v>
      </c>
      <c r="H47" s="21"/>
    </row>
    <row r="48" spans="3:8" ht="12.75">
      <c r="C48" s="21"/>
      <c r="D48" s="21"/>
      <c r="E48" s="18">
        <v>41915</v>
      </c>
      <c r="F48" s="33"/>
      <c r="G48" s="33">
        <v>-25666.19</v>
      </c>
      <c r="H48" s="21"/>
    </row>
    <row r="49" spans="3:10" ht="12.75">
      <c r="C49" s="21"/>
      <c r="D49" s="21"/>
      <c r="E49" s="18">
        <v>41929</v>
      </c>
      <c r="F49" s="33"/>
      <c r="G49" s="33">
        <v>-19031.40</v>
      </c>
      <c r="H49" s="21"/>
      <c r="I49" s="23"/>
      <c r="J49" s="21"/>
    </row>
    <row r="50" spans="3:10" ht="12.75">
      <c r="C50" s="21"/>
      <c r="D50" s="21"/>
      <c r="E50" s="18">
        <v>41943</v>
      </c>
      <c r="F50" s="33"/>
      <c r="G50" s="33">
        <v>-12648.80</v>
      </c>
      <c r="H50" s="21"/>
      <c r="I50" s="23"/>
      <c r="J50" s="21"/>
    </row>
    <row r="51" spans="3:10" ht="12.75">
      <c r="C51" s="21"/>
      <c r="D51" s="21"/>
      <c r="E51" s="18">
        <v>41977</v>
      </c>
      <c r="F51" s="33"/>
      <c r="G51" s="33">
        <v>-19109</v>
      </c>
      <c r="H51" s="21"/>
      <c r="I51" s="23"/>
      <c r="J51" s="21"/>
    </row>
    <row r="52" spans="3:10" ht="12.75">
      <c r="C52" s="21" t="s">
        <v>8</v>
      </c>
      <c r="D52" s="21"/>
      <c r="E52" s="18">
        <v>41817</v>
      </c>
      <c r="F52" s="33"/>
      <c r="G52" s="33">
        <v>14124.60</v>
      </c>
      <c r="H52" s="21"/>
      <c r="I52" s="23"/>
      <c r="J52" s="21"/>
    </row>
    <row r="53" spans="3:8" ht="12.75">
      <c r="C53" s="21" t="s">
        <v>9</v>
      </c>
      <c r="D53" s="21"/>
      <c r="E53" s="18">
        <v>42009</v>
      </c>
      <c r="F53" s="33"/>
      <c r="G53" s="33">
        <v>-61672.60</v>
      </c>
      <c r="H53" s="21"/>
    </row>
    <row r="54" spans="3:8" ht="12.75">
      <c r="C54" s="21"/>
      <c r="D54" s="21"/>
      <c r="E54" s="18">
        <v>42027</v>
      </c>
      <c r="F54" s="33"/>
      <c r="G54" s="33">
        <v>-29216.40</v>
      </c>
      <c r="H54" s="21"/>
    </row>
    <row r="55" spans="3:8" ht="12.75">
      <c r="C55" s="21"/>
      <c r="D55" s="21"/>
      <c r="E55" s="18">
        <v>42048</v>
      </c>
      <c r="F55" s="33"/>
      <c r="G55" s="33">
        <v>-13075.61</v>
      </c>
      <c r="H55" s="21"/>
    </row>
    <row r="56" spans="3:8" ht="12.75">
      <c r="C56" s="21"/>
      <c r="D56" s="21"/>
      <c r="E56" s="18">
        <v>42061</v>
      </c>
      <c r="F56" s="33"/>
      <c r="G56" s="33">
        <v>-9525.40</v>
      </c>
      <c r="H56" s="21"/>
    </row>
    <row r="57" spans="3:8" ht="12.75">
      <c r="C57" s="21"/>
      <c r="D57" s="21"/>
      <c r="E57" s="18">
        <v>42088</v>
      </c>
      <c r="F57" s="33"/>
      <c r="G57" s="33">
        <v>-20331.20</v>
      </c>
      <c r="H57" s="21"/>
    </row>
    <row r="58" spans="3:8" ht="12.75">
      <c r="C58" s="21"/>
      <c r="D58" s="21"/>
      <c r="E58" s="18">
        <v>42111</v>
      </c>
      <c r="F58" s="33"/>
      <c r="G58" s="33">
        <v>-16431.79</v>
      </c>
      <c r="H58" s="21"/>
    </row>
    <row r="59" spans="3:8" ht="12.75">
      <c r="C59" s="21"/>
      <c r="D59" s="21"/>
      <c r="E59" s="18">
        <v>42138</v>
      </c>
      <c r="F59" s="33"/>
      <c r="G59" s="33">
        <v>-14200.80</v>
      </c>
      <c r="H59" s="21"/>
    </row>
    <row r="60" spans="3:8" ht="12.75">
      <c r="C60" s="21"/>
      <c r="D60" s="21"/>
      <c r="E60" s="18">
        <v>42156</v>
      </c>
      <c r="F60" s="33"/>
      <c r="G60" s="33">
        <v>-17440.59</v>
      </c>
      <c r="H60" s="21"/>
    </row>
    <row r="61" spans="3:8" ht="12.75">
      <c r="C61" s="21"/>
      <c r="D61" s="21"/>
      <c r="E61" s="18">
        <v>42187</v>
      </c>
      <c r="F61" s="33"/>
      <c r="G61" s="33">
        <v>-13812.80</v>
      </c>
      <c r="H61" s="21"/>
    </row>
    <row r="62" spans="3:10" ht="12.75">
      <c r="C62" s="21"/>
      <c r="D62" s="21"/>
      <c r="E62" s="18">
        <v>42230</v>
      </c>
      <c r="F62" s="33"/>
      <c r="G62" s="33">
        <v>-9292.60</v>
      </c>
      <c r="H62" s="21"/>
      <c r="I62" s="23"/>
      <c r="J62" s="21"/>
    </row>
    <row r="63" spans="3:10" ht="12.75">
      <c r="C63" s="21"/>
      <c r="D63" s="21"/>
      <c r="E63" s="18">
        <v>42258</v>
      </c>
      <c r="F63" s="33"/>
      <c r="G63" s="33">
        <v>-18410.59</v>
      </c>
      <c r="H63" s="21"/>
      <c r="I63" s="23"/>
      <c r="J63" s="21"/>
    </row>
    <row r="64" spans="3:10" ht="12.75">
      <c r="C64" s="21"/>
      <c r="D64" s="21"/>
      <c r="E64" s="18">
        <v>42272</v>
      </c>
      <c r="F64" s="33"/>
      <c r="G64" s="33">
        <v>-25743.81</v>
      </c>
      <c r="H64" s="21"/>
      <c r="I64" s="23"/>
      <c r="J64" s="21"/>
    </row>
    <row r="65" spans="3:10" ht="12.75">
      <c r="C65" s="21"/>
      <c r="D65" s="21"/>
      <c r="E65" s="18">
        <v>42293</v>
      </c>
      <c r="F65" s="33"/>
      <c r="G65" s="33">
        <v>-24579.80</v>
      </c>
      <c r="H65" s="21"/>
      <c r="I65" s="23"/>
      <c r="J65" s="21"/>
    </row>
    <row r="66" spans="3:10" ht="12.75">
      <c r="C66" s="21"/>
      <c r="D66" s="21"/>
      <c r="E66" s="18">
        <v>42345</v>
      </c>
      <c r="F66" s="33"/>
      <c r="G66" s="33">
        <v>-11523.60</v>
      </c>
      <c r="H66" s="21"/>
      <c r="I66" s="23"/>
      <c r="J66" s="21"/>
    </row>
    <row r="67" spans="3:10" ht="12.75">
      <c r="C67" s="21"/>
      <c r="D67" s="21"/>
      <c r="E67" s="18">
        <v>42361</v>
      </c>
      <c r="F67" s="33"/>
      <c r="G67" s="33">
        <v>-8865.81</v>
      </c>
      <c r="H67" s="21"/>
      <c r="I67" s="23"/>
      <c r="J67" s="21"/>
    </row>
    <row r="68" spans="3:10" ht="12.75">
      <c r="C68" s="21" t="s">
        <v>10</v>
      </c>
      <c r="D68" s="21"/>
      <c r="E68" s="18">
        <v>42249</v>
      </c>
      <c r="F68" s="33"/>
      <c r="G68" s="33">
        <v>19359.94</v>
      </c>
      <c r="H68" s="21"/>
      <c r="I68" s="23"/>
      <c r="J68" s="21"/>
    </row>
    <row r="69" spans="3:10" ht="12.75">
      <c r="C69" s="21" t="s">
        <v>13</v>
      </c>
      <c r="D69" s="21"/>
      <c r="E69" s="18">
        <v>42382</v>
      </c>
      <c r="F69" s="33"/>
      <c r="G69" s="33">
        <v>-16101.99</v>
      </c>
      <c r="H69" s="21"/>
      <c r="I69" s="23"/>
      <c r="J69" s="21"/>
    </row>
    <row r="70" spans="3:10" ht="12.75">
      <c r="C70" s="21"/>
      <c r="D70" s="21"/>
      <c r="E70" s="18">
        <v>42457</v>
      </c>
      <c r="F70" s="33"/>
      <c r="G70" s="33">
        <v>-17983.81</v>
      </c>
      <c r="H70" s="21"/>
      <c r="I70" s="23"/>
      <c r="J70" s="21"/>
    </row>
    <row r="71" spans="3:10" ht="12.75">
      <c r="C71" s="21"/>
      <c r="D71" s="21"/>
      <c r="E71" s="18">
        <v>42468</v>
      </c>
      <c r="F71" s="33"/>
      <c r="G71" s="33">
        <v>-20796.80</v>
      </c>
      <c r="H71" s="21"/>
      <c r="I71" s="23"/>
      <c r="J71" s="21"/>
    </row>
    <row r="72" spans="3:10" ht="12.75">
      <c r="C72" s="21"/>
      <c r="D72" s="21"/>
      <c r="E72" s="18">
        <v>42507</v>
      </c>
      <c r="F72" s="33"/>
      <c r="G72" s="33">
        <v>-74864.6</v>
      </c>
      <c r="H72" s="21"/>
      <c r="I72" s="23"/>
      <c r="J72" s="21"/>
    </row>
    <row r="73" spans="3:10" ht="12.75">
      <c r="C73" s="21"/>
      <c r="D73" s="21"/>
      <c r="E73" s="18">
        <v>42543</v>
      </c>
      <c r="F73" s="33"/>
      <c r="G73" s="33">
        <v>-38528.40</v>
      </c>
      <c r="H73" s="21"/>
      <c r="I73" s="23"/>
      <c r="J73" s="21"/>
    </row>
    <row r="74" spans="3:10" ht="12.75">
      <c r="C74" s="21"/>
      <c r="D74" s="21"/>
      <c r="E74" s="18">
        <v>42557</v>
      </c>
      <c r="F74" s="33"/>
      <c r="G74" s="33">
        <v>-8594.19</v>
      </c>
      <c r="H74" s="21"/>
      <c r="I74" s="23"/>
      <c r="J74" s="21"/>
    </row>
    <row r="75" spans="3:8" ht="12.75">
      <c r="C75" s="21"/>
      <c r="D75" s="21"/>
      <c r="E75" s="18">
        <v>42590</v>
      </c>
      <c r="F75" s="33"/>
      <c r="G75" s="33">
        <v>-18003.21</v>
      </c>
      <c r="H75" s="21"/>
    </row>
    <row r="76" spans="3:8" ht="12.75">
      <c r="C76" s="21"/>
      <c r="D76" s="21"/>
      <c r="E76" s="18">
        <v>42607</v>
      </c>
      <c r="F76" s="33"/>
      <c r="G76" s="33">
        <v>-31951.80</v>
      </c>
      <c r="H76" s="21"/>
    </row>
    <row r="77" spans="3:8" ht="12.75">
      <c r="C77" s="21"/>
      <c r="D77" s="21"/>
      <c r="E77" s="18">
        <v>42628</v>
      </c>
      <c r="F77" s="33"/>
      <c r="G77" s="33">
        <v>-18216.60</v>
      </c>
      <c r="H77" s="21"/>
    </row>
    <row r="78" spans="3:8" ht="12.75">
      <c r="C78" s="21"/>
      <c r="D78" s="21"/>
      <c r="E78" s="18">
        <v>42634</v>
      </c>
      <c r="F78" s="33"/>
      <c r="G78" s="33">
        <v>-11872.81</v>
      </c>
      <c r="H78" s="21"/>
    </row>
    <row r="79" spans="3:8" ht="12.75">
      <c r="C79" s="21"/>
      <c r="D79" s="21"/>
      <c r="E79" s="18">
        <v>42663</v>
      </c>
      <c r="F79" s="33"/>
      <c r="G79" s="33">
        <v>-21049</v>
      </c>
      <c r="H79" s="21"/>
    </row>
    <row r="80" spans="3:8" ht="12.75">
      <c r="C80" s="21"/>
      <c r="D80" s="21"/>
      <c r="E80" s="18">
        <v>42731</v>
      </c>
      <c r="F80" s="33"/>
      <c r="G80" s="33">
        <v>-23862</v>
      </c>
      <c r="H80" s="21"/>
    </row>
    <row r="81" spans="3:8" ht="12.75">
      <c r="C81" s="21" t="s">
        <v>14</v>
      </c>
      <c r="D81" s="21"/>
      <c r="E81" s="18">
        <v>42377</v>
      </c>
      <c r="F81" s="33"/>
      <c r="G81" s="33">
        <v>112997.82</v>
      </c>
      <c r="H81" s="21"/>
    </row>
    <row r="82" spans="3:8" ht="12.75">
      <c r="C82" s="21"/>
      <c r="D82" s="21"/>
      <c r="E82" s="18">
        <v>42542</v>
      </c>
      <c r="F82" s="33"/>
      <c r="G82" s="33">
        <v>14181.90</v>
      </c>
      <c r="H82" s="21"/>
    </row>
    <row r="83" spans="3:8" ht="12.75">
      <c r="C83" s="21"/>
      <c r="D83" s="21"/>
      <c r="E83" s="18">
        <v>42570</v>
      </c>
      <c r="F83" s="33"/>
      <c r="G83" s="33">
        <v>4479.96</v>
      </c>
      <c r="H83" s="21"/>
    </row>
    <row r="84" spans="3:8" ht="12.75">
      <c r="C84" s="21"/>
      <c r="D84" s="21"/>
      <c r="E84" s="18">
        <v>42586</v>
      </c>
      <c r="F84" s="33"/>
      <c r="G84" s="33">
        <v>52988.38</v>
      </c>
      <c r="H84" s="21"/>
    </row>
    <row r="85" spans="3:8" ht="12.75">
      <c r="C85" s="21"/>
      <c r="D85" s="21"/>
      <c r="E85" s="18">
        <v>42634</v>
      </c>
      <c r="F85" s="33"/>
      <c r="G85" s="33">
        <v>11287.10</v>
      </c>
      <c r="H85" s="21"/>
    </row>
    <row r="86" spans="3:8" ht="12.75">
      <c r="C86" s="21"/>
      <c r="D86" s="21"/>
      <c r="E86" s="18">
        <v>42677</v>
      </c>
      <c r="F86" s="33"/>
      <c r="G86" s="33">
        <v>7607.96</v>
      </c>
      <c r="H86" s="21"/>
    </row>
    <row r="87" spans="3:8" ht="12.75">
      <c r="C87" s="21"/>
      <c r="D87" s="21"/>
      <c r="E87" s="18">
        <v>42709</v>
      </c>
      <c r="F87" s="33"/>
      <c r="G87" s="33">
        <v>17704.01</v>
      </c>
      <c r="H87" s="21"/>
    </row>
    <row r="88" spans="3:10" ht="12.75">
      <c r="C88" s="21"/>
      <c r="D88" s="21"/>
      <c r="E88" s="18">
        <v>42726</v>
      </c>
      <c r="F88" s="33"/>
      <c r="G88" s="33">
        <v>155129.46</v>
      </c>
      <c r="H88" s="21"/>
      <c r="I88" s="23"/>
      <c r="J88" s="21"/>
    </row>
    <row r="89" spans="3:10" ht="12.75">
      <c r="C89" s="21" t="s">
        <v>15</v>
      </c>
      <c r="D89" s="21"/>
      <c r="E89" s="18">
        <v>42753</v>
      </c>
      <c r="F89" s="33"/>
      <c r="G89" s="33">
        <v>-15772.21</v>
      </c>
      <c r="H89" s="21"/>
      <c r="I89" s="23"/>
      <c r="J89" s="21"/>
    </row>
    <row r="90" spans="3:10" ht="12.75">
      <c r="C90" s="21"/>
      <c r="D90" s="21"/>
      <c r="E90" s="18">
        <v>42816</v>
      </c>
      <c r="F90" s="33"/>
      <c r="G90" s="33">
        <v>-12241.40</v>
      </c>
      <c r="H90" s="21"/>
      <c r="I90" s="23"/>
      <c r="J90" s="21"/>
    </row>
    <row r="91" spans="3:10" ht="12.75">
      <c r="C91" s="21"/>
      <c r="D91" s="21"/>
      <c r="E91" s="18">
        <v>42838</v>
      </c>
      <c r="F91" s="33"/>
      <c r="G91" s="33">
        <v>-12125</v>
      </c>
      <c r="H91" s="21"/>
      <c r="I91" s="23"/>
      <c r="J91" s="21"/>
    </row>
    <row r="92" spans="3:10" ht="12.75">
      <c r="C92" s="21"/>
      <c r="D92" s="21"/>
      <c r="E92" s="18">
        <v>42879</v>
      </c>
      <c r="F92" s="33"/>
      <c r="G92" s="33">
        <v>-13114.40</v>
      </c>
      <c r="H92" s="21"/>
      <c r="I92" s="23"/>
      <c r="J92" s="21"/>
    </row>
    <row r="93" spans="3:10" ht="12.75">
      <c r="C93" s="21"/>
      <c r="D93" s="21"/>
      <c r="E93" s="18">
        <v>42908</v>
      </c>
      <c r="F93" s="33"/>
      <c r="G93" s="33">
        <v>-8497.2</v>
      </c>
      <c r="H93" s="21"/>
      <c r="I93" s="23"/>
      <c r="J93" s="21"/>
    </row>
    <row r="94" spans="3:10" ht="12.75">
      <c r="C94" s="21"/>
      <c r="D94" s="21"/>
      <c r="E94" s="18">
        <v>42933</v>
      </c>
      <c r="F94" s="33"/>
      <c r="G94" s="33">
        <v>-8303.19</v>
      </c>
      <c r="H94" s="21"/>
      <c r="I94" s="23"/>
      <c r="J94" s="21"/>
    </row>
    <row r="95" spans="3:10" ht="12.75">
      <c r="C95" s="21"/>
      <c r="D95" s="21"/>
      <c r="E95" s="18">
        <v>42963</v>
      </c>
      <c r="F95" s="33"/>
      <c r="G95" s="33">
        <v>-23862</v>
      </c>
      <c r="H95" s="21"/>
      <c r="I95" s="23"/>
      <c r="J95" s="21"/>
    </row>
    <row r="96" spans="3:10" ht="12.75">
      <c r="C96" s="21"/>
      <c r="D96" s="21"/>
      <c r="E96" s="18">
        <v>42997</v>
      </c>
      <c r="F96" s="33"/>
      <c r="G96" s="33">
        <v>-11834</v>
      </c>
      <c r="H96" s="21"/>
      <c r="I96" s="23"/>
      <c r="J96" s="21"/>
    </row>
    <row r="97" spans="3:10" ht="12.75">
      <c r="C97" s="21"/>
      <c r="D97" s="21"/>
      <c r="E97" s="18">
        <v>43014</v>
      </c>
      <c r="F97" s="33"/>
      <c r="G97" s="33">
        <v>-14821.60</v>
      </c>
      <c r="H97" s="21"/>
      <c r="I97" s="23"/>
      <c r="J97" s="21"/>
    </row>
    <row r="98" spans="3:10" ht="12.75">
      <c r="C98" s="21"/>
      <c r="D98" s="21"/>
      <c r="E98" s="18">
        <v>43091</v>
      </c>
      <c r="F98" s="33"/>
      <c r="G98" s="33">
        <v>-8691.2</v>
      </c>
      <c r="H98" s="21"/>
      <c r="I98" s="23"/>
      <c r="J98" s="21"/>
    </row>
    <row r="99" spans="3:8" ht="12.75">
      <c r="C99" s="21" t="s">
        <v>16</v>
      </c>
      <c r="D99" s="21"/>
      <c r="E99" s="18">
        <v>42745</v>
      </c>
      <c r="F99" s="33"/>
      <c r="G99" s="33">
        <v>145791.53</v>
      </c>
      <c r="H99" s="21"/>
    </row>
    <row r="100" spans="3:12" ht="15.75">
      <c r="C100" s="21"/>
      <c r="D100" s="21"/>
      <c r="E100" s="18">
        <v>42775</v>
      </c>
      <c r="F100" s="33"/>
      <c r="G100" s="33">
        <v>8665.25</v>
      </c>
      <c r="H100" s="21"/>
      <c r="I100" s="113"/>
      <c r="J100" s="113"/>
      <c r="K100" s="113"/>
      <c r="L100" s="104"/>
    </row>
    <row r="101" spans="3:12" ht="12.75">
      <c r="C101" s="21"/>
      <c r="D101" s="21"/>
      <c r="E101" s="18">
        <v>42824</v>
      </c>
      <c r="F101" s="33"/>
      <c r="G101" s="33">
        <v>5425.33</v>
      </c>
      <c r="H101" s="21"/>
      <c r="I101" s="111"/>
      <c r="J101" s="112"/>
      <c r="K101" s="113"/>
      <c r="L101" s="54"/>
    </row>
    <row r="102" spans="3:12" ht="12.75">
      <c r="C102" s="21"/>
      <c r="D102" s="21"/>
      <c r="E102" s="18">
        <v>42877</v>
      </c>
      <c r="F102" s="33"/>
      <c r="G102" s="33">
        <v>6038.39</v>
      </c>
      <c r="H102" s="21"/>
      <c r="I102" s="111"/>
      <c r="J102" s="112"/>
      <c r="K102" s="113"/>
      <c r="L102" s="54"/>
    </row>
    <row r="103" spans="3:12" ht="12.75">
      <c r="C103" s="21"/>
      <c r="D103" s="21"/>
      <c r="E103" s="18">
        <v>42914</v>
      </c>
      <c r="F103" s="33"/>
      <c r="G103" s="33">
        <v>54409.63</v>
      </c>
      <c r="H103" s="21"/>
      <c r="I103" s="111"/>
      <c r="J103" s="112"/>
      <c r="K103" s="113"/>
      <c r="L103" s="54"/>
    </row>
    <row r="104" spans="3:12" ht="12.75">
      <c r="C104" s="21"/>
      <c r="D104" s="21"/>
      <c r="E104" s="18">
        <v>42936</v>
      </c>
      <c r="F104" s="33"/>
      <c r="G104" s="33">
        <v>5808.96</v>
      </c>
      <c r="H104" s="21"/>
      <c r="I104" s="111"/>
      <c r="J104" s="112"/>
      <c r="K104" s="113"/>
      <c r="L104" s="54"/>
    </row>
    <row r="105" spans="3:12" ht="12.75">
      <c r="C105" s="21"/>
      <c r="D105" s="21"/>
      <c r="E105" s="18">
        <v>43019</v>
      </c>
      <c r="F105" s="33"/>
      <c r="G105" s="33">
        <v>4861.67</v>
      </c>
      <c r="H105" s="21"/>
      <c r="I105" s="111"/>
      <c r="J105" s="112"/>
      <c r="K105" s="113"/>
      <c r="L105" s="113"/>
    </row>
    <row r="106" spans="3:12" ht="12.75">
      <c r="C106" s="21"/>
      <c r="D106" s="21"/>
      <c r="E106" s="18">
        <v>43052</v>
      </c>
      <c r="F106" s="33"/>
      <c r="G106" s="33">
        <v>3105.78</v>
      </c>
      <c r="H106" s="21"/>
      <c r="I106" s="111"/>
      <c r="J106" s="112"/>
      <c r="K106" s="113"/>
      <c r="L106" s="113"/>
    </row>
    <row r="107" spans="3:12" ht="12.75">
      <c r="C107" s="21" t="s">
        <v>17</v>
      </c>
      <c r="D107" s="21"/>
      <c r="E107" s="18">
        <v>43178</v>
      </c>
      <c r="F107" s="33"/>
      <c r="G107" s="33">
        <v>-7003.40</v>
      </c>
      <c r="H107" s="21"/>
      <c r="I107" s="111"/>
      <c r="J107" s="112"/>
      <c r="K107" s="113"/>
      <c r="L107" s="113"/>
    </row>
    <row r="108" spans="3:10" ht="12.75">
      <c r="C108" s="21"/>
      <c r="D108" s="21"/>
      <c r="E108" s="18">
        <v>43194</v>
      </c>
      <c r="F108" s="33"/>
      <c r="G108" s="33">
        <v>-10223.8</v>
      </c>
      <c r="H108" s="21"/>
      <c r="I108" s="23"/>
      <c r="J108" s="21"/>
    </row>
    <row r="109" spans="3:10" ht="12.75">
      <c r="C109" s="21"/>
      <c r="D109" s="21"/>
      <c r="E109" s="18">
        <v>43251</v>
      </c>
      <c r="F109" s="33"/>
      <c r="G109" s="33">
        <v>-8439</v>
      </c>
      <c r="H109" s="21"/>
      <c r="I109" s="23"/>
      <c r="J109" s="21"/>
    </row>
    <row r="110" spans="3:10" ht="12.75">
      <c r="C110" s="21"/>
      <c r="D110" s="21"/>
      <c r="E110" s="18">
        <v>43342</v>
      </c>
      <c r="F110" s="33"/>
      <c r="G110" s="33">
        <v>-11058.01</v>
      </c>
      <c r="H110" s="21"/>
      <c r="I110" s="23"/>
      <c r="J110" s="21"/>
    </row>
    <row r="111" spans="3:10" ht="12.75">
      <c r="C111" s="21"/>
      <c r="D111" s="21"/>
      <c r="E111" s="18">
        <v>43434</v>
      </c>
      <c r="F111" s="33"/>
      <c r="G111" s="33">
        <v>-12571.20</v>
      </c>
      <c r="H111" s="21"/>
      <c r="I111" s="23"/>
      <c r="J111" s="21"/>
    </row>
    <row r="112" spans="3:10" ht="12.75">
      <c r="C112" s="21" t="s">
        <v>18</v>
      </c>
      <c r="D112" s="21"/>
      <c r="E112" s="18">
        <v>43116</v>
      </c>
      <c r="F112" s="33"/>
      <c r="G112" s="33">
        <v>26108.63</v>
      </c>
      <c r="H112" s="21"/>
      <c r="I112" s="23"/>
      <c r="J112" s="21"/>
    </row>
    <row r="113" spans="3:10" ht="12.75">
      <c r="C113" s="21"/>
      <c r="D113" s="21"/>
      <c r="E113" s="18">
        <v>43145</v>
      </c>
      <c r="F113" s="33"/>
      <c r="G113" s="33">
        <v>8058.97</v>
      </c>
      <c r="H113" s="21"/>
      <c r="I113" s="23"/>
      <c r="J113" s="21"/>
    </row>
    <row r="114" spans="3:10" ht="12.75">
      <c r="C114" s="21"/>
      <c r="D114" s="21"/>
      <c r="E114" s="18">
        <v>43222</v>
      </c>
      <c r="F114" s="33"/>
      <c r="G114" s="33">
        <v>16229.80</v>
      </c>
      <c r="H114" s="21"/>
      <c r="I114" s="23"/>
      <c r="J114" s="21"/>
    </row>
    <row r="115" spans="3:10" ht="12.75">
      <c r="C115" s="21"/>
      <c r="D115" s="21"/>
      <c r="E115" s="18">
        <v>43314</v>
      </c>
      <c r="F115" s="33"/>
      <c r="G115" s="33">
        <v>17321.99</v>
      </c>
      <c r="H115" s="21"/>
      <c r="I115" s="23"/>
      <c r="J115" s="21"/>
    </row>
    <row r="116" spans="3:10" ht="12.75">
      <c r="C116" s="21"/>
      <c r="D116" s="21"/>
      <c r="E116" s="18">
        <v>43341</v>
      </c>
      <c r="F116" s="33"/>
      <c r="G116" s="33">
        <v>48223.37</v>
      </c>
      <c r="H116" s="21"/>
      <c r="I116" s="23"/>
      <c r="J116" s="21"/>
    </row>
    <row r="117" spans="3:10" ht="12.75">
      <c r="C117" s="21"/>
      <c r="D117" s="21"/>
      <c r="E117" s="18">
        <v>43398</v>
      </c>
      <c r="F117" s="33"/>
      <c r="G117" s="33">
        <v>15335.35</v>
      </c>
      <c r="H117" s="21"/>
      <c r="I117" s="23"/>
      <c r="J117" s="21"/>
    </row>
    <row r="118" spans="3:10" ht="12.75">
      <c r="C118" s="21" t="s">
        <v>19</v>
      </c>
      <c r="D118" s="21"/>
      <c r="E118" s="18">
        <v>43529</v>
      </c>
      <c r="F118" s="33"/>
      <c r="G118" s="33">
        <v>-5800.60</v>
      </c>
      <c r="H118" s="21"/>
      <c r="I118" s="23"/>
      <c r="J118" s="21"/>
    </row>
    <row r="119" spans="3:10" ht="12.75">
      <c r="C119" s="21"/>
      <c r="D119" s="21"/>
      <c r="E119" s="18">
        <v>43564</v>
      </c>
      <c r="F119" s="33"/>
      <c r="G119" s="33">
        <v>-7197.40</v>
      </c>
      <c r="H119" s="21"/>
      <c r="I119" s="23"/>
      <c r="J119" s="21"/>
    </row>
    <row r="120" spans="3:10" ht="12.75">
      <c r="C120" s="21"/>
      <c r="D120" s="21"/>
      <c r="E120" s="18">
        <v>43782</v>
      </c>
      <c r="F120" s="33"/>
      <c r="G120" s="33">
        <v>-6227.40</v>
      </c>
      <c r="H120" s="21"/>
      <c r="I120" s="23"/>
      <c r="J120" s="21"/>
    </row>
    <row r="121" spans="3:10" ht="12.75">
      <c r="C121" s="21" t="s">
        <v>20</v>
      </c>
      <c r="D121" s="21"/>
      <c r="E121" s="18">
        <v>43479</v>
      </c>
      <c r="F121" s="33"/>
      <c r="G121" s="33">
        <v>5103.50</v>
      </c>
      <c r="H121" s="21"/>
      <c r="I121" s="23"/>
      <c r="J121" s="21"/>
    </row>
    <row r="122" spans="3:10" ht="12.75">
      <c r="C122" s="21"/>
      <c r="D122" s="21"/>
      <c r="E122" s="18">
        <v>43558</v>
      </c>
      <c r="F122" s="33"/>
      <c r="G122" s="33">
        <v>48982.15</v>
      </c>
      <c r="H122" s="21"/>
      <c r="I122" s="23"/>
      <c r="J122" s="21"/>
    </row>
    <row r="123" spans="3:10" ht="12.75">
      <c r="C123" s="21"/>
      <c r="D123" s="21"/>
      <c r="E123" s="18">
        <v>43622</v>
      </c>
      <c r="F123" s="33"/>
      <c r="G123" s="33">
        <v>6911.20</v>
      </c>
      <c r="H123" s="21"/>
      <c r="I123" s="23"/>
      <c r="J123" s="21"/>
    </row>
    <row r="124" spans="3:10" ht="12.75">
      <c r="C124" s="21"/>
      <c r="D124" s="21"/>
      <c r="E124" s="18">
        <v>43689</v>
      </c>
      <c r="F124" s="33"/>
      <c r="G124" s="33">
        <v>11739.53</v>
      </c>
      <c r="H124" s="21"/>
      <c r="I124" s="23"/>
      <c r="J124" s="21"/>
    </row>
    <row r="125" spans="3:10" ht="12.75">
      <c r="C125" s="21"/>
      <c r="D125" s="21"/>
      <c r="E125" s="18">
        <v>43753</v>
      </c>
      <c r="F125" s="33"/>
      <c r="G125" s="33">
        <v>5771.80</v>
      </c>
      <c r="H125" s="21"/>
      <c r="I125" s="23"/>
      <c r="J125" s="21"/>
    </row>
    <row r="126" spans="3:10" ht="12.75">
      <c r="C126" s="21" t="s">
        <v>21</v>
      </c>
      <c r="D126" s="21"/>
      <c r="E126" s="18">
        <v>43923</v>
      </c>
      <c r="F126" s="33"/>
      <c r="G126" s="33">
        <v>-5315.60</v>
      </c>
      <c r="H126" s="21"/>
      <c r="I126" s="23"/>
      <c r="J126" s="21"/>
    </row>
    <row r="127" spans="3:10" ht="12.75">
      <c r="C127" s="21"/>
      <c r="D127" s="21"/>
      <c r="E127" s="18">
        <v>44104</v>
      </c>
      <c r="F127" s="33"/>
      <c r="G127" s="33">
        <v>-6188.61</v>
      </c>
      <c r="H127" s="21"/>
      <c r="I127" s="23"/>
      <c r="J127" s="21"/>
    </row>
    <row r="128" spans="3:10" ht="12.75">
      <c r="C128" s="21" t="s">
        <v>22</v>
      </c>
      <c r="D128" s="21"/>
      <c r="E128" s="18">
        <v>43867</v>
      </c>
      <c r="F128" s="33"/>
      <c r="G128" s="33">
        <v>13193.28</v>
      </c>
      <c r="H128" s="21"/>
      <c r="I128" s="23"/>
      <c r="J128" s="21"/>
    </row>
    <row r="129" spans="3:12" ht="15.75">
      <c r="C129" s="21"/>
      <c r="D129" s="21"/>
      <c r="E129" s="18">
        <v>44153</v>
      </c>
      <c r="F129" s="33"/>
      <c r="G129" s="33">
        <v>8884.23</v>
      </c>
      <c r="H129" s="21"/>
      <c r="I129" s="23"/>
      <c r="J129" s="21"/>
      <c r="L129" s="50"/>
    </row>
    <row r="130" spans="3:10" ht="12.75">
      <c r="C130" s="21" t="s">
        <v>24</v>
      </c>
      <c r="D130" s="21"/>
      <c r="E130" s="18">
        <v>44279</v>
      </c>
      <c r="F130" s="33"/>
      <c r="G130" s="33">
        <v>-4171</v>
      </c>
      <c r="H130" s="21"/>
      <c r="I130" s="23"/>
      <c r="J130" s="21"/>
    </row>
    <row r="131" spans="3:10" ht="12.75">
      <c r="C131" s="21"/>
      <c r="D131" s="21"/>
      <c r="E131" s="18">
        <v>44463</v>
      </c>
      <c r="F131" s="33"/>
      <c r="G131" s="33">
        <v>-2832.40</v>
      </c>
      <c r="H131" s="21"/>
      <c r="I131" s="23"/>
      <c r="J131" s="21"/>
    </row>
    <row r="132" spans="3:12" ht="15.75">
      <c r="C132" s="21" t="s">
        <v>23</v>
      </c>
      <c r="D132" s="21"/>
      <c r="E132" s="18">
        <v>44224</v>
      </c>
      <c r="F132" s="33"/>
      <c r="G132" s="33">
        <v>6225.60</v>
      </c>
      <c r="H132" s="21"/>
      <c r="I132" s="23"/>
      <c r="J132" s="21"/>
      <c r="L132" s="50"/>
    </row>
    <row r="133" spans="3:12" ht="15.75">
      <c r="C133" s="21"/>
      <c r="D133" s="21"/>
      <c r="E133" s="18">
        <v>44259</v>
      </c>
      <c r="F133" s="33"/>
      <c r="G133" s="33">
        <v>13767.91</v>
      </c>
      <c r="H133" s="21"/>
      <c r="I133" s="23"/>
      <c r="J133" s="21"/>
      <c r="L133" s="50"/>
    </row>
    <row r="134" spans="3:12" ht="15.75">
      <c r="C134" s="21"/>
      <c r="D134" s="21"/>
      <c r="E134" s="18">
        <v>44383</v>
      </c>
      <c r="F134" s="33"/>
      <c r="G134" s="33">
        <v>62739.66</v>
      </c>
      <c r="H134" s="21"/>
      <c r="I134" s="23"/>
      <c r="J134" s="21"/>
      <c r="L134" s="50"/>
    </row>
    <row r="135" spans="3:12" ht="15.75">
      <c r="C135" s="21"/>
      <c r="D135" s="21"/>
      <c r="E135" s="18">
        <v>44441</v>
      </c>
      <c r="F135" s="33"/>
      <c r="G135" s="33">
        <v>5291.49</v>
      </c>
      <c r="H135" s="21"/>
      <c r="I135" s="23"/>
      <c r="J135" s="21"/>
      <c r="L135" s="50"/>
    </row>
    <row r="136" spans="3:12" ht="15.75">
      <c r="C136" s="21"/>
      <c r="D136" s="21"/>
      <c r="E136" s="18">
        <v>44502</v>
      </c>
      <c r="F136" s="33"/>
      <c r="G136" s="33">
        <v>24019.45</v>
      </c>
      <c r="H136" s="21"/>
      <c r="I136" s="23"/>
      <c r="J136" s="21"/>
      <c r="L136" s="50"/>
    </row>
    <row r="137" spans="3:12" ht="15.75">
      <c r="C137" s="21"/>
      <c r="D137" s="21"/>
      <c r="E137" s="18">
        <v>44551</v>
      </c>
      <c r="F137" s="33"/>
      <c r="G137" s="33">
        <v>7571.28</v>
      </c>
      <c r="H137" s="21"/>
      <c r="I137" s="23"/>
      <c r="J137" s="21"/>
      <c r="L137" s="50"/>
    </row>
    <row r="138" spans="3:12" ht="15.75">
      <c r="C138" s="21" t="s">
        <v>27</v>
      </c>
      <c r="D138" s="21"/>
      <c r="E138" s="18">
        <v>44651</v>
      </c>
      <c r="F138" s="33"/>
      <c r="G138" s="33">
        <v>-1571.40</v>
      </c>
      <c r="H138" s="21"/>
      <c r="I138" s="23"/>
      <c r="J138" s="21"/>
      <c r="L138" s="50"/>
    </row>
    <row r="139" spans="3:12" ht="15.75">
      <c r="C139" s="21"/>
      <c r="D139" s="21"/>
      <c r="E139" s="18">
        <v>44742</v>
      </c>
      <c r="F139" s="33"/>
      <c r="G139" s="33">
        <v>-1396.80</v>
      </c>
      <c r="H139" s="21"/>
      <c r="I139" s="23"/>
      <c r="J139" s="21"/>
      <c r="L139" s="50"/>
    </row>
    <row r="140" spans="3:12" ht="15.75">
      <c r="C140" s="21"/>
      <c r="D140" s="21"/>
      <c r="E140" s="18">
        <v>44827</v>
      </c>
      <c r="F140" s="33"/>
      <c r="G140" s="33">
        <v>-1319.20</v>
      </c>
      <c r="H140" s="21"/>
      <c r="I140" s="23"/>
      <c r="J140" s="21"/>
      <c r="L140" s="50"/>
    </row>
    <row r="141" spans="3:12" ht="15.75">
      <c r="C141" s="21" t="s">
        <v>25</v>
      </c>
      <c r="D141" s="21"/>
      <c r="E141" s="18">
        <v>44582</v>
      </c>
      <c r="F141" s="33"/>
      <c r="G141" s="33">
        <v>30889.58</v>
      </c>
      <c r="H141" s="21"/>
      <c r="I141" s="23"/>
      <c r="J141" s="21"/>
      <c r="L141" s="50"/>
    </row>
    <row r="142" spans="3:12" ht="15.75">
      <c r="C142" s="21"/>
      <c r="D142" s="21"/>
      <c r="E142" s="18">
        <v>44599</v>
      </c>
      <c r="F142" s="33"/>
      <c r="G142" s="33">
        <v>12658.15</v>
      </c>
      <c r="H142" s="21"/>
      <c r="I142" s="23"/>
      <c r="J142" s="21"/>
      <c r="L142" s="50"/>
    </row>
    <row r="143" spans="3:12" ht="15.75">
      <c r="C143" s="21"/>
      <c r="D143" s="21"/>
      <c r="E143" s="18">
        <v>44634</v>
      </c>
      <c r="F143" s="33"/>
      <c r="G143" s="33">
        <v>22379.35</v>
      </c>
      <c r="H143" s="21"/>
      <c r="I143" s="23"/>
      <c r="J143" s="21"/>
      <c r="L143" s="50"/>
    </row>
    <row r="144" spans="3:12" ht="15.75">
      <c r="C144" s="21"/>
      <c r="D144" s="21"/>
      <c r="E144" s="18">
        <v>44657</v>
      </c>
      <c r="F144" s="33"/>
      <c r="G144" s="33">
        <v>21681.51</v>
      </c>
      <c r="H144" s="21"/>
      <c r="I144" s="23"/>
      <c r="J144" s="21"/>
      <c r="L144" s="50"/>
    </row>
    <row r="145" spans="3:12" ht="15.75">
      <c r="C145" s="21"/>
      <c r="D145" s="21"/>
      <c r="E145" s="18">
        <v>44694</v>
      </c>
      <c r="F145" s="33"/>
      <c r="G145" s="33">
        <v>27260.29</v>
      </c>
      <c r="H145" s="21"/>
      <c r="I145" s="23"/>
      <c r="J145" s="21"/>
      <c r="L145" s="50"/>
    </row>
    <row r="146" spans="3:12" ht="15.75">
      <c r="C146" s="21"/>
      <c r="D146" s="21"/>
      <c r="E146" s="18">
        <v>44715</v>
      </c>
      <c r="F146" s="33"/>
      <c r="G146" s="33">
        <v>14232.74</v>
      </c>
      <c r="H146" s="21"/>
      <c r="I146" s="23"/>
      <c r="J146" s="21"/>
      <c r="L146" s="50"/>
    </row>
    <row r="147" spans="3:12" ht="15.75">
      <c r="C147" s="21"/>
      <c r="D147" s="21"/>
      <c r="E147" s="18">
        <v>44755</v>
      </c>
      <c r="F147" s="33"/>
      <c r="G147" s="33">
        <v>25502.76</v>
      </c>
      <c r="H147" s="21"/>
      <c r="I147" s="23"/>
      <c r="J147" s="21"/>
      <c r="L147" s="50"/>
    </row>
    <row r="148" spans="3:12" ht="15.75">
      <c r="C148" s="21"/>
      <c r="D148" s="21"/>
      <c r="E148" s="18">
        <v>44777</v>
      </c>
      <c r="F148" s="33"/>
      <c r="G148" s="33">
        <v>8644.26</v>
      </c>
      <c r="H148" s="21"/>
      <c r="I148" s="23"/>
      <c r="J148" s="21"/>
      <c r="L148" s="50"/>
    </row>
    <row r="149" spans="3:12" ht="15.75">
      <c r="C149" s="21"/>
      <c r="D149" s="21"/>
      <c r="E149" s="18">
        <v>44812</v>
      </c>
      <c r="F149" s="33"/>
      <c r="G149" s="33">
        <v>17805.38</v>
      </c>
      <c r="H149" s="21"/>
      <c r="I149" s="23"/>
      <c r="J149" s="21"/>
      <c r="L149" s="50"/>
    </row>
    <row r="150" spans="3:12" ht="15.75">
      <c r="C150" s="21"/>
      <c r="D150" s="21"/>
      <c r="E150" s="18">
        <v>44851</v>
      </c>
      <c r="F150" s="33"/>
      <c r="G150" s="33">
        <v>20169.77</v>
      </c>
      <c r="H150" s="21"/>
      <c r="I150" s="23"/>
      <c r="J150" s="21"/>
      <c r="L150" s="50"/>
    </row>
    <row r="151" spans="3:12" ht="15.75">
      <c r="C151" s="21"/>
      <c r="D151" s="21"/>
      <c r="E151" s="18">
        <v>44869</v>
      </c>
      <c r="F151" s="33"/>
      <c r="G151" s="33">
        <v>8114.41</v>
      </c>
      <c r="H151" s="21"/>
      <c r="I151" s="23"/>
      <c r="J151" s="21"/>
      <c r="L151" s="50"/>
    </row>
    <row r="152" spans="3:12" ht="15.75">
      <c r="C152" s="21" t="s">
        <v>26</v>
      </c>
      <c r="D152" s="21"/>
      <c r="E152" s="18">
        <v>44938</v>
      </c>
      <c r="F152" s="33"/>
      <c r="G152" s="33">
        <v>11221.47</v>
      </c>
      <c r="H152" s="21"/>
      <c r="I152" s="23"/>
      <c r="J152" s="21"/>
      <c r="L152" s="50"/>
    </row>
    <row r="153" spans="3:12" ht="15.75">
      <c r="C153" s="21"/>
      <c r="D153" s="21"/>
      <c r="E153" s="18">
        <v>44964</v>
      </c>
      <c r="F153" s="33"/>
      <c r="G153" s="33">
        <v>2623.72</v>
      </c>
      <c r="H153" s="21"/>
      <c r="I153" s="23"/>
      <c r="J153" s="21"/>
      <c r="L153" s="50"/>
    </row>
    <row r="154" spans="3:12" ht="15.75">
      <c r="C154" s="21"/>
      <c r="D154" s="21"/>
      <c r="E154" s="18">
        <v>45007</v>
      </c>
      <c r="F154" s="33"/>
      <c r="G154" s="33">
        <v>3707.40</v>
      </c>
      <c r="H154" s="21"/>
      <c r="I154" s="23"/>
      <c r="J154" s="21"/>
      <c r="L154" s="50"/>
    </row>
    <row r="155" spans="3:12" ht="15.75">
      <c r="C155" s="21"/>
      <c r="D155" s="21"/>
      <c r="E155" s="18">
        <v>45037</v>
      </c>
      <c r="F155" s="33"/>
      <c r="G155" s="33">
        <v>3336.46</v>
      </c>
      <c r="H155" s="21"/>
      <c r="I155" s="23"/>
      <c r="J155" s="21"/>
      <c r="L155" s="50"/>
    </row>
    <row r="156" spans="3:12" ht="15.75">
      <c r="C156" s="21"/>
      <c r="D156" s="21"/>
      <c r="E156" s="18">
        <v>45065</v>
      </c>
      <c r="F156" s="33"/>
      <c r="G156" s="33">
        <v>10053.76</v>
      </c>
      <c r="H156" s="21"/>
      <c r="I156" s="23"/>
      <c r="J156" s="21"/>
      <c r="L156" s="50"/>
    </row>
    <row r="157" spans="3:12" ht="15.75">
      <c r="C157" s="21"/>
      <c r="D157" s="21"/>
      <c r="E157" s="18">
        <v>45092</v>
      </c>
      <c r="F157" s="33"/>
      <c r="G157" s="33">
        <v>104189.40</v>
      </c>
      <c r="H157" s="21"/>
      <c r="I157" s="23"/>
      <c r="J157" s="21"/>
      <c r="L157" s="50"/>
    </row>
    <row r="158" spans="3:12" ht="15.75">
      <c r="C158" s="21"/>
      <c r="D158" s="21"/>
      <c r="E158" s="18">
        <v>45119</v>
      </c>
      <c r="F158" s="33"/>
      <c r="G158" s="33">
        <v>3194.66</v>
      </c>
      <c r="H158" s="21"/>
      <c r="I158" s="23"/>
      <c r="J158" s="21"/>
      <c r="L158" s="50"/>
    </row>
    <row r="159" spans="3:12" ht="15.75">
      <c r="C159" s="21"/>
      <c r="D159" s="21"/>
      <c r="E159" s="18">
        <v>45142</v>
      </c>
      <c r="F159" s="33"/>
      <c r="G159" s="33">
        <v>2410.29</v>
      </c>
      <c r="H159" s="21"/>
      <c r="I159" s="23"/>
      <c r="J159" s="21"/>
      <c r="L159" s="50"/>
    </row>
    <row r="160" spans="3:12" ht="15.75">
      <c r="C160" s="21"/>
      <c r="D160" s="21"/>
      <c r="E160" s="18">
        <v>45180</v>
      </c>
      <c r="F160" s="33"/>
      <c r="G160" s="33">
        <v>3510.83</v>
      </c>
      <c r="H160" s="21"/>
      <c r="I160" s="23"/>
      <c r="J160" s="21"/>
      <c r="L160" s="50"/>
    </row>
    <row r="161" spans="3:12" ht="15.75">
      <c r="C161" s="21"/>
      <c r="D161" s="21"/>
      <c r="E161" s="18">
        <v>45190</v>
      </c>
      <c r="F161" s="33"/>
      <c r="G161" s="33">
        <v>21394.10</v>
      </c>
      <c r="H161" s="21"/>
      <c r="I161" s="23"/>
      <c r="J161" s="21"/>
      <c r="L161" s="50"/>
    </row>
    <row r="162" spans="3:12" ht="15.75">
      <c r="C162" s="21"/>
      <c r="D162" s="21"/>
      <c r="E162" s="18">
        <v>45196</v>
      </c>
      <c r="F162" s="33"/>
      <c r="G162" s="33">
        <v>1319.15</v>
      </c>
      <c r="H162" s="21"/>
      <c r="I162" s="23"/>
      <c r="J162" s="21"/>
      <c r="L162" s="50"/>
    </row>
    <row r="163" spans="3:9" ht="4.5" customHeight="1">
      <c r="C163" s="21"/>
      <c r="D163" s="21"/>
      <c r="E163" s="18"/>
      <c r="F163" s="21"/>
      <c r="G163" s="33"/>
      <c r="H163" s="21"/>
      <c r="I163" s="23"/>
    </row>
    <row r="164" spans="3:12" ht="12.75">
      <c r="C164" s="21" t="s">
        <v>1</v>
      </c>
      <c r="D164" s="21"/>
      <c r="E164" s="18">
        <f>+E8</f>
        <v>45199</v>
      </c>
      <c r="F164" s="21"/>
      <c r="G164" s="49">
        <f>L164/0.97*C22</f>
        <v>364605.51119983953</v>
      </c>
      <c r="H164" s="21"/>
      <c r="I164" s="33">
        <f>+SUMIF($G$23:$G$163,"&lt;0",$G$23:$G$163)</f>
        <v>-1151434.3099999998</v>
      </c>
      <c r="J164" s="21" t="s">
        <v>11</v>
      </c>
      <c r="L164" s="54">
        <v>1.823027556E9</v>
      </c>
    </row>
    <row r="165" spans="3:10" ht="12.75">
      <c r="C165" s="21"/>
      <c r="D165" s="21"/>
      <c r="E165" s="21"/>
      <c r="F165" s="21"/>
      <c r="G165" s="21"/>
      <c r="H165" s="21"/>
      <c r="I165" s="33">
        <f>+SUMIF($G$23:$G$163,"&gt;0",$G$23:$G$163)</f>
        <v>1371746.2999999998</v>
      </c>
      <c r="J165" s="21" t="s">
        <v>12</v>
      </c>
    </row>
    <row r="166" spans="3:8" ht="12.75">
      <c r="C166" s="20" t="s">
        <v>0</v>
      </c>
      <c r="G166" s="47">
        <f>+XIRR(G23:G164,E23:E164,0.1)</f>
        <v>0.11035959124565123</v>
      </c>
      <c r="H166" s="21"/>
    </row>
    <row r="167" spans="3:12" ht="12.75">
      <c r="C167" s="21"/>
      <c r="D167" s="21"/>
      <c r="E167" s="21"/>
      <c r="F167" s="21"/>
      <c r="G167" s="23"/>
      <c r="H167" s="21"/>
      <c r="L167" s="42"/>
    </row>
    <row r="168" spans="3:8" ht="12.75">
      <c r="C168" s="21"/>
      <c r="D168" s="21"/>
      <c r="E168" s="21"/>
      <c r="F168" s="21"/>
      <c r="G168" s="21"/>
      <c r="H168" s="21"/>
    </row>
    <row r="169" spans="3:8" ht="12.75">
      <c r="C169" s="40"/>
      <c r="D169" s="21"/>
      <c r="E169" s="86"/>
      <c r="F169" s="21"/>
      <c r="G169" s="86"/>
      <c r="H169" s="21"/>
    </row>
    <row r="170" spans="3:8" ht="12.75">
      <c r="C170" s="87"/>
      <c r="D170" s="26"/>
      <c r="E170" s="86"/>
      <c r="F170" s="26"/>
      <c r="G170" s="86"/>
      <c r="H170" s="21"/>
    </row>
    <row r="171" spans="3:8" ht="12.75">
      <c r="C171" s="87"/>
      <c r="D171" s="26"/>
      <c r="E171" s="86"/>
      <c r="F171" s="26"/>
      <c r="G171" s="86"/>
      <c r="H171" s="21"/>
    </row>
    <row r="172" spans="3:8" ht="12.75">
      <c r="C172" s="26"/>
      <c r="D172" s="26"/>
      <c r="E172" s="51"/>
      <c r="F172" s="51"/>
      <c r="G172" s="51"/>
      <c r="H172" s="20"/>
    </row>
    <row r="173" spans="3:8" ht="12.75">
      <c r="C173" s="26"/>
      <c r="D173" s="26"/>
      <c r="E173" s="34"/>
      <c r="F173" s="34"/>
      <c r="G173" s="34"/>
      <c r="H173" s="20"/>
    </row>
    <row r="174" spans="3:8" ht="12.75">
      <c r="C174" s="26"/>
      <c r="D174" s="26"/>
      <c r="E174" s="26"/>
      <c r="F174" s="26"/>
      <c r="G174" s="26"/>
      <c r="H174" s="20"/>
    </row>
    <row r="175" spans="3:8" ht="12.75">
      <c r="C175" s="114"/>
      <c r="D175" s="114"/>
      <c r="E175" s="115"/>
      <c r="F175" s="46"/>
      <c r="G175" s="45"/>
      <c r="H175" s="20"/>
    </row>
    <row r="176" spans="3:8" ht="12.75">
      <c r="C176" s="114"/>
      <c r="D176" s="114"/>
      <c r="E176" s="46"/>
      <c r="F176" s="46"/>
      <c r="G176" s="46"/>
      <c r="H176" s="20"/>
    </row>
    <row r="177" spans="3:8" ht="12.75">
      <c r="C177" s="114"/>
      <c r="D177" s="114"/>
      <c r="E177" s="46"/>
      <c r="F177" s="46"/>
      <c r="G177" s="46"/>
      <c r="H177" s="20"/>
    </row>
    <row r="178" spans="3:8" ht="12.75">
      <c r="C178" s="116"/>
      <c r="D178" s="114"/>
      <c r="E178" s="46"/>
      <c r="F178" s="46"/>
      <c r="G178" s="46"/>
      <c r="H178" s="20"/>
    </row>
    <row r="179" spans="3:8" ht="12.75">
      <c r="C179" s="116"/>
      <c r="D179" s="114"/>
      <c r="E179" s="46"/>
      <c r="F179" s="46"/>
      <c r="G179" s="46"/>
      <c r="H179" s="20"/>
    </row>
    <row r="180" spans="3:8" ht="12.75">
      <c r="C180" s="117"/>
      <c r="D180" s="114"/>
      <c r="E180" s="46"/>
      <c r="F180" s="46"/>
      <c r="G180" s="46"/>
      <c r="H180" s="20"/>
    </row>
    <row r="181" spans="3:8" ht="12.75">
      <c r="C181" s="114"/>
      <c r="D181" s="114"/>
      <c r="E181" s="46"/>
      <c r="F181" s="46"/>
      <c r="G181" s="46"/>
      <c r="H181" s="20"/>
    </row>
    <row r="182" spans="3:8" ht="12.75">
      <c r="C182" s="114"/>
      <c r="D182" s="114"/>
      <c r="E182" s="46"/>
      <c r="F182" s="46"/>
      <c r="G182" s="46"/>
      <c r="H182" s="20"/>
    </row>
    <row r="183" spans="3:8" ht="12.75">
      <c r="C183" s="114"/>
      <c r="D183" s="114"/>
      <c r="E183" s="46"/>
      <c r="F183" s="46"/>
      <c r="G183" s="46"/>
      <c r="H183" s="20"/>
    </row>
    <row r="184" spans="3:8" ht="12.75">
      <c r="C184" s="114"/>
      <c r="D184" s="114"/>
      <c r="E184" s="46"/>
      <c r="F184" s="46"/>
      <c r="G184" s="46"/>
      <c r="H184" s="20"/>
    </row>
    <row r="185" spans="3:8" ht="12.75">
      <c r="C185" s="114"/>
      <c r="D185" s="114"/>
      <c r="E185" s="46"/>
      <c r="F185" s="46"/>
      <c r="G185" s="46"/>
      <c r="H185" s="20"/>
    </row>
    <row r="186" spans="3:8" ht="12.75">
      <c r="C186" s="114"/>
      <c r="D186" s="114"/>
      <c r="E186" s="46"/>
      <c r="F186" s="46"/>
      <c r="G186" s="46"/>
      <c r="H186" s="20"/>
    </row>
    <row r="187" spans="3:8" s="58" customFormat="1" ht="5.1" customHeight="1">
      <c r="C187" s="20"/>
      <c r="D187" s="20"/>
      <c r="E187" s="37"/>
      <c r="F187" s="37"/>
      <c r="G187" s="37"/>
      <c r="H187" s="69"/>
    </row>
    <row r="188" spans="3:8" ht="12.75">
      <c r="C188" s="20"/>
      <c r="D188" s="20"/>
      <c r="E188" s="43"/>
      <c r="F188" s="43"/>
      <c r="G188" s="43"/>
      <c r="H188" s="20"/>
    </row>
    <row r="189" spans="3:8" ht="12.75">
      <c r="C189" s="21"/>
      <c r="D189" s="21"/>
      <c r="E189" s="75"/>
      <c r="F189" s="75"/>
      <c r="G189" s="75"/>
      <c r="H189" s="21"/>
    </row>
    <row r="190" spans="3:8" ht="12.75">
      <c r="C190" s="21"/>
      <c r="D190" s="21"/>
      <c r="E190" s="75"/>
      <c r="F190" s="75"/>
      <c r="G190" s="75"/>
      <c r="H190" s="21"/>
    </row>
    <row r="191" spans="3:8" ht="12.75">
      <c r="C191" s="21"/>
      <c r="D191" s="21"/>
      <c r="E191" s="75"/>
      <c r="F191" s="75"/>
      <c r="G191" s="75"/>
      <c r="H191" s="21"/>
    </row>
    <row r="192" spans="3:8" ht="12.75">
      <c r="C192" s="21"/>
      <c r="D192" s="21"/>
      <c r="E192" s="76"/>
      <c r="F192" s="76"/>
      <c r="G192" s="76"/>
      <c r="H192" s="21"/>
    </row>
    <row r="193" spans="3:8" ht="12.75">
      <c r="C193" s="21"/>
      <c r="D193" s="21"/>
      <c r="E193" s="21"/>
      <c r="F193" s="21"/>
      <c r="G193" s="21"/>
      <c r="H193" s="21"/>
    </row>
    <row r="194" spans="3:8" ht="12.75">
      <c r="C194" s="21"/>
      <c r="D194" s="21"/>
      <c r="E194" s="21"/>
      <c r="F194" s="21"/>
      <c r="G194" s="21"/>
      <c r="H194" s="21"/>
    </row>
    <row r="195" spans="3:8" ht="12.75">
      <c r="C195" s="21"/>
      <c r="D195" s="21"/>
      <c r="E195" s="21"/>
      <c r="F195" s="21"/>
      <c r="G195" s="21"/>
      <c r="H195" s="21"/>
    </row>
    <row r="196" spans="3:8" ht="12.75">
      <c r="C196" s="21"/>
      <c r="D196" s="21"/>
      <c r="E196" s="21"/>
      <c r="F196" s="21"/>
      <c r="G196" s="21"/>
      <c r="H196" s="21"/>
    </row>
    <row r="197" spans="3:8" ht="12.75">
      <c r="C197" s="21"/>
      <c r="D197" s="21"/>
      <c r="E197" s="21"/>
      <c r="F197" s="21"/>
      <c r="G197" s="21"/>
      <c r="H197" s="21"/>
    </row>
    <row r="198" spans="3:8" ht="12.75">
      <c r="C198" s="21"/>
      <c r="D198" s="21"/>
      <c r="E198" s="21"/>
      <c r="F198" s="21"/>
      <c r="G198" s="21"/>
      <c r="H198" s="21"/>
    </row>
    <row r="199" spans="3:8" ht="12.75">
      <c r="C199" s="21"/>
      <c r="D199" s="21"/>
      <c r="E199" s="21"/>
      <c r="F199" s="21"/>
      <c r="G199" s="21"/>
      <c r="H199" s="21"/>
    </row>
    <row r="200" spans="3:8" ht="12.75">
      <c r="C200" s="21"/>
      <c r="D200" s="21"/>
      <c r="E200" s="21"/>
      <c r="F200" s="21"/>
      <c r="G200" s="21"/>
      <c r="H200" s="21"/>
    </row>
    <row r="201" spans="3:8" ht="12.75">
      <c r="C201" s="21"/>
      <c r="D201" s="21"/>
      <c r="E201" s="21"/>
      <c r="F201" s="21"/>
      <c r="G201" s="21"/>
      <c r="H201" s="21"/>
    </row>
    <row r="202" spans="3:8" ht="12.75">
      <c r="C202" s="21"/>
      <c r="D202" s="21"/>
      <c r="E202" s="21"/>
      <c r="F202" s="21"/>
      <c r="G202" s="21"/>
      <c r="H202" s="21"/>
    </row>
  </sheetData>
  <mergeCells count="1">
    <mergeCell ref="E172:G17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389985-701B-4C03-89C0-E808C835D78A}">
  <sheetPr>
    <pageSetUpPr fitToPage="1"/>
  </sheetPr>
  <dimension ref="B4:L18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8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2">
        <f>+'Fund IX'!E8</f>
        <v>45199</v>
      </c>
      <c r="F8" s="36"/>
      <c r="G8" s="6"/>
      <c r="H8" s="88"/>
    </row>
    <row r="9" spans="3:7" ht="15.75">
      <c r="C9" s="103"/>
      <c r="D9" s="103"/>
      <c r="E9" s="103"/>
      <c r="F9" s="103"/>
      <c r="G9" s="104"/>
    </row>
    <row r="10" spans="3:8" ht="12.75">
      <c r="C10" s="105"/>
      <c r="D10" s="105"/>
      <c r="E10" s="106"/>
      <c r="F10" s="105"/>
      <c r="G10" s="130"/>
      <c r="H10" s="89"/>
    </row>
    <row r="11" spans="3:8" ht="12.75">
      <c r="C11" s="105"/>
      <c r="D11" s="105"/>
      <c r="E11" s="106"/>
      <c r="F11" s="105"/>
      <c r="G11" s="131"/>
      <c r="H11" s="89"/>
    </row>
    <row r="12" spans="3:8" ht="15.75">
      <c r="C12" s="107"/>
      <c r="D12" s="107"/>
      <c r="E12" s="108"/>
      <c r="F12" s="107"/>
      <c r="G12" s="132"/>
      <c r="H12" s="90"/>
    </row>
    <row r="13" spans="3:8" ht="12.75">
      <c r="C13" s="105"/>
      <c r="D13" s="105"/>
      <c r="E13" s="109"/>
      <c r="F13" s="105"/>
      <c r="G13" s="130"/>
      <c r="H13" s="91"/>
    </row>
    <row r="14" spans="3:8" ht="12.75">
      <c r="C14" s="105"/>
      <c r="D14" s="105"/>
      <c r="E14" s="110"/>
      <c r="F14" s="105"/>
      <c r="G14" s="130"/>
      <c r="H14" s="92"/>
    </row>
    <row r="15" spans="3:8" ht="12.75">
      <c r="C15" s="105"/>
      <c r="D15" s="105"/>
      <c r="E15" s="106"/>
      <c r="F15" s="105"/>
      <c r="G15" s="106"/>
      <c r="H15" s="89"/>
    </row>
    <row r="16" spans="3:8" ht="15.75">
      <c r="C16" s="5"/>
      <c r="D16" s="5"/>
      <c r="E16" s="14"/>
      <c r="F16" s="5"/>
      <c r="G16" s="14"/>
      <c r="H16" s="90"/>
    </row>
    <row r="17" spans="3:8" ht="15.75">
      <c r="C17" s="12" t="s">
        <v>2</v>
      </c>
      <c r="D17" s="12"/>
      <c r="E17" s="14"/>
      <c r="F17" s="12"/>
      <c r="G17" s="14"/>
      <c r="H17" s="90"/>
    </row>
    <row r="18" spans="3:8" ht="12.75" customHeight="1">
      <c r="C18" s="7" t="s">
        <v>3</v>
      </c>
      <c r="D18" s="7"/>
      <c r="E18" s="9">
        <f>G167</f>
        <v>0.09746872782707214</v>
      </c>
      <c r="F18" s="7"/>
      <c r="G18" s="15"/>
      <c r="H18" s="91"/>
    </row>
    <row r="19" spans="3:8" ht="12.75">
      <c r="C19" s="7" t="s">
        <v>6</v>
      </c>
      <c r="D19" s="7"/>
      <c r="E19" s="38">
        <f>(G165+I166)/-I165</f>
        <v>1.4826035383403242</v>
      </c>
      <c r="F19" s="7"/>
      <c r="G19" s="13"/>
      <c r="H19" s="89"/>
    </row>
    <row r="20" spans="3:7" ht="12.75">
      <c r="C20" s="7"/>
      <c r="D20" s="7"/>
      <c r="E20" s="7"/>
      <c r="F20" s="7"/>
      <c r="G20" s="8"/>
    </row>
    <row r="21" spans="3:11" ht="15.75">
      <c r="C21" s="22" t="s">
        <v>33</v>
      </c>
      <c r="D21" s="11"/>
      <c r="E21" s="11"/>
      <c r="F21" s="11"/>
      <c r="I21" s="21"/>
      <c r="K21" s="25"/>
    </row>
    <row r="22" spans="3:9" ht="12.75">
      <c r="C22" s="28">
        <v>0.013382981362945806</v>
      </c>
      <c r="D22" s="21"/>
      <c r="E22" s="21"/>
      <c r="F22" s="21"/>
      <c r="G22" s="27"/>
      <c r="H22" s="40"/>
      <c r="I22" s="21"/>
    </row>
    <row r="23" spans="3:9" ht="12.75">
      <c r="C23" s="21" t="s">
        <v>5</v>
      </c>
      <c r="D23" s="21"/>
      <c r="E23" s="18">
        <v>41282</v>
      </c>
      <c r="F23" s="33"/>
      <c r="G23" s="19">
        <v>-90000</v>
      </c>
      <c r="H23" s="40"/>
      <c r="I23" s="23"/>
    </row>
    <row r="24" spans="3:9" ht="12.75">
      <c r="C24" s="21"/>
      <c r="D24" s="21"/>
      <c r="E24" s="18">
        <v>41359</v>
      </c>
      <c r="F24" s="33"/>
      <c r="G24" s="19">
        <v>-74205</v>
      </c>
      <c r="H24" s="40"/>
      <c r="I24" s="23"/>
    </row>
    <row r="25" spans="3:9" ht="12.75">
      <c r="C25" s="21"/>
      <c r="D25" s="21"/>
      <c r="E25" s="18">
        <v>41381</v>
      </c>
      <c r="F25" s="33"/>
      <c r="G25" s="19">
        <v>-28809</v>
      </c>
      <c r="H25" s="40"/>
      <c r="I25" s="23"/>
    </row>
    <row r="26" spans="3:9" ht="12.75">
      <c r="C26" s="21"/>
      <c r="D26" s="21"/>
      <c r="E26" s="18">
        <v>41424</v>
      </c>
      <c r="F26" s="33"/>
      <c r="G26" s="19">
        <v>-24153.01</v>
      </c>
      <c r="H26" s="40"/>
      <c r="I26" s="23"/>
    </row>
    <row r="27" spans="3:9" ht="12.75">
      <c r="C27" s="21"/>
      <c r="D27" s="21"/>
      <c r="E27" s="18">
        <v>41446</v>
      </c>
      <c r="F27" s="33"/>
      <c r="G27" s="19">
        <v>-879983.99</v>
      </c>
      <c r="H27" s="40"/>
      <c r="I27" s="23"/>
    </row>
    <row r="28" spans="3:9" ht="12.75">
      <c r="C28" s="21"/>
      <c r="D28" s="21"/>
      <c r="E28" s="18">
        <v>41498</v>
      </c>
      <c r="F28" s="33"/>
      <c r="G28" s="19">
        <v>-58782</v>
      </c>
      <c r="H28" s="40"/>
      <c r="I28" s="23"/>
    </row>
    <row r="29" spans="3:9" ht="12.75">
      <c r="C29" s="21"/>
      <c r="D29" s="21"/>
      <c r="E29" s="18">
        <v>41527</v>
      </c>
      <c r="F29" s="33"/>
      <c r="G29" s="19">
        <v>-147828</v>
      </c>
      <c r="H29" s="40"/>
      <c r="I29" s="23"/>
    </row>
    <row r="30" spans="3:8" ht="12.75">
      <c r="C30" s="21"/>
      <c r="D30" s="21"/>
      <c r="E30" s="18">
        <v>41534</v>
      </c>
      <c r="F30" s="33"/>
      <c r="G30" s="19">
        <v>-75369.01</v>
      </c>
      <c r="H30" s="40"/>
    </row>
    <row r="31" spans="3:8" ht="12.75">
      <c r="C31" s="21"/>
      <c r="D31" s="21"/>
      <c r="E31" s="18">
        <v>41551</v>
      </c>
      <c r="F31" s="33"/>
      <c r="G31" s="19">
        <v>-71586</v>
      </c>
      <c r="H31" s="40"/>
    </row>
    <row r="32" spans="3:8" ht="12.75">
      <c r="C32" s="21"/>
      <c r="D32" s="21"/>
      <c r="E32" s="18">
        <v>41585</v>
      </c>
      <c r="F32" s="33"/>
      <c r="G32" s="19">
        <v>-137061</v>
      </c>
      <c r="H32" s="40"/>
    </row>
    <row r="33" spans="3:8" ht="12.75">
      <c r="C33" s="21"/>
      <c r="D33" s="21"/>
      <c r="E33" s="18">
        <v>41621</v>
      </c>
      <c r="F33" s="33"/>
      <c r="G33" s="19">
        <v>-249387</v>
      </c>
      <c r="H33" s="40"/>
    </row>
    <row r="34" spans="3:8" ht="12.75">
      <c r="C34" s="21"/>
      <c r="D34" s="21"/>
      <c r="E34" s="18">
        <v>41635</v>
      </c>
      <c r="F34" s="33"/>
      <c r="G34" s="19">
        <v>-101559</v>
      </c>
      <c r="H34" s="40"/>
    </row>
    <row r="35" spans="3:10" ht="12.75">
      <c r="C35" s="21" t="s">
        <v>7</v>
      </c>
      <c r="D35" s="21"/>
      <c r="E35" s="18">
        <v>41670</v>
      </c>
      <c r="F35" s="33"/>
      <c r="G35" s="33">
        <v>-86718</v>
      </c>
      <c r="H35" s="40"/>
      <c r="I35" s="23"/>
      <c r="J35" s="21"/>
    </row>
    <row r="36" spans="3:10" ht="12.75">
      <c r="C36" s="21"/>
      <c r="D36" s="21"/>
      <c r="E36" s="18">
        <v>41712</v>
      </c>
      <c r="F36" s="33"/>
      <c r="G36" s="33">
        <v>-219997.24</v>
      </c>
      <c r="H36" s="40"/>
      <c r="I36" s="23"/>
      <c r="J36" s="21"/>
    </row>
    <row r="37" spans="3:10" ht="12.75">
      <c r="C37" s="21"/>
      <c r="D37" s="21"/>
      <c r="E37" s="18">
        <v>41724</v>
      </c>
      <c r="F37" s="33"/>
      <c r="G37" s="33">
        <v>-79734</v>
      </c>
      <c r="H37" s="40"/>
      <c r="I37" s="23"/>
      <c r="J37" s="21"/>
    </row>
    <row r="38" spans="3:10" ht="12.75">
      <c r="C38" s="21"/>
      <c r="D38" s="21"/>
      <c r="E38" s="18">
        <v>41733</v>
      </c>
      <c r="F38" s="33"/>
      <c r="G38" s="33">
        <v>-125712</v>
      </c>
      <c r="H38" s="40"/>
      <c r="I38" s="23"/>
      <c r="J38" s="21"/>
    </row>
    <row r="39" spans="3:10" ht="12.75">
      <c r="C39" s="21"/>
      <c r="D39" s="21"/>
      <c r="E39" s="18">
        <v>41764</v>
      </c>
      <c r="F39" s="33"/>
      <c r="G39" s="33">
        <v>-109998</v>
      </c>
      <c r="H39" s="40"/>
      <c r="I39" s="23"/>
      <c r="J39" s="21"/>
    </row>
    <row r="40" spans="3:10" ht="12.75">
      <c r="C40" s="21"/>
      <c r="D40" s="21"/>
      <c r="E40" s="18">
        <v>41774</v>
      </c>
      <c r="F40" s="33"/>
      <c r="G40" s="33">
        <v>-154812</v>
      </c>
      <c r="H40" s="40"/>
      <c r="I40" s="23"/>
      <c r="J40" s="21"/>
    </row>
    <row r="41" spans="3:10" ht="12.75">
      <c r="C41" s="21"/>
      <c r="D41" s="21"/>
      <c r="E41" s="18">
        <v>41788</v>
      </c>
      <c r="F41" s="33"/>
      <c r="G41" s="33">
        <v>-120183.01</v>
      </c>
      <c r="H41" s="40"/>
      <c r="I41" s="23"/>
      <c r="J41" s="21"/>
    </row>
    <row r="42" spans="3:10" ht="12.75">
      <c r="C42" s="21"/>
      <c r="D42" s="21"/>
      <c r="E42" s="18">
        <v>41817</v>
      </c>
      <c r="F42" s="33"/>
      <c r="G42" s="33">
        <v>-215922</v>
      </c>
      <c r="H42" s="40"/>
      <c r="I42" s="23"/>
      <c r="J42" s="21"/>
    </row>
    <row r="43" spans="3:10" ht="12.75">
      <c r="C43" s="21"/>
      <c r="D43" s="21"/>
      <c r="E43" s="18">
        <v>41830</v>
      </c>
      <c r="F43" s="33"/>
      <c r="G43" s="33">
        <v>-136478.99</v>
      </c>
      <c r="H43" s="40"/>
      <c r="I43" s="23"/>
      <c r="J43" s="21"/>
    </row>
    <row r="44" spans="3:10" ht="12.75">
      <c r="C44" s="21"/>
      <c r="D44" s="21"/>
      <c r="E44" s="18">
        <v>41851</v>
      </c>
      <c r="F44" s="33"/>
      <c r="G44" s="33">
        <v>-76824</v>
      </c>
      <c r="H44" s="40"/>
      <c r="I44" s="23"/>
      <c r="J44" s="21"/>
    </row>
    <row r="45" spans="3:8" ht="12.75">
      <c r="C45" s="21"/>
      <c r="D45" s="21"/>
      <c r="E45" s="18">
        <v>41859</v>
      </c>
      <c r="F45" s="33"/>
      <c r="G45" s="33">
        <v>-146664</v>
      </c>
      <c r="H45" s="40"/>
    </row>
    <row r="46" spans="3:8" ht="12.75">
      <c r="C46" s="21"/>
      <c r="D46" s="21"/>
      <c r="E46" s="18">
        <v>41880</v>
      </c>
      <c r="F46" s="33"/>
      <c r="G46" s="33">
        <v>-90792</v>
      </c>
      <c r="H46" s="40"/>
    </row>
    <row r="47" spans="3:8" ht="12.75">
      <c r="C47" s="21"/>
      <c r="D47" s="21"/>
      <c r="E47" s="18">
        <v>41900</v>
      </c>
      <c r="F47" s="33"/>
      <c r="G47" s="33">
        <v>-374226</v>
      </c>
      <c r="H47" s="40"/>
    </row>
    <row r="48" spans="3:8" ht="12.75">
      <c r="C48" s="21"/>
      <c r="D48" s="21"/>
      <c r="E48" s="18">
        <v>41915</v>
      </c>
      <c r="F48" s="33"/>
      <c r="G48" s="33">
        <v>-384993</v>
      </c>
      <c r="H48" s="40"/>
    </row>
    <row r="49" spans="3:8" ht="12.75">
      <c r="C49" s="21"/>
      <c r="D49" s="21"/>
      <c r="E49" s="18">
        <v>41929</v>
      </c>
      <c r="F49" s="33"/>
      <c r="G49" s="33">
        <v>-285470.99</v>
      </c>
      <c r="H49" s="40"/>
    </row>
    <row r="50" spans="3:8" ht="12.75">
      <c r="C50" s="21"/>
      <c r="D50" s="21"/>
      <c r="E50" s="18">
        <v>41943</v>
      </c>
      <c r="F50" s="33"/>
      <c r="G50" s="33">
        <v>-189732</v>
      </c>
      <c r="H50" s="40"/>
    </row>
    <row r="51" spans="3:8" ht="12.75">
      <c r="C51" s="21"/>
      <c r="D51" s="21"/>
      <c r="E51" s="18">
        <v>41977</v>
      </c>
      <c r="F51" s="33"/>
      <c r="G51" s="33">
        <v>-286635</v>
      </c>
      <c r="H51" s="40"/>
    </row>
    <row r="52" spans="3:8" ht="12.75">
      <c r="C52" s="21" t="s">
        <v>8</v>
      </c>
      <c r="D52" s="21"/>
      <c r="E52" s="18">
        <v>41817</v>
      </c>
      <c r="F52" s="33"/>
      <c r="G52" s="33">
        <v>197235.54</v>
      </c>
      <c r="H52" s="40"/>
    </row>
    <row r="53" spans="3:8" ht="12.75">
      <c r="C53" s="21" t="s">
        <v>9</v>
      </c>
      <c r="D53" s="21"/>
      <c r="E53" s="18">
        <v>42009</v>
      </c>
      <c r="F53" s="33"/>
      <c r="G53" s="33">
        <v>-925089.01</v>
      </c>
      <c r="H53" s="40"/>
    </row>
    <row r="54" spans="3:10" ht="12.75">
      <c r="C54" s="21"/>
      <c r="D54" s="21"/>
      <c r="E54" s="18">
        <v>42027</v>
      </c>
      <c r="F54" s="33"/>
      <c r="G54" s="33">
        <v>-438246</v>
      </c>
      <c r="H54" s="40"/>
      <c r="I54" s="23"/>
      <c r="J54" s="21"/>
    </row>
    <row r="55" spans="3:10" ht="12.75">
      <c r="C55" s="21"/>
      <c r="D55" s="21"/>
      <c r="E55" s="18">
        <v>42048</v>
      </c>
      <c r="F55" s="33"/>
      <c r="G55" s="33">
        <v>-196133.99</v>
      </c>
      <c r="H55" s="40"/>
      <c r="I55" s="23"/>
      <c r="J55" s="21"/>
    </row>
    <row r="56" spans="3:10" ht="12.75">
      <c r="C56" s="21"/>
      <c r="D56" s="21"/>
      <c r="E56" s="18">
        <v>42061</v>
      </c>
      <c r="F56" s="33"/>
      <c r="G56" s="33">
        <v>-142881</v>
      </c>
      <c r="H56" s="40"/>
      <c r="I56" s="23"/>
      <c r="J56" s="21"/>
    </row>
    <row r="57" spans="3:10" ht="12.75">
      <c r="C57" s="21"/>
      <c r="D57" s="21"/>
      <c r="E57" s="18">
        <v>42088</v>
      </c>
      <c r="F57" s="33"/>
      <c r="G57" s="33">
        <v>-304968.01</v>
      </c>
      <c r="H57" s="40"/>
      <c r="I57" s="23"/>
      <c r="J57" s="21"/>
    </row>
    <row r="58" spans="3:8" ht="12.75">
      <c r="C58" s="21"/>
      <c r="D58" s="21"/>
      <c r="E58" s="18">
        <v>42111</v>
      </c>
      <c r="F58" s="33"/>
      <c r="G58" s="33">
        <v>-246477.01</v>
      </c>
      <c r="H58" s="40"/>
    </row>
    <row r="59" spans="3:8" ht="12.75">
      <c r="C59" s="21"/>
      <c r="D59" s="21"/>
      <c r="E59" s="18">
        <v>42138</v>
      </c>
      <c r="F59" s="33"/>
      <c r="G59" s="33">
        <v>-213012</v>
      </c>
      <c r="H59" s="40"/>
    </row>
    <row r="60" spans="3:8" ht="12.75">
      <c r="C60" s="21"/>
      <c r="D60" s="21"/>
      <c r="E60" s="18">
        <v>42156</v>
      </c>
      <c r="F60" s="33"/>
      <c r="G60" s="33">
        <v>-261608.99</v>
      </c>
      <c r="H60" s="40"/>
    </row>
    <row r="61" spans="3:8" ht="12.75">
      <c r="C61" s="21"/>
      <c r="D61" s="21"/>
      <c r="E61" s="18">
        <v>42187</v>
      </c>
      <c r="F61" s="33"/>
      <c r="G61" s="33">
        <v>-207192</v>
      </c>
      <c r="H61" s="40"/>
    </row>
    <row r="62" spans="3:8" ht="12.75">
      <c r="C62" s="21"/>
      <c r="D62" s="21"/>
      <c r="E62" s="18">
        <v>42230</v>
      </c>
      <c r="F62" s="33"/>
      <c r="G62" s="33">
        <v>-139389.01</v>
      </c>
      <c r="H62" s="40"/>
    </row>
    <row r="63" spans="3:8" ht="12.75">
      <c r="C63" s="21"/>
      <c r="D63" s="21"/>
      <c r="E63" s="18">
        <v>42258</v>
      </c>
      <c r="F63" s="33"/>
      <c r="G63" s="33">
        <v>-276159</v>
      </c>
      <c r="H63" s="40"/>
    </row>
    <row r="64" spans="3:8" ht="12.75">
      <c r="C64" s="21"/>
      <c r="D64" s="21"/>
      <c r="E64" s="18">
        <v>42272</v>
      </c>
      <c r="F64" s="33"/>
      <c r="G64" s="33">
        <v>-386156.99</v>
      </c>
      <c r="H64" s="40"/>
    </row>
    <row r="65" spans="3:10" ht="12.75">
      <c r="C65" s="21"/>
      <c r="D65" s="21"/>
      <c r="E65" s="18">
        <v>42293</v>
      </c>
      <c r="F65" s="33"/>
      <c r="G65" s="33">
        <v>-368696.99</v>
      </c>
      <c r="H65" s="40"/>
      <c r="I65" s="23"/>
      <c r="J65" s="21"/>
    </row>
    <row r="66" spans="3:8" ht="12.75">
      <c r="C66" s="21"/>
      <c r="D66" s="21"/>
      <c r="E66" s="18">
        <v>42345</v>
      </c>
      <c r="F66" s="33"/>
      <c r="G66" s="33">
        <v>-172854</v>
      </c>
      <c r="H66" s="40"/>
    </row>
    <row r="67" spans="3:10" ht="12.75">
      <c r="C67" s="21"/>
      <c r="D67" s="21"/>
      <c r="E67" s="18">
        <v>42361</v>
      </c>
      <c r="F67" s="33"/>
      <c r="G67" s="33">
        <v>-132987</v>
      </c>
      <c r="H67" s="40"/>
      <c r="I67" s="23"/>
      <c r="J67" s="21"/>
    </row>
    <row r="68" spans="3:10" ht="12.75">
      <c r="C68" s="21" t="s">
        <v>10</v>
      </c>
      <c r="D68" s="21"/>
      <c r="E68" s="18">
        <v>42249</v>
      </c>
      <c r="F68" s="33"/>
      <c r="G68" s="33">
        <v>288567.1</v>
      </c>
      <c r="H68" s="40"/>
      <c r="I68" s="23"/>
      <c r="J68" s="21"/>
    </row>
    <row r="69" spans="3:10" ht="12.75">
      <c r="C69" s="21" t="s">
        <v>13</v>
      </c>
      <c r="D69" s="21"/>
      <c r="E69" s="18">
        <v>42382</v>
      </c>
      <c r="F69" s="33"/>
      <c r="G69" s="33">
        <v>-241530</v>
      </c>
      <c r="H69" s="40"/>
      <c r="I69" s="23"/>
      <c r="J69" s="21"/>
    </row>
    <row r="70" spans="3:10" ht="12.75">
      <c r="C70" s="21"/>
      <c r="D70" s="21"/>
      <c r="E70" s="18">
        <v>42457</v>
      </c>
      <c r="F70" s="33"/>
      <c r="G70" s="33">
        <v>-269757.01</v>
      </c>
      <c r="H70" s="40"/>
      <c r="I70" s="23"/>
      <c r="J70" s="21"/>
    </row>
    <row r="71" spans="3:10" ht="12.75">
      <c r="C71" s="21"/>
      <c r="D71" s="21"/>
      <c r="E71" s="18">
        <v>42468</v>
      </c>
      <c r="F71" s="33"/>
      <c r="G71" s="33">
        <v>-311952</v>
      </c>
      <c r="H71" s="40"/>
      <c r="I71" s="23"/>
      <c r="J71" s="21"/>
    </row>
    <row r="72" spans="3:10" ht="12.75">
      <c r="C72" s="21"/>
      <c r="D72" s="21"/>
      <c r="E72" s="18">
        <v>42507</v>
      </c>
      <c r="F72" s="33"/>
      <c r="G72" s="33">
        <v>-1122969</v>
      </c>
      <c r="H72" s="40"/>
      <c r="I72" s="23"/>
      <c r="J72" s="21"/>
    </row>
    <row r="73" spans="3:10" ht="12.75">
      <c r="C73" s="21"/>
      <c r="D73" s="21"/>
      <c r="E73" s="18">
        <v>42543</v>
      </c>
      <c r="F73" s="33"/>
      <c r="G73" s="33">
        <v>-577926</v>
      </c>
      <c r="H73" s="40"/>
      <c r="I73" s="23"/>
      <c r="J73" s="21"/>
    </row>
    <row r="74" spans="3:10" ht="12.75">
      <c r="C74" s="21"/>
      <c r="D74" s="21"/>
      <c r="E74" s="18">
        <v>42557</v>
      </c>
      <c r="F74" s="33"/>
      <c r="G74" s="33">
        <v>-128913</v>
      </c>
      <c r="H74" s="40"/>
      <c r="I74" s="23"/>
      <c r="J74" s="21"/>
    </row>
    <row r="75" spans="3:10" ht="12.75">
      <c r="C75" s="21"/>
      <c r="D75" s="21"/>
      <c r="E75" s="18">
        <v>42590</v>
      </c>
      <c r="F75" s="33"/>
      <c r="G75" s="33">
        <v>-270048</v>
      </c>
      <c r="H75" s="40"/>
      <c r="I75" s="23"/>
      <c r="J75" s="21"/>
    </row>
    <row r="76" spans="3:8" ht="12.75">
      <c r="C76" s="21"/>
      <c r="D76" s="21"/>
      <c r="E76" s="18">
        <v>42607</v>
      </c>
      <c r="F76" s="33"/>
      <c r="G76" s="33">
        <v>-479277</v>
      </c>
      <c r="H76" s="40"/>
    </row>
    <row r="77" spans="3:8" ht="12.75">
      <c r="C77" s="21"/>
      <c r="D77" s="21"/>
      <c r="E77" s="18">
        <v>42628</v>
      </c>
      <c r="F77" s="33"/>
      <c r="G77" s="33">
        <v>-273249</v>
      </c>
      <c r="H77" s="40"/>
    </row>
    <row r="78" spans="3:8" ht="12.75">
      <c r="C78" s="21"/>
      <c r="D78" s="21"/>
      <c r="E78" s="18">
        <v>42634</v>
      </c>
      <c r="F78" s="33"/>
      <c r="G78" s="33">
        <v>-178092</v>
      </c>
      <c r="H78" s="40"/>
    </row>
    <row r="79" spans="3:8" ht="12.75">
      <c r="C79" s="21"/>
      <c r="D79" s="21"/>
      <c r="E79" s="18">
        <v>42663</v>
      </c>
      <c r="F79" s="33"/>
      <c r="G79" s="33">
        <v>-315735</v>
      </c>
      <c r="H79" s="40"/>
    </row>
    <row r="80" spans="3:8" ht="12.75">
      <c r="C80" s="21"/>
      <c r="D80" s="21"/>
      <c r="E80" s="18">
        <v>42731</v>
      </c>
      <c r="F80" s="33"/>
      <c r="G80" s="33">
        <v>-357929.99</v>
      </c>
      <c r="H80" s="40"/>
    </row>
    <row r="81" spans="3:8" ht="12.75">
      <c r="C81" s="21" t="s">
        <v>14</v>
      </c>
      <c r="D81" s="21"/>
      <c r="E81" s="18">
        <v>42377</v>
      </c>
      <c r="F81" s="33"/>
      <c r="G81" s="33">
        <v>1014530.40</v>
      </c>
      <c r="H81" s="40"/>
    </row>
    <row r="82" spans="3:8" ht="12.75">
      <c r="C82" s="21"/>
      <c r="D82" s="21"/>
      <c r="E82" s="18">
        <v>42486</v>
      </c>
      <c r="F82" s="33"/>
      <c r="G82" s="33">
        <v>401489.44</v>
      </c>
      <c r="H82" s="40"/>
    </row>
    <row r="83" spans="3:8" ht="12.75">
      <c r="C83" s="21"/>
      <c r="D83" s="21"/>
      <c r="E83" s="18">
        <v>42542</v>
      </c>
      <c r="F83" s="33"/>
      <c r="G83" s="33">
        <v>210673.20</v>
      </c>
      <c r="H83" s="40"/>
    </row>
    <row r="84" spans="3:8" ht="12.75">
      <c r="C84" s="21"/>
      <c r="D84" s="21"/>
      <c r="E84" s="18">
        <v>42570</v>
      </c>
      <c r="F84" s="33"/>
      <c r="G84" s="33">
        <v>66041.17</v>
      </c>
      <c r="H84" s="40"/>
    </row>
    <row r="85" spans="3:10" ht="12.75">
      <c r="C85" s="21"/>
      <c r="D85" s="21"/>
      <c r="E85" s="18">
        <v>42586</v>
      </c>
      <c r="F85" s="33"/>
      <c r="G85" s="33">
        <v>527166.21</v>
      </c>
      <c r="H85" s="40"/>
      <c r="I85" s="23"/>
      <c r="J85" s="21"/>
    </row>
    <row r="86" spans="3:10" ht="12.75">
      <c r="C86" s="21"/>
      <c r="D86" s="21"/>
      <c r="E86" s="18">
        <v>42634</v>
      </c>
      <c r="F86" s="33"/>
      <c r="G86" s="33">
        <v>249347.58</v>
      </c>
      <c r="H86" s="40"/>
      <c r="I86" s="23"/>
      <c r="J86" s="21"/>
    </row>
    <row r="87" spans="3:10" ht="12.75">
      <c r="C87" s="21"/>
      <c r="D87" s="21"/>
      <c r="E87" s="18">
        <v>42677</v>
      </c>
      <c r="F87" s="33"/>
      <c r="G87" s="33">
        <v>113721.19</v>
      </c>
      <c r="H87" s="40"/>
      <c r="I87" s="23"/>
      <c r="J87" s="21"/>
    </row>
    <row r="88" spans="3:10" ht="12.75">
      <c r="C88" s="21"/>
      <c r="D88" s="21"/>
      <c r="E88" s="18">
        <v>42709</v>
      </c>
      <c r="F88" s="33"/>
      <c r="G88" s="33">
        <v>265560.19</v>
      </c>
      <c r="H88" s="40"/>
      <c r="I88" s="23"/>
      <c r="J88" s="21"/>
    </row>
    <row r="89" spans="3:10" ht="12.75">
      <c r="C89" s="21"/>
      <c r="D89" s="21"/>
      <c r="E89" s="18">
        <v>42726</v>
      </c>
      <c r="F89" s="33"/>
      <c r="G89" s="33">
        <v>1590878.05</v>
      </c>
      <c r="H89" s="40"/>
      <c r="I89" s="23"/>
      <c r="J89" s="21"/>
    </row>
    <row r="90" spans="3:10" ht="12.75">
      <c r="C90" s="21" t="s">
        <v>15</v>
      </c>
      <c r="D90" s="21"/>
      <c r="E90" s="18">
        <v>42753</v>
      </c>
      <c r="F90" s="33"/>
      <c r="G90" s="33">
        <v>-236583</v>
      </c>
      <c r="H90" s="40"/>
      <c r="I90" s="23"/>
      <c r="J90" s="21"/>
    </row>
    <row r="91" spans="3:10" ht="12.75">
      <c r="C91" s="21"/>
      <c r="D91" s="21"/>
      <c r="E91" s="18">
        <v>42816</v>
      </c>
      <c r="F91" s="33"/>
      <c r="G91" s="33">
        <v>-183621</v>
      </c>
      <c r="H91" s="40"/>
      <c r="I91" s="23"/>
      <c r="J91" s="21"/>
    </row>
    <row r="92" spans="3:10" ht="12.75">
      <c r="C92" s="21"/>
      <c r="D92" s="21"/>
      <c r="E92" s="18">
        <v>42838</v>
      </c>
      <c r="F92" s="33"/>
      <c r="G92" s="33">
        <v>-181875</v>
      </c>
      <c r="H92" s="40"/>
      <c r="I92" s="23"/>
      <c r="J92" s="21"/>
    </row>
    <row r="93" spans="3:10" ht="12.75">
      <c r="C93" s="21"/>
      <c r="D93" s="21"/>
      <c r="E93" s="18">
        <v>42879</v>
      </c>
      <c r="F93" s="33"/>
      <c r="G93" s="33">
        <v>-196716</v>
      </c>
      <c r="H93" s="40"/>
      <c r="I93" s="23"/>
      <c r="J93" s="21"/>
    </row>
    <row r="94" spans="3:10" ht="12.75">
      <c r="C94" s="21"/>
      <c r="D94" s="21"/>
      <c r="E94" s="18">
        <v>42908</v>
      </c>
      <c r="F94" s="33"/>
      <c r="G94" s="33">
        <v>-127458</v>
      </c>
      <c r="H94" s="40"/>
      <c r="I94" s="23"/>
      <c r="J94" s="21"/>
    </row>
    <row r="95" spans="3:10" ht="12.75">
      <c r="C95" s="21"/>
      <c r="D95" s="21"/>
      <c r="E95" s="18">
        <v>42933</v>
      </c>
      <c r="F95" s="33"/>
      <c r="G95" s="33">
        <v>-124547.99</v>
      </c>
      <c r="H95" s="40"/>
      <c r="I95" s="23"/>
      <c r="J95" s="21"/>
    </row>
    <row r="96" spans="3:10" ht="12.75">
      <c r="C96" s="21"/>
      <c r="D96" s="21"/>
      <c r="E96" s="18">
        <v>42963</v>
      </c>
      <c r="F96" s="33"/>
      <c r="G96" s="33">
        <v>-357929.99</v>
      </c>
      <c r="H96" s="40"/>
      <c r="I96" s="23"/>
      <c r="J96" s="21"/>
    </row>
    <row r="97" spans="3:10" ht="12.75">
      <c r="C97" s="21"/>
      <c r="D97" s="21"/>
      <c r="E97" s="18">
        <v>42997</v>
      </c>
      <c r="F97" s="33"/>
      <c r="G97" s="33">
        <v>-177510</v>
      </c>
      <c r="H97" s="21"/>
      <c r="I97" s="23"/>
      <c r="J97" s="21"/>
    </row>
    <row r="98" spans="3:10" ht="12.75">
      <c r="C98" s="21"/>
      <c r="D98" s="21"/>
      <c r="E98" s="18">
        <v>43014</v>
      </c>
      <c r="F98" s="33"/>
      <c r="G98" s="33">
        <v>-222324</v>
      </c>
      <c r="H98" s="21"/>
      <c r="I98" s="23"/>
      <c r="J98" s="21"/>
    </row>
    <row r="99" spans="3:12" ht="15.75">
      <c r="C99" s="21"/>
      <c r="D99" s="21"/>
      <c r="E99" s="18">
        <v>43091</v>
      </c>
      <c r="F99" s="33"/>
      <c r="G99" s="33">
        <v>-130367.99</v>
      </c>
      <c r="H99" s="21"/>
      <c r="I99" s="111"/>
      <c r="J99" s="112"/>
      <c r="K99" s="113"/>
      <c r="L99" s="104"/>
    </row>
    <row r="100" spans="3:12" ht="12.75">
      <c r="C100" s="21" t="s">
        <v>16</v>
      </c>
      <c r="D100" s="21"/>
      <c r="E100" s="18">
        <v>42745</v>
      </c>
      <c r="F100" s="33"/>
      <c r="G100" s="33">
        <v>1517724</v>
      </c>
      <c r="H100" s="40"/>
      <c r="I100" s="111"/>
      <c r="J100" s="112"/>
      <c r="K100" s="113"/>
      <c r="L100" s="54"/>
    </row>
    <row r="101" spans="3:12" ht="12.75">
      <c r="C101" s="21"/>
      <c r="D101" s="21"/>
      <c r="E101" s="18">
        <v>42775</v>
      </c>
      <c r="F101" s="33"/>
      <c r="G101" s="33">
        <v>127992.01</v>
      </c>
      <c r="H101" s="40"/>
      <c r="I101" s="111"/>
      <c r="J101" s="112"/>
      <c r="K101" s="113"/>
      <c r="L101" s="54"/>
    </row>
    <row r="102" spans="3:12" ht="12.75">
      <c r="C102" s="21"/>
      <c r="D102" s="21"/>
      <c r="E102" s="18">
        <v>42824</v>
      </c>
      <c r="F102" s="33"/>
      <c r="G102" s="33">
        <v>215209.81</v>
      </c>
      <c r="H102" s="40"/>
      <c r="I102" s="111"/>
      <c r="J102" s="112"/>
      <c r="K102" s="113"/>
      <c r="L102" s="54"/>
    </row>
    <row r="103" spans="3:12" ht="12.75">
      <c r="C103" s="21"/>
      <c r="D103" s="21"/>
      <c r="E103" s="18">
        <v>42877</v>
      </c>
      <c r="F103" s="33"/>
      <c r="G103" s="33">
        <v>89851.49</v>
      </c>
      <c r="H103" s="40"/>
      <c r="I103" s="111"/>
      <c r="J103" s="112"/>
      <c r="K103" s="113"/>
      <c r="L103" s="54"/>
    </row>
    <row r="104" spans="3:12" ht="12.75">
      <c r="C104" s="21"/>
      <c r="D104" s="21"/>
      <c r="E104" s="18">
        <v>42914</v>
      </c>
      <c r="F104" s="33"/>
      <c r="G104" s="33">
        <v>815427.31</v>
      </c>
      <c r="H104" s="40"/>
      <c r="I104" s="111"/>
      <c r="J104" s="112"/>
      <c r="K104" s="113"/>
      <c r="L104" s="113"/>
    </row>
    <row r="105" spans="3:12" ht="12.75">
      <c r="C105" s="21"/>
      <c r="D105" s="21"/>
      <c r="E105" s="18">
        <v>42936</v>
      </c>
      <c r="F105" s="33"/>
      <c r="G105" s="33">
        <v>86694.10</v>
      </c>
      <c r="H105" s="21"/>
      <c r="I105" s="111"/>
      <c r="J105" s="112"/>
      <c r="K105" s="113"/>
      <c r="L105" s="113"/>
    </row>
    <row r="106" spans="3:12" ht="12.75">
      <c r="C106" s="21"/>
      <c r="D106" s="21"/>
      <c r="E106" s="18">
        <v>43019</v>
      </c>
      <c r="F106" s="33"/>
      <c r="G106" s="33">
        <v>71768.57</v>
      </c>
      <c r="H106" s="21"/>
      <c r="I106" s="111"/>
      <c r="J106" s="112"/>
      <c r="K106" s="113"/>
      <c r="L106" s="113"/>
    </row>
    <row r="107" spans="3:10" ht="12.75">
      <c r="C107" s="21"/>
      <c r="D107" s="21"/>
      <c r="E107" s="18">
        <v>43052</v>
      </c>
      <c r="F107" s="33"/>
      <c r="G107" s="33">
        <v>312687.29</v>
      </c>
      <c r="H107" s="21"/>
      <c r="I107" s="23"/>
      <c r="J107" s="21"/>
    </row>
    <row r="108" spans="3:10" ht="12.75">
      <c r="C108" s="21" t="s">
        <v>17</v>
      </c>
      <c r="D108" s="21"/>
      <c r="E108" s="18">
        <v>43178</v>
      </c>
      <c r="F108" s="33"/>
      <c r="G108" s="33">
        <v>-105051</v>
      </c>
      <c r="H108" s="21"/>
      <c r="I108" s="23"/>
      <c r="J108" s="21"/>
    </row>
    <row r="109" spans="3:10" ht="12.75">
      <c r="C109" s="21"/>
      <c r="D109" s="21"/>
      <c r="E109" s="18">
        <v>43194</v>
      </c>
      <c r="F109" s="33"/>
      <c r="G109" s="33">
        <v>-153356.99</v>
      </c>
      <c r="H109" s="21"/>
      <c r="I109" s="23"/>
      <c r="J109" s="21"/>
    </row>
    <row r="110" spans="3:10" ht="12.75">
      <c r="C110" s="21"/>
      <c r="D110" s="21"/>
      <c r="E110" s="18">
        <v>43251</v>
      </c>
      <c r="F110" s="33"/>
      <c r="G110" s="33">
        <v>-126585</v>
      </c>
      <c r="H110" s="21"/>
      <c r="I110" s="23"/>
      <c r="J110" s="21"/>
    </row>
    <row r="111" spans="3:10" ht="12.75">
      <c r="C111" s="21"/>
      <c r="D111" s="21"/>
      <c r="E111" s="18">
        <v>43342</v>
      </c>
      <c r="F111" s="33"/>
      <c r="G111" s="33">
        <v>-165870</v>
      </c>
      <c r="H111" s="21"/>
      <c r="I111" s="23"/>
      <c r="J111" s="21"/>
    </row>
    <row r="112" spans="3:10" ht="12.75">
      <c r="C112" s="21"/>
      <c r="D112" s="21"/>
      <c r="E112" s="18">
        <v>43434</v>
      </c>
      <c r="F112" s="33"/>
      <c r="G112" s="33">
        <v>-188568.01</v>
      </c>
      <c r="H112" s="21"/>
      <c r="I112" s="23"/>
      <c r="J112" s="21"/>
    </row>
    <row r="113" spans="3:10" ht="12.75">
      <c r="C113" s="21" t="s">
        <v>18</v>
      </c>
      <c r="D113" s="21"/>
      <c r="E113" s="18">
        <v>43116</v>
      </c>
      <c r="F113" s="33"/>
      <c r="G113" s="33">
        <v>389832.04</v>
      </c>
      <c r="H113" s="21"/>
      <c r="I113" s="23"/>
      <c r="J113" s="21"/>
    </row>
    <row r="114" spans="3:10" ht="12.75">
      <c r="C114" s="21"/>
      <c r="D114" s="21"/>
      <c r="E114" s="18">
        <v>43145</v>
      </c>
      <c r="F114" s="33"/>
      <c r="G114" s="33">
        <v>120707.31</v>
      </c>
      <c r="H114" s="21"/>
      <c r="I114" s="23"/>
      <c r="J114" s="21"/>
    </row>
    <row r="115" spans="3:10" ht="12.75">
      <c r="C115" s="21"/>
      <c r="D115" s="21"/>
      <c r="E115" s="18">
        <v>43222</v>
      </c>
      <c r="F115" s="33"/>
      <c r="G115" s="33">
        <v>249398.55</v>
      </c>
      <c r="H115" s="21"/>
      <c r="I115" s="23"/>
      <c r="J115" s="21"/>
    </row>
    <row r="116" spans="3:10" ht="12.75">
      <c r="C116" s="21"/>
      <c r="D116" s="21"/>
      <c r="E116" s="18">
        <v>43314</v>
      </c>
      <c r="F116" s="33"/>
      <c r="G116" s="33">
        <v>259408.59</v>
      </c>
      <c r="H116" s="21"/>
      <c r="I116" s="23"/>
      <c r="J116" s="21"/>
    </row>
    <row r="117" spans="3:10" ht="12.75">
      <c r="C117" s="21"/>
      <c r="D117" s="21"/>
      <c r="E117" s="18">
        <v>43341</v>
      </c>
      <c r="F117" s="33"/>
      <c r="G117" s="33">
        <v>723326.43</v>
      </c>
      <c r="H117" s="21"/>
      <c r="I117" s="23"/>
      <c r="J117" s="21"/>
    </row>
    <row r="118" spans="3:10" ht="12.75">
      <c r="C118" s="21"/>
      <c r="D118" s="21"/>
      <c r="E118" s="18">
        <v>43398</v>
      </c>
      <c r="F118" s="33"/>
      <c r="G118" s="33">
        <v>556911.08</v>
      </c>
      <c r="H118" s="21"/>
      <c r="I118" s="23"/>
      <c r="J118" s="21"/>
    </row>
    <row r="119" spans="3:10" ht="12.75">
      <c r="C119" s="21" t="s">
        <v>19</v>
      </c>
      <c r="D119" s="21"/>
      <c r="E119" s="18">
        <v>43529</v>
      </c>
      <c r="F119" s="33"/>
      <c r="G119" s="33">
        <v>-87009.01</v>
      </c>
      <c r="H119" s="21"/>
      <c r="I119" s="23"/>
      <c r="J119" s="21"/>
    </row>
    <row r="120" spans="3:10" ht="12.75">
      <c r="C120" s="21"/>
      <c r="D120" s="21"/>
      <c r="E120" s="18">
        <v>43564</v>
      </c>
      <c r="F120" s="33"/>
      <c r="G120" s="33">
        <v>-107961</v>
      </c>
      <c r="H120" s="21"/>
      <c r="I120" s="23"/>
      <c r="J120" s="21"/>
    </row>
    <row r="121" spans="3:10" ht="12.75">
      <c r="C121" s="21"/>
      <c r="D121" s="21"/>
      <c r="E121" s="18">
        <v>43782</v>
      </c>
      <c r="F121" s="33"/>
      <c r="G121" s="33">
        <v>-93411</v>
      </c>
      <c r="H121" s="21"/>
      <c r="I121" s="23"/>
      <c r="J121" s="21"/>
    </row>
    <row r="122" spans="3:10" ht="12.75">
      <c r="C122" s="21" t="s">
        <v>20</v>
      </c>
      <c r="D122" s="21"/>
      <c r="E122" s="18">
        <v>43479</v>
      </c>
      <c r="F122" s="33"/>
      <c r="G122" s="33">
        <v>76369.08</v>
      </c>
      <c r="H122" s="21"/>
      <c r="I122" s="23"/>
      <c r="J122" s="21"/>
    </row>
    <row r="123" spans="3:10" ht="12.75">
      <c r="C123" s="21"/>
      <c r="D123" s="21"/>
      <c r="E123" s="18">
        <v>43558</v>
      </c>
      <c r="F123" s="33"/>
      <c r="G123" s="33">
        <v>734732.44</v>
      </c>
      <c r="H123" s="21"/>
      <c r="I123" s="23"/>
      <c r="J123" s="21"/>
    </row>
    <row r="124" spans="3:10" ht="12.75">
      <c r="C124" s="21"/>
      <c r="D124" s="21"/>
      <c r="E124" s="18">
        <v>43622</v>
      </c>
      <c r="F124" s="33"/>
      <c r="G124" s="33">
        <v>111430.20</v>
      </c>
      <c r="H124" s="21"/>
      <c r="I124" s="23"/>
      <c r="J124" s="21"/>
    </row>
    <row r="125" spans="3:10" ht="12.75">
      <c r="C125" s="21"/>
      <c r="D125" s="21"/>
      <c r="E125" s="18">
        <v>43689</v>
      </c>
      <c r="F125" s="33"/>
      <c r="G125" s="33">
        <v>176093.01</v>
      </c>
      <c r="H125" s="21"/>
      <c r="I125" s="23"/>
      <c r="J125" s="21"/>
    </row>
    <row r="126" spans="3:10" ht="12.75">
      <c r="C126" s="21"/>
      <c r="D126" s="21"/>
      <c r="E126" s="18">
        <v>43753</v>
      </c>
      <c r="F126" s="33"/>
      <c r="G126" s="33">
        <v>85913.24</v>
      </c>
      <c r="H126" s="21"/>
      <c r="I126" s="23"/>
      <c r="J126" s="21"/>
    </row>
    <row r="127" spans="3:10" ht="12.75">
      <c r="C127" s="21" t="s">
        <v>21</v>
      </c>
      <c r="D127" s="21"/>
      <c r="E127" s="18">
        <v>43923</v>
      </c>
      <c r="F127" s="33"/>
      <c r="G127" s="33">
        <v>-79734</v>
      </c>
      <c r="H127" s="21"/>
      <c r="I127" s="23"/>
      <c r="J127" s="21"/>
    </row>
    <row r="128" spans="3:10" ht="12.75">
      <c r="C128" s="21"/>
      <c r="D128" s="21"/>
      <c r="E128" s="18">
        <v>44104</v>
      </c>
      <c r="F128" s="33"/>
      <c r="G128" s="33">
        <v>-92829</v>
      </c>
      <c r="H128" s="21"/>
      <c r="I128" s="23"/>
      <c r="J128" s="21"/>
    </row>
    <row r="129" spans="3:10" ht="12.75">
      <c r="C129" s="21" t="s">
        <v>22</v>
      </c>
      <c r="D129" s="21"/>
      <c r="E129" s="18">
        <v>43867</v>
      </c>
      <c r="F129" s="33"/>
      <c r="G129" s="33">
        <v>197899.42</v>
      </c>
      <c r="H129" s="21"/>
      <c r="I129" s="23"/>
      <c r="J129" s="21"/>
    </row>
    <row r="130" spans="3:12" ht="15.75">
      <c r="C130" s="21"/>
      <c r="D130" s="21"/>
      <c r="E130" s="18">
        <v>44153</v>
      </c>
      <c r="F130" s="33"/>
      <c r="G130" s="33">
        <v>143633.63</v>
      </c>
      <c r="H130" s="21"/>
      <c r="I130" s="23"/>
      <c r="J130" s="21"/>
      <c r="L130" s="50"/>
    </row>
    <row r="131" spans="3:10" ht="12.75">
      <c r="C131" s="21" t="s">
        <v>24</v>
      </c>
      <c r="D131" s="21"/>
      <c r="E131" s="18">
        <v>44279</v>
      </c>
      <c r="F131" s="33"/>
      <c r="G131" s="33">
        <v>-62565</v>
      </c>
      <c r="H131" s="21"/>
      <c r="I131" s="23"/>
      <c r="J131" s="21"/>
    </row>
    <row r="132" spans="3:10" ht="12.75">
      <c r="C132" s="21"/>
      <c r="D132" s="21"/>
      <c r="E132" s="18">
        <v>44463</v>
      </c>
      <c r="F132" s="33"/>
      <c r="G132" s="33">
        <v>-42485.99</v>
      </c>
      <c r="H132" s="21"/>
      <c r="I132" s="23"/>
      <c r="J132" s="21"/>
    </row>
    <row r="133" spans="3:12" ht="15.75">
      <c r="C133" s="21" t="s">
        <v>23</v>
      </c>
      <c r="D133" s="21"/>
      <c r="E133" s="18">
        <v>44224</v>
      </c>
      <c r="F133" s="33"/>
      <c r="G133" s="33">
        <v>93091.16</v>
      </c>
      <c r="H133" s="21"/>
      <c r="I133" s="23"/>
      <c r="J133" s="21"/>
      <c r="L133" s="50"/>
    </row>
    <row r="134" spans="3:12" ht="15.75">
      <c r="C134" s="21"/>
      <c r="D134" s="21"/>
      <c r="E134" s="18">
        <v>44259</v>
      </c>
      <c r="F134" s="33"/>
      <c r="G134" s="33">
        <v>206439.50</v>
      </c>
      <c r="H134" s="21"/>
      <c r="I134" s="23"/>
      <c r="J134" s="21"/>
      <c r="L134" s="50"/>
    </row>
    <row r="135" spans="3:12" ht="15.75">
      <c r="C135" s="21"/>
      <c r="D135" s="21"/>
      <c r="E135" s="18">
        <v>44383</v>
      </c>
      <c r="F135" s="33"/>
      <c r="G135" s="33">
        <v>1572895.70</v>
      </c>
      <c r="H135" s="21"/>
      <c r="I135" s="23"/>
      <c r="J135" s="21"/>
      <c r="L135" s="50"/>
    </row>
    <row r="136" spans="3:12" ht="15.75">
      <c r="C136" s="21"/>
      <c r="D136" s="21"/>
      <c r="E136" s="18">
        <v>44441</v>
      </c>
      <c r="F136" s="33"/>
      <c r="G136" s="33">
        <v>79212.51</v>
      </c>
      <c r="H136" s="21"/>
      <c r="I136" s="23"/>
      <c r="J136" s="21"/>
      <c r="L136" s="50"/>
    </row>
    <row r="137" spans="3:12" ht="15.75">
      <c r="C137" s="21"/>
      <c r="D137" s="21"/>
      <c r="E137" s="18">
        <v>44502</v>
      </c>
      <c r="F137" s="33"/>
      <c r="G137" s="33">
        <v>359209.20</v>
      </c>
      <c r="H137" s="21"/>
      <c r="I137" s="23"/>
      <c r="J137" s="21"/>
      <c r="L137" s="50"/>
    </row>
    <row r="138" spans="3:12" ht="15.75">
      <c r="C138" s="21"/>
      <c r="D138" s="21"/>
      <c r="E138" s="18">
        <v>44551</v>
      </c>
      <c r="F138" s="33"/>
      <c r="G138" s="33">
        <v>113569.17</v>
      </c>
      <c r="H138" s="21"/>
      <c r="I138" s="23"/>
      <c r="J138" s="21"/>
      <c r="L138" s="50"/>
    </row>
    <row r="139" spans="3:12" ht="15.75">
      <c r="C139" s="21" t="s">
        <v>27</v>
      </c>
      <c r="D139" s="21"/>
      <c r="E139" s="18">
        <v>44651</v>
      </c>
      <c r="F139" s="33"/>
      <c r="G139" s="33">
        <v>-23571</v>
      </c>
      <c r="H139" s="21"/>
      <c r="I139" s="23"/>
      <c r="J139" s="21"/>
      <c r="L139" s="50"/>
    </row>
    <row r="140" spans="3:12" ht="15.75">
      <c r="C140" s="21"/>
      <c r="D140" s="21"/>
      <c r="E140" s="18">
        <v>44742</v>
      </c>
      <c r="F140" s="33"/>
      <c r="G140" s="33">
        <v>-20952</v>
      </c>
      <c r="H140" s="21"/>
      <c r="I140" s="23"/>
      <c r="J140" s="21"/>
      <c r="L140" s="50"/>
    </row>
    <row r="141" spans="3:12" ht="15.75">
      <c r="C141" s="21"/>
      <c r="D141" s="21"/>
      <c r="E141" s="18">
        <v>44827</v>
      </c>
      <c r="F141" s="33"/>
      <c r="G141" s="33">
        <v>-19788</v>
      </c>
      <c r="H141" s="21"/>
      <c r="I141" s="23"/>
      <c r="J141" s="21"/>
      <c r="L141" s="50"/>
    </row>
    <row r="142" spans="3:12" ht="15.75">
      <c r="C142" s="21" t="s">
        <v>25</v>
      </c>
      <c r="D142" s="21"/>
      <c r="E142" s="18">
        <v>44582</v>
      </c>
      <c r="F142" s="33"/>
      <c r="G142" s="33">
        <v>463062.55</v>
      </c>
      <c r="H142" s="21"/>
      <c r="I142" s="23"/>
      <c r="J142" s="21"/>
      <c r="L142" s="50"/>
    </row>
    <row r="143" spans="3:12" ht="15.75">
      <c r="C143" s="21"/>
      <c r="D143" s="21"/>
      <c r="E143" s="18">
        <v>44599</v>
      </c>
      <c r="F143" s="33"/>
      <c r="G143" s="33">
        <v>189520.29</v>
      </c>
      <c r="H143" s="21"/>
      <c r="I143" s="23"/>
      <c r="J143" s="21"/>
      <c r="L143" s="50"/>
    </row>
    <row r="144" spans="3:12" ht="15.75">
      <c r="C144" s="21"/>
      <c r="D144" s="21"/>
      <c r="E144" s="18">
        <v>44634</v>
      </c>
      <c r="F144" s="33"/>
      <c r="G144" s="33">
        <v>335690.32</v>
      </c>
      <c r="H144" s="21"/>
      <c r="I144" s="23"/>
      <c r="J144" s="21"/>
      <c r="L144" s="50"/>
    </row>
    <row r="145" spans="3:12" ht="15.75">
      <c r="C145" s="21"/>
      <c r="D145" s="21"/>
      <c r="E145" s="18">
        <v>44657</v>
      </c>
      <c r="F145" s="33"/>
      <c r="G145" s="33">
        <v>325222.55</v>
      </c>
      <c r="H145" s="21"/>
      <c r="I145" s="23"/>
      <c r="J145" s="21"/>
      <c r="L145" s="50"/>
    </row>
    <row r="146" spans="3:12" ht="15.75">
      <c r="C146" s="21"/>
      <c r="D146" s="21"/>
      <c r="E146" s="18">
        <v>44694</v>
      </c>
      <c r="F146" s="33"/>
      <c r="G146" s="33">
        <v>408724.47</v>
      </c>
      <c r="H146" s="21"/>
      <c r="I146" s="23"/>
      <c r="J146" s="21"/>
      <c r="L146" s="50"/>
    </row>
    <row r="147" spans="3:12" ht="15.75">
      <c r="C147" s="21"/>
      <c r="D147" s="21"/>
      <c r="E147" s="18">
        <v>44715</v>
      </c>
      <c r="F147" s="33"/>
      <c r="G147" s="33">
        <v>212586.08</v>
      </c>
      <c r="H147" s="21"/>
      <c r="I147" s="23"/>
      <c r="J147" s="21"/>
      <c r="L147" s="50"/>
    </row>
    <row r="148" spans="3:12" ht="15.75">
      <c r="C148" s="21"/>
      <c r="D148" s="21"/>
      <c r="E148" s="18">
        <v>44755</v>
      </c>
      <c r="F148" s="33"/>
      <c r="G148" s="33">
        <v>382541.50</v>
      </c>
      <c r="H148" s="21"/>
      <c r="I148" s="23"/>
      <c r="J148" s="21"/>
      <c r="L148" s="50"/>
    </row>
    <row r="149" spans="3:12" ht="15.75">
      <c r="C149" s="21"/>
      <c r="D149" s="21"/>
      <c r="E149" s="18">
        <v>44777</v>
      </c>
      <c r="F149" s="33"/>
      <c r="G149" s="33">
        <v>129234.45</v>
      </c>
      <c r="H149" s="21"/>
      <c r="I149" s="23"/>
      <c r="J149" s="21"/>
      <c r="L149" s="50"/>
    </row>
    <row r="150" spans="3:12" ht="15.75">
      <c r="C150" s="21"/>
      <c r="D150" s="21"/>
      <c r="E150" s="18">
        <v>44812</v>
      </c>
      <c r="F150" s="33"/>
      <c r="G150" s="33">
        <v>266992.18</v>
      </c>
      <c r="H150" s="21"/>
      <c r="I150" s="23"/>
      <c r="J150" s="21"/>
      <c r="L150" s="50"/>
    </row>
    <row r="151" spans="3:12" ht="15.75">
      <c r="C151" s="21"/>
      <c r="D151" s="21"/>
      <c r="E151" s="18">
        <v>44851</v>
      </c>
      <c r="F151" s="33"/>
      <c r="G151" s="33">
        <v>302546.41</v>
      </c>
      <c r="H151" s="21"/>
      <c r="I151" s="23"/>
      <c r="J151" s="21"/>
      <c r="L151" s="50"/>
    </row>
    <row r="152" spans="3:12" ht="15.75">
      <c r="C152" s="21"/>
      <c r="D152" s="21"/>
      <c r="E152" s="18">
        <v>44869</v>
      </c>
      <c r="F152" s="33"/>
      <c r="G152" s="33">
        <v>121716.25</v>
      </c>
      <c r="H152" s="21"/>
      <c r="I152" s="23"/>
      <c r="J152" s="21"/>
      <c r="L152" s="50"/>
    </row>
    <row r="153" spans="3:12" ht="15.75">
      <c r="C153" s="21" t="s">
        <v>26</v>
      </c>
      <c r="D153" s="21"/>
      <c r="E153" s="18">
        <v>44938</v>
      </c>
      <c r="F153" s="33"/>
      <c r="G153" s="33">
        <v>88024.19</v>
      </c>
      <c r="H153" s="21"/>
      <c r="I153" s="23"/>
      <c r="J153" s="21"/>
      <c r="L153" s="50"/>
    </row>
    <row r="154" spans="3:12" ht="15.75">
      <c r="C154" s="21"/>
      <c r="D154" s="21"/>
      <c r="E154" s="18">
        <v>44964</v>
      </c>
      <c r="F154" s="33"/>
      <c r="G154" s="33">
        <v>39355.74</v>
      </c>
      <c r="H154" s="21"/>
      <c r="I154" s="23"/>
      <c r="J154" s="21"/>
      <c r="L154" s="50"/>
    </row>
    <row r="155" spans="3:12" ht="15.75">
      <c r="C155" s="21"/>
      <c r="D155" s="21"/>
      <c r="E155" s="18">
        <v>45007</v>
      </c>
      <c r="F155" s="33"/>
      <c r="G155" s="33">
        <v>0</v>
      </c>
      <c r="H155" s="21"/>
      <c r="I155" s="23"/>
      <c r="J155" s="21"/>
      <c r="L155" s="50"/>
    </row>
    <row r="156" spans="3:12" ht="15.75">
      <c r="C156" s="21"/>
      <c r="D156" s="21"/>
      <c r="E156" s="18">
        <v>45037</v>
      </c>
      <c r="F156" s="33"/>
      <c r="G156" s="33">
        <v>0</v>
      </c>
      <c r="H156" s="21"/>
      <c r="I156" s="23"/>
      <c r="J156" s="21"/>
      <c r="L156" s="50"/>
    </row>
    <row r="157" spans="3:12" ht="15.75">
      <c r="C157" s="21"/>
      <c r="D157" s="21"/>
      <c r="E157" s="18">
        <v>45065</v>
      </c>
      <c r="F157" s="33"/>
      <c r="G157" s="33">
        <v>137423.3</v>
      </c>
      <c r="H157" s="21"/>
      <c r="I157" s="23"/>
      <c r="J157" s="21"/>
      <c r="L157" s="50"/>
    </row>
    <row r="158" spans="3:12" ht="15.75">
      <c r="C158" s="21"/>
      <c r="D158" s="21"/>
      <c r="E158" s="18">
        <v>45092</v>
      </c>
      <c r="F158" s="33"/>
      <c r="G158" s="33">
        <v>1227289.93</v>
      </c>
      <c r="H158" s="21"/>
      <c r="I158" s="23"/>
      <c r="J158" s="21"/>
      <c r="L158" s="50"/>
    </row>
    <row r="159" spans="3:12" ht="15.75">
      <c r="C159" s="21"/>
      <c r="D159" s="21"/>
      <c r="E159" s="18">
        <v>45119</v>
      </c>
      <c r="F159" s="33"/>
      <c r="G159" s="33">
        <v>47919.97</v>
      </c>
      <c r="H159" s="21"/>
      <c r="I159" s="23"/>
      <c r="J159" s="21"/>
      <c r="L159" s="50"/>
    </row>
    <row r="160" spans="3:12" ht="15.75">
      <c r="C160" s="21"/>
      <c r="D160" s="21"/>
      <c r="E160" s="18">
        <v>45142</v>
      </c>
      <c r="F160" s="33"/>
      <c r="G160" s="33">
        <v>36154.26</v>
      </c>
      <c r="H160" s="21"/>
      <c r="I160" s="23"/>
      <c r="J160" s="21"/>
      <c r="L160" s="50"/>
    </row>
    <row r="161" spans="3:12" ht="15.75">
      <c r="C161" s="21"/>
      <c r="D161" s="21"/>
      <c r="E161" s="18">
        <v>45180</v>
      </c>
      <c r="F161" s="33"/>
      <c r="G161" s="33">
        <v>51534.04</v>
      </c>
      <c r="H161" s="21"/>
      <c r="I161" s="23"/>
      <c r="J161" s="21"/>
      <c r="L161" s="50"/>
    </row>
    <row r="162" spans="3:12" ht="15.75">
      <c r="C162" s="21"/>
      <c r="D162" s="21"/>
      <c r="E162" s="18">
        <v>45190</v>
      </c>
      <c r="F162" s="33"/>
      <c r="G162" s="33">
        <v>320911.57</v>
      </c>
      <c r="H162" s="21"/>
      <c r="I162" s="23"/>
      <c r="J162" s="21"/>
      <c r="L162" s="50"/>
    </row>
    <row r="163" spans="3:12" ht="15.75">
      <c r="C163" s="21"/>
      <c r="D163" s="21"/>
      <c r="E163" s="18">
        <v>45196</v>
      </c>
      <c r="F163" s="33"/>
      <c r="G163" s="33">
        <v>19787.20</v>
      </c>
      <c r="H163" s="21"/>
      <c r="I163" s="23"/>
      <c r="J163" s="21"/>
      <c r="L163" s="50"/>
    </row>
    <row r="164" spans="3:9" ht="4.5" customHeight="1">
      <c r="C164" s="21"/>
      <c r="D164" s="21"/>
      <c r="E164" s="18"/>
      <c r="F164" s="21"/>
      <c r="G164" s="33"/>
      <c r="H164" s="40"/>
      <c r="I164" s="23"/>
    </row>
    <row r="165" spans="3:12" ht="12.75">
      <c r="C165" s="21" t="s">
        <v>1</v>
      </c>
      <c r="D165" s="21"/>
      <c r="E165" s="18">
        <f>+E8</f>
        <v>45199</v>
      </c>
      <c r="F165" s="21"/>
      <c r="G165" s="49">
        <f>L165*C22</f>
        <v>6087933.920241185</v>
      </c>
      <c r="H165" s="40"/>
      <c r="I165" s="33">
        <f>+SUMIF($G$23:$G$164,"&lt;0",$G$23:$G$164)</f>
        <v>-1.7271514209999997E7</v>
      </c>
      <c r="J165" s="21" t="s">
        <v>11</v>
      </c>
      <c r="L165" s="54">
        <v>454901173</v>
      </c>
    </row>
    <row r="166" spans="3:10" ht="12.75">
      <c r="C166" s="21"/>
      <c r="D166" s="21"/>
      <c r="E166" s="21"/>
      <c r="F166" s="21"/>
      <c r="G166" s="21"/>
      <c r="H166" s="40"/>
      <c r="I166" s="33">
        <f>+SUMIF($G$23:$G$164,"&gt;0",$G$23:$G$164)</f>
        <v>1.951887416E7</v>
      </c>
      <c r="J166" s="21" t="s">
        <v>12</v>
      </c>
    </row>
    <row r="167" spans="3:8" ht="12.75">
      <c r="C167" s="20" t="s">
        <v>0</v>
      </c>
      <c r="G167" s="47">
        <f>+XIRR(G23:G165,E23:E165,0.1)</f>
        <v>0.09746872782707214</v>
      </c>
      <c r="H167" s="40"/>
    </row>
    <row r="168" spans="3:8" ht="12.75">
      <c r="C168" s="21"/>
      <c r="D168" s="21"/>
      <c r="E168" s="21"/>
      <c r="F168" s="21"/>
      <c r="G168" s="21"/>
      <c r="H168" s="40"/>
    </row>
    <row r="169" spans="3:8" ht="12.75">
      <c r="C169" s="21"/>
      <c r="D169" s="21"/>
      <c r="E169" s="21"/>
      <c r="F169" s="21"/>
      <c r="G169" s="23"/>
      <c r="H169" s="40"/>
    </row>
    <row r="170" spans="3:8" ht="12.75">
      <c r="C170" s="40"/>
      <c r="D170" s="21"/>
      <c r="E170" s="86"/>
      <c r="F170" s="21"/>
      <c r="G170" s="86"/>
      <c r="H170" s="40"/>
    </row>
    <row r="171" spans="3:8" ht="12.75">
      <c r="C171" s="87"/>
      <c r="D171" s="26"/>
      <c r="E171" s="86"/>
      <c r="F171" s="26"/>
      <c r="G171" s="86"/>
      <c r="H171" s="40"/>
    </row>
    <row r="172" spans="3:8" ht="12.75">
      <c r="C172" s="87"/>
      <c r="D172" s="26"/>
      <c r="E172" s="86"/>
      <c r="F172" s="26"/>
      <c r="G172" s="86"/>
      <c r="H172" s="40"/>
    </row>
    <row r="173" spans="3:8" ht="12.75">
      <c r="C173" s="26"/>
      <c r="D173" s="26"/>
      <c r="E173" s="51"/>
      <c r="F173" s="51"/>
      <c r="G173" s="51"/>
      <c r="H173" s="20"/>
    </row>
    <row r="174" spans="3:8" ht="12.75">
      <c r="C174" s="26"/>
      <c r="D174" s="26"/>
      <c r="E174" s="34"/>
      <c r="F174" s="34"/>
      <c r="G174" s="34"/>
      <c r="H174" s="20"/>
    </row>
    <row r="175" spans="3:8" ht="12.75">
      <c r="C175" s="26"/>
      <c r="D175" s="26"/>
      <c r="E175" s="26"/>
      <c r="F175" s="26"/>
      <c r="G175" s="26"/>
      <c r="H175" s="20"/>
    </row>
    <row r="176" spans="3:8" ht="12.75">
      <c r="C176" s="114"/>
      <c r="D176" s="114"/>
      <c r="E176" s="115"/>
      <c r="F176" s="21"/>
      <c r="G176" s="45"/>
      <c r="H176" s="40"/>
    </row>
    <row r="177" spans="3:8" ht="12.75">
      <c r="C177" s="114"/>
      <c r="D177" s="114"/>
      <c r="E177" s="46"/>
      <c r="F177" s="21"/>
      <c r="G177" s="46"/>
      <c r="H177" s="40"/>
    </row>
    <row r="178" spans="3:8" ht="12.75">
      <c r="C178" s="114"/>
      <c r="D178" s="114"/>
      <c r="E178" s="46"/>
      <c r="F178" s="21"/>
      <c r="G178" s="46"/>
      <c r="H178" s="40"/>
    </row>
    <row r="179" spans="3:8" ht="12.75">
      <c r="C179" s="116"/>
      <c r="D179" s="114"/>
      <c r="E179" s="46"/>
      <c r="F179" s="21"/>
      <c r="G179" s="46"/>
      <c r="H179" s="40"/>
    </row>
    <row r="180" spans="3:8" ht="12.75">
      <c r="C180" s="116"/>
      <c r="D180" s="114"/>
      <c r="E180" s="46"/>
      <c r="F180" s="21"/>
      <c r="G180" s="46"/>
      <c r="H180" s="40"/>
    </row>
    <row r="181" spans="3:8" ht="12.75">
      <c r="C181" s="117"/>
      <c r="D181" s="114"/>
      <c r="E181" s="46"/>
      <c r="F181" s="21"/>
      <c r="G181" s="46"/>
      <c r="H181" s="40"/>
    </row>
    <row r="182" spans="3:8" ht="12.75">
      <c r="C182" s="114"/>
      <c r="D182" s="114"/>
      <c r="E182" s="46"/>
      <c r="F182" s="21"/>
      <c r="G182" s="46"/>
      <c r="H182" s="40"/>
    </row>
    <row r="183" spans="3:8" ht="12.75">
      <c r="C183" s="114"/>
      <c r="D183" s="114"/>
      <c r="E183" s="46"/>
      <c r="F183" s="21"/>
      <c r="G183" s="46"/>
      <c r="H183" s="40"/>
    </row>
    <row r="184" spans="3:8" ht="12.75">
      <c r="C184" s="114"/>
      <c r="D184" s="114"/>
      <c r="E184" s="46"/>
      <c r="F184" s="21"/>
      <c r="G184" s="46"/>
      <c r="H184" s="40"/>
    </row>
    <row r="185" spans="3:8" ht="12.75">
      <c r="C185" s="114"/>
      <c r="D185" s="114"/>
      <c r="E185" s="46"/>
      <c r="F185" s="21"/>
      <c r="G185" s="46"/>
      <c r="H185" s="40"/>
    </row>
    <row r="186" spans="3:8" ht="12.75">
      <c r="C186" s="114"/>
      <c r="D186" s="114"/>
      <c r="E186" s="46"/>
      <c r="F186" s="21"/>
      <c r="G186" s="46"/>
      <c r="H186" s="40"/>
    </row>
    <row r="187" spans="3:8" ht="12.75">
      <c r="C187" s="114"/>
      <c r="D187" s="114"/>
      <c r="E187" s="46"/>
      <c r="F187" s="21"/>
      <c r="G187" s="46"/>
      <c r="H187" s="40"/>
    </row>
    <row r="188" spans="3:8" s="58" customFormat="1" ht="5.1" customHeight="1">
      <c r="C188" s="21"/>
      <c r="D188" s="21"/>
      <c r="E188" s="21"/>
      <c r="F188" s="21"/>
      <c r="G188" s="21"/>
      <c r="H188" s="40"/>
    </row>
    <row r="189" spans="3:8" ht="12.75">
      <c r="C189" s="21"/>
      <c r="D189" s="21"/>
      <c r="E189" s="21"/>
      <c r="F189" s="21"/>
      <c r="G189" s="21"/>
      <c r="H189" s="40"/>
    </row>
  </sheetData>
  <mergeCells count="1">
    <mergeCell ref="E173:G173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6C1164-5170-4602-8BA3-65752F6B34BA}">
  <sheetPr>
    <pageSetUpPr fitToPage="1"/>
  </sheetPr>
  <dimension ref="B4:M18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8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8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93"/>
      <c r="E4" s="1"/>
      <c r="F4" s="1"/>
    </row>
    <row r="6" spans="3:6" ht="12.75">
      <c r="C6" s="2"/>
      <c r="D6" s="94"/>
      <c r="E6" s="2"/>
      <c r="F6" s="2"/>
    </row>
    <row r="7" spans="2:6" ht="12.75">
      <c r="B7" s="4"/>
      <c r="C7" s="3"/>
      <c r="D7" s="95"/>
      <c r="E7" s="3"/>
      <c r="F7" s="3"/>
    </row>
    <row r="8" spans="3:8" ht="15.75">
      <c r="C8" s="90"/>
      <c r="D8" s="90"/>
      <c r="E8" s="96">
        <f>+'Fund IX'!E8</f>
        <v>45199</v>
      </c>
      <c r="F8" s="36"/>
      <c r="G8" s="6"/>
      <c r="H8" s="88"/>
    </row>
    <row r="9" spans="3:7" ht="15.75">
      <c r="C9" s="103"/>
      <c r="D9" s="103"/>
      <c r="E9" s="103"/>
      <c r="F9" s="103"/>
      <c r="G9" s="104"/>
    </row>
    <row r="10" spans="3:8" ht="12.75">
      <c r="C10" s="105"/>
      <c r="D10" s="105"/>
      <c r="E10" s="106"/>
      <c r="F10" s="105"/>
      <c r="G10" s="54"/>
      <c r="H10" s="89"/>
    </row>
    <row r="11" spans="3:8" ht="12.75">
      <c r="C11" s="105"/>
      <c r="D11" s="105"/>
      <c r="E11" s="106"/>
      <c r="F11" s="105"/>
      <c r="G11" s="106"/>
      <c r="H11" s="89"/>
    </row>
    <row r="12" spans="3:8" ht="15.75">
      <c r="C12" s="107"/>
      <c r="D12" s="107"/>
      <c r="E12" s="108"/>
      <c r="F12" s="107"/>
      <c r="G12" s="108"/>
      <c r="H12" s="90"/>
    </row>
    <row r="13" spans="3:8" ht="12.75">
      <c r="C13" s="105"/>
      <c r="D13" s="105"/>
      <c r="E13" s="109"/>
      <c r="F13" s="105"/>
      <c r="G13" s="54"/>
      <c r="H13" s="91"/>
    </row>
    <row r="14" spans="3:8" ht="12.75">
      <c r="C14" s="105"/>
      <c r="D14" s="105"/>
      <c r="E14" s="110"/>
      <c r="F14" s="105"/>
      <c r="G14" s="54"/>
      <c r="H14" s="92"/>
    </row>
    <row r="15" spans="3:8" ht="12.75">
      <c r="C15" s="105"/>
      <c r="D15" s="105"/>
      <c r="E15" s="106"/>
      <c r="F15" s="105"/>
      <c r="G15" s="106"/>
      <c r="H15" s="89"/>
    </row>
    <row r="16" spans="3:8" ht="15.75">
      <c r="C16" s="5"/>
      <c r="D16" s="5"/>
      <c r="E16" s="14"/>
      <c r="F16" s="5"/>
      <c r="G16" s="14"/>
      <c r="H16" s="90"/>
    </row>
    <row r="17" spans="3:8" ht="15.75">
      <c r="C17" s="12" t="s">
        <v>2</v>
      </c>
      <c r="D17" s="97"/>
      <c r="E17" s="14"/>
      <c r="F17" s="12"/>
      <c r="G17" s="14"/>
      <c r="H17" s="90"/>
    </row>
    <row r="18" spans="3:8" ht="12.75" customHeight="1">
      <c r="C18" s="7" t="s">
        <v>3</v>
      </c>
      <c r="D18" s="98"/>
      <c r="E18" s="9">
        <f>G166</f>
        <v>0.10993930697441098</v>
      </c>
      <c r="F18" s="7"/>
      <c r="G18" s="15"/>
      <c r="H18" s="91"/>
    </row>
    <row r="19" spans="3:8" ht="12.75">
      <c r="C19" s="7" t="s">
        <v>6</v>
      </c>
      <c r="D19" s="98"/>
      <c r="E19" s="38">
        <f>(G164+I165)/-I164</f>
        <v>1.506196373027747</v>
      </c>
      <c r="F19" s="7"/>
      <c r="G19" s="13"/>
      <c r="H19" s="89"/>
    </row>
    <row r="20" spans="3:7" ht="12.75">
      <c r="C20" s="7"/>
      <c r="D20" s="98"/>
      <c r="E20" s="7"/>
      <c r="F20" s="7"/>
      <c r="G20" s="8"/>
    </row>
    <row r="21" spans="3:11" ht="15.75">
      <c r="C21" s="22" t="s">
        <v>33</v>
      </c>
      <c r="D21" s="99"/>
      <c r="E21" s="11"/>
      <c r="F21" s="11"/>
      <c r="I21" s="21"/>
      <c r="K21" s="25"/>
    </row>
    <row r="22" spans="3:9" ht="12.75">
      <c r="C22" s="28">
        <v>0.0030979701811262032</v>
      </c>
      <c r="D22" s="40"/>
      <c r="E22" s="21"/>
      <c r="F22" s="21"/>
      <c r="G22" s="27"/>
      <c r="H22" s="40"/>
      <c r="I22" s="21"/>
    </row>
    <row r="23" spans="3:9" ht="12.75">
      <c r="C23" s="21" t="s">
        <v>5</v>
      </c>
      <c r="D23" s="40"/>
      <c r="E23" s="18">
        <v>41282</v>
      </c>
      <c r="F23" s="33"/>
      <c r="G23" s="19">
        <v>-6000</v>
      </c>
      <c r="H23" s="40"/>
      <c r="I23" s="23"/>
    </row>
    <row r="24" spans="3:9" ht="12.75">
      <c r="C24" s="21"/>
      <c r="D24" s="40"/>
      <c r="E24" s="18">
        <v>41359</v>
      </c>
      <c r="F24" s="33"/>
      <c r="G24" s="19">
        <v>-4947</v>
      </c>
      <c r="H24" s="40"/>
      <c r="I24" s="23"/>
    </row>
    <row r="25" spans="3:9" ht="12.75">
      <c r="C25" s="21"/>
      <c r="D25" s="40"/>
      <c r="E25" s="18">
        <v>41381</v>
      </c>
      <c r="F25" s="33"/>
      <c r="G25" s="19">
        <v>-1920.60</v>
      </c>
      <c r="H25" s="40"/>
      <c r="I25" s="23"/>
    </row>
    <row r="26" spans="3:9" ht="12.75">
      <c r="C26" s="21"/>
      <c r="D26" s="40"/>
      <c r="E26" s="18">
        <v>41424</v>
      </c>
      <c r="F26" s="33"/>
      <c r="G26" s="19">
        <v>-1610.20</v>
      </c>
      <c r="H26" s="40"/>
      <c r="I26" s="23"/>
    </row>
    <row r="27" spans="3:9" ht="12.75">
      <c r="C27" s="21"/>
      <c r="D27" s="40"/>
      <c r="E27" s="18">
        <v>41446</v>
      </c>
      <c r="F27" s="33"/>
      <c r="G27" s="19">
        <v>-58665.60</v>
      </c>
      <c r="H27" s="40"/>
      <c r="I27" s="23"/>
    </row>
    <row r="28" spans="3:9" ht="12.75">
      <c r="C28" s="21"/>
      <c r="D28" s="40"/>
      <c r="E28" s="18">
        <v>41498</v>
      </c>
      <c r="F28" s="33"/>
      <c r="G28" s="19">
        <v>-3918.80</v>
      </c>
      <c r="H28" s="40"/>
      <c r="I28" s="23"/>
    </row>
    <row r="29" spans="3:9" ht="12.75">
      <c r="C29" s="21"/>
      <c r="D29" s="40"/>
      <c r="E29" s="18">
        <v>41527</v>
      </c>
      <c r="F29" s="33"/>
      <c r="G29" s="19">
        <v>-9855.2</v>
      </c>
      <c r="H29" s="40"/>
      <c r="I29" s="23"/>
    </row>
    <row r="30" spans="3:13" ht="12.75">
      <c r="C30" s="21"/>
      <c r="D30" s="40"/>
      <c r="E30" s="18">
        <v>41534</v>
      </c>
      <c r="F30" s="33"/>
      <c r="G30" s="19">
        <v>-5024.6</v>
      </c>
      <c r="H30" s="40"/>
      <c r="L30" s="42"/>
      <c r="M30" s="42"/>
    </row>
    <row r="31" spans="3:12" ht="12.75">
      <c r="C31" s="21"/>
      <c r="D31" s="40"/>
      <c r="E31" s="18">
        <v>41551</v>
      </c>
      <c r="F31" s="33"/>
      <c r="G31" s="19">
        <v>-4772.4</v>
      </c>
      <c r="H31" s="40"/>
      <c r="L31" s="42"/>
    </row>
    <row r="32" spans="3:12" ht="12.75">
      <c r="C32" s="21"/>
      <c r="D32" s="40"/>
      <c r="E32" s="18">
        <v>41585</v>
      </c>
      <c r="F32" s="33"/>
      <c r="G32" s="19">
        <v>-9137.40</v>
      </c>
      <c r="H32" s="40"/>
      <c r="L32" s="42"/>
    </row>
    <row r="33" spans="3:12" ht="12.75">
      <c r="C33" s="21"/>
      <c r="D33" s="40"/>
      <c r="E33" s="18">
        <v>41621</v>
      </c>
      <c r="F33" s="33"/>
      <c r="G33" s="19">
        <v>-16625.80</v>
      </c>
      <c r="H33" s="40"/>
      <c r="L33" s="42"/>
    </row>
    <row r="34" spans="3:12" ht="12.75">
      <c r="C34" s="21"/>
      <c r="D34" s="40"/>
      <c r="E34" s="18">
        <v>41635</v>
      </c>
      <c r="F34" s="33"/>
      <c r="G34" s="19">
        <v>-6770.60</v>
      </c>
      <c r="H34" s="40"/>
      <c r="L34" s="42"/>
    </row>
    <row r="35" spans="3:10" ht="12.75">
      <c r="C35" s="21" t="s">
        <v>7</v>
      </c>
      <c r="D35" s="40"/>
      <c r="E35" s="18">
        <v>41670</v>
      </c>
      <c r="F35" s="33"/>
      <c r="G35" s="33">
        <v>-5781.20</v>
      </c>
      <c r="H35" s="40"/>
      <c r="I35" s="23"/>
      <c r="J35" s="21"/>
    </row>
    <row r="36" spans="3:10" ht="12.75">
      <c r="C36" s="21"/>
      <c r="D36" s="40"/>
      <c r="E36" s="18">
        <v>41712</v>
      </c>
      <c r="F36" s="33"/>
      <c r="G36" s="33">
        <v>-14666.47</v>
      </c>
      <c r="H36" s="40"/>
      <c r="I36" s="23"/>
      <c r="J36" s="21"/>
    </row>
    <row r="37" spans="3:10" ht="12.75">
      <c r="C37" s="21"/>
      <c r="D37" s="40"/>
      <c r="E37" s="18">
        <v>41724</v>
      </c>
      <c r="F37" s="33"/>
      <c r="G37" s="33">
        <v>-5315.60</v>
      </c>
      <c r="H37" s="40"/>
      <c r="I37" s="23"/>
      <c r="J37" s="21"/>
    </row>
    <row r="38" spans="3:10" ht="12.75">
      <c r="C38" s="21"/>
      <c r="D38" s="40"/>
      <c r="E38" s="18">
        <v>41733</v>
      </c>
      <c r="F38" s="33"/>
      <c r="G38" s="33">
        <v>-8380.8</v>
      </c>
      <c r="H38" s="40"/>
      <c r="I38" s="23"/>
      <c r="J38" s="21"/>
    </row>
    <row r="39" spans="3:10" ht="12.75">
      <c r="C39" s="21"/>
      <c r="D39" s="40"/>
      <c r="E39" s="18">
        <v>41764</v>
      </c>
      <c r="F39" s="33"/>
      <c r="G39" s="33">
        <v>-7333.21</v>
      </c>
      <c r="H39" s="40"/>
      <c r="I39" s="23"/>
      <c r="J39" s="21"/>
    </row>
    <row r="40" spans="3:10" ht="12.75">
      <c r="C40" s="21"/>
      <c r="D40" s="40"/>
      <c r="E40" s="18">
        <v>41774</v>
      </c>
      <c r="F40" s="33"/>
      <c r="G40" s="33">
        <v>-10320.8</v>
      </c>
      <c r="H40" s="40"/>
      <c r="I40" s="23"/>
      <c r="J40" s="21"/>
    </row>
    <row r="41" spans="3:10" ht="12.75">
      <c r="C41" s="21"/>
      <c r="D41" s="40"/>
      <c r="E41" s="18">
        <v>41788</v>
      </c>
      <c r="F41" s="33"/>
      <c r="G41" s="33">
        <v>-8012.20</v>
      </c>
      <c r="H41" s="40"/>
      <c r="I41" s="23"/>
      <c r="J41" s="21"/>
    </row>
    <row r="42" spans="3:10" ht="12.75">
      <c r="C42" s="21"/>
      <c r="D42" s="40"/>
      <c r="E42" s="18">
        <v>41817</v>
      </c>
      <c r="F42" s="33"/>
      <c r="G42" s="33">
        <v>-14394.80</v>
      </c>
      <c r="H42" s="40"/>
      <c r="I42" s="23"/>
      <c r="J42" s="21"/>
    </row>
    <row r="43" spans="3:10" ht="12.75">
      <c r="C43" s="21"/>
      <c r="D43" s="40"/>
      <c r="E43" s="18">
        <v>41830</v>
      </c>
      <c r="F43" s="33"/>
      <c r="G43" s="33">
        <v>-9098.61</v>
      </c>
      <c r="H43" s="40"/>
      <c r="I43" s="23"/>
      <c r="J43" s="21"/>
    </row>
    <row r="44" spans="3:10" ht="12.75">
      <c r="C44" s="21"/>
      <c r="D44" s="40"/>
      <c r="E44" s="18">
        <v>41851</v>
      </c>
      <c r="F44" s="33"/>
      <c r="G44" s="33">
        <v>-5121.6</v>
      </c>
      <c r="H44" s="40"/>
      <c r="I44" s="23"/>
      <c r="J44" s="21"/>
    </row>
    <row r="45" spans="3:8" ht="12.75">
      <c r="C45" s="21"/>
      <c r="D45" s="40"/>
      <c r="E45" s="18">
        <v>41859</v>
      </c>
      <c r="F45" s="33"/>
      <c r="G45" s="33">
        <v>-9777.60</v>
      </c>
      <c r="H45" s="40"/>
    </row>
    <row r="46" spans="3:8" ht="12.75">
      <c r="C46" s="21"/>
      <c r="D46" s="40"/>
      <c r="E46" s="18">
        <v>41880</v>
      </c>
      <c r="F46" s="33"/>
      <c r="G46" s="33">
        <v>-6052.80</v>
      </c>
      <c r="H46" s="40"/>
    </row>
    <row r="47" spans="3:8" ht="12.75">
      <c r="C47" s="21"/>
      <c r="D47" s="40"/>
      <c r="E47" s="18">
        <v>41900</v>
      </c>
      <c r="F47" s="33"/>
      <c r="G47" s="33">
        <v>-24948.41</v>
      </c>
      <c r="H47" s="40"/>
    </row>
    <row r="48" spans="3:8" ht="12.75">
      <c r="C48" s="21"/>
      <c r="D48" s="40"/>
      <c r="E48" s="18">
        <v>41915</v>
      </c>
      <c r="F48" s="33"/>
      <c r="G48" s="33">
        <v>-25666.19</v>
      </c>
      <c r="H48" s="40"/>
    </row>
    <row r="49" spans="3:8" ht="12.75">
      <c r="C49" s="21"/>
      <c r="D49" s="40"/>
      <c r="E49" s="18">
        <v>41929</v>
      </c>
      <c r="F49" s="33"/>
      <c r="G49" s="33">
        <v>-19031.40</v>
      </c>
      <c r="H49" s="40"/>
    </row>
    <row r="50" spans="3:8" ht="12.75">
      <c r="C50" s="21"/>
      <c r="D50" s="40"/>
      <c r="E50" s="18">
        <v>41943</v>
      </c>
      <c r="F50" s="33"/>
      <c r="G50" s="33">
        <v>-12648.80</v>
      </c>
      <c r="H50" s="40"/>
    </row>
    <row r="51" spans="3:8" ht="12.75">
      <c r="C51" s="21"/>
      <c r="D51" s="40"/>
      <c r="E51" s="18">
        <v>41977</v>
      </c>
      <c r="F51" s="33"/>
      <c r="G51" s="33">
        <v>-19109</v>
      </c>
      <c r="H51" s="40"/>
    </row>
    <row r="52" spans="3:10" ht="12.75">
      <c r="C52" s="21" t="s">
        <v>8</v>
      </c>
      <c r="D52" s="40"/>
      <c r="E52" s="18">
        <v>41817</v>
      </c>
      <c r="F52" s="33"/>
      <c r="G52" s="33">
        <v>13980.57</v>
      </c>
      <c r="H52" s="40"/>
      <c r="I52" s="23"/>
      <c r="J52" s="21"/>
    </row>
    <row r="53" spans="3:10" ht="12.75">
      <c r="C53" s="21" t="s">
        <v>9</v>
      </c>
      <c r="D53" s="40"/>
      <c r="E53" s="18">
        <v>42009</v>
      </c>
      <c r="F53" s="33"/>
      <c r="G53" s="33">
        <v>-61672.60</v>
      </c>
      <c r="H53" s="40"/>
      <c r="I53" s="23"/>
      <c r="J53" s="21"/>
    </row>
    <row r="54" spans="3:10" ht="12.75">
      <c r="C54" s="21"/>
      <c r="D54" s="40"/>
      <c r="E54" s="18">
        <v>42027</v>
      </c>
      <c r="F54" s="33"/>
      <c r="G54" s="33">
        <v>-29216.40</v>
      </c>
      <c r="H54" s="40"/>
      <c r="I54" s="23"/>
      <c r="J54" s="21"/>
    </row>
    <row r="55" spans="3:10" ht="12.75">
      <c r="C55" s="21"/>
      <c r="D55" s="40"/>
      <c r="E55" s="18">
        <v>42048</v>
      </c>
      <c r="F55" s="33"/>
      <c r="G55" s="33">
        <v>-13075.61</v>
      </c>
      <c r="H55" s="40"/>
      <c r="I55" s="23"/>
      <c r="J55" s="21"/>
    </row>
    <row r="56" spans="3:10" ht="12.75">
      <c r="C56" s="21"/>
      <c r="D56" s="40"/>
      <c r="E56" s="18">
        <v>42061</v>
      </c>
      <c r="F56" s="33"/>
      <c r="G56" s="33">
        <v>-9525.40</v>
      </c>
      <c r="H56" s="40"/>
      <c r="I56" s="23"/>
      <c r="J56" s="21"/>
    </row>
    <row r="57" spans="3:10" ht="12.75">
      <c r="C57" s="21"/>
      <c r="D57" s="40"/>
      <c r="E57" s="18">
        <v>42088</v>
      </c>
      <c r="F57" s="33"/>
      <c r="G57" s="33">
        <v>-20331.20</v>
      </c>
      <c r="H57" s="40"/>
      <c r="I57" s="23"/>
      <c r="J57" s="21"/>
    </row>
    <row r="58" spans="3:10" ht="12.75">
      <c r="C58" s="21"/>
      <c r="D58" s="40"/>
      <c r="E58" s="18">
        <v>42111</v>
      </c>
      <c r="F58" s="33"/>
      <c r="G58" s="33">
        <v>-16431.80</v>
      </c>
      <c r="H58" s="40"/>
      <c r="I58" s="23"/>
      <c r="J58" s="21"/>
    </row>
    <row r="59" spans="3:10" ht="12.75">
      <c r="C59" s="21"/>
      <c r="D59" s="40"/>
      <c r="E59" s="18">
        <v>42138</v>
      </c>
      <c r="F59" s="33"/>
      <c r="G59" s="33">
        <v>-14200.80</v>
      </c>
      <c r="H59" s="40"/>
      <c r="I59" s="23"/>
      <c r="J59" s="21"/>
    </row>
    <row r="60" spans="3:10" ht="12.75">
      <c r="C60" s="21"/>
      <c r="D60" s="40"/>
      <c r="E60" s="18">
        <v>42156</v>
      </c>
      <c r="F60" s="33"/>
      <c r="G60" s="33">
        <v>-17440.60</v>
      </c>
      <c r="H60" s="40"/>
      <c r="I60" s="23"/>
      <c r="J60" s="21"/>
    </row>
    <row r="61" spans="3:8" ht="12.75">
      <c r="C61" s="21"/>
      <c r="D61" s="40"/>
      <c r="E61" s="18">
        <v>42187</v>
      </c>
      <c r="F61" s="33"/>
      <c r="G61" s="33">
        <v>-13812.80</v>
      </c>
      <c r="H61" s="40"/>
    </row>
    <row r="62" spans="3:8" ht="12.75">
      <c r="C62" s="21"/>
      <c r="D62" s="40"/>
      <c r="E62" s="18">
        <v>42230</v>
      </c>
      <c r="F62" s="33"/>
      <c r="G62" s="33">
        <v>-9292.60</v>
      </c>
      <c r="H62" s="40"/>
    </row>
    <row r="63" spans="3:8" ht="12.75">
      <c r="C63" s="21"/>
      <c r="D63" s="40"/>
      <c r="E63" s="18">
        <v>42258</v>
      </c>
      <c r="F63" s="33"/>
      <c r="G63" s="33">
        <v>-18410.59</v>
      </c>
      <c r="H63" s="40"/>
    </row>
    <row r="64" spans="3:8" ht="12.75">
      <c r="C64" s="21"/>
      <c r="D64" s="40"/>
      <c r="E64" s="18">
        <v>42272</v>
      </c>
      <c r="F64" s="33"/>
      <c r="G64" s="33">
        <v>-25743.81</v>
      </c>
      <c r="H64" s="40"/>
    </row>
    <row r="65" spans="3:8" ht="12.75">
      <c r="C65" s="21"/>
      <c r="D65" s="40"/>
      <c r="E65" s="18">
        <v>42293</v>
      </c>
      <c r="F65" s="33"/>
      <c r="G65" s="33">
        <v>-24579.80</v>
      </c>
      <c r="H65" s="40"/>
    </row>
    <row r="66" spans="3:8" ht="12.75">
      <c r="C66" s="21"/>
      <c r="D66" s="40"/>
      <c r="E66" s="18">
        <v>42345</v>
      </c>
      <c r="F66" s="33"/>
      <c r="G66" s="33">
        <v>-11523.60</v>
      </c>
      <c r="H66" s="40"/>
    </row>
    <row r="67" spans="3:8" ht="12.75">
      <c r="C67" s="21"/>
      <c r="D67" s="40"/>
      <c r="E67" s="18">
        <v>42361</v>
      </c>
      <c r="F67" s="33"/>
      <c r="G67" s="33">
        <v>-8865.81</v>
      </c>
      <c r="H67" s="40"/>
    </row>
    <row r="68" spans="3:10" ht="12.75">
      <c r="C68" s="21" t="s">
        <v>10</v>
      </c>
      <c r="D68" s="40"/>
      <c r="E68" s="18">
        <v>42249</v>
      </c>
      <c r="F68" s="33"/>
      <c r="G68" s="33">
        <v>19173.78</v>
      </c>
      <c r="H68" s="40"/>
      <c r="I68" s="23"/>
      <c r="J68" s="21"/>
    </row>
    <row r="69" spans="3:10" ht="12.75">
      <c r="C69" s="21" t="s">
        <v>13</v>
      </c>
      <c r="D69" s="40"/>
      <c r="E69" s="18">
        <v>42382</v>
      </c>
      <c r="F69" s="33"/>
      <c r="G69" s="33">
        <v>-16101.99</v>
      </c>
      <c r="H69" s="40"/>
      <c r="I69" s="23"/>
      <c r="J69" s="21"/>
    </row>
    <row r="70" spans="3:10" ht="12.75">
      <c r="C70" s="21"/>
      <c r="D70" s="21"/>
      <c r="E70" s="18">
        <v>42457</v>
      </c>
      <c r="F70" s="33"/>
      <c r="G70" s="33">
        <v>-17983.81</v>
      </c>
      <c r="H70" s="40"/>
      <c r="I70" s="23"/>
      <c r="J70" s="21"/>
    </row>
    <row r="71" spans="3:10" ht="12.75">
      <c r="C71" s="21"/>
      <c r="D71" s="21"/>
      <c r="E71" s="18">
        <v>42468</v>
      </c>
      <c r="F71" s="33"/>
      <c r="G71" s="33">
        <v>-20796.80</v>
      </c>
      <c r="H71" s="40"/>
      <c r="I71" s="23"/>
      <c r="J71" s="21"/>
    </row>
    <row r="72" spans="3:10" ht="12.75">
      <c r="C72" s="21"/>
      <c r="D72" s="21"/>
      <c r="E72" s="18">
        <v>42507</v>
      </c>
      <c r="F72" s="33"/>
      <c r="G72" s="33">
        <v>-74864.6</v>
      </c>
      <c r="H72" s="40"/>
      <c r="I72" s="23"/>
      <c r="J72" s="21"/>
    </row>
    <row r="73" spans="3:10" ht="12.75">
      <c r="C73" s="21"/>
      <c r="D73" s="21"/>
      <c r="E73" s="18">
        <v>42543</v>
      </c>
      <c r="F73" s="33"/>
      <c r="G73" s="33">
        <v>-38528.40</v>
      </c>
      <c r="H73" s="40"/>
      <c r="I73" s="23"/>
      <c r="J73" s="21"/>
    </row>
    <row r="74" spans="3:10" ht="12.75">
      <c r="C74" s="21"/>
      <c r="D74" s="21"/>
      <c r="E74" s="18">
        <v>42557</v>
      </c>
      <c r="F74" s="33"/>
      <c r="G74" s="33">
        <v>-8594.19</v>
      </c>
      <c r="H74" s="40"/>
      <c r="I74" s="23"/>
      <c r="J74" s="21"/>
    </row>
    <row r="75" spans="3:10" ht="12.75">
      <c r="C75" s="21"/>
      <c r="D75" s="21"/>
      <c r="E75" s="18">
        <v>42590</v>
      </c>
      <c r="F75" s="33"/>
      <c r="G75" s="33">
        <v>-18003.21</v>
      </c>
      <c r="H75" s="40"/>
      <c r="I75" s="23"/>
      <c r="J75" s="21"/>
    </row>
    <row r="76" spans="3:10" ht="12.75">
      <c r="C76" s="21"/>
      <c r="D76" s="21"/>
      <c r="E76" s="18">
        <v>42607</v>
      </c>
      <c r="F76" s="33"/>
      <c r="G76" s="33">
        <v>-31951.80</v>
      </c>
      <c r="H76" s="40"/>
      <c r="I76" s="23"/>
      <c r="J76" s="21"/>
    </row>
    <row r="77" spans="3:10" ht="12.75">
      <c r="C77" s="21"/>
      <c r="D77" s="21"/>
      <c r="E77" s="18">
        <v>42628</v>
      </c>
      <c r="F77" s="33"/>
      <c r="G77" s="33">
        <v>-18216.60</v>
      </c>
      <c r="H77" s="40"/>
      <c r="I77" s="23"/>
      <c r="J77" s="21"/>
    </row>
    <row r="78" spans="3:10" ht="12.75">
      <c r="C78" s="21"/>
      <c r="D78" s="21"/>
      <c r="E78" s="18">
        <v>42634</v>
      </c>
      <c r="F78" s="33"/>
      <c r="G78" s="33">
        <v>-11872.81</v>
      </c>
      <c r="H78" s="40"/>
      <c r="I78" s="23"/>
      <c r="J78" s="21"/>
    </row>
    <row r="79" spans="3:8" ht="12.75">
      <c r="C79" s="21"/>
      <c r="D79" s="21"/>
      <c r="E79" s="18">
        <v>42663</v>
      </c>
      <c r="F79" s="33"/>
      <c r="G79" s="33">
        <v>-21049</v>
      </c>
      <c r="H79" s="40"/>
    </row>
    <row r="80" spans="3:8" ht="12.75">
      <c r="C80" s="21"/>
      <c r="D80" s="21"/>
      <c r="E80" s="18">
        <v>42731</v>
      </c>
      <c r="F80" s="33"/>
      <c r="G80" s="33">
        <v>-23862</v>
      </c>
      <c r="H80" s="40"/>
    </row>
    <row r="81" spans="3:8" ht="12.75">
      <c r="C81" s="21" t="s">
        <v>14</v>
      </c>
      <c r="D81" s="21"/>
      <c r="E81" s="18">
        <v>42377</v>
      </c>
      <c r="F81" s="33"/>
      <c r="G81" s="33">
        <v>112925.78</v>
      </c>
      <c r="H81" s="40"/>
    </row>
    <row r="82" spans="3:8" ht="12.75">
      <c r="C82" s="21"/>
      <c r="D82" s="21"/>
      <c r="E82" s="18">
        <v>42542</v>
      </c>
      <c r="F82" s="33"/>
      <c r="G82" s="33">
        <v>14043.42</v>
      </c>
      <c r="H82" s="40"/>
    </row>
    <row r="83" spans="3:8" ht="12.75">
      <c r="C83" s="21"/>
      <c r="D83" s="21"/>
      <c r="E83" s="18">
        <v>42570</v>
      </c>
      <c r="F83" s="33"/>
      <c r="G83" s="33">
        <v>4460.6</v>
      </c>
      <c r="H83" s="40"/>
    </row>
    <row r="84" spans="3:8" ht="12.75">
      <c r="C84" s="21"/>
      <c r="D84" s="21"/>
      <c r="E84" s="18">
        <v>42586</v>
      </c>
      <c r="F84" s="33"/>
      <c r="G84" s="33">
        <v>52988.38</v>
      </c>
      <c r="H84" s="40"/>
    </row>
    <row r="85" spans="3:8" ht="12.75">
      <c r="C85" s="21"/>
      <c r="D85" s="21"/>
      <c r="E85" s="18">
        <v>42634</v>
      </c>
      <c r="F85" s="33"/>
      <c r="G85" s="33">
        <v>11280.90</v>
      </c>
      <c r="H85" s="40"/>
    </row>
    <row r="86" spans="3:10" ht="12.75">
      <c r="C86" s="21"/>
      <c r="D86" s="21"/>
      <c r="E86" s="18">
        <v>42677</v>
      </c>
      <c r="F86" s="33"/>
      <c r="G86" s="33">
        <v>7598.56</v>
      </c>
      <c r="H86" s="40"/>
      <c r="I86" s="23"/>
      <c r="J86" s="21"/>
    </row>
    <row r="87" spans="3:10" ht="12.75">
      <c r="C87" s="21"/>
      <c r="D87" s="21"/>
      <c r="E87" s="18">
        <v>42709</v>
      </c>
      <c r="F87" s="33"/>
      <c r="G87" s="33">
        <v>17704.01</v>
      </c>
      <c r="H87" s="40"/>
      <c r="I87" s="23"/>
      <c r="J87" s="21"/>
    </row>
    <row r="88" spans="3:10" ht="12.75">
      <c r="C88" s="21"/>
      <c r="D88" s="21"/>
      <c r="E88" s="18">
        <v>42726</v>
      </c>
      <c r="F88" s="33"/>
      <c r="G88" s="33">
        <v>155129.46</v>
      </c>
      <c r="H88" s="40"/>
      <c r="I88" s="23"/>
      <c r="J88" s="21"/>
    </row>
    <row r="89" spans="3:10" ht="12.75">
      <c r="C89" s="21" t="s">
        <v>15</v>
      </c>
      <c r="D89" s="21"/>
      <c r="E89" s="18">
        <v>42753</v>
      </c>
      <c r="F89" s="33"/>
      <c r="G89" s="33">
        <v>-15772.21</v>
      </c>
      <c r="H89" s="40"/>
      <c r="I89" s="23"/>
      <c r="J89" s="21"/>
    </row>
    <row r="90" spans="3:10" ht="12.75">
      <c r="C90" s="21"/>
      <c r="D90" s="21"/>
      <c r="E90" s="18">
        <v>42816</v>
      </c>
      <c r="F90" s="33"/>
      <c r="G90" s="33">
        <v>-12241.40</v>
      </c>
      <c r="H90" s="40"/>
      <c r="I90" s="23"/>
      <c r="J90" s="21"/>
    </row>
    <row r="91" spans="3:10" ht="12.75">
      <c r="C91" s="21"/>
      <c r="D91" s="21"/>
      <c r="E91" s="18">
        <v>42838</v>
      </c>
      <c r="F91" s="33"/>
      <c r="G91" s="33">
        <v>-12125</v>
      </c>
      <c r="H91" s="40"/>
      <c r="I91" s="23"/>
      <c r="J91" s="21"/>
    </row>
    <row r="92" spans="3:10" ht="12.75">
      <c r="C92" s="21"/>
      <c r="D92" s="21"/>
      <c r="E92" s="18">
        <v>42879</v>
      </c>
      <c r="F92" s="33"/>
      <c r="G92" s="33">
        <v>-13114.40</v>
      </c>
      <c r="H92" s="40"/>
      <c r="I92" s="23"/>
      <c r="J92" s="21"/>
    </row>
    <row r="93" spans="3:10" ht="12.75">
      <c r="C93" s="21"/>
      <c r="D93" s="21"/>
      <c r="E93" s="18">
        <v>42908</v>
      </c>
      <c r="F93" s="33"/>
      <c r="G93" s="33">
        <v>-8497.2</v>
      </c>
      <c r="H93" s="40"/>
      <c r="I93" s="23"/>
      <c r="J93" s="21"/>
    </row>
    <row r="94" spans="3:10" ht="12.75">
      <c r="C94" s="21"/>
      <c r="D94" s="21"/>
      <c r="E94" s="18">
        <v>42933</v>
      </c>
      <c r="F94" s="33"/>
      <c r="G94" s="33">
        <v>-8303.21</v>
      </c>
      <c r="H94" s="40"/>
      <c r="I94" s="23"/>
      <c r="J94" s="21"/>
    </row>
    <row r="95" spans="3:10" ht="12.75">
      <c r="C95" s="21"/>
      <c r="D95" s="21"/>
      <c r="E95" s="18">
        <v>42963</v>
      </c>
      <c r="F95" s="33"/>
      <c r="G95" s="33">
        <v>-23862</v>
      </c>
      <c r="H95" s="40"/>
      <c r="I95" s="23"/>
      <c r="J95" s="21"/>
    </row>
    <row r="96" spans="3:10" ht="12.75">
      <c r="C96" s="21"/>
      <c r="D96" s="21"/>
      <c r="E96" s="18">
        <v>42997</v>
      </c>
      <c r="F96" s="33"/>
      <c r="G96" s="33">
        <v>-11834</v>
      </c>
      <c r="H96" s="21"/>
      <c r="I96" s="23"/>
      <c r="J96" s="21"/>
    </row>
    <row r="97" spans="3:10" ht="12.75">
      <c r="C97" s="21"/>
      <c r="D97" s="21"/>
      <c r="E97" s="18">
        <v>43014</v>
      </c>
      <c r="F97" s="33"/>
      <c r="G97" s="33">
        <v>-14821.60</v>
      </c>
      <c r="H97" s="21"/>
      <c r="I97" s="23"/>
      <c r="J97" s="21"/>
    </row>
    <row r="98" spans="3:12" ht="15.75">
      <c r="C98" s="21"/>
      <c r="D98" s="21"/>
      <c r="E98" s="18">
        <v>43091</v>
      </c>
      <c r="F98" s="33"/>
      <c r="G98" s="33">
        <v>-8691.21</v>
      </c>
      <c r="H98" s="21"/>
      <c r="I98" s="111"/>
      <c r="J98" s="112"/>
      <c r="K98" s="113"/>
      <c r="L98" s="104"/>
    </row>
    <row r="99" spans="3:12" ht="12.75">
      <c r="C99" s="21" t="s">
        <v>16</v>
      </c>
      <c r="D99" s="21"/>
      <c r="E99" s="18">
        <v>42745</v>
      </c>
      <c r="F99" s="33"/>
      <c r="G99" s="33">
        <v>145791.53</v>
      </c>
      <c r="H99" s="40"/>
      <c r="I99" s="111"/>
      <c r="J99" s="112"/>
      <c r="K99" s="113"/>
      <c r="L99" s="54"/>
    </row>
    <row r="100" spans="3:12" ht="12.75">
      <c r="C100" s="21"/>
      <c r="D100" s="21"/>
      <c r="E100" s="18">
        <v>42775</v>
      </c>
      <c r="F100" s="33"/>
      <c r="G100" s="33">
        <v>8650.21</v>
      </c>
      <c r="H100" s="40"/>
      <c r="I100" s="111"/>
      <c r="J100" s="112"/>
      <c r="K100" s="113"/>
      <c r="L100" s="54"/>
    </row>
    <row r="101" spans="3:12" ht="12.75">
      <c r="C101" s="21"/>
      <c r="D101" s="21"/>
      <c r="E101" s="18">
        <v>42824</v>
      </c>
      <c r="F101" s="33"/>
      <c r="G101" s="33">
        <v>5425.33</v>
      </c>
      <c r="H101" s="40"/>
      <c r="I101" s="111"/>
      <c r="J101" s="112"/>
      <c r="K101" s="113"/>
      <c r="L101" s="54"/>
    </row>
    <row r="102" spans="3:12" ht="12.75">
      <c r="C102" s="21"/>
      <c r="D102" s="21"/>
      <c r="E102" s="18">
        <v>42877</v>
      </c>
      <c r="F102" s="33"/>
      <c r="G102" s="33">
        <v>5979.52</v>
      </c>
      <c r="H102" s="40"/>
      <c r="I102" s="111"/>
      <c r="J102" s="112"/>
      <c r="K102" s="113"/>
      <c r="L102" s="54"/>
    </row>
    <row r="103" spans="3:12" ht="12.75">
      <c r="C103" s="21"/>
      <c r="D103" s="21"/>
      <c r="E103" s="18">
        <v>42914</v>
      </c>
      <c r="F103" s="33"/>
      <c r="G103" s="33">
        <v>54363.16</v>
      </c>
      <c r="H103" s="40"/>
      <c r="I103" s="111"/>
      <c r="J103" s="112"/>
      <c r="K103" s="113"/>
      <c r="L103" s="113"/>
    </row>
    <row r="104" spans="3:12" ht="12.75">
      <c r="C104" s="21"/>
      <c r="D104" s="21"/>
      <c r="E104" s="18">
        <v>42936</v>
      </c>
      <c r="F104" s="33"/>
      <c r="G104" s="33">
        <v>5767.47</v>
      </c>
      <c r="H104" s="21"/>
      <c r="I104" s="111"/>
      <c r="J104" s="112"/>
      <c r="K104" s="113"/>
      <c r="L104" s="113"/>
    </row>
    <row r="105" spans="3:12" ht="12.75">
      <c r="C105" s="21"/>
      <c r="D105" s="21"/>
      <c r="E105" s="18">
        <v>43019</v>
      </c>
      <c r="F105" s="33"/>
      <c r="G105" s="33">
        <v>4812.14</v>
      </c>
      <c r="H105" s="21"/>
      <c r="I105" s="111"/>
      <c r="J105" s="112"/>
      <c r="K105" s="113"/>
      <c r="L105" s="113"/>
    </row>
    <row r="106" spans="3:10" ht="12.75">
      <c r="C106" s="21"/>
      <c r="D106" s="21"/>
      <c r="E106" s="18">
        <v>43052</v>
      </c>
      <c r="F106" s="33"/>
      <c r="G106" s="33">
        <v>3102.40</v>
      </c>
      <c r="H106" s="21"/>
      <c r="I106" s="23"/>
      <c r="J106" s="21"/>
    </row>
    <row r="107" spans="3:10" ht="12.75">
      <c r="C107" s="21" t="s">
        <v>17</v>
      </c>
      <c r="D107" s="21"/>
      <c r="E107" s="18">
        <v>43178</v>
      </c>
      <c r="F107" s="33"/>
      <c r="G107" s="33">
        <v>-7003.40</v>
      </c>
      <c r="H107" s="21"/>
      <c r="I107" s="23"/>
      <c r="J107" s="21"/>
    </row>
    <row r="108" spans="3:10" ht="12.75">
      <c r="C108" s="21"/>
      <c r="D108" s="21"/>
      <c r="E108" s="18">
        <v>43194</v>
      </c>
      <c r="F108" s="33"/>
      <c r="G108" s="33">
        <v>-10223.81</v>
      </c>
      <c r="H108" s="21"/>
      <c r="I108" s="23"/>
      <c r="J108" s="21"/>
    </row>
    <row r="109" spans="3:10" ht="12.75">
      <c r="C109" s="21"/>
      <c r="D109" s="21"/>
      <c r="E109" s="18">
        <v>43251</v>
      </c>
      <c r="F109" s="33"/>
      <c r="G109" s="33">
        <v>-8439</v>
      </c>
      <c r="H109" s="21"/>
      <c r="I109" s="23"/>
      <c r="J109" s="21"/>
    </row>
    <row r="110" spans="3:10" ht="12.75">
      <c r="C110" s="21"/>
      <c r="D110" s="21"/>
      <c r="E110" s="18">
        <v>43342</v>
      </c>
      <c r="F110" s="33"/>
      <c r="G110" s="33">
        <v>-11058.01</v>
      </c>
      <c r="H110" s="21"/>
      <c r="I110" s="23"/>
      <c r="J110" s="21"/>
    </row>
    <row r="111" spans="3:10" ht="12.75">
      <c r="C111" s="21"/>
      <c r="D111" s="21"/>
      <c r="E111" s="18">
        <v>43434</v>
      </c>
      <c r="F111" s="33"/>
      <c r="G111" s="33">
        <v>-12571.20</v>
      </c>
      <c r="H111" s="21"/>
      <c r="I111" s="23"/>
      <c r="J111" s="21"/>
    </row>
    <row r="112" spans="3:10" ht="12.75">
      <c r="C112" s="21" t="s">
        <v>18</v>
      </c>
      <c r="D112" s="21"/>
      <c r="E112" s="18">
        <v>43116</v>
      </c>
      <c r="F112" s="33"/>
      <c r="G112" s="33">
        <v>26087.71</v>
      </c>
      <c r="H112" s="21"/>
      <c r="I112" s="23"/>
      <c r="J112" s="21"/>
    </row>
    <row r="113" spans="3:10" ht="12.75">
      <c r="C113" s="21"/>
      <c r="D113" s="21"/>
      <c r="E113" s="18">
        <v>43145</v>
      </c>
      <c r="F113" s="33"/>
      <c r="G113" s="33">
        <v>8035.12</v>
      </c>
      <c r="H113" s="21"/>
      <c r="I113" s="23"/>
      <c r="J113" s="21"/>
    </row>
    <row r="114" spans="3:10" ht="12.75">
      <c r="C114" s="21"/>
      <c r="D114" s="21"/>
      <c r="E114" s="18">
        <v>43222</v>
      </c>
      <c r="F114" s="33"/>
      <c r="G114" s="33">
        <v>16037.40</v>
      </c>
      <c r="H114" s="21"/>
      <c r="I114" s="23"/>
      <c r="J114" s="21"/>
    </row>
    <row r="115" spans="3:10" ht="12.75">
      <c r="C115" s="21"/>
      <c r="D115" s="21"/>
      <c r="E115" s="18">
        <v>43314</v>
      </c>
      <c r="F115" s="33"/>
      <c r="G115" s="33">
        <v>17282.37</v>
      </c>
      <c r="H115" s="21"/>
      <c r="I115" s="23"/>
      <c r="J115" s="21"/>
    </row>
    <row r="116" spans="3:10" ht="12.75">
      <c r="C116" s="21"/>
      <c r="D116" s="21"/>
      <c r="E116" s="18">
        <v>43341</v>
      </c>
      <c r="F116" s="33"/>
      <c r="G116" s="33">
        <v>48223.37</v>
      </c>
      <c r="H116" s="21"/>
      <c r="I116" s="23"/>
      <c r="J116" s="21"/>
    </row>
    <row r="117" spans="3:10" ht="12.75">
      <c r="C117" s="21"/>
      <c r="D117" s="21"/>
      <c r="E117" s="18">
        <v>43398</v>
      </c>
      <c r="F117" s="33"/>
      <c r="G117" s="33">
        <v>15331.47</v>
      </c>
      <c r="H117" s="21"/>
      <c r="I117" s="23"/>
      <c r="J117" s="21"/>
    </row>
    <row r="118" spans="3:10" ht="12.75">
      <c r="C118" s="21" t="s">
        <v>19</v>
      </c>
      <c r="D118" s="21"/>
      <c r="E118" s="18">
        <v>43529</v>
      </c>
      <c r="F118" s="33"/>
      <c r="G118" s="33">
        <v>-5800.60</v>
      </c>
      <c r="H118" s="21"/>
      <c r="I118" s="23"/>
      <c r="J118" s="21"/>
    </row>
    <row r="119" spans="3:10" ht="12.75">
      <c r="C119" s="21"/>
      <c r="D119" s="21"/>
      <c r="E119" s="18">
        <v>43564</v>
      </c>
      <c r="F119" s="33"/>
      <c r="G119" s="33">
        <v>-7197.40</v>
      </c>
      <c r="H119" s="21"/>
      <c r="I119" s="23"/>
      <c r="J119" s="21"/>
    </row>
    <row r="120" spans="3:10" ht="12.75">
      <c r="C120" s="21"/>
      <c r="D120" s="21"/>
      <c r="E120" s="18">
        <v>43782</v>
      </c>
      <c r="F120" s="33"/>
      <c r="G120" s="33">
        <v>-6227.40</v>
      </c>
      <c r="H120" s="21"/>
      <c r="I120" s="23"/>
      <c r="J120" s="21"/>
    </row>
    <row r="121" spans="3:10" ht="12.75">
      <c r="C121" s="21" t="s">
        <v>20</v>
      </c>
      <c r="D121" s="21"/>
      <c r="E121" s="18">
        <v>43479</v>
      </c>
      <c r="F121" s="33"/>
      <c r="G121" s="33">
        <v>5081.35</v>
      </c>
      <c r="H121" s="21"/>
      <c r="I121" s="23"/>
      <c r="J121" s="21"/>
    </row>
    <row r="122" spans="3:10" ht="12.75">
      <c r="C122" s="21"/>
      <c r="D122" s="21"/>
      <c r="E122" s="18">
        <v>43558</v>
      </c>
      <c r="F122" s="33"/>
      <c r="G122" s="33">
        <v>48961.84</v>
      </c>
      <c r="H122" s="21"/>
      <c r="I122" s="23"/>
      <c r="J122" s="21"/>
    </row>
    <row r="123" spans="3:10" ht="12.75">
      <c r="C123" s="21"/>
      <c r="D123" s="21"/>
      <c r="E123" s="18">
        <v>43622</v>
      </c>
      <c r="F123" s="33"/>
      <c r="G123" s="33">
        <v>6911.20</v>
      </c>
      <c r="H123" s="21"/>
      <c r="I123" s="23"/>
      <c r="J123" s="21"/>
    </row>
    <row r="124" spans="3:10" ht="12.75">
      <c r="C124" s="21"/>
      <c r="D124" s="21"/>
      <c r="E124" s="18">
        <v>43689</v>
      </c>
      <c r="F124" s="33"/>
      <c r="G124" s="33">
        <v>11739.53</v>
      </c>
      <c r="H124" s="21"/>
      <c r="I124" s="23"/>
      <c r="J124" s="21"/>
    </row>
    <row r="125" spans="3:10" ht="12.75">
      <c r="C125" s="21"/>
      <c r="D125" s="21"/>
      <c r="E125" s="18">
        <v>43753</v>
      </c>
      <c r="F125" s="33"/>
      <c r="G125" s="33">
        <v>5524.96</v>
      </c>
      <c r="H125" s="21"/>
      <c r="I125" s="23"/>
      <c r="J125" s="21"/>
    </row>
    <row r="126" spans="3:10" ht="12.75">
      <c r="C126" s="21" t="s">
        <v>21</v>
      </c>
      <c r="D126" s="21"/>
      <c r="E126" s="18">
        <v>43923</v>
      </c>
      <c r="F126" s="33"/>
      <c r="G126" s="33">
        <v>-5315.61</v>
      </c>
      <c r="H126" s="21"/>
      <c r="I126" s="23"/>
      <c r="J126" s="21"/>
    </row>
    <row r="127" spans="3:10" ht="12.75">
      <c r="C127" s="21"/>
      <c r="D127" s="21"/>
      <c r="E127" s="18">
        <v>44104</v>
      </c>
      <c r="F127" s="33"/>
      <c r="G127" s="33">
        <v>-6188.61</v>
      </c>
      <c r="H127" s="21"/>
      <c r="I127" s="23"/>
      <c r="J127" s="21"/>
    </row>
    <row r="128" spans="3:10" ht="12.75">
      <c r="C128" s="21" t="s">
        <v>22</v>
      </c>
      <c r="D128" s="21"/>
      <c r="E128" s="18">
        <v>43867</v>
      </c>
      <c r="F128" s="33"/>
      <c r="G128" s="33">
        <v>13187.27</v>
      </c>
      <c r="H128" s="21"/>
      <c r="I128" s="23"/>
      <c r="J128" s="21"/>
    </row>
    <row r="129" spans="3:12" ht="15.75">
      <c r="C129" s="21"/>
      <c r="D129" s="21"/>
      <c r="E129" s="18">
        <v>44153</v>
      </c>
      <c r="F129" s="33"/>
      <c r="G129" s="33">
        <v>8637.33</v>
      </c>
      <c r="H129" s="21"/>
      <c r="I129" s="23"/>
      <c r="J129" s="21"/>
      <c r="L129" s="50"/>
    </row>
    <row r="130" spans="3:10" ht="12.75">
      <c r="C130" s="21" t="s">
        <v>24</v>
      </c>
      <c r="D130" s="21"/>
      <c r="E130" s="18">
        <v>44279</v>
      </c>
      <c r="F130" s="33"/>
      <c r="G130" s="33">
        <v>-4171</v>
      </c>
      <c r="H130" s="21"/>
      <c r="I130" s="23"/>
      <c r="J130" s="21"/>
    </row>
    <row r="131" spans="3:10" ht="12.75">
      <c r="C131" s="21"/>
      <c r="D131" s="21"/>
      <c r="E131" s="18">
        <v>44463</v>
      </c>
      <c r="F131" s="33"/>
      <c r="G131" s="33">
        <v>-2832.40</v>
      </c>
      <c r="H131" s="21"/>
      <c r="I131" s="23"/>
      <c r="J131" s="21"/>
    </row>
    <row r="132" spans="3:12" ht="15.75">
      <c r="C132" s="21" t="s">
        <v>23</v>
      </c>
      <c r="D132" s="21"/>
      <c r="E132" s="18">
        <v>44224</v>
      </c>
      <c r="F132" s="33"/>
      <c r="G132" s="33">
        <v>6183.64</v>
      </c>
      <c r="H132" s="21"/>
      <c r="I132" s="23"/>
      <c r="J132" s="21"/>
      <c r="L132" s="50"/>
    </row>
    <row r="133" spans="3:12" ht="15.75">
      <c r="C133" s="21"/>
      <c r="D133" s="21"/>
      <c r="E133" s="18">
        <v>44259</v>
      </c>
      <c r="F133" s="33"/>
      <c r="G133" s="33">
        <v>13767.33</v>
      </c>
      <c r="H133" s="21"/>
      <c r="I133" s="23"/>
      <c r="J133" s="21"/>
      <c r="L133" s="50"/>
    </row>
    <row r="134" spans="3:12" ht="15.75">
      <c r="C134" s="21"/>
      <c r="D134" s="21"/>
      <c r="E134" s="18">
        <v>44383</v>
      </c>
      <c r="F134" s="33"/>
      <c r="G134" s="33">
        <v>62582.64</v>
      </c>
      <c r="H134" s="21"/>
      <c r="I134" s="23"/>
      <c r="J134" s="21"/>
      <c r="L134" s="50"/>
    </row>
    <row r="135" spans="3:12" ht="15.75">
      <c r="C135" s="21"/>
      <c r="D135" s="21"/>
      <c r="E135" s="18">
        <v>44441</v>
      </c>
      <c r="F135" s="33"/>
      <c r="G135" s="33">
        <v>5274.05</v>
      </c>
      <c r="H135" s="21"/>
      <c r="I135" s="23"/>
      <c r="J135" s="21"/>
      <c r="L135" s="50"/>
    </row>
    <row r="136" spans="3:12" ht="15.75">
      <c r="C136" s="21"/>
      <c r="D136" s="21"/>
      <c r="E136" s="18">
        <v>44502</v>
      </c>
      <c r="F136" s="33"/>
      <c r="G136" s="33">
        <v>24015.59</v>
      </c>
      <c r="H136" s="21"/>
      <c r="I136" s="23"/>
      <c r="J136" s="21"/>
      <c r="L136" s="50"/>
    </row>
    <row r="137" spans="3:12" ht="15.75">
      <c r="C137" s="21"/>
      <c r="D137" s="21"/>
      <c r="E137" s="18">
        <v>44551</v>
      </c>
      <c r="F137" s="33"/>
      <c r="G137" s="33">
        <v>7571.28</v>
      </c>
      <c r="H137" s="21"/>
      <c r="I137" s="23"/>
      <c r="J137" s="21"/>
      <c r="L137" s="50"/>
    </row>
    <row r="138" spans="3:12" ht="15.75">
      <c r="C138" s="21" t="s">
        <v>27</v>
      </c>
      <c r="D138" s="21"/>
      <c r="E138" s="18">
        <v>44651</v>
      </c>
      <c r="F138" s="33"/>
      <c r="G138" s="33">
        <v>-1571.40</v>
      </c>
      <c r="H138" s="21"/>
      <c r="I138" s="23"/>
      <c r="J138" s="21"/>
      <c r="L138" s="50"/>
    </row>
    <row r="139" spans="3:12" ht="15.75">
      <c r="C139" s="21"/>
      <c r="D139" s="21"/>
      <c r="E139" s="18">
        <v>44742</v>
      </c>
      <c r="F139" s="33"/>
      <c r="G139" s="33">
        <v>-1396.80</v>
      </c>
      <c r="H139" s="21"/>
      <c r="I139" s="23"/>
      <c r="J139" s="21"/>
      <c r="L139" s="50"/>
    </row>
    <row r="140" spans="3:12" ht="15.75">
      <c r="C140" s="21"/>
      <c r="D140" s="21"/>
      <c r="E140" s="18">
        <v>44827</v>
      </c>
      <c r="F140" s="33"/>
      <c r="G140" s="33">
        <v>-1319.20</v>
      </c>
      <c r="H140" s="21"/>
      <c r="I140" s="23"/>
      <c r="J140" s="21"/>
      <c r="L140" s="50"/>
    </row>
    <row r="141" spans="3:12" ht="15.75">
      <c r="C141" s="21" t="s">
        <v>25</v>
      </c>
      <c r="D141" s="21"/>
      <c r="E141" s="18">
        <v>44582</v>
      </c>
      <c r="F141" s="33"/>
      <c r="G141" s="33">
        <v>30866.37</v>
      </c>
      <c r="H141" s="21"/>
      <c r="I141" s="23"/>
      <c r="J141" s="21"/>
      <c r="L141" s="50"/>
    </row>
    <row r="142" spans="3:12" ht="15.75">
      <c r="C142" s="21"/>
      <c r="D142" s="21"/>
      <c r="E142" s="18">
        <v>44599</v>
      </c>
      <c r="F142" s="33"/>
      <c r="G142" s="33">
        <v>12638.01</v>
      </c>
      <c r="H142" s="21"/>
      <c r="I142" s="23"/>
      <c r="J142" s="21"/>
      <c r="L142" s="50"/>
    </row>
    <row r="143" spans="3:12" ht="15.75">
      <c r="C143" s="21"/>
      <c r="D143" s="21"/>
      <c r="E143" s="18">
        <v>44634</v>
      </c>
      <c r="F143" s="33"/>
      <c r="G143" s="33">
        <v>22379.35</v>
      </c>
      <c r="H143" s="21"/>
      <c r="I143" s="23"/>
      <c r="J143" s="21"/>
      <c r="L143" s="50"/>
    </row>
    <row r="144" spans="3:12" ht="15.75">
      <c r="C144" s="21"/>
      <c r="D144" s="21"/>
      <c r="E144" s="18">
        <v>44657</v>
      </c>
      <c r="F144" s="33"/>
      <c r="G144" s="33">
        <v>21681.51</v>
      </c>
      <c r="H144" s="21"/>
      <c r="I144" s="23"/>
      <c r="J144" s="21"/>
      <c r="L144" s="50"/>
    </row>
    <row r="145" spans="3:12" ht="15.75">
      <c r="C145" s="21"/>
      <c r="D145" s="21"/>
      <c r="E145" s="18">
        <v>44694</v>
      </c>
      <c r="F145" s="33"/>
      <c r="G145" s="33">
        <v>27235.79</v>
      </c>
      <c r="H145" s="21"/>
      <c r="I145" s="23"/>
      <c r="J145" s="21"/>
      <c r="L145" s="50"/>
    </row>
    <row r="146" spans="3:12" ht="15.75">
      <c r="C146" s="21"/>
      <c r="D146" s="21"/>
      <c r="E146" s="18">
        <v>44715</v>
      </c>
      <c r="F146" s="33"/>
      <c r="G146" s="33">
        <v>14139.90</v>
      </c>
      <c r="H146" s="21"/>
      <c r="I146" s="23"/>
      <c r="J146" s="21"/>
      <c r="L146" s="50"/>
    </row>
    <row r="147" spans="3:12" ht="15.75">
      <c r="C147" s="21"/>
      <c r="D147" s="21"/>
      <c r="E147" s="18">
        <v>44755</v>
      </c>
      <c r="F147" s="33"/>
      <c r="G147" s="33">
        <v>25502.76</v>
      </c>
      <c r="H147" s="21"/>
      <c r="I147" s="23"/>
      <c r="J147" s="21"/>
      <c r="L147" s="50"/>
    </row>
    <row r="148" spans="3:12" ht="15.75">
      <c r="C148" s="21"/>
      <c r="D148" s="21"/>
      <c r="E148" s="18">
        <v>44777</v>
      </c>
      <c r="F148" s="33"/>
      <c r="G148" s="33">
        <v>8593.05</v>
      </c>
      <c r="H148" s="21"/>
      <c r="I148" s="23"/>
      <c r="J148" s="21"/>
      <c r="L148" s="50"/>
    </row>
    <row r="149" spans="3:12" ht="15.75">
      <c r="C149" s="21"/>
      <c r="D149" s="21"/>
      <c r="E149" s="18">
        <v>44812</v>
      </c>
      <c r="F149" s="33"/>
      <c r="G149" s="33">
        <v>17789.17</v>
      </c>
      <c r="H149" s="21"/>
      <c r="I149" s="23"/>
      <c r="J149" s="21"/>
      <c r="L149" s="50"/>
    </row>
    <row r="150" spans="3:12" ht="15.75">
      <c r="C150" s="21"/>
      <c r="D150" s="21"/>
      <c r="E150" s="18">
        <v>44851</v>
      </c>
      <c r="F150" s="33"/>
      <c r="G150" s="33">
        <v>20169.77</v>
      </c>
      <c r="H150" s="21"/>
      <c r="I150" s="23"/>
      <c r="J150" s="21"/>
      <c r="L150" s="50"/>
    </row>
    <row r="151" spans="3:12" ht="15.75">
      <c r="C151" s="21"/>
      <c r="D151" s="21"/>
      <c r="E151" s="18">
        <v>44869</v>
      </c>
      <c r="F151" s="33"/>
      <c r="G151" s="33">
        <v>8114.41</v>
      </c>
      <c r="H151" s="21"/>
      <c r="I151" s="23"/>
      <c r="J151" s="21"/>
      <c r="L151" s="50"/>
    </row>
    <row r="152" spans="3:12" ht="15.75">
      <c r="C152" s="21" t="s">
        <v>26</v>
      </c>
      <c r="D152" s="21"/>
      <c r="E152" s="18">
        <v>44938</v>
      </c>
      <c r="F152" s="33"/>
      <c r="G152" s="33">
        <v>11221.47</v>
      </c>
      <c r="H152" s="21"/>
      <c r="I152" s="23"/>
      <c r="J152" s="21"/>
      <c r="L152" s="50"/>
    </row>
    <row r="153" spans="3:12" ht="15.75">
      <c r="C153" s="21"/>
      <c r="D153" s="21"/>
      <c r="E153" s="18">
        <v>44964</v>
      </c>
      <c r="F153" s="33"/>
      <c r="G153" s="33">
        <v>2623.72</v>
      </c>
      <c r="H153" s="21"/>
      <c r="I153" s="23"/>
      <c r="J153" s="21"/>
      <c r="L153" s="50"/>
    </row>
    <row r="154" spans="3:12" ht="15.75">
      <c r="C154" s="21"/>
      <c r="D154" s="21"/>
      <c r="E154" s="18">
        <v>45007</v>
      </c>
      <c r="F154" s="33"/>
      <c r="G154" s="33">
        <v>3635.93</v>
      </c>
      <c r="H154" s="21"/>
      <c r="I154" s="23"/>
      <c r="J154" s="21"/>
      <c r="L154" s="50"/>
    </row>
    <row r="155" spans="3:12" ht="15.75">
      <c r="C155" s="21"/>
      <c r="D155" s="21"/>
      <c r="E155" s="18">
        <v>45037</v>
      </c>
      <c r="F155" s="33"/>
      <c r="G155" s="33">
        <v>3336.46</v>
      </c>
      <c r="H155" s="21"/>
      <c r="I155" s="23"/>
      <c r="J155" s="21"/>
      <c r="L155" s="50"/>
    </row>
    <row r="156" spans="3:12" ht="15.75">
      <c r="C156" s="21"/>
      <c r="D156" s="21"/>
      <c r="E156" s="18">
        <v>45065</v>
      </c>
      <c r="F156" s="33"/>
      <c r="G156" s="33">
        <v>10053.76</v>
      </c>
      <c r="H156" s="21"/>
      <c r="I156" s="23"/>
      <c r="J156" s="21"/>
      <c r="L156" s="50"/>
    </row>
    <row r="157" spans="3:12" ht="15.75">
      <c r="C157" s="21"/>
      <c r="D157" s="21"/>
      <c r="E157" s="18">
        <v>45092</v>
      </c>
      <c r="F157" s="33"/>
      <c r="G157" s="33">
        <v>104031.66</v>
      </c>
      <c r="H157" s="21"/>
      <c r="I157" s="23"/>
      <c r="J157" s="21"/>
      <c r="L157" s="50"/>
    </row>
    <row r="158" spans="3:12" ht="15.75">
      <c r="C158" s="21"/>
      <c r="D158" s="21"/>
      <c r="E158" s="18">
        <v>45119</v>
      </c>
      <c r="F158" s="33"/>
      <c r="G158" s="33">
        <v>3194.66</v>
      </c>
      <c r="H158" s="21"/>
      <c r="I158" s="23"/>
      <c r="J158" s="21"/>
      <c r="L158" s="50"/>
    </row>
    <row r="159" spans="3:12" ht="15.75">
      <c r="C159" s="21"/>
      <c r="D159" s="21"/>
      <c r="E159" s="18">
        <v>45142</v>
      </c>
      <c r="F159" s="33"/>
      <c r="G159" s="33">
        <v>2410.29</v>
      </c>
      <c r="H159" s="21"/>
      <c r="I159" s="23"/>
      <c r="J159" s="21"/>
      <c r="L159" s="50"/>
    </row>
    <row r="160" spans="3:12" ht="15.75">
      <c r="C160" s="21"/>
      <c r="D160" s="21"/>
      <c r="E160" s="18">
        <v>45180</v>
      </c>
      <c r="F160" s="33"/>
      <c r="G160" s="33">
        <v>3392.39</v>
      </c>
      <c r="H160" s="21"/>
      <c r="I160" s="23"/>
      <c r="J160" s="21"/>
      <c r="L160" s="50"/>
    </row>
    <row r="161" spans="3:12" ht="15.75">
      <c r="C161" s="21"/>
      <c r="D161" s="21"/>
      <c r="E161" s="18">
        <v>45190</v>
      </c>
      <c r="F161" s="33"/>
      <c r="G161" s="33">
        <v>21394.10</v>
      </c>
      <c r="H161" s="21"/>
      <c r="I161" s="23"/>
      <c r="J161" s="21"/>
      <c r="L161" s="50"/>
    </row>
    <row r="162" spans="3:12" ht="15.75">
      <c r="C162" s="21"/>
      <c r="D162" s="21"/>
      <c r="E162" s="18">
        <v>45196</v>
      </c>
      <c r="F162" s="33"/>
      <c r="G162" s="33">
        <v>1319.15</v>
      </c>
      <c r="H162" s="21"/>
      <c r="I162" s="23"/>
      <c r="J162" s="21"/>
      <c r="L162" s="50"/>
    </row>
    <row r="163" spans="3:9" ht="4.5" customHeight="1">
      <c r="C163" s="21"/>
      <c r="D163" s="21"/>
      <c r="E163" s="18"/>
      <c r="F163" s="21"/>
      <c r="G163" s="33"/>
      <c r="H163" s="21"/>
      <c r="I163" s="23"/>
    </row>
    <row r="164" spans="3:12" ht="12.75">
      <c r="C164" s="21" t="s">
        <v>1</v>
      </c>
      <c r="D164" s="40"/>
      <c r="E164" s="18">
        <f>+E8</f>
        <v>45199</v>
      </c>
      <c r="F164" s="21"/>
      <c r="G164" s="49">
        <f>L164*C22</f>
        <v>364949.95199741673</v>
      </c>
      <c r="H164" s="40"/>
      <c r="I164" s="33">
        <f>+SUMIF($G$23:$G$163,"&lt;0",$G$23:$G$163)</f>
        <v>-1151434.39</v>
      </c>
      <c r="J164" s="21" t="s">
        <v>11</v>
      </c>
      <c r="L164" s="54">
        <v>117802926</v>
      </c>
    </row>
    <row r="165" spans="3:10" ht="12.75">
      <c r="C165" s="21"/>
      <c r="D165" s="40"/>
      <c r="E165" s="21"/>
      <c r="F165" s="21"/>
      <c r="G165" s="21"/>
      <c r="H165" s="40"/>
      <c r="I165" s="33">
        <f>+SUMIF($G$23:$G$163,"&gt;0",$G$23:$G$163)</f>
        <v>1369336.3499999994</v>
      </c>
      <c r="J165" s="21" t="s">
        <v>12</v>
      </c>
    </row>
    <row r="166" spans="3:8" ht="12.75">
      <c r="C166" s="20" t="s">
        <v>0</v>
      </c>
      <c r="G166" s="47">
        <f>+XIRR(G23:G164,E23:E164,0.1)</f>
        <v>0.10993930697441098</v>
      </c>
      <c r="H166" s="40"/>
    </row>
    <row r="167" spans="3:8" ht="12.75">
      <c r="C167" s="21"/>
      <c r="D167" s="40"/>
      <c r="E167" s="21"/>
      <c r="F167" s="21"/>
      <c r="G167" s="21"/>
      <c r="H167" s="40"/>
    </row>
    <row r="168" spans="3:8" ht="12.75">
      <c r="C168" s="21"/>
      <c r="D168" s="40"/>
      <c r="E168" s="21"/>
      <c r="F168" s="21"/>
      <c r="G168" s="21"/>
      <c r="H168" s="40"/>
    </row>
    <row r="169" spans="3:8" ht="12.75">
      <c r="C169" s="40"/>
      <c r="D169" s="40"/>
      <c r="E169" s="86"/>
      <c r="F169" s="21"/>
      <c r="G169" s="86"/>
      <c r="H169" s="40"/>
    </row>
    <row r="170" spans="3:8" ht="12.75">
      <c r="C170" s="87"/>
      <c r="D170" s="87"/>
      <c r="E170" s="86"/>
      <c r="F170" s="26"/>
      <c r="G170" s="86"/>
      <c r="H170" s="40"/>
    </row>
    <row r="171" spans="3:8" ht="12.75">
      <c r="C171" s="87"/>
      <c r="D171" s="87"/>
      <c r="E171" s="86"/>
      <c r="F171" s="26"/>
      <c r="G171" s="86"/>
      <c r="H171" s="40"/>
    </row>
    <row r="172" spans="3:8" ht="12.75">
      <c r="C172" s="26"/>
      <c r="D172" s="26"/>
      <c r="E172" s="51"/>
      <c r="F172" s="51"/>
      <c r="G172" s="51"/>
      <c r="H172" s="20"/>
    </row>
    <row r="173" spans="3:8" ht="12.75">
      <c r="C173" s="26"/>
      <c r="D173" s="26"/>
      <c r="E173" s="34"/>
      <c r="F173" s="34"/>
      <c r="G173" s="34"/>
      <c r="H173" s="20"/>
    </row>
    <row r="174" spans="3:8" ht="12.75">
      <c r="C174" s="26"/>
      <c r="D174" s="26"/>
      <c r="E174" s="26"/>
      <c r="F174" s="26"/>
      <c r="G174" s="26"/>
      <c r="H174" s="20"/>
    </row>
    <row r="175" spans="3:8" ht="12.75">
      <c r="C175" s="114"/>
      <c r="D175" s="114"/>
      <c r="E175" s="115"/>
      <c r="F175" s="76"/>
      <c r="G175" s="45"/>
      <c r="H175" s="40"/>
    </row>
    <row r="176" spans="3:8" s="58" customFormat="1" ht="12.75">
      <c r="C176" s="114"/>
      <c r="D176" s="114"/>
      <c r="E176" s="46"/>
      <c r="F176" s="21"/>
      <c r="G176" s="46"/>
      <c r="H176" s="40"/>
    </row>
    <row r="177" spans="3:8" s="58" customFormat="1" ht="12.75">
      <c r="C177" s="114"/>
      <c r="D177" s="114"/>
      <c r="E177" s="46"/>
      <c r="F177" s="21"/>
      <c r="G177" s="46"/>
      <c r="H177" s="40"/>
    </row>
    <row r="178" spans="3:8" ht="12.75">
      <c r="C178" s="116"/>
      <c r="D178" s="114"/>
      <c r="E178" s="46"/>
      <c r="F178" s="21"/>
      <c r="G178" s="46"/>
      <c r="H178" s="40"/>
    </row>
    <row r="179" spans="3:8" ht="12.75">
      <c r="C179" s="116"/>
      <c r="D179" s="114"/>
      <c r="E179" s="46"/>
      <c r="F179" s="21"/>
      <c r="G179" s="46"/>
      <c r="H179" s="40"/>
    </row>
    <row r="180" spans="3:8" ht="12.75">
      <c r="C180" s="117"/>
      <c r="D180" s="114"/>
      <c r="E180" s="46"/>
      <c r="F180" s="21"/>
      <c r="G180" s="46"/>
      <c r="H180" s="40"/>
    </row>
    <row r="181" spans="3:8" s="58" customFormat="1" ht="12.75">
      <c r="C181" s="114"/>
      <c r="D181" s="114"/>
      <c r="E181" s="46"/>
      <c r="F181" s="21"/>
      <c r="G181" s="46"/>
      <c r="H181" s="40"/>
    </row>
    <row r="182" spans="3:8" ht="12.75">
      <c r="C182" s="114"/>
      <c r="D182" s="114"/>
      <c r="E182" s="46"/>
      <c r="F182" s="21"/>
      <c r="G182" s="46"/>
      <c r="H182" s="40"/>
    </row>
    <row r="183" spans="3:8" ht="12.75">
      <c r="C183" s="114"/>
      <c r="D183" s="114"/>
      <c r="E183" s="46"/>
      <c r="F183" s="21"/>
      <c r="G183" s="46"/>
      <c r="H183" s="40"/>
    </row>
    <row r="184" spans="3:8" ht="12.75">
      <c r="C184" s="114"/>
      <c r="D184" s="114"/>
      <c r="E184" s="46"/>
      <c r="F184" s="21"/>
      <c r="G184" s="46"/>
      <c r="H184" s="40"/>
    </row>
    <row r="185" spans="3:8" ht="12.75">
      <c r="C185" s="114"/>
      <c r="D185" s="114"/>
      <c r="E185" s="46"/>
      <c r="F185" s="21"/>
      <c r="G185" s="46"/>
      <c r="H185" s="40"/>
    </row>
    <row r="186" spans="3:8" ht="12.75">
      <c r="C186" s="114"/>
      <c r="D186" s="114"/>
      <c r="E186" s="46"/>
      <c r="F186" s="21"/>
      <c r="G186" s="46"/>
      <c r="H186" s="40"/>
    </row>
    <row r="187" spans="3:8" ht="5.1" customHeight="1">
      <c r="C187" s="21"/>
      <c r="D187" s="21"/>
      <c r="E187" s="21"/>
      <c r="F187" s="21"/>
      <c r="G187" s="21"/>
      <c r="H187" s="40"/>
    </row>
    <row r="188" spans="3:8" ht="12.75">
      <c r="C188" s="21"/>
      <c r="D188" s="21"/>
      <c r="E188" s="21"/>
      <c r="F188" s="21"/>
      <c r="G188" s="21"/>
      <c r="H188" s="21"/>
    </row>
    <row r="189" spans="3:8" ht="12.75">
      <c r="C189" s="21"/>
      <c r="D189" s="40"/>
      <c r="E189" s="21"/>
      <c r="F189" s="21"/>
      <c r="G189" s="21"/>
      <c r="H189" s="40"/>
    </row>
  </sheetData>
  <mergeCells count="1">
    <mergeCell ref="E172:G172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932575-C490-4CA2-AA59-F3A4629883A3}">
  <sheetPr>
    <pageSetUpPr fitToPage="1"/>
  </sheetPr>
  <dimension ref="B4:Q19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4" ht="12.75">
      <c r="C10" s="105"/>
      <c r="D10" s="105"/>
      <c r="E10" s="106"/>
      <c r="F10" s="105"/>
      <c r="G10" s="54"/>
      <c r="H10" s="8"/>
      <c r="I10" s="16"/>
      <c r="N10" s="77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G159</f>
        <v>0.15752938389778134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-(G157+J160)/J159</f>
        <v>1.9193524775586264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2.23846E-4</v>
      </c>
      <c r="D22" s="21"/>
      <c r="E22" s="21"/>
      <c r="F22" s="21"/>
      <c r="G22" s="27"/>
      <c r="H22" s="21"/>
      <c r="I22" s="21"/>
      <c r="J22" s="21"/>
    </row>
    <row r="23" spans="3:15" ht="12.75">
      <c r="C23" s="21"/>
      <c r="D23" s="21"/>
      <c r="E23" s="18"/>
      <c r="F23" s="33"/>
      <c r="G23" s="33"/>
      <c r="H23" s="21"/>
      <c r="I23" s="23"/>
      <c r="J23" s="23"/>
      <c r="N23" s="53"/>
      <c r="O23" s="53"/>
    </row>
    <row r="24" spans="3:17" ht="12.75">
      <c r="C24" s="21" t="s">
        <v>9</v>
      </c>
      <c r="D24" s="21"/>
      <c r="E24" s="18">
        <v>42089</v>
      </c>
      <c r="F24" s="33"/>
      <c r="G24" s="33">
        <v>-71700</v>
      </c>
      <c r="H24" s="21"/>
      <c r="I24" s="23"/>
      <c r="N24" s="53"/>
      <c r="O24" s="53"/>
      <c r="Q24" s="55"/>
    </row>
    <row r="25" spans="3:17" ht="12.75">
      <c r="C25" s="21"/>
      <c r="D25" s="21"/>
      <c r="E25" s="18">
        <v>42118</v>
      </c>
      <c r="F25" s="33"/>
      <c r="G25" s="33">
        <v>23052.40</v>
      </c>
      <c r="H25" s="21"/>
      <c r="I25" s="23"/>
      <c r="N25" s="53"/>
      <c r="Q25" s="55"/>
    </row>
    <row r="26" spans="3:17" ht="12.75">
      <c r="C26" s="21"/>
      <c r="D26" s="21"/>
      <c r="E26" s="18">
        <v>42180</v>
      </c>
      <c r="F26" s="33"/>
      <c r="G26" s="33">
        <v>-7095.93</v>
      </c>
      <c r="H26" s="21"/>
      <c r="I26" s="23"/>
      <c r="N26" s="53"/>
      <c r="Q26" s="55"/>
    </row>
    <row r="27" spans="3:17" ht="12.75">
      <c r="C27" s="21"/>
      <c r="D27" s="21"/>
      <c r="E27" s="18">
        <v>42201</v>
      </c>
      <c r="F27" s="33"/>
      <c r="G27" s="33">
        <v>-2216.09</v>
      </c>
      <c r="H27" s="21"/>
      <c r="I27" s="23"/>
      <c r="N27" s="53"/>
      <c r="Q27" s="55"/>
    </row>
    <row r="28" spans="3:17" ht="12.75">
      <c r="C28" s="21"/>
      <c r="D28" s="21"/>
      <c r="E28" s="18">
        <v>42271</v>
      </c>
      <c r="F28" s="33"/>
      <c r="G28" s="33">
        <v>-6961.62</v>
      </c>
      <c r="H28" s="21"/>
      <c r="I28" s="23"/>
      <c r="N28" s="53"/>
      <c r="Q28" s="55"/>
    </row>
    <row r="29" spans="3:17" ht="12.75">
      <c r="C29" s="21"/>
      <c r="D29" s="21"/>
      <c r="E29" s="18">
        <v>42324</v>
      </c>
      <c r="F29" s="33"/>
      <c r="G29" s="33">
        <v>-10587.93</v>
      </c>
      <c r="H29" s="21"/>
      <c r="I29" s="23"/>
      <c r="J29" s="23"/>
      <c r="K29" s="21"/>
      <c r="N29" s="53"/>
      <c r="Q29" s="55"/>
    </row>
    <row r="30" spans="3:17" ht="12.75">
      <c r="C30" s="21"/>
      <c r="D30" s="21"/>
      <c r="E30" s="18">
        <v>42367</v>
      </c>
      <c r="F30" s="33"/>
      <c r="G30" s="33">
        <v>-28316.54</v>
      </c>
      <c r="H30" s="21"/>
      <c r="I30" s="23"/>
      <c r="J30" s="23"/>
      <c r="K30" s="21"/>
      <c r="N30" s="53"/>
      <c r="Q30" s="55"/>
    </row>
    <row r="31" spans="3:17" ht="12.75">
      <c r="C31" s="21" t="s">
        <v>13</v>
      </c>
      <c r="D31" s="21"/>
      <c r="E31" s="18">
        <v>42396</v>
      </c>
      <c r="F31" s="33"/>
      <c r="G31" s="33">
        <v>-46425.69</v>
      </c>
      <c r="H31" s="21"/>
      <c r="I31" s="23"/>
      <c r="J31" s="23"/>
      <c r="K31" s="21"/>
      <c r="N31" s="53"/>
      <c r="Q31" s="55"/>
    </row>
    <row r="32" spans="3:17" ht="12.75">
      <c r="C32" s="21"/>
      <c r="D32" s="21"/>
      <c r="E32" s="18">
        <v>42453</v>
      </c>
      <c r="F32" s="33"/>
      <c r="G32" s="33">
        <v>-10319.32</v>
      </c>
      <c r="H32" s="21"/>
      <c r="I32" s="23"/>
      <c r="J32" s="23"/>
      <c r="K32" s="21"/>
      <c r="N32" s="53"/>
      <c r="Q32" s="55"/>
    </row>
    <row r="33" spans="3:17" ht="12.75">
      <c r="C33" s="21"/>
      <c r="D33" s="21"/>
      <c r="E33" s="18">
        <v>42461</v>
      </c>
      <c r="F33" s="33"/>
      <c r="G33" s="33">
        <v>-7476.46</v>
      </c>
      <c r="H33" s="21"/>
      <c r="I33" s="23"/>
      <c r="J33" s="23"/>
      <c r="K33" s="21"/>
      <c r="N33" s="53"/>
      <c r="Q33" s="55"/>
    </row>
    <row r="34" spans="3:17" ht="12.75">
      <c r="C34" s="21"/>
      <c r="D34" s="21"/>
      <c r="E34" s="18">
        <v>42500</v>
      </c>
      <c r="F34" s="33"/>
      <c r="G34" s="33">
        <v>-6446.76</v>
      </c>
      <c r="H34" s="21"/>
      <c r="I34" s="23"/>
      <c r="J34" s="23"/>
      <c r="K34" s="21"/>
      <c r="N34" s="53"/>
      <c r="Q34" s="55"/>
    </row>
    <row r="35" spans="3:17" ht="12.75">
      <c r="C35" s="21"/>
      <c r="D35" s="21"/>
      <c r="E35" s="18">
        <v>42513</v>
      </c>
      <c r="F35" s="33"/>
      <c r="G35" s="33">
        <v>-21354.92</v>
      </c>
      <c r="H35" s="21"/>
      <c r="I35" s="23"/>
      <c r="J35" s="23"/>
      <c r="K35" s="21"/>
      <c r="N35" s="53"/>
      <c r="Q35" s="55"/>
    </row>
    <row r="36" spans="3:17" ht="12.75">
      <c r="C36" s="21"/>
      <c r="D36" s="21"/>
      <c r="E36" s="18">
        <v>42524</v>
      </c>
      <c r="F36" s="33"/>
      <c r="G36" s="33">
        <v>-50052</v>
      </c>
      <c r="H36" s="21"/>
      <c r="I36" s="23"/>
      <c r="J36" s="23"/>
      <c r="K36" s="21"/>
      <c r="N36" s="53"/>
      <c r="Q36" s="55"/>
    </row>
    <row r="37" spans="3:17" ht="12.75">
      <c r="C37" s="21"/>
      <c r="D37" s="21"/>
      <c r="E37" s="18">
        <v>42544</v>
      </c>
      <c r="F37" s="33"/>
      <c r="G37" s="33">
        <v>-73690.16</v>
      </c>
      <c r="H37" s="21"/>
      <c r="I37" s="23"/>
      <c r="J37" s="23"/>
      <c r="K37" s="21"/>
      <c r="N37" s="53"/>
      <c r="Q37" s="55"/>
    </row>
    <row r="38" spans="3:17" ht="12.75">
      <c r="C38" s="21"/>
      <c r="D38" s="21"/>
      <c r="E38" s="18">
        <v>42564</v>
      </c>
      <c r="F38" s="33"/>
      <c r="G38" s="33">
        <v>-8058.46</v>
      </c>
      <c r="H38" s="21"/>
      <c r="I38" s="23"/>
      <c r="J38" s="23"/>
      <c r="K38" s="21"/>
      <c r="N38" s="53"/>
      <c r="Q38" s="55"/>
    </row>
    <row r="39" spans="3:17" ht="12.75">
      <c r="C39" s="21"/>
      <c r="D39" s="21"/>
      <c r="E39" s="18">
        <v>42585</v>
      </c>
      <c r="F39" s="33"/>
      <c r="G39" s="33">
        <v>-35860.15</v>
      </c>
      <c r="H39" s="21"/>
      <c r="I39" s="23"/>
      <c r="J39" s="23"/>
      <c r="K39" s="21"/>
      <c r="N39" s="53"/>
      <c r="Q39" s="55"/>
    </row>
    <row r="40" spans="3:17" ht="12.75">
      <c r="C40" s="21"/>
      <c r="D40" s="21"/>
      <c r="E40" s="18">
        <v>42614</v>
      </c>
      <c r="F40" s="33"/>
      <c r="G40" s="33">
        <v>-13676.99</v>
      </c>
      <c r="H40" s="21"/>
      <c r="I40" s="23"/>
      <c r="J40" s="23"/>
      <c r="K40" s="21"/>
      <c r="N40" s="53"/>
      <c r="Q40" s="55"/>
    </row>
    <row r="41" spans="3:17" ht="12.75">
      <c r="C41" s="21"/>
      <c r="D41" s="21"/>
      <c r="E41" s="18">
        <v>42641</v>
      </c>
      <c r="F41" s="33"/>
      <c r="G41" s="33">
        <v>-20952</v>
      </c>
      <c r="H41" s="21"/>
      <c r="I41" s="23"/>
      <c r="N41" s="53"/>
      <c r="Q41" s="55"/>
    </row>
    <row r="42" spans="3:17" ht="12.75">
      <c r="C42" s="21"/>
      <c r="D42" s="21"/>
      <c r="E42" s="18">
        <v>42656</v>
      </c>
      <c r="F42" s="33"/>
      <c r="G42" s="33">
        <v>-22362.23</v>
      </c>
      <c r="H42" s="21"/>
      <c r="I42" s="23"/>
      <c r="N42" s="53"/>
      <c r="Q42" s="55"/>
    </row>
    <row r="43" spans="3:17" ht="12.75">
      <c r="C43" s="21"/>
      <c r="D43" s="21"/>
      <c r="E43" s="18">
        <v>42704</v>
      </c>
      <c r="F43" s="33"/>
      <c r="G43" s="33">
        <v>-19183.62</v>
      </c>
      <c r="H43" s="21"/>
      <c r="I43" s="23"/>
      <c r="N43" s="53"/>
      <c r="Q43" s="55"/>
    </row>
    <row r="44" spans="3:17" ht="12.75">
      <c r="C44" s="21"/>
      <c r="D44" s="21"/>
      <c r="E44" s="18">
        <v>42719</v>
      </c>
      <c r="F44" s="33"/>
      <c r="G44" s="33">
        <v>-20593.85</v>
      </c>
      <c r="H44" s="21"/>
      <c r="I44" s="23"/>
      <c r="N44" s="53"/>
      <c r="Q44" s="55"/>
    </row>
    <row r="45" spans="3:17" ht="12.75">
      <c r="C45" s="21"/>
      <c r="D45" s="21"/>
      <c r="E45" s="18">
        <v>42733</v>
      </c>
      <c r="F45" s="33"/>
      <c r="G45" s="33">
        <v>-13318.84</v>
      </c>
      <c r="H45" s="21"/>
      <c r="I45" s="23"/>
      <c r="N45" s="53"/>
      <c r="Q45" s="55"/>
    </row>
    <row r="46" spans="3:17" ht="12.75">
      <c r="C46" s="21" t="s">
        <v>14</v>
      </c>
      <c r="D46" s="21"/>
      <c r="E46" s="18">
        <v>42716</v>
      </c>
      <c r="F46" s="33"/>
      <c r="G46" s="33">
        <v>17744.73</v>
      </c>
      <c r="H46" s="21"/>
      <c r="I46" s="23"/>
      <c r="N46" s="53"/>
      <c r="Q46" s="55"/>
    </row>
    <row r="47" spans="3:17" ht="12.75">
      <c r="C47" s="21" t="s">
        <v>15</v>
      </c>
      <c r="D47" s="21"/>
      <c r="E47" s="18">
        <v>42754</v>
      </c>
      <c r="F47" s="33"/>
      <c r="G47" s="33">
        <v>-12983.08</v>
      </c>
      <c r="H47" s="21"/>
      <c r="I47" s="23"/>
      <c r="N47" s="53"/>
      <c r="Q47" s="55"/>
    </row>
    <row r="48" spans="3:17" ht="12.75">
      <c r="C48" s="21"/>
      <c r="D48" s="21"/>
      <c r="E48" s="18">
        <v>42765</v>
      </c>
      <c r="F48" s="33"/>
      <c r="G48" s="33">
        <v>-13251.70</v>
      </c>
      <c r="H48" s="21"/>
      <c r="I48" s="23"/>
      <c r="J48" s="23"/>
      <c r="K48" s="21"/>
      <c r="N48" s="53"/>
      <c r="Q48" s="55"/>
    </row>
    <row r="49" spans="3:17" ht="12.75">
      <c r="C49" s="21"/>
      <c r="D49" s="21"/>
      <c r="E49" s="18">
        <v>42773</v>
      </c>
      <c r="F49" s="33"/>
      <c r="G49" s="33">
        <v>-22608.46</v>
      </c>
      <c r="H49" s="21"/>
      <c r="I49" s="23"/>
      <c r="J49" s="23"/>
      <c r="K49" s="21"/>
      <c r="N49" s="53"/>
      <c r="Q49" s="55"/>
    </row>
    <row r="50" spans="3:17" ht="12.75">
      <c r="C50" s="21"/>
      <c r="D50" s="21"/>
      <c r="E50" s="18">
        <v>42797</v>
      </c>
      <c r="F50" s="33"/>
      <c r="G50" s="33">
        <v>-31629.46</v>
      </c>
      <c r="H50" s="21"/>
      <c r="I50" s="23"/>
      <c r="J50" s="23"/>
      <c r="K50" s="21"/>
      <c r="N50" s="53"/>
      <c r="Q50" s="55"/>
    </row>
    <row r="51" spans="3:17" ht="12.75">
      <c r="C51" s="21"/>
      <c r="D51" s="21"/>
      <c r="E51" s="18">
        <v>42817</v>
      </c>
      <c r="F51" s="33"/>
      <c r="G51" s="33">
        <v>-18758.31</v>
      </c>
      <c r="H51" s="21"/>
      <c r="I51" s="23"/>
      <c r="J51" s="23"/>
      <c r="K51" s="21"/>
      <c r="N51" s="53"/>
      <c r="Q51" s="55"/>
    </row>
    <row r="52" spans="3:17" ht="12.75">
      <c r="C52" s="21"/>
      <c r="D52" s="21"/>
      <c r="E52" s="18">
        <v>42828</v>
      </c>
      <c r="F52" s="33"/>
      <c r="G52" s="33">
        <v>-16296</v>
      </c>
      <c r="H52" s="21"/>
      <c r="I52" s="23"/>
      <c r="J52" s="23"/>
      <c r="K52" s="21"/>
      <c r="N52" s="53"/>
      <c r="Q52" s="55"/>
    </row>
    <row r="53" spans="3:17" ht="12.75">
      <c r="C53" s="21"/>
      <c r="D53" s="21"/>
      <c r="E53" s="18">
        <v>42851</v>
      </c>
      <c r="F53" s="33"/>
      <c r="G53" s="33">
        <v>-71496.45</v>
      </c>
      <c r="H53" s="21"/>
      <c r="I53" s="23"/>
      <c r="J53" s="23"/>
      <c r="K53" s="21"/>
      <c r="N53" s="53"/>
      <c r="Q53" s="55"/>
    </row>
    <row r="54" spans="3:17" ht="12.75">
      <c r="C54" s="21"/>
      <c r="D54" s="21"/>
      <c r="E54" s="18">
        <v>42863</v>
      </c>
      <c r="F54" s="33"/>
      <c r="G54" s="33">
        <v>-15087.24</v>
      </c>
      <c r="H54" s="21"/>
      <c r="I54" s="23"/>
      <c r="J54" s="23"/>
      <c r="K54" s="21"/>
      <c r="N54" s="53"/>
      <c r="Q54" s="55"/>
    </row>
    <row r="55" spans="3:17" ht="12.75">
      <c r="C55" s="21"/>
      <c r="D55" s="21"/>
      <c r="E55" s="18">
        <v>42878</v>
      </c>
      <c r="F55" s="33"/>
      <c r="G55" s="33">
        <v>-17057.08</v>
      </c>
      <c r="H55" s="21"/>
      <c r="I55" s="23"/>
      <c r="N55" s="53"/>
      <c r="Q55" s="55"/>
    </row>
    <row r="56" spans="3:17" ht="12.75">
      <c r="C56" s="21"/>
      <c r="D56" s="21"/>
      <c r="E56" s="18">
        <v>42893</v>
      </c>
      <c r="F56" s="33"/>
      <c r="G56" s="33">
        <v>-32032.38</v>
      </c>
      <c r="H56" s="21"/>
      <c r="I56" s="23"/>
      <c r="N56" s="53"/>
      <c r="Q56" s="55"/>
    </row>
    <row r="57" spans="3:17" ht="12.75">
      <c r="C57" s="21"/>
      <c r="D57" s="21"/>
      <c r="E57" s="18">
        <v>42907</v>
      </c>
      <c r="F57" s="33"/>
      <c r="G57" s="33">
        <v>-16989.92</v>
      </c>
      <c r="H57" s="21"/>
      <c r="I57" s="23"/>
      <c r="N57" s="53"/>
      <c r="Q57" s="55"/>
    </row>
    <row r="58" spans="3:17" ht="12.75">
      <c r="C58" s="21"/>
      <c r="D58" s="21"/>
      <c r="E58" s="18">
        <v>42915</v>
      </c>
      <c r="F58" s="33"/>
      <c r="G58" s="33">
        <v>-38949.24</v>
      </c>
      <c r="H58" s="21"/>
      <c r="I58" s="23"/>
      <c r="N58" s="53"/>
      <c r="Q58" s="55"/>
    </row>
    <row r="59" spans="3:17" ht="12.75">
      <c r="C59" s="21"/>
      <c r="D59" s="21"/>
      <c r="E59" s="18">
        <v>42927</v>
      </c>
      <c r="F59" s="33"/>
      <c r="G59" s="33">
        <v>-13878.47</v>
      </c>
      <c r="H59" s="21"/>
      <c r="I59" s="23"/>
      <c r="N59" s="53"/>
      <c r="Q59" s="55"/>
    </row>
    <row r="60" spans="3:17" ht="12.75">
      <c r="C60" s="21"/>
      <c r="D60" s="21"/>
      <c r="E60" s="18">
        <v>42957</v>
      </c>
      <c r="F60" s="33"/>
      <c r="G60" s="33">
        <v>-21265.38</v>
      </c>
      <c r="H60" s="21"/>
      <c r="I60" s="23"/>
      <c r="N60" s="53"/>
      <c r="Q60" s="55"/>
    </row>
    <row r="61" spans="3:17" ht="12.75">
      <c r="C61" s="21"/>
      <c r="D61" s="21"/>
      <c r="E61" s="18">
        <v>42970</v>
      </c>
      <c r="F61" s="33"/>
      <c r="G61" s="33">
        <v>-45910.85</v>
      </c>
      <c r="H61" s="21"/>
      <c r="I61" s="23"/>
      <c r="N61" s="53"/>
      <c r="Q61" s="55"/>
    </row>
    <row r="62" spans="3:17" ht="12.75">
      <c r="C62" s="21"/>
      <c r="D62" s="21"/>
      <c r="E62" s="18">
        <v>42993</v>
      </c>
      <c r="F62" s="33"/>
      <c r="G62" s="33">
        <v>-16452.68</v>
      </c>
      <c r="H62" s="21"/>
      <c r="I62" s="23"/>
      <c r="J62" s="23"/>
      <c r="K62" s="21"/>
      <c r="N62" s="53"/>
      <c r="Q62" s="55"/>
    </row>
    <row r="63" spans="3:17" ht="12.75">
      <c r="C63" s="21"/>
      <c r="D63" s="21"/>
      <c r="E63" s="18">
        <v>43000</v>
      </c>
      <c r="F63" s="33"/>
      <c r="G63" s="33">
        <v>-23817.22</v>
      </c>
      <c r="H63" s="21"/>
      <c r="I63" s="23"/>
      <c r="J63" s="23"/>
      <c r="K63" s="21"/>
      <c r="N63" s="53"/>
      <c r="Q63" s="55"/>
    </row>
    <row r="64" spans="3:17" ht="15.75">
      <c r="C64" s="21"/>
      <c r="D64" s="21"/>
      <c r="E64" s="18">
        <v>43012</v>
      </c>
      <c r="F64" s="33"/>
      <c r="G64" s="33">
        <v>-23794.85</v>
      </c>
      <c r="H64" s="21"/>
      <c r="I64" s="23"/>
      <c r="J64" s="111"/>
      <c r="K64" s="112"/>
      <c r="L64" s="104"/>
      <c r="N64" s="53"/>
      <c r="Q64" s="55"/>
    </row>
    <row r="65" spans="3:17" ht="12.75">
      <c r="C65" s="21"/>
      <c r="D65" s="21"/>
      <c r="E65" s="18">
        <v>43027</v>
      </c>
      <c r="F65" s="33"/>
      <c r="G65" s="33">
        <v>-23347.15</v>
      </c>
      <c r="H65" s="21"/>
      <c r="I65" s="23"/>
      <c r="J65" s="111"/>
      <c r="K65" s="112"/>
      <c r="L65" s="54"/>
      <c r="N65" s="53"/>
      <c r="Q65" s="55"/>
    </row>
    <row r="66" spans="3:17" ht="12.75">
      <c r="C66" s="21"/>
      <c r="D66" s="21"/>
      <c r="E66" s="18">
        <v>43046</v>
      </c>
      <c r="F66" s="33"/>
      <c r="G66" s="33">
        <v>-23481.45</v>
      </c>
      <c r="H66" s="21"/>
      <c r="I66" s="23"/>
      <c r="J66" s="111"/>
      <c r="K66" s="112"/>
      <c r="L66" s="54"/>
      <c r="N66" s="53"/>
      <c r="Q66" s="55"/>
    </row>
    <row r="67" spans="3:17" ht="12.75">
      <c r="C67" s="21"/>
      <c r="D67" s="21"/>
      <c r="E67" s="18">
        <v>43056</v>
      </c>
      <c r="F67" s="33"/>
      <c r="G67" s="33">
        <v>-21713.07</v>
      </c>
      <c r="H67" s="21"/>
      <c r="I67" s="23"/>
      <c r="J67" s="111"/>
      <c r="K67" s="112"/>
      <c r="L67" s="54"/>
      <c r="N67" s="53"/>
      <c r="Q67" s="55"/>
    </row>
    <row r="68" spans="3:17" ht="12.75">
      <c r="C68" s="21"/>
      <c r="D68" s="21"/>
      <c r="E68" s="18">
        <v>43083</v>
      </c>
      <c r="F68" s="33"/>
      <c r="G68" s="33">
        <v>-20996.77</v>
      </c>
      <c r="H68" s="21"/>
      <c r="I68" s="23"/>
      <c r="J68" s="111"/>
      <c r="K68" s="112"/>
      <c r="L68" s="54"/>
      <c r="N68" s="53"/>
      <c r="Q68" s="55"/>
    </row>
    <row r="69" spans="3:17" ht="12.75">
      <c r="C69" s="21" t="s">
        <v>16</v>
      </c>
      <c r="D69" s="21"/>
      <c r="E69" s="18">
        <v>42780</v>
      </c>
      <c r="F69" s="33"/>
      <c r="G69" s="33">
        <v>101415.12</v>
      </c>
      <c r="H69" s="21"/>
      <c r="I69" s="23"/>
      <c r="J69" s="111"/>
      <c r="K69" s="112"/>
      <c r="L69" s="113"/>
      <c r="N69" s="53"/>
      <c r="Q69" s="55"/>
    </row>
    <row r="70" spans="3:17" ht="12.75">
      <c r="C70" s="21"/>
      <c r="D70" s="21"/>
      <c r="E70" s="18">
        <v>42822</v>
      </c>
      <c r="F70" s="33"/>
      <c r="G70" s="33">
        <v>72434.42</v>
      </c>
      <c r="H70" s="21"/>
      <c r="I70" s="23"/>
      <c r="J70" s="111"/>
      <c r="K70" s="112"/>
      <c r="L70" s="113"/>
      <c r="N70" s="53"/>
      <c r="Q70" s="55"/>
    </row>
    <row r="71" spans="3:17" ht="12.75">
      <c r="C71" s="21"/>
      <c r="D71" s="21"/>
      <c r="E71" s="18">
        <v>42906</v>
      </c>
      <c r="F71" s="33"/>
      <c r="G71" s="33">
        <v>12538.72</v>
      </c>
      <c r="H71" s="21"/>
      <c r="I71" s="23"/>
      <c r="J71" s="111"/>
      <c r="K71" s="112"/>
      <c r="L71" s="113"/>
      <c r="N71" s="53"/>
      <c r="Q71" s="55"/>
    </row>
    <row r="72" spans="3:17" ht="12.75">
      <c r="C72" s="21"/>
      <c r="D72" s="21"/>
      <c r="E72" s="18">
        <v>42970</v>
      </c>
      <c r="F72" s="33"/>
      <c r="G72" s="33">
        <v>4971.53</v>
      </c>
      <c r="H72" s="21"/>
      <c r="I72" s="23"/>
      <c r="J72" s="23"/>
      <c r="K72" s="21"/>
      <c r="N72" s="53"/>
      <c r="Q72" s="55"/>
    </row>
    <row r="73" spans="3:17" ht="12.75">
      <c r="C73" s="21" t="s">
        <v>17</v>
      </c>
      <c r="D73" s="21"/>
      <c r="E73" s="18">
        <v>43104</v>
      </c>
      <c r="F73" s="33"/>
      <c r="G73" s="33">
        <v>-19586.53</v>
      </c>
      <c r="H73" s="21"/>
      <c r="I73" s="23"/>
      <c r="J73" s="23"/>
      <c r="K73" s="21"/>
      <c r="N73" s="53"/>
      <c r="Q73" s="55"/>
    </row>
    <row r="74" spans="3:17" ht="12.75">
      <c r="C74" s="21"/>
      <c r="D74" s="21"/>
      <c r="E74" s="18">
        <v>43157</v>
      </c>
      <c r="F74" s="33"/>
      <c r="G74" s="33">
        <v>-18825.46</v>
      </c>
      <c r="H74" s="21"/>
      <c r="I74" s="23"/>
      <c r="J74" s="23"/>
      <c r="K74" s="21"/>
      <c r="N74" s="53"/>
      <c r="Q74" s="55"/>
    </row>
    <row r="75" spans="3:17" ht="12.75">
      <c r="C75" s="21"/>
      <c r="D75" s="21"/>
      <c r="E75" s="18">
        <v>43181</v>
      </c>
      <c r="F75" s="33"/>
      <c r="G75" s="33">
        <v>-51798</v>
      </c>
      <c r="H75" s="21"/>
      <c r="I75" s="23"/>
      <c r="J75" s="23"/>
      <c r="K75" s="21"/>
      <c r="N75" s="53"/>
      <c r="Q75" s="55"/>
    </row>
    <row r="76" spans="3:17" ht="12.75">
      <c r="C76" s="21"/>
      <c r="D76" s="21"/>
      <c r="E76" s="18">
        <v>43256</v>
      </c>
      <c r="F76" s="33"/>
      <c r="G76" s="33">
        <v>-20772.92</v>
      </c>
      <c r="H76" s="21"/>
      <c r="I76" s="23"/>
      <c r="J76" s="23"/>
      <c r="K76" s="21"/>
      <c r="N76" s="53"/>
      <c r="Q76" s="55"/>
    </row>
    <row r="77" spans="3:17" ht="12.75">
      <c r="C77" s="21"/>
      <c r="D77" s="21"/>
      <c r="E77" s="18">
        <v>43278</v>
      </c>
      <c r="F77" s="33"/>
      <c r="G77" s="33">
        <v>-16564.61</v>
      </c>
      <c r="H77" s="21"/>
      <c r="I77" s="23"/>
      <c r="J77" s="23"/>
      <c r="K77" s="21"/>
      <c r="N77" s="53"/>
      <c r="Q77" s="55"/>
    </row>
    <row r="78" spans="3:17" ht="12.75">
      <c r="C78" s="21"/>
      <c r="D78" s="21"/>
      <c r="E78" s="18">
        <v>43336</v>
      </c>
      <c r="F78" s="33"/>
      <c r="G78" s="33">
        <v>-21511.63</v>
      </c>
      <c r="H78" s="21"/>
      <c r="I78" s="23"/>
      <c r="J78" s="23"/>
      <c r="K78" s="21"/>
      <c r="N78" s="53"/>
      <c r="Q78" s="55"/>
    </row>
    <row r="79" spans="3:17" ht="12.75">
      <c r="C79" s="21"/>
      <c r="D79" s="21"/>
      <c r="E79" s="18">
        <v>43367</v>
      </c>
      <c r="F79" s="33"/>
      <c r="G79" s="33">
        <v>-36509.3</v>
      </c>
      <c r="H79" s="21"/>
      <c r="I79" s="23"/>
      <c r="J79" s="23"/>
      <c r="K79" s="21"/>
      <c r="N79" s="53"/>
      <c r="Q79" s="55"/>
    </row>
    <row r="80" spans="3:17" ht="12.75">
      <c r="C80" s="21"/>
      <c r="D80" s="21"/>
      <c r="E80" s="18">
        <v>43439</v>
      </c>
      <c r="F80" s="33"/>
      <c r="G80" s="33">
        <v>-22787.54</v>
      </c>
      <c r="H80" s="21"/>
      <c r="I80" s="23"/>
      <c r="J80" s="23"/>
      <c r="K80" s="21"/>
      <c r="N80" s="53"/>
      <c r="Q80" s="55"/>
    </row>
    <row r="81" spans="3:17" ht="12.75">
      <c r="C81" s="21" t="s">
        <v>18</v>
      </c>
      <c r="D81" s="21"/>
      <c r="E81" s="18">
        <v>43167</v>
      </c>
      <c r="F81" s="33"/>
      <c r="G81" s="33">
        <v>5659.93</v>
      </c>
      <c r="H81" s="21"/>
      <c r="I81" s="23"/>
      <c r="J81" s="23"/>
      <c r="K81" s="21"/>
      <c r="N81" s="53"/>
      <c r="Q81" s="55"/>
    </row>
    <row r="82" spans="3:17" ht="12.75">
      <c r="C82" s="21"/>
      <c r="D82" s="21"/>
      <c r="E82" s="18">
        <v>43255</v>
      </c>
      <c r="F82" s="33"/>
      <c r="G82" s="33">
        <v>13720.21</v>
      </c>
      <c r="H82" s="21"/>
      <c r="I82" s="23"/>
      <c r="J82" s="23"/>
      <c r="K82" s="21"/>
      <c r="N82" s="53"/>
      <c r="Q82" s="55"/>
    </row>
    <row r="83" spans="3:17" ht="12.75">
      <c r="C83" s="21"/>
      <c r="D83" s="21"/>
      <c r="E83" s="18">
        <v>43444</v>
      </c>
      <c r="F83" s="33"/>
      <c r="G83" s="33">
        <v>8033.52</v>
      </c>
      <c r="H83" s="21"/>
      <c r="I83" s="23"/>
      <c r="J83" s="23"/>
      <c r="K83" s="21"/>
      <c r="N83" s="53"/>
      <c r="Q83" s="55"/>
    </row>
    <row r="84" spans="3:17" ht="12.75">
      <c r="C84" s="21" t="s">
        <v>19</v>
      </c>
      <c r="D84" s="21"/>
      <c r="E84" s="18">
        <v>43481</v>
      </c>
      <c r="F84" s="33"/>
      <c r="G84" s="33">
        <v>-12983.08</v>
      </c>
      <c r="H84" s="21"/>
      <c r="I84" s="23"/>
      <c r="J84" s="23"/>
      <c r="K84" s="21"/>
      <c r="N84" s="53"/>
      <c r="Q84" s="55"/>
    </row>
    <row r="85" spans="4:17" ht="12.75">
      <c r="D85" s="21"/>
      <c r="E85" s="18">
        <v>43544</v>
      </c>
      <c r="F85" s="33"/>
      <c r="G85" s="33">
        <v>-14370.91</v>
      </c>
      <c r="H85" s="21"/>
      <c r="I85" s="23"/>
      <c r="J85" s="23"/>
      <c r="K85" s="21"/>
      <c r="N85" s="53"/>
      <c r="Q85" s="55"/>
    </row>
    <row r="86" spans="4:17" ht="12.75">
      <c r="D86" s="21"/>
      <c r="E86" s="18">
        <v>43591</v>
      </c>
      <c r="F86" s="33"/>
      <c r="G86" s="33">
        <v>-12826.38</v>
      </c>
      <c r="H86" s="21"/>
      <c r="I86" s="23"/>
      <c r="J86" s="23"/>
      <c r="K86" s="21"/>
      <c r="N86" s="53"/>
      <c r="Q86" s="55"/>
    </row>
    <row r="87" spans="4:17" ht="12.75">
      <c r="D87" s="21"/>
      <c r="E87" s="18">
        <v>43675</v>
      </c>
      <c r="F87" s="33"/>
      <c r="G87" s="33">
        <v>-20056.62</v>
      </c>
      <c r="H87" s="21"/>
      <c r="I87" s="23"/>
      <c r="J87" s="23"/>
      <c r="K87" s="21"/>
      <c r="N87" s="53"/>
      <c r="Q87" s="55"/>
    </row>
    <row r="88" spans="4:17" ht="12.75">
      <c r="D88" s="21"/>
      <c r="E88" s="18">
        <v>43707</v>
      </c>
      <c r="F88" s="33"/>
      <c r="G88" s="33">
        <v>-34427.54</v>
      </c>
      <c r="H88" s="21"/>
      <c r="I88" s="23"/>
      <c r="J88" s="23"/>
      <c r="K88" s="21"/>
      <c r="N88" s="53"/>
      <c r="Q88" s="55"/>
    </row>
    <row r="89" spans="4:17" ht="12.75">
      <c r="D89" s="21"/>
      <c r="E89" s="18">
        <v>43769</v>
      </c>
      <c r="F89" s="33"/>
      <c r="G89" s="33">
        <v>-15781.16</v>
      </c>
      <c r="H89" s="21"/>
      <c r="I89" s="23"/>
      <c r="J89" s="23"/>
      <c r="K89" s="21"/>
      <c r="N89" s="53"/>
      <c r="Q89" s="55"/>
    </row>
    <row r="90" spans="4:17" ht="12.75">
      <c r="D90" s="21"/>
      <c r="E90" s="18">
        <v>43804</v>
      </c>
      <c r="F90" s="33"/>
      <c r="G90" s="33">
        <v>-15758.78</v>
      </c>
      <c r="H90" s="21"/>
      <c r="I90" s="23"/>
      <c r="J90" s="23"/>
      <c r="K90" s="21"/>
      <c r="N90" s="53"/>
      <c r="Q90" s="55"/>
    </row>
    <row r="91" spans="3:17" ht="12.75">
      <c r="C91" s="21" t="s">
        <v>20</v>
      </c>
      <c r="D91" s="21"/>
      <c r="E91" s="18">
        <v>43550</v>
      </c>
      <c r="F91" s="33"/>
      <c r="G91" s="33">
        <v>4511.33</v>
      </c>
      <c r="H91" s="21"/>
      <c r="I91" s="23"/>
      <c r="J91" s="23"/>
      <c r="K91" s="21"/>
      <c r="N91" s="53"/>
      <c r="Q91" s="55"/>
    </row>
    <row r="92" spans="3:17" ht="12.75">
      <c r="C92" s="21"/>
      <c r="D92" s="21"/>
      <c r="E92" s="18">
        <v>43629</v>
      </c>
      <c r="F92" s="33"/>
      <c r="G92" s="33">
        <v>5034.82</v>
      </c>
      <c r="H92" s="21"/>
      <c r="I92" s="23"/>
      <c r="J92" s="23"/>
      <c r="K92" s="21"/>
      <c r="N92" s="53"/>
      <c r="Q92" s="55"/>
    </row>
    <row r="93" spans="3:17" ht="12.75">
      <c r="C93" s="21"/>
      <c r="D93" s="21"/>
      <c r="E93" s="18">
        <v>43760</v>
      </c>
      <c r="F93" s="33"/>
      <c r="G93" s="33">
        <v>28035.04</v>
      </c>
      <c r="H93" s="21"/>
      <c r="I93" s="23"/>
      <c r="J93" s="23"/>
      <c r="K93" s="21"/>
      <c r="N93" s="53"/>
      <c r="Q93" s="55"/>
    </row>
    <row r="94" spans="3:17" ht="12.75">
      <c r="C94" s="21"/>
      <c r="D94" s="21"/>
      <c r="E94" s="18">
        <v>43816</v>
      </c>
      <c r="F94" s="33"/>
      <c r="G94" s="33">
        <v>5278.68</v>
      </c>
      <c r="H94" s="21"/>
      <c r="I94" s="23"/>
      <c r="J94" s="23"/>
      <c r="K94" s="21"/>
      <c r="N94" s="53"/>
      <c r="Q94" s="55"/>
    </row>
    <row r="95" spans="3:17" ht="12.75">
      <c r="C95" s="21" t="s">
        <v>21</v>
      </c>
      <c r="D95" s="21"/>
      <c r="E95" s="18">
        <v>43896</v>
      </c>
      <c r="F95" s="33"/>
      <c r="G95" s="33">
        <v>-9759.68</v>
      </c>
      <c r="H95" s="21"/>
      <c r="I95" s="23"/>
      <c r="J95" s="23"/>
      <c r="K95" s="21"/>
      <c r="N95" s="53"/>
      <c r="Q95" s="55"/>
    </row>
    <row r="96" spans="3:17" ht="12.75">
      <c r="C96" s="21"/>
      <c r="D96" s="21"/>
      <c r="E96" s="18">
        <v>43922</v>
      </c>
      <c r="F96" s="33"/>
      <c r="G96" s="33">
        <v>-7297.39</v>
      </c>
      <c r="H96" s="21"/>
      <c r="I96" s="23"/>
      <c r="J96" s="23"/>
      <c r="K96" s="21"/>
      <c r="N96" s="53"/>
      <c r="Q96" s="55"/>
    </row>
    <row r="97" spans="3:17" ht="12.75">
      <c r="C97" s="21"/>
      <c r="D97" s="21"/>
      <c r="E97" s="18">
        <v>43979</v>
      </c>
      <c r="F97" s="33"/>
      <c r="G97" s="33">
        <v>-9513.47</v>
      </c>
      <c r="H97" s="21"/>
      <c r="I97" s="23"/>
      <c r="J97" s="23"/>
      <c r="K97" s="21"/>
      <c r="N97" s="53"/>
      <c r="Q97" s="55"/>
    </row>
    <row r="98" spans="3:17" ht="12.75">
      <c r="C98" s="21"/>
      <c r="D98" s="21"/>
      <c r="E98" s="18">
        <v>44015</v>
      </c>
      <c r="F98" s="33"/>
      <c r="G98" s="33">
        <v>-8259.92</v>
      </c>
      <c r="H98" s="21"/>
      <c r="I98" s="23"/>
      <c r="J98" s="23"/>
      <c r="K98" s="21"/>
      <c r="N98" s="53"/>
      <c r="Q98" s="55"/>
    </row>
    <row r="99" spans="3:17" ht="12.75">
      <c r="C99" s="21"/>
      <c r="D99" s="21"/>
      <c r="E99" s="18">
        <v>44109</v>
      </c>
      <c r="F99" s="33"/>
      <c r="G99" s="33">
        <v>-5842.39</v>
      </c>
      <c r="H99" s="21"/>
      <c r="I99" s="23"/>
      <c r="J99" s="23"/>
      <c r="K99" s="21"/>
      <c r="N99" s="53"/>
      <c r="Q99" s="55"/>
    </row>
    <row r="100" spans="3:17" ht="12.75">
      <c r="C100" s="21"/>
      <c r="D100" s="21"/>
      <c r="E100" s="18">
        <v>44160</v>
      </c>
      <c r="F100" s="33"/>
      <c r="G100" s="33">
        <v>-11080.38</v>
      </c>
      <c r="H100" s="21"/>
      <c r="I100" s="23"/>
      <c r="J100" s="23"/>
      <c r="K100" s="21"/>
      <c r="N100" s="53"/>
      <c r="Q100" s="55"/>
    </row>
    <row r="101" spans="3:17" ht="12.75">
      <c r="C101" s="21" t="s">
        <v>22</v>
      </c>
      <c r="D101" s="21"/>
      <c r="E101" s="18">
        <v>43885</v>
      </c>
      <c r="F101" s="33"/>
      <c r="G101" s="33">
        <v>16738.80</v>
      </c>
      <c r="H101" s="21"/>
      <c r="I101" s="23"/>
      <c r="J101" s="23"/>
      <c r="K101" s="21"/>
      <c r="N101" s="53"/>
      <c r="Q101" s="55"/>
    </row>
    <row r="102" spans="3:17" ht="12.75">
      <c r="C102" s="21"/>
      <c r="D102" s="21"/>
      <c r="E102" s="18">
        <v>44082</v>
      </c>
      <c r="F102" s="33"/>
      <c r="G102" s="33">
        <v>9918.10</v>
      </c>
      <c r="H102" s="21"/>
      <c r="I102" s="23"/>
      <c r="J102" s="23"/>
      <c r="K102" s="21"/>
      <c r="N102" s="53"/>
      <c r="Q102" s="55"/>
    </row>
    <row r="103" spans="3:17" ht="12.75">
      <c r="C103" s="21" t="s">
        <v>24</v>
      </c>
      <c r="D103" s="21"/>
      <c r="E103" s="18">
        <v>44201</v>
      </c>
      <c r="F103" s="33"/>
      <c r="G103" s="33">
        <v>-5909.54</v>
      </c>
      <c r="H103" s="21"/>
      <c r="I103" s="23"/>
      <c r="J103" s="23"/>
      <c r="K103" s="21"/>
      <c r="N103" s="53"/>
      <c r="Q103" s="55"/>
    </row>
    <row r="104" spans="3:17" ht="12.75">
      <c r="C104" s="21"/>
      <c r="D104" s="21"/>
      <c r="E104" s="18">
        <v>44246</v>
      </c>
      <c r="F104" s="33"/>
      <c r="G104" s="33">
        <v>-33576.92</v>
      </c>
      <c r="H104" s="21"/>
      <c r="I104" s="23"/>
      <c r="J104" s="23"/>
      <c r="K104" s="21"/>
      <c r="N104" s="53"/>
      <c r="Q104" s="55"/>
    </row>
    <row r="105" spans="3:17" ht="12.75">
      <c r="C105" s="21"/>
      <c r="D105" s="21"/>
      <c r="E105" s="18">
        <v>44267</v>
      </c>
      <c r="F105" s="33"/>
      <c r="G105" s="33">
        <v>-3335.31</v>
      </c>
      <c r="H105" s="21"/>
      <c r="I105" s="23"/>
      <c r="J105" s="23"/>
      <c r="K105" s="21"/>
      <c r="N105" s="53"/>
      <c r="Q105" s="55"/>
    </row>
    <row r="106" spans="3:17" ht="12.75">
      <c r="C106" s="21"/>
      <c r="D106" s="21"/>
      <c r="E106" s="18">
        <v>44285</v>
      </c>
      <c r="F106" s="33"/>
      <c r="G106" s="33">
        <v>-4208.31</v>
      </c>
      <c r="H106" s="21"/>
      <c r="I106" s="23"/>
      <c r="J106" s="23"/>
      <c r="K106" s="21"/>
      <c r="N106" s="53"/>
      <c r="Q106" s="55"/>
    </row>
    <row r="107" spans="3:17" ht="12.75">
      <c r="C107" s="21"/>
      <c r="D107" s="21"/>
      <c r="E107" s="18">
        <v>44308</v>
      </c>
      <c r="F107" s="33"/>
      <c r="G107" s="33">
        <v>-11147.53</v>
      </c>
      <c r="H107" s="21"/>
      <c r="I107" s="23"/>
      <c r="J107" s="23"/>
      <c r="K107" s="21"/>
      <c r="N107" s="53"/>
      <c r="Q107" s="55"/>
    </row>
    <row r="108" spans="3:17" ht="12.75">
      <c r="C108" s="21"/>
      <c r="D108" s="21"/>
      <c r="E108" s="18">
        <v>44348</v>
      </c>
      <c r="F108" s="33"/>
      <c r="G108" s="33">
        <v>-24690.23</v>
      </c>
      <c r="H108" s="21"/>
      <c r="I108" s="23"/>
      <c r="J108" s="23"/>
      <c r="K108" s="21"/>
      <c r="N108" s="53"/>
      <c r="Q108" s="55"/>
    </row>
    <row r="109" spans="3:17" ht="12.75">
      <c r="C109" s="21"/>
      <c r="D109" s="21"/>
      <c r="E109" s="18">
        <v>44467</v>
      </c>
      <c r="F109" s="33"/>
      <c r="G109" s="33">
        <v>-3626.31</v>
      </c>
      <c r="H109" s="21"/>
      <c r="I109" s="23"/>
      <c r="J109" s="23"/>
      <c r="K109" s="21"/>
      <c r="N109" s="53"/>
      <c r="Q109" s="55"/>
    </row>
    <row r="110" spans="3:17" ht="12.75">
      <c r="C110" s="21"/>
      <c r="D110" s="21"/>
      <c r="E110" s="18">
        <v>44546</v>
      </c>
      <c r="F110" s="33"/>
      <c r="G110" s="33">
        <v>-16564.61</v>
      </c>
      <c r="H110" s="21"/>
      <c r="I110" s="23"/>
      <c r="J110" s="23"/>
      <c r="K110" s="21"/>
      <c r="N110" s="53"/>
      <c r="Q110" s="55"/>
    </row>
    <row r="111" spans="3:17" ht="12.75">
      <c r="C111" s="21" t="s">
        <v>23</v>
      </c>
      <c r="D111" s="21"/>
      <c r="E111" s="18">
        <v>44217</v>
      </c>
      <c r="F111" s="33"/>
      <c r="G111" s="33">
        <v>15809.21</v>
      </c>
      <c r="H111" s="21"/>
      <c r="I111" s="23"/>
      <c r="J111" s="23"/>
      <c r="K111" s="21"/>
      <c r="N111" s="53"/>
      <c r="Q111" s="55"/>
    </row>
    <row r="112" spans="3:17" ht="12.75">
      <c r="C112" s="21"/>
      <c r="D112" s="21"/>
      <c r="E112" s="18">
        <v>44256</v>
      </c>
      <c r="F112" s="33"/>
      <c r="G112" s="33">
        <v>127901.59</v>
      </c>
      <c r="H112" s="21"/>
      <c r="I112" s="23"/>
      <c r="J112" s="23"/>
      <c r="K112" s="21"/>
      <c r="N112" s="53"/>
      <c r="Q112" s="55"/>
    </row>
    <row r="113" spans="3:17" ht="12.75">
      <c r="C113" s="21"/>
      <c r="D113" s="21"/>
      <c r="E113" s="18">
        <v>44279</v>
      </c>
      <c r="F113" s="33"/>
      <c r="G113" s="33">
        <v>27339.20</v>
      </c>
      <c r="H113" s="21"/>
      <c r="I113" s="23"/>
      <c r="J113" s="23"/>
      <c r="K113" s="21"/>
      <c r="N113" s="53"/>
      <c r="Q113" s="55"/>
    </row>
    <row r="114" spans="3:17" ht="12.75">
      <c r="C114" s="21"/>
      <c r="D114" s="21"/>
      <c r="E114" s="18">
        <v>44295</v>
      </c>
      <c r="F114" s="33"/>
      <c r="G114" s="33">
        <v>35769.09</v>
      </c>
      <c r="H114" s="21"/>
      <c r="I114" s="23"/>
      <c r="J114" s="23"/>
      <c r="K114" s="21"/>
      <c r="N114" s="53"/>
      <c r="Q114" s="55"/>
    </row>
    <row r="115" spans="3:17" ht="12.75">
      <c r="C115" s="21"/>
      <c r="D115" s="21"/>
      <c r="E115" s="18">
        <v>44371</v>
      </c>
      <c r="F115" s="33"/>
      <c r="G115" s="33">
        <v>4987.34</v>
      </c>
      <c r="H115" s="21"/>
      <c r="I115" s="23"/>
      <c r="J115" s="23"/>
      <c r="K115" s="21"/>
      <c r="N115" s="53"/>
      <c r="Q115" s="55"/>
    </row>
    <row r="116" spans="3:17" ht="12.75">
      <c r="C116" s="21"/>
      <c r="D116" s="21"/>
      <c r="E116" s="18">
        <v>44386</v>
      </c>
      <c r="F116" s="33"/>
      <c r="G116" s="33">
        <v>8549.05</v>
      </c>
      <c r="H116" s="21"/>
      <c r="I116" s="23"/>
      <c r="J116" s="23"/>
      <c r="K116" s="21"/>
      <c r="N116" s="53"/>
      <c r="Q116" s="55"/>
    </row>
    <row r="117" spans="3:17" ht="12.75">
      <c r="C117" s="21"/>
      <c r="D117" s="21"/>
      <c r="E117" s="18">
        <v>44417</v>
      </c>
      <c r="F117" s="33"/>
      <c r="G117" s="33">
        <v>9288.05</v>
      </c>
      <c r="H117" s="21"/>
      <c r="I117" s="23"/>
      <c r="J117" s="23"/>
      <c r="K117" s="21"/>
      <c r="N117" s="53"/>
      <c r="Q117" s="55"/>
    </row>
    <row r="118" spans="3:17" ht="12.75">
      <c r="C118" s="21"/>
      <c r="D118" s="21"/>
      <c r="E118" s="18">
        <v>44446</v>
      </c>
      <c r="F118" s="33"/>
      <c r="G118" s="33">
        <v>8948.94</v>
      </c>
      <c r="H118" s="21"/>
      <c r="I118" s="23"/>
      <c r="J118" s="23"/>
      <c r="K118" s="21"/>
      <c r="N118" s="53"/>
      <c r="Q118" s="55"/>
    </row>
    <row r="119" spans="3:17" ht="12.75">
      <c r="C119" s="21"/>
      <c r="D119" s="21"/>
      <c r="E119" s="18">
        <v>44473</v>
      </c>
      <c r="F119" s="33"/>
      <c r="G119" s="33">
        <v>14044.16</v>
      </c>
      <c r="H119" s="21"/>
      <c r="I119" s="23"/>
      <c r="J119" s="23"/>
      <c r="K119" s="21"/>
      <c r="N119" s="53"/>
      <c r="Q119" s="55"/>
    </row>
    <row r="120" spans="3:17" ht="12.75">
      <c r="C120" s="21"/>
      <c r="D120" s="21"/>
      <c r="E120" s="18">
        <v>44489</v>
      </c>
      <c r="F120" s="33"/>
      <c r="G120" s="33">
        <v>36522.88</v>
      </c>
      <c r="H120" s="21"/>
      <c r="I120" s="23"/>
      <c r="J120" s="23"/>
      <c r="K120" s="21"/>
      <c r="N120" s="53"/>
      <c r="Q120" s="55"/>
    </row>
    <row r="121" spans="3:17" ht="12.75">
      <c r="C121" s="21"/>
      <c r="D121" s="21"/>
      <c r="E121" s="18">
        <v>44496</v>
      </c>
      <c r="F121" s="33"/>
      <c r="G121" s="33">
        <v>75188.57</v>
      </c>
      <c r="H121" s="21"/>
      <c r="I121" s="23"/>
      <c r="J121" s="23"/>
      <c r="K121" s="21"/>
      <c r="N121" s="53"/>
      <c r="Q121" s="55"/>
    </row>
    <row r="122" spans="3:17" ht="12.75">
      <c r="C122" s="21"/>
      <c r="D122" s="21"/>
      <c r="E122" s="18">
        <v>44505</v>
      </c>
      <c r="F122" s="33"/>
      <c r="G122" s="33">
        <v>7588.54</v>
      </c>
      <c r="H122" s="21"/>
      <c r="I122" s="23"/>
      <c r="J122" s="23"/>
      <c r="K122" s="21"/>
      <c r="N122" s="53"/>
      <c r="Q122" s="55"/>
    </row>
    <row r="123" spans="3:17" ht="12.75">
      <c r="C123" s="21"/>
      <c r="D123" s="21"/>
      <c r="E123" s="18">
        <v>44547</v>
      </c>
      <c r="F123" s="33"/>
      <c r="G123" s="33">
        <v>57433.86</v>
      </c>
      <c r="H123" s="21"/>
      <c r="I123" s="23"/>
      <c r="J123" s="23"/>
      <c r="K123" s="21"/>
      <c r="N123" s="53"/>
      <c r="Q123" s="55"/>
    </row>
    <row r="124" spans="3:17" ht="12.75">
      <c r="C124" s="21" t="s">
        <v>27</v>
      </c>
      <c r="D124" s="21"/>
      <c r="E124" s="18">
        <v>44585</v>
      </c>
      <c r="F124" s="33"/>
      <c r="G124" s="33">
        <v>-6872.07</v>
      </c>
      <c r="H124" s="21"/>
      <c r="I124" s="23"/>
      <c r="J124" s="23"/>
      <c r="K124" s="21"/>
      <c r="N124" s="53"/>
      <c r="Q124" s="55"/>
    </row>
    <row r="125" spans="3:17" ht="12.75">
      <c r="C125" s="21"/>
      <c r="D125" s="21"/>
      <c r="E125" s="18">
        <v>44630</v>
      </c>
      <c r="F125" s="33"/>
      <c r="G125" s="33">
        <v>-8282.31</v>
      </c>
      <c r="H125" s="21"/>
      <c r="I125" s="23"/>
      <c r="J125" s="23"/>
      <c r="K125" s="21"/>
      <c r="N125" s="53"/>
      <c r="Q125" s="55"/>
    </row>
    <row r="126" spans="3:17" ht="12.75">
      <c r="C126" s="21"/>
      <c r="D126" s="21"/>
      <c r="E126" s="18">
        <v>44741</v>
      </c>
      <c r="F126" s="33"/>
      <c r="G126" s="33">
        <v>-3492</v>
      </c>
      <c r="H126" s="21"/>
      <c r="I126" s="23"/>
      <c r="J126" s="23"/>
      <c r="K126" s="21"/>
      <c r="N126" s="53"/>
      <c r="Q126" s="55"/>
    </row>
    <row r="127" spans="3:17" ht="12.75">
      <c r="C127" s="21"/>
      <c r="D127" s="21"/>
      <c r="E127" s="18">
        <v>44830</v>
      </c>
      <c r="F127" s="33"/>
      <c r="G127" s="33">
        <v>-3424.85</v>
      </c>
      <c r="H127" s="21"/>
      <c r="I127" s="23"/>
      <c r="J127" s="23"/>
      <c r="K127" s="21"/>
      <c r="N127" s="53"/>
      <c r="Q127" s="55"/>
    </row>
    <row r="128" spans="3:17" ht="12.75">
      <c r="C128" s="21"/>
      <c r="D128" s="21"/>
      <c r="E128" s="18">
        <v>44925</v>
      </c>
      <c r="F128" s="33"/>
      <c r="G128" s="33">
        <v>-5640.92</v>
      </c>
      <c r="H128" s="21"/>
      <c r="I128" s="23"/>
      <c r="J128" s="23"/>
      <c r="K128" s="21"/>
      <c r="N128" s="53"/>
      <c r="Q128" s="55"/>
    </row>
    <row r="129" spans="3:17" ht="12.75">
      <c r="C129" s="21" t="s">
        <v>25</v>
      </c>
      <c r="D129" s="21"/>
      <c r="E129" s="18">
        <v>44580</v>
      </c>
      <c r="F129" s="33"/>
      <c r="G129" s="33">
        <v>90440.08</v>
      </c>
      <c r="H129" s="21"/>
      <c r="I129" s="23"/>
      <c r="J129" s="23"/>
      <c r="K129" s="21"/>
      <c r="N129" s="53"/>
      <c r="Q129" s="55"/>
    </row>
    <row r="130" spans="3:17" ht="12.75">
      <c r="C130" s="21"/>
      <c r="D130" s="21"/>
      <c r="E130" s="18">
        <v>44595</v>
      </c>
      <c r="F130" s="33"/>
      <c r="G130" s="33">
        <v>34837.28</v>
      </c>
      <c r="H130" s="21"/>
      <c r="I130" s="23"/>
      <c r="J130" s="23"/>
      <c r="K130" s="21"/>
      <c r="N130" s="53"/>
      <c r="Q130" s="55"/>
    </row>
    <row r="131" spans="3:17" ht="12.75">
      <c r="C131" s="21"/>
      <c r="D131" s="21"/>
      <c r="E131" s="18">
        <v>44630</v>
      </c>
      <c r="F131" s="33"/>
      <c r="G131" s="33">
        <v>48745.82</v>
      </c>
      <c r="H131" s="21"/>
      <c r="I131" s="23"/>
      <c r="J131" s="23"/>
      <c r="K131" s="21"/>
      <c r="N131" s="53"/>
      <c r="Q131" s="55"/>
    </row>
    <row r="132" spans="3:17" ht="12.75">
      <c r="C132" s="21"/>
      <c r="D132" s="21"/>
      <c r="E132" s="18">
        <v>44655</v>
      </c>
      <c r="F132" s="33"/>
      <c r="G132" s="33">
        <v>88493.71</v>
      </c>
      <c r="H132" s="21"/>
      <c r="I132" s="23"/>
      <c r="J132" s="23"/>
      <c r="K132" s="21"/>
      <c r="N132" s="53"/>
      <c r="Q132" s="55"/>
    </row>
    <row r="133" spans="3:17" ht="12.75">
      <c r="C133" s="21"/>
      <c r="D133" s="21"/>
      <c r="E133" s="18">
        <v>44690</v>
      </c>
      <c r="F133" s="33"/>
      <c r="G133" s="33">
        <v>44167.72</v>
      </c>
      <c r="H133" s="21"/>
      <c r="I133" s="23"/>
      <c r="J133" s="23"/>
      <c r="K133" s="21"/>
      <c r="N133" s="53"/>
      <c r="Q133" s="55"/>
    </row>
    <row r="134" spans="3:17" ht="12.75">
      <c r="C134" s="21"/>
      <c r="D134" s="21"/>
      <c r="E134" s="18">
        <v>44714</v>
      </c>
      <c r="F134" s="33"/>
      <c r="G134" s="33">
        <v>66332.74</v>
      </c>
      <c r="H134" s="21"/>
      <c r="I134" s="23"/>
      <c r="J134" s="23"/>
      <c r="K134" s="21"/>
      <c r="N134" s="53"/>
      <c r="Q134" s="55"/>
    </row>
    <row r="135" spans="3:17" ht="12.75">
      <c r="C135" s="21"/>
      <c r="D135" s="21"/>
      <c r="E135" s="18">
        <v>44754</v>
      </c>
      <c r="F135" s="33"/>
      <c r="G135" s="33">
        <v>63791.21</v>
      </c>
      <c r="H135" s="21"/>
      <c r="I135" s="23"/>
      <c r="J135" s="23"/>
      <c r="K135" s="21"/>
      <c r="N135" s="53"/>
      <c r="Q135" s="55"/>
    </row>
    <row r="136" spans="3:17" ht="12.75">
      <c r="C136" s="21"/>
      <c r="D136" s="21"/>
      <c r="E136" s="18">
        <v>44782</v>
      </c>
      <c r="F136" s="33"/>
      <c r="G136" s="33">
        <v>19406.66</v>
      </c>
      <c r="H136" s="21"/>
      <c r="I136" s="23"/>
      <c r="J136" s="23"/>
      <c r="K136" s="21"/>
      <c r="N136" s="53"/>
      <c r="Q136" s="55"/>
    </row>
    <row r="137" spans="3:17" ht="12.75">
      <c r="C137" s="21"/>
      <c r="D137" s="21"/>
      <c r="E137" s="18">
        <v>44806</v>
      </c>
      <c r="F137" s="33"/>
      <c r="G137" s="33">
        <v>57189.52</v>
      </c>
      <c r="H137" s="21"/>
      <c r="I137" s="23"/>
      <c r="J137" s="23"/>
      <c r="K137" s="21"/>
      <c r="N137" s="53"/>
      <c r="Q137" s="55"/>
    </row>
    <row r="138" spans="3:17" ht="12.75">
      <c r="C138" s="21"/>
      <c r="D138" s="21"/>
      <c r="E138" s="18">
        <v>44846</v>
      </c>
      <c r="F138" s="33"/>
      <c r="G138" s="33">
        <v>47881.28</v>
      </c>
      <c r="H138" s="21"/>
      <c r="I138" s="23"/>
      <c r="J138" s="23"/>
      <c r="K138" s="21"/>
      <c r="N138" s="53"/>
      <c r="Q138" s="55"/>
    </row>
    <row r="139" spans="3:17" ht="12.75">
      <c r="C139" s="21"/>
      <c r="D139" s="21"/>
      <c r="E139" s="18">
        <v>44868</v>
      </c>
      <c r="F139" s="33"/>
      <c r="G139" s="33">
        <v>23429.99</v>
      </c>
      <c r="H139" s="21"/>
      <c r="I139" s="23"/>
      <c r="J139" s="23"/>
      <c r="K139" s="21"/>
      <c r="N139" s="53"/>
      <c r="Q139" s="55"/>
    </row>
    <row r="140" spans="3:17" ht="12.75">
      <c r="C140" s="21"/>
      <c r="D140" s="21"/>
      <c r="E140" s="18">
        <v>44901</v>
      </c>
      <c r="F140" s="33"/>
      <c r="G140" s="33">
        <v>15195.14</v>
      </c>
      <c r="H140" s="21"/>
      <c r="I140" s="23"/>
      <c r="J140" s="23"/>
      <c r="K140" s="21"/>
      <c r="N140" s="53"/>
      <c r="Q140" s="55"/>
    </row>
    <row r="141" spans="3:17" ht="12.75">
      <c r="C141" s="21" t="s">
        <v>28</v>
      </c>
      <c r="D141" s="21"/>
      <c r="E141" s="18">
        <v>44965</v>
      </c>
      <c r="F141" s="33"/>
      <c r="G141" s="33">
        <v>-5596.15</v>
      </c>
      <c r="H141" s="21"/>
      <c r="I141" s="23"/>
      <c r="J141" s="23"/>
      <c r="K141" s="21"/>
      <c r="N141" s="53"/>
      <c r="Q141" s="55"/>
    </row>
    <row r="142" spans="3:17" ht="12.75">
      <c r="C142" s="21"/>
      <c r="D142" s="21"/>
      <c r="E142" s="18">
        <v>45009</v>
      </c>
      <c r="F142" s="33"/>
      <c r="G142" s="33">
        <v>-3357.69</v>
      </c>
      <c r="H142" s="21"/>
      <c r="I142" s="23"/>
      <c r="J142" s="23"/>
      <c r="K142" s="21"/>
      <c r="N142" s="53"/>
      <c r="Q142" s="55"/>
    </row>
    <row r="143" spans="3:17" ht="12.75">
      <c r="C143" s="21"/>
      <c r="D143" s="21"/>
      <c r="E143" s="18">
        <v>45022</v>
      </c>
      <c r="F143" s="33"/>
      <c r="G143" s="33">
        <v>-3962.08</v>
      </c>
      <c r="H143" s="21"/>
      <c r="I143" s="23"/>
      <c r="J143" s="23"/>
      <c r="K143" s="21"/>
      <c r="N143" s="53"/>
      <c r="Q143" s="55"/>
    </row>
    <row r="144" spans="3:17" ht="12.75">
      <c r="C144" s="21"/>
      <c r="D144" s="21"/>
      <c r="E144" s="18">
        <v>45084</v>
      </c>
      <c r="F144" s="33"/>
      <c r="G144" s="33">
        <v>-9468.69</v>
      </c>
      <c r="H144" s="21"/>
      <c r="I144" s="23"/>
      <c r="J144" s="23"/>
      <c r="K144" s="21"/>
      <c r="N144" s="53"/>
      <c r="Q144" s="55"/>
    </row>
    <row r="145" spans="3:17" ht="12.75">
      <c r="C145" s="21" t="s">
        <v>26</v>
      </c>
      <c r="D145" s="21"/>
      <c r="E145" s="18">
        <v>44937</v>
      </c>
      <c r="F145" s="33"/>
      <c r="G145" s="33">
        <v>20857.32</v>
      </c>
      <c r="H145" s="21"/>
      <c r="I145" s="23"/>
      <c r="J145" s="23"/>
      <c r="K145" s="21"/>
      <c r="N145" s="53"/>
      <c r="Q145" s="55"/>
    </row>
    <row r="146" spans="3:17" ht="12.75">
      <c r="C146" s="21"/>
      <c r="D146" s="21"/>
      <c r="E146" s="18">
        <v>44960</v>
      </c>
      <c r="F146" s="33"/>
      <c r="G146" s="33">
        <v>10126.3</v>
      </c>
      <c r="H146" s="21"/>
      <c r="I146" s="23"/>
      <c r="J146" s="23"/>
      <c r="K146" s="21"/>
      <c r="N146" s="53"/>
      <c r="Q146" s="55"/>
    </row>
    <row r="147" spans="3:17" ht="12.75">
      <c r="C147" s="21"/>
      <c r="D147" s="21"/>
      <c r="E147" s="18">
        <v>44994</v>
      </c>
      <c r="F147" s="33"/>
      <c r="G147" s="33">
        <v>23818.24</v>
      </c>
      <c r="H147" s="21"/>
      <c r="I147" s="23"/>
      <c r="J147" s="23"/>
      <c r="K147" s="21"/>
      <c r="N147" s="53"/>
      <c r="Q147" s="55"/>
    </row>
    <row r="148" spans="3:17" ht="12.75">
      <c r="C148" s="21"/>
      <c r="D148" s="21"/>
      <c r="E148" s="18">
        <v>45030</v>
      </c>
      <c r="F148" s="33"/>
      <c r="G148" s="33">
        <v>231560.75</v>
      </c>
      <c r="H148" s="21"/>
      <c r="I148" s="23"/>
      <c r="J148" s="23"/>
      <c r="K148" s="21"/>
      <c r="N148" s="53"/>
      <c r="Q148" s="55"/>
    </row>
    <row r="149" spans="3:17" ht="12.75">
      <c r="C149" s="21"/>
      <c r="D149" s="21"/>
      <c r="E149" s="18">
        <v>45049</v>
      </c>
      <c r="F149" s="33"/>
      <c r="G149" s="33">
        <v>18891.08</v>
      </c>
      <c r="H149" s="21"/>
      <c r="I149" s="23"/>
      <c r="J149" s="23"/>
      <c r="K149" s="21"/>
      <c r="N149" s="53"/>
      <c r="Q149" s="55"/>
    </row>
    <row r="150" spans="3:17" ht="12.75">
      <c r="C150" s="21"/>
      <c r="D150" s="21"/>
      <c r="E150" s="18">
        <v>45091</v>
      </c>
      <c r="F150" s="33"/>
      <c r="G150" s="33">
        <v>180817.09</v>
      </c>
      <c r="H150" s="21"/>
      <c r="I150" s="23"/>
      <c r="J150" s="23"/>
      <c r="K150" s="21"/>
      <c r="N150" s="53"/>
      <c r="Q150" s="55"/>
    </row>
    <row r="151" spans="3:17" ht="12.75">
      <c r="C151" s="21"/>
      <c r="D151" s="21"/>
      <c r="E151" s="18">
        <v>45114</v>
      </c>
      <c r="F151" s="33"/>
      <c r="G151" s="33">
        <v>12667.34</v>
      </c>
      <c r="H151" s="21"/>
      <c r="I151" s="23"/>
      <c r="J151" s="23"/>
      <c r="K151" s="21"/>
      <c r="N151" s="53"/>
      <c r="Q151" s="55"/>
    </row>
    <row r="152" spans="3:17" ht="12.75">
      <c r="C152" s="21"/>
      <c r="D152" s="21"/>
      <c r="E152" s="18">
        <v>45154</v>
      </c>
      <c r="F152" s="33"/>
      <c r="G152" s="33">
        <v>162751.23</v>
      </c>
      <c r="H152" s="21"/>
      <c r="I152" s="23"/>
      <c r="J152" s="23"/>
      <c r="K152" s="21"/>
      <c r="N152" s="53"/>
      <c r="Q152" s="55"/>
    </row>
    <row r="153" spans="3:17" ht="12.75">
      <c r="C153" s="21"/>
      <c r="D153" s="21"/>
      <c r="E153" s="18">
        <v>45176</v>
      </c>
      <c r="F153" s="33"/>
      <c r="G153" s="33">
        <v>8633.45</v>
      </c>
      <c r="H153" s="21"/>
      <c r="I153" s="23"/>
      <c r="J153" s="23"/>
      <c r="K153" s="21"/>
      <c r="N153" s="53"/>
      <c r="Q153" s="55"/>
    </row>
    <row r="154" spans="3:17" ht="12.75">
      <c r="C154" s="21"/>
      <c r="D154" s="21"/>
      <c r="E154" s="18">
        <v>45191</v>
      </c>
      <c r="F154" s="33"/>
      <c r="G154" s="33">
        <v>41528.08</v>
      </c>
      <c r="H154" s="21"/>
      <c r="I154" s="23"/>
      <c r="J154" s="23"/>
      <c r="K154" s="21"/>
      <c r="N154" s="53"/>
      <c r="Q154" s="55"/>
    </row>
    <row r="155" spans="3:17" ht="12.75">
      <c r="C155" s="21"/>
      <c r="D155" s="21"/>
      <c r="E155" s="18">
        <v>45198</v>
      </c>
      <c r="F155" s="33"/>
      <c r="G155" s="33">
        <v>18700.13</v>
      </c>
      <c r="H155" s="21"/>
      <c r="I155" s="23"/>
      <c r="J155" s="23"/>
      <c r="K155" s="21"/>
      <c r="N155" s="53"/>
      <c r="Q155" s="55"/>
    </row>
    <row r="156" spans="3:17" ht="4.5" customHeight="1">
      <c r="C156" s="21"/>
      <c r="D156" s="21"/>
      <c r="E156" s="18"/>
      <c r="F156" s="21"/>
      <c r="G156" s="33"/>
      <c r="H156" s="21"/>
      <c r="I156" s="23"/>
      <c r="J156" s="23"/>
      <c r="N156" s="53"/>
      <c r="Q156" s="55"/>
    </row>
    <row r="157" spans="3:17" ht="15.75">
      <c r="C157" s="21" t="s">
        <v>1</v>
      </c>
      <c r="D157" s="21"/>
      <c r="E157" s="18">
        <f>+E8</f>
        <v>45199</v>
      </c>
      <c r="F157" s="21"/>
      <c r="G157" s="49">
        <f>L157/0.97*C22</f>
        <v>918663.6745386743</v>
      </c>
      <c r="H157" s="21"/>
      <c r="I157" s="18"/>
      <c r="L157" s="54">
        <v>3.980878659E9</v>
      </c>
      <c r="M157" s="50"/>
      <c r="N157" s="53"/>
      <c r="Q157" s="55"/>
    </row>
    <row r="158" spans="3:14" ht="12.75">
      <c r="C158" s="21"/>
      <c r="D158" s="21"/>
      <c r="E158" s="21"/>
      <c r="F158" s="21"/>
      <c r="G158" s="21"/>
      <c r="H158" s="21"/>
      <c r="J158" s="23"/>
      <c r="N158" s="53"/>
    </row>
    <row r="159" spans="3:11" ht="12.75">
      <c r="C159" s="20" t="s">
        <v>0</v>
      </c>
      <c r="G159" s="47">
        <f>+XIRR(G24:G157,E24:E157,0.1)</f>
        <v>0.15752938389778134</v>
      </c>
      <c r="H159" s="21"/>
      <c r="J159" s="33">
        <f>+SUMIF($G$24:$G$156,"&lt;0",$G$24:$G$156)+23052.4</f>
        <v>-1554863.5799999996</v>
      </c>
      <c r="K159" s="21" t="s">
        <v>11</v>
      </c>
    </row>
    <row r="160" spans="3:11" ht="12.75">
      <c r="C160" s="21"/>
      <c r="D160" s="21"/>
      <c r="E160" s="21"/>
      <c r="F160" s="21"/>
      <c r="G160" s="21"/>
      <c r="H160" s="21"/>
      <c r="J160" s="33">
        <f>+SUMIF($G$24:$G$156,"&gt;0",$G$24:$G$156)-23052.4</f>
        <v>2065667.59</v>
      </c>
      <c r="K160" s="21" t="s">
        <v>12</v>
      </c>
    </row>
    <row r="161" spans="3:8" ht="12.75">
      <c r="C161" s="21"/>
      <c r="D161" s="21"/>
      <c r="E161" s="21"/>
      <c r="F161" s="21"/>
      <c r="G161" s="21"/>
      <c r="H161" s="21"/>
    </row>
    <row r="162" spans="3:11" ht="12.75">
      <c r="C162" s="21"/>
      <c r="D162" s="21"/>
      <c r="E162" s="34"/>
      <c r="F162" s="21"/>
      <c r="G162" s="34"/>
      <c r="H162" s="21"/>
      <c r="K162" s="34"/>
    </row>
    <row r="163" spans="3:11" ht="12.75">
      <c r="C163" s="26"/>
      <c r="D163" s="26"/>
      <c r="E163" s="34"/>
      <c r="F163" s="26"/>
      <c r="G163" s="34"/>
      <c r="H163" s="21"/>
      <c r="K163" s="34"/>
    </row>
    <row r="164" spans="3:11" ht="12.75">
      <c r="C164" s="26"/>
      <c r="D164" s="26"/>
      <c r="E164" s="34"/>
      <c r="F164" s="26"/>
      <c r="G164" s="34"/>
      <c r="H164" s="21"/>
      <c r="K164" s="34"/>
    </row>
    <row r="165" spans="3:11" ht="12.75">
      <c r="C165" s="26"/>
      <c r="D165" s="26"/>
      <c r="E165" s="26"/>
      <c r="F165" s="26"/>
      <c r="G165" s="26"/>
      <c r="H165" s="20"/>
      <c r="K165" s="34"/>
    </row>
    <row r="166" spans="3:11" ht="12.75">
      <c r="C166" s="26"/>
      <c r="D166" s="26"/>
      <c r="E166" s="34"/>
      <c r="F166" s="34"/>
      <c r="G166" s="34"/>
      <c r="H166" s="20"/>
      <c r="K166" s="34"/>
    </row>
    <row r="167" spans="3:11" ht="12.75">
      <c r="C167" s="26"/>
      <c r="D167" s="26"/>
      <c r="E167" s="26"/>
      <c r="F167" s="26"/>
      <c r="G167" s="26"/>
      <c r="H167" s="20"/>
      <c r="K167" s="53"/>
    </row>
    <row r="168" spans="3:8" ht="12.75">
      <c r="C168" s="114"/>
      <c r="D168" s="114"/>
      <c r="E168" s="115"/>
      <c r="F168" s="46"/>
      <c r="G168" s="45"/>
      <c r="H168" s="20"/>
    </row>
    <row r="169" spans="3:11" ht="12.75">
      <c r="C169" s="114"/>
      <c r="D169" s="114"/>
      <c r="E169" s="46"/>
      <c r="F169" s="46"/>
      <c r="G169" s="46"/>
      <c r="H169" s="20"/>
      <c r="K169" s="53"/>
    </row>
    <row r="170" spans="3:8" ht="12.75">
      <c r="C170" s="114"/>
      <c r="D170" s="114"/>
      <c r="E170" s="46"/>
      <c r="F170" s="46"/>
      <c r="G170" s="46"/>
      <c r="H170" s="20"/>
    </row>
    <row r="171" spans="3:8" ht="12.75">
      <c r="C171" s="116"/>
      <c r="D171" s="114"/>
      <c r="E171" s="46"/>
      <c r="F171" s="46"/>
      <c r="G171" s="46"/>
      <c r="H171" s="20"/>
    </row>
    <row r="172" spans="3:8" ht="12.75">
      <c r="C172" s="116"/>
      <c r="D172" s="114"/>
      <c r="E172" s="46"/>
      <c r="F172" s="46"/>
      <c r="G172" s="46"/>
      <c r="H172" s="20"/>
    </row>
    <row r="173" spans="3:8" ht="12.75">
      <c r="C173" s="117"/>
      <c r="D173" s="114"/>
      <c r="E173" s="46"/>
      <c r="F173" s="46"/>
      <c r="G173" s="46"/>
      <c r="H173" s="20"/>
    </row>
    <row r="174" spans="3:8" ht="12.75">
      <c r="C174" s="114"/>
      <c r="D174" s="114"/>
      <c r="E174" s="46"/>
      <c r="F174" s="46"/>
      <c r="G174" s="46"/>
      <c r="H174" s="20"/>
    </row>
    <row r="175" spans="3:8" ht="12.75">
      <c r="C175" s="114"/>
      <c r="D175" s="114"/>
      <c r="E175" s="46"/>
      <c r="F175" s="46"/>
      <c r="G175" s="46"/>
      <c r="H175" s="20"/>
    </row>
    <row r="176" spans="3:8" ht="12.75">
      <c r="C176" s="114"/>
      <c r="D176" s="114"/>
      <c r="E176" s="46"/>
      <c r="F176" s="46"/>
      <c r="G176" s="46"/>
      <c r="H176" s="20"/>
    </row>
    <row r="177" spans="3:8" ht="12.75">
      <c r="C177" s="114"/>
      <c r="D177" s="114"/>
      <c r="E177" s="46"/>
      <c r="F177" s="46"/>
      <c r="G177" s="46"/>
      <c r="H177" s="20"/>
    </row>
    <row r="178" spans="3:8" ht="12.75">
      <c r="C178" s="114"/>
      <c r="D178" s="114"/>
      <c r="E178" s="46"/>
      <c r="F178" s="46"/>
      <c r="G178" s="46"/>
      <c r="H178" s="20"/>
    </row>
    <row r="179" spans="3:8" ht="12.75">
      <c r="C179" s="114"/>
      <c r="D179" s="114"/>
      <c r="E179" s="46"/>
      <c r="F179" s="46"/>
      <c r="G179" s="46"/>
      <c r="H179" s="20"/>
    </row>
    <row r="180" spans="3:8" ht="5.1" customHeight="1">
      <c r="C180" s="20"/>
      <c r="D180" s="20"/>
      <c r="E180" s="72"/>
      <c r="F180" s="37"/>
      <c r="G180" s="72"/>
      <c r="H180" s="20"/>
    </row>
    <row r="181" spans="3:8" ht="12.75">
      <c r="C181" s="20"/>
      <c r="D181" s="20"/>
      <c r="E181" s="73"/>
      <c r="F181" s="43"/>
      <c r="G181" s="73"/>
      <c r="H181" s="20"/>
    </row>
    <row r="182" spans="3:8" ht="12.75">
      <c r="C182" s="21"/>
      <c r="D182" s="21"/>
      <c r="E182" s="74"/>
      <c r="F182" s="75"/>
      <c r="G182" s="74"/>
      <c r="H182" s="21"/>
    </row>
    <row r="183" spans="3:8" ht="12.75">
      <c r="C183" s="21"/>
      <c r="D183" s="21"/>
      <c r="E183" s="74"/>
      <c r="F183" s="75"/>
      <c r="G183" s="74"/>
      <c r="H183" s="21"/>
    </row>
    <row r="184" spans="3:8" ht="12.75">
      <c r="C184" s="21"/>
      <c r="D184" s="21"/>
      <c r="E184" s="74"/>
      <c r="F184" s="75"/>
      <c r="G184" s="74"/>
      <c r="H184" s="21"/>
    </row>
    <row r="185" spans="3:8" ht="12.75">
      <c r="C185" s="21"/>
      <c r="D185" s="21"/>
      <c r="E185" s="76"/>
      <c r="F185" s="76"/>
      <c r="G185" s="76"/>
      <c r="H185" s="21"/>
    </row>
    <row r="186" spans="3:8" ht="12.75">
      <c r="C186" s="21"/>
      <c r="D186" s="21"/>
      <c r="E186" s="21"/>
      <c r="F186" s="21"/>
      <c r="G186" s="21"/>
      <c r="H186" s="21"/>
    </row>
    <row r="187" spans="3:8" ht="12.75">
      <c r="C187" s="21"/>
      <c r="D187" s="21"/>
      <c r="E187" s="21"/>
      <c r="F187" s="21"/>
      <c r="G187" s="21"/>
      <c r="H187" s="21"/>
    </row>
    <row r="188" spans="3:8" ht="12.75">
      <c r="C188" s="21"/>
      <c r="D188" s="21"/>
      <c r="E188" s="21"/>
      <c r="F188" s="21"/>
      <c r="G188" s="21"/>
      <c r="H188" s="21"/>
    </row>
    <row r="189" spans="3:8" ht="12.75">
      <c r="C189" s="21"/>
      <c r="D189" s="21"/>
      <c r="E189" s="21"/>
      <c r="F189" s="21"/>
      <c r="G189" s="21"/>
      <c r="H189" s="21"/>
    </row>
    <row r="190" spans="3:8" ht="12.75">
      <c r="C190" s="21"/>
      <c r="D190" s="21"/>
      <c r="E190" s="21"/>
      <c r="F190" s="21"/>
      <c r="G190" s="21"/>
      <c r="H190" s="21"/>
    </row>
    <row r="191" spans="3:8" ht="12.75">
      <c r="C191" s="21"/>
      <c r="D191" s="21"/>
      <c r="E191" s="21"/>
      <c r="F191" s="21"/>
      <c r="G191" s="21"/>
      <c r="H191" s="21"/>
    </row>
    <row r="192" spans="3:8" ht="12.75">
      <c r="C192" s="21"/>
      <c r="D192" s="21"/>
      <c r="E192" s="21"/>
      <c r="F192" s="21"/>
      <c r="G192" s="21"/>
      <c r="H192" s="21"/>
    </row>
    <row r="193" spans="3:8" ht="12.75">
      <c r="C193" s="21"/>
      <c r="D193" s="21"/>
      <c r="E193" s="21"/>
      <c r="F193" s="21"/>
      <c r="G193" s="21"/>
      <c r="H193" s="21"/>
    </row>
    <row r="194" spans="3:8" ht="12.75">
      <c r="C194" s="21"/>
      <c r="D194" s="21"/>
      <c r="E194" s="21"/>
      <c r="F194" s="21"/>
      <c r="G194" s="21"/>
      <c r="H194" s="21"/>
    </row>
    <row r="195" spans="3:8" ht="12.75">
      <c r="C195" s="21"/>
      <c r="D195" s="21"/>
      <c r="E195" s="21"/>
      <c r="F195" s="21"/>
      <c r="G195" s="21"/>
      <c r="H19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667C40-B2A4-4598-ADC3-7F7870A42EE5}">
  <sheetPr>
    <pageSetUpPr fitToPage="1"/>
  </sheetPr>
  <dimension ref="B4:Q18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+'Fund X'!E8</f>
        <v>45199</v>
      </c>
      <c r="F8" s="36"/>
      <c r="G8" s="6"/>
      <c r="H8" s="6"/>
      <c r="I8" s="17"/>
    </row>
    <row r="9" spans="3:7" ht="15.75">
      <c r="C9" s="118"/>
      <c r="D9" s="118"/>
      <c r="E9" s="118"/>
      <c r="F9" s="118"/>
      <c r="G9" s="119"/>
    </row>
    <row r="10" spans="3:9" ht="12.75">
      <c r="C10" s="120"/>
      <c r="D10" s="120"/>
      <c r="E10" s="121"/>
      <c r="F10" s="120"/>
      <c r="G10" s="54"/>
      <c r="H10" s="8"/>
      <c r="I10" s="55"/>
    </row>
    <row r="11" spans="3:9" ht="12.75">
      <c r="C11" s="120"/>
      <c r="D11" s="120"/>
      <c r="E11" s="121"/>
      <c r="F11" s="120"/>
      <c r="G11" s="121"/>
      <c r="H11" s="8"/>
      <c r="I11" s="55"/>
    </row>
    <row r="12" spans="3:9" ht="15.75">
      <c r="C12" s="122"/>
      <c r="D12" s="122"/>
      <c r="E12" s="123"/>
      <c r="F12" s="122"/>
      <c r="G12" s="123"/>
      <c r="H12" s="5"/>
      <c r="I12" s="55"/>
    </row>
    <row r="13" spans="3:9" ht="12.75">
      <c r="C13" s="120"/>
      <c r="D13" s="120"/>
      <c r="E13" s="124"/>
      <c r="F13" s="120"/>
      <c r="G13" s="54"/>
      <c r="H13" s="9"/>
      <c r="I13" s="55"/>
    </row>
    <row r="14" spans="3:9" ht="12.75">
      <c r="C14" s="120"/>
      <c r="D14" s="120"/>
      <c r="E14" s="125"/>
      <c r="F14" s="120"/>
      <c r="G14" s="54"/>
      <c r="H14" s="10"/>
      <c r="I14" s="55"/>
    </row>
    <row r="15" spans="3:9" ht="12.75">
      <c r="C15" s="120"/>
      <c r="D15" s="120"/>
      <c r="E15" s="121"/>
      <c r="F15" s="120"/>
      <c r="G15" s="121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G159</f>
        <v>0.14430227875709534</v>
      </c>
      <c r="F18" s="7"/>
      <c r="G18" s="15"/>
      <c r="H18" s="9"/>
      <c r="I18" s="55"/>
    </row>
    <row r="19" spans="3:16" ht="12.75">
      <c r="C19" s="7" t="s">
        <v>6</v>
      </c>
      <c r="D19" s="7"/>
      <c r="E19" s="38">
        <f>-(G157+J160)/J159</f>
        <v>1.8108554127229457</v>
      </c>
      <c r="F19" s="7"/>
      <c r="G19" s="13"/>
      <c r="H19" s="8"/>
      <c r="N19" s="53"/>
      <c r="O19" s="65"/>
      <c r="P19" s="53"/>
    </row>
    <row r="20" spans="3:16" ht="12.75">
      <c r="C20" s="7"/>
      <c r="D20" s="7"/>
      <c r="E20" s="7"/>
      <c r="F20" s="7"/>
      <c r="G20" s="8"/>
      <c r="N20" s="53"/>
      <c r="O20" s="65"/>
      <c r="P20" s="53"/>
    </row>
    <row r="21" spans="3:16" ht="15.75">
      <c r="C21" s="22" t="s">
        <v>33</v>
      </c>
      <c r="D21" s="11"/>
      <c r="E21" s="11"/>
      <c r="F21" s="11"/>
      <c r="I21" s="18"/>
      <c r="J21" s="21"/>
      <c r="L21" s="25"/>
      <c r="N21" s="53"/>
      <c r="O21" s="65"/>
      <c r="P21" s="53"/>
    </row>
    <row r="22" spans="3:17" ht="12.75">
      <c r="C22" s="28">
        <v>0.001086909</v>
      </c>
      <c r="D22" s="21"/>
      <c r="E22" s="21"/>
      <c r="F22" s="21"/>
      <c r="G22" s="27"/>
      <c r="H22" s="21"/>
      <c r="I22" s="21"/>
      <c r="J22" s="21"/>
      <c r="N22" s="53"/>
      <c r="O22" s="65"/>
      <c r="P22" s="53"/>
      <c r="Q22" s="77"/>
    </row>
    <row r="23" spans="3:16" ht="12.75">
      <c r="C23" s="21"/>
      <c r="D23" s="21"/>
      <c r="E23" s="18"/>
      <c r="F23" s="33"/>
      <c r="G23" s="33"/>
      <c r="H23" s="21"/>
      <c r="I23" s="23"/>
      <c r="N23" s="53"/>
      <c r="O23" s="65"/>
      <c r="P23" s="53"/>
    </row>
    <row r="24" spans="3:16" ht="12.75">
      <c r="C24" s="21" t="s">
        <v>9</v>
      </c>
      <c r="D24" s="21"/>
      <c r="E24" s="18">
        <v>42089</v>
      </c>
      <c r="F24" s="33"/>
      <c r="G24" s="33">
        <v>-71700</v>
      </c>
      <c r="H24" s="21"/>
      <c r="I24" s="23"/>
      <c r="N24" s="53"/>
      <c r="O24" s="65"/>
      <c r="P24" s="53"/>
    </row>
    <row r="25" spans="3:16" ht="12.75">
      <c r="C25" s="21"/>
      <c r="D25" s="21"/>
      <c r="E25" s="18">
        <v>42118</v>
      </c>
      <c r="F25" s="33"/>
      <c r="G25" s="33">
        <v>23052.40</v>
      </c>
      <c r="H25" s="21"/>
      <c r="I25" s="23"/>
      <c r="N25" s="53"/>
      <c r="O25" s="65"/>
      <c r="P25" s="53"/>
    </row>
    <row r="26" spans="3:16" ht="12.75">
      <c r="C26" s="21"/>
      <c r="D26" s="21"/>
      <c r="E26" s="18">
        <v>42180</v>
      </c>
      <c r="F26" s="33"/>
      <c r="G26" s="33">
        <v>-7095.93</v>
      </c>
      <c r="H26" s="21"/>
      <c r="I26" s="23"/>
      <c r="N26" s="53"/>
      <c r="O26" s="65"/>
      <c r="P26" s="53"/>
    </row>
    <row r="27" spans="3:16" ht="12.75">
      <c r="C27" s="21"/>
      <c r="D27" s="21"/>
      <c r="E27" s="18">
        <v>42201</v>
      </c>
      <c r="F27" s="33"/>
      <c r="G27" s="33">
        <v>-2216.09</v>
      </c>
      <c r="H27" s="21"/>
      <c r="I27" s="23"/>
      <c r="N27" s="53"/>
      <c r="O27" s="65"/>
      <c r="P27" s="53"/>
    </row>
    <row r="28" spans="3:16" ht="12.75">
      <c r="C28" s="21"/>
      <c r="E28" s="18">
        <v>42271</v>
      </c>
      <c r="G28" s="33">
        <v>-6961.62</v>
      </c>
      <c r="H28" s="21"/>
      <c r="I28" s="23"/>
      <c r="J28" s="23"/>
      <c r="K28" s="21"/>
      <c r="N28" s="53"/>
      <c r="O28" s="65"/>
      <c r="P28" s="53"/>
    </row>
    <row r="29" spans="3:11" ht="12.75">
      <c r="C29" s="21"/>
      <c r="E29" s="18">
        <v>42324</v>
      </c>
      <c r="G29" s="33">
        <v>-10587.93</v>
      </c>
      <c r="H29" s="21"/>
      <c r="I29" s="23"/>
      <c r="J29" s="23"/>
      <c r="K29" s="21"/>
    </row>
    <row r="30" spans="3:11" ht="12.75">
      <c r="C30" s="21"/>
      <c r="E30" s="18">
        <v>42367</v>
      </c>
      <c r="G30" s="33">
        <v>-28316.54</v>
      </c>
      <c r="H30" s="21"/>
      <c r="I30" s="23"/>
      <c r="J30" s="23"/>
      <c r="K30" s="21"/>
    </row>
    <row r="31" spans="3:11" ht="12.75">
      <c r="C31" s="21" t="s">
        <v>13</v>
      </c>
      <c r="D31" s="21"/>
      <c r="E31" s="18">
        <v>42396</v>
      </c>
      <c r="G31" s="33">
        <v>-46425.69</v>
      </c>
      <c r="H31" s="21"/>
      <c r="I31" s="23"/>
      <c r="J31" s="23"/>
      <c r="K31" s="21"/>
    </row>
    <row r="32" spans="3:11" ht="12.75">
      <c r="C32" s="21"/>
      <c r="D32" s="21"/>
      <c r="E32" s="18">
        <v>42453</v>
      </c>
      <c r="G32" s="33">
        <v>-10319.32</v>
      </c>
      <c r="H32" s="21"/>
      <c r="I32" s="23"/>
      <c r="J32" s="23"/>
      <c r="K32" s="21"/>
    </row>
    <row r="33" spans="3:11" ht="12.75">
      <c r="C33" s="21"/>
      <c r="D33" s="21"/>
      <c r="E33" s="18">
        <v>42461</v>
      </c>
      <c r="G33" s="33">
        <v>-7476.46</v>
      </c>
      <c r="H33" s="21"/>
      <c r="I33" s="23"/>
      <c r="J33" s="23"/>
      <c r="K33" s="21"/>
    </row>
    <row r="34" spans="3:11" ht="12.75">
      <c r="C34" s="21"/>
      <c r="D34" s="21"/>
      <c r="E34" s="18">
        <v>42500</v>
      </c>
      <c r="G34" s="33">
        <v>-6446.76</v>
      </c>
      <c r="H34" s="21"/>
      <c r="I34" s="23"/>
      <c r="J34" s="23"/>
      <c r="K34" s="21"/>
    </row>
    <row r="35" spans="3:11" ht="12.75">
      <c r="C35" s="21"/>
      <c r="D35" s="21"/>
      <c r="E35" s="18">
        <v>42513</v>
      </c>
      <c r="G35" s="33">
        <v>-21354.92</v>
      </c>
      <c r="H35" s="21"/>
      <c r="I35" s="23"/>
      <c r="J35" s="23"/>
      <c r="K35" s="21"/>
    </row>
    <row r="36" spans="3:11" ht="12.75">
      <c r="C36" s="21"/>
      <c r="D36" s="21"/>
      <c r="E36" s="18">
        <v>42524</v>
      </c>
      <c r="G36" s="33">
        <v>-50052</v>
      </c>
      <c r="H36" s="21"/>
      <c r="I36" s="23"/>
      <c r="J36" s="23"/>
      <c r="K36" s="21"/>
    </row>
    <row r="37" spans="3:11" ht="12.75">
      <c r="C37" s="21"/>
      <c r="D37" s="21"/>
      <c r="E37" s="18">
        <v>42544</v>
      </c>
      <c r="G37" s="33">
        <v>-73690.16</v>
      </c>
      <c r="H37" s="21"/>
      <c r="I37" s="23"/>
      <c r="J37" s="23"/>
      <c r="K37" s="21"/>
    </row>
    <row r="38" spans="3:11" ht="12.75">
      <c r="C38" s="21"/>
      <c r="D38" s="21"/>
      <c r="E38" s="18">
        <v>42564</v>
      </c>
      <c r="G38" s="33">
        <v>-8058.46</v>
      </c>
      <c r="H38" s="21"/>
      <c r="I38" s="23"/>
      <c r="J38" s="23"/>
      <c r="K38" s="21"/>
    </row>
    <row r="39" spans="3:11" ht="12.75">
      <c r="C39" s="21"/>
      <c r="D39" s="21"/>
      <c r="E39" s="18">
        <v>42585</v>
      </c>
      <c r="G39" s="33">
        <v>-35860.16</v>
      </c>
      <c r="H39" s="21"/>
      <c r="I39" s="23"/>
      <c r="J39" s="23"/>
      <c r="K39" s="21"/>
    </row>
    <row r="40" spans="3:11" ht="12.75">
      <c r="C40" s="21"/>
      <c r="D40" s="21"/>
      <c r="E40" s="18">
        <v>42614</v>
      </c>
      <c r="G40" s="33">
        <v>-13676.99</v>
      </c>
      <c r="H40" s="21"/>
      <c r="I40" s="23"/>
      <c r="J40" s="23"/>
      <c r="K40" s="21"/>
    </row>
    <row r="41" spans="3:9" ht="12.75">
      <c r="C41" s="21"/>
      <c r="D41" s="21"/>
      <c r="E41" s="18">
        <v>42641</v>
      </c>
      <c r="G41" s="33">
        <v>-20952</v>
      </c>
      <c r="H41" s="21"/>
      <c r="I41" s="23"/>
    </row>
    <row r="42" spans="3:9" ht="12.75">
      <c r="C42" s="21"/>
      <c r="D42" s="21"/>
      <c r="E42" s="18">
        <v>42656</v>
      </c>
      <c r="G42" s="33">
        <v>-22362.23</v>
      </c>
      <c r="H42" s="21"/>
      <c r="I42" s="23"/>
    </row>
    <row r="43" spans="3:9" ht="12.75">
      <c r="C43" s="21"/>
      <c r="D43" s="21"/>
      <c r="E43" s="18">
        <v>42704</v>
      </c>
      <c r="G43" s="33">
        <v>-19183.62</v>
      </c>
      <c r="H43" s="21"/>
      <c r="I43" s="23"/>
    </row>
    <row r="44" spans="3:9" ht="12.75">
      <c r="C44" s="21"/>
      <c r="D44" s="21"/>
      <c r="E44" s="18">
        <v>42719</v>
      </c>
      <c r="G44" s="33">
        <v>-20593.85</v>
      </c>
      <c r="H44" s="21"/>
      <c r="I44" s="23"/>
    </row>
    <row r="45" spans="3:9" ht="12.75">
      <c r="C45" s="21"/>
      <c r="D45" s="21"/>
      <c r="E45" s="18">
        <v>42733</v>
      </c>
      <c r="G45" s="33">
        <v>-13318.84</v>
      </c>
      <c r="H45" s="21"/>
      <c r="I45" s="23"/>
    </row>
    <row r="46" spans="3:11" ht="12.75">
      <c r="C46" s="21" t="s">
        <v>14</v>
      </c>
      <c r="D46" s="21"/>
      <c r="E46" s="18">
        <v>42716</v>
      </c>
      <c r="G46" s="33">
        <v>17585.47</v>
      </c>
      <c r="H46" s="21"/>
      <c r="I46" s="23"/>
      <c r="J46" s="23"/>
      <c r="K46" s="21"/>
    </row>
    <row r="47" spans="3:11" ht="12.75">
      <c r="C47" s="21" t="s">
        <v>15</v>
      </c>
      <c r="D47" s="21"/>
      <c r="E47" s="18">
        <v>42754</v>
      </c>
      <c r="G47" s="33">
        <v>-12983.08</v>
      </c>
      <c r="H47" s="21"/>
      <c r="I47" s="23"/>
      <c r="J47" s="23"/>
      <c r="K47" s="21"/>
    </row>
    <row r="48" spans="3:11" ht="12.75">
      <c r="C48" s="21"/>
      <c r="D48" s="21"/>
      <c r="E48" s="18">
        <v>42765</v>
      </c>
      <c r="G48" s="33">
        <v>-13251.70</v>
      </c>
      <c r="H48" s="21"/>
      <c r="I48" s="23"/>
      <c r="J48" s="23"/>
      <c r="K48" s="21"/>
    </row>
    <row r="49" spans="3:11" ht="12.75">
      <c r="C49" s="21"/>
      <c r="D49" s="21"/>
      <c r="E49" s="18">
        <v>42773</v>
      </c>
      <c r="G49" s="33">
        <v>-22608.46</v>
      </c>
      <c r="H49" s="21"/>
      <c r="I49" s="23"/>
      <c r="J49" s="23"/>
      <c r="K49" s="21"/>
    </row>
    <row r="50" spans="3:11" ht="12.75">
      <c r="C50" s="21"/>
      <c r="D50" s="21"/>
      <c r="E50" s="18">
        <v>42797</v>
      </c>
      <c r="G50" s="33">
        <v>-31629.46</v>
      </c>
      <c r="H50" s="21"/>
      <c r="I50" s="23"/>
      <c r="J50" s="23"/>
      <c r="K50" s="21"/>
    </row>
    <row r="51" spans="3:11" ht="12.75">
      <c r="C51" s="21"/>
      <c r="D51" s="21"/>
      <c r="E51" s="18">
        <v>42817</v>
      </c>
      <c r="G51" s="33">
        <v>-18758.31</v>
      </c>
      <c r="H51" s="21"/>
      <c r="I51" s="23"/>
      <c r="J51" s="23"/>
      <c r="K51" s="21"/>
    </row>
    <row r="52" spans="3:11" ht="12.75">
      <c r="C52" s="21"/>
      <c r="D52" s="21"/>
      <c r="E52" s="18">
        <v>42828</v>
      </c>
      <c r="G52" s="33">
        <v>-16296</v>
      </c>
      <c r="H52" s="21"/>
      <c r="I52" s="23"/>
      <c r="J52" s="23"/>
      <c r="K52" s="21"/>
    </row>
    <row r="53" spans="3:11" ht="12.75">
      <c r="C53" s="21"/>
      <c r="D53" s="21"/>
      <c r="E53" s="18">
        <v>42851</v>
      </c>
      <c r="G53" s="33">
        <v>-71496.45</v>
      </c>
      <c r="H53" s="21"/>
      <c r="I53" s="23"/>
      <c r="J53" s="23"/>
      <c r="K53" s="21"/>
    </row>
    <row r="54" spans="3:11" ht="12.75">
      <c r="C54" s="21"/>
      <c r="D54" s="21"/>
      <c r="E54" s="18">
        <v>42863</v>
      </c>
      <c r="G54" s="33">
        <v>-15087.24</v>
      </c>
      <c r="H54" s="21"/>
      <c r="I54" s="23"/>
      <c r="J54" s="23"/>
      <c r="K54" s="21"/>
    </row>
    <row r="55" spans="3:9" ht="12.75">
      <c r="C55" s="21"/>
      <c r="D55" s="21"/>
      <c r="E55" s="18">
        <v>42878</v>
      </c>
      <c r="G55" s="33">
        <v>-17057.08</v>
      </c>
      <c r="H55" s="21"/>
      <c r="I55" s="23"/>
    </row>
    <row r="56" spans="3:9" ht="12.75">
      <c r="C56" s="21"/>
      <c r="D56" s="21"/>
      <c r="E56" s="18">
        <v>42893</v>
      </c>
      <c r="G56" s="33">
        <v>-32032.38</v>
      </c>
      <c r="H56" s="21"/>
      <c r="I56" s="23"/>
    </row>
    <row r="57" spans="3:9" ht="12.75">
      <c r="C57" s="21"/>
      <c r="D57" s="21"/>
      <c r="E57" s="18">
        <v>42907</v>
      </c>
      <c r="G57" s="33">
        <v>-16989.92</v>
      </c>
      <c r="H57" s="21"/>
      <c r="I57" s="23"/>
    </row>
    <row r="58" spans="3:9" ht="12.75">
      <c r="C58" s="21"/>
      <c r="D58" s="21"/>
      <c r="E58" s="18">
        <v>42915</v>
      </c>
      <c r="G58" s="33">
        <v>-38949.24</v>
      </c>
      <c r="H58" s="21"/>
      <c r="I58" s="23"/>
    </row>
    <row r="59" spans="3:9" ht="12.75">
      <c r="C59" s="21"/>
      <c r="D59" s="21"/>
      <c r="E59" s="18">
        <v>42927</v>
      </c>
      <c r="G59" s="33">
        <v>-13878.47</v>
      </c>
      <c r="H59" s="21"/>
      <c r="I59" s="23"/>
    </row>
    <row r="60" spans="3:9" ht="12.75">
      <c r="C60" s="21"/>
      <c r="D60" s="21"/>
      <c r="E60" s="18">
        <v>42957</v>
      </c>
      <c r="G60" s="33">
        <v>-21265.38</v>
      </c>
      <c r="H60" s="21"/>
      <c r="I60" s="23"/>
    </row>
    <row r="61" spans="3:9" ht="12.75">
      <c r="C61" s="21"/>
      <c r="D61" s="21"/>
      <c r="E61" s="18">
        <v>42970</v>
      </c>
      <c r="G61" s="33">
        <v>-45910.85</v>
      </c>
      <c r="H61" s="21"/>
      <c r="I61" s="23"/>
    </row>
    <row r="62" spans="3:11" ht="12.75">
      <c r="C62" s="21"/>
      <c r="D62" s="21"/>
      <c r="E62" s="18">
        <v>42993</v>
      </c>
      <c r="G62" s="33">
        <v>-16452.68</v>
      </c>
      <c r="H62" s="21"/>
      <c r="I62" s="23"/>
      <c r="J62" s="23"/>
      <c r="K62" s="21"/>
    </row>
    <row r="63" spans="3:11" ht="12.75">
      <c r="C63" s="21"/>
      <c r="D63" s="21"/>
      <c r="E63" s="18">
        <v>43000</v>
      </c>
      <c r="G63" s="33">
        <v>-23817.22</v>
      </c>
      <c r="H63" s="21"/>
      <c r="I63" s="23"/>
      <c r="J63" s="23"/>
      <c r="K63" s="21"/>
    </row>
    <row r="64" spans="3:11" ht="12.75">
      <c r="C64" s="21"/>
      <c r="D64" s="21"/>
      <c r="E64" s="18">
        <v>43012</v>
      </c>
      <c r="G64" s="33">
        <v>-23794.85</v>
      </c>
      <c r="H64" s="21"/>
      <c r="I64" s="23"/>
      <c r="J64" s="23"/>
      <c r="K64" s="21"/>
    </row>
    <row r="65" spans="3:12" ht="15.75">
      <c r="C65" s="21"/>
      <c r="D65" s="21"/>
      <c r="E65" s="18">
        <v>43027</v>
      </c>
      <c r="G65" s="33">
        <v>-23347.15</v>
      </c>
      <c r="H65" s="21"/>
      <c r="I65" s="23"/>
      <c r="J65" s="111"/>
      <c r="K65" s="112"/>
      <c r="L65" s="104"/>
    </row>
    <row r="66" spans="3:12" ht="12.75">
      <c r="C66" s="21"/>
      <c r="D66" s="21"/>
      <c r="E66" s="18">
        <v>43046</v>
      </c>
      <c r="G66" s="33">
        <v>-23481.45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43056</v>
      </c>
      <c r="G67" s="33">
        <v>-21713.07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43083</v>
      </c>
      <c r="G68" s="33">
        <v>-20996.77</v>
      </c>
      <c r="H68" s="21"/>
      <c r="I68" s="23"/>
      <c r="J68" s="111"/>
      <c r="K68" s="112"/>
      <c r="L68" s="54"/>
    </row>
    <row r="69" spans="3:12" ht="12.75">
      <c r="C69" s="21" t="s">
        <v>16</v>
      </c>
      <c r="D69" s="21"/>
      <c r="E69" s="18">
        <v>42780</v>
      </c>
      <c r="G69" s="33">
        <v>101364.70</v>
      </c>
      <c r="H69" s="21"/>
      <c r="I69" s="23"/>
      <c r="J69" s="111"/>
      <c r="K69" s="112"/>
      <c r="L69" s="54"/>
    </row>
    <row r="70" spans="3:12" ht="12.75">
      <c r="C70" s="21"/>
      <c r="D70" s="21"/>
      <c r="E70" s="18">
        <v>42822</v>
      </c>
      <c r="G70" s="33">
        <v>70252.75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42906</v>
      </c>
      <c r="G71" s="33">
        <v>12442.49</v>
      </c>
      <c r="H71" s="21"/>
      <c r="I71" s="23"/>
      <c r="J71" s="111"/>
      <c r="K71" s="112"/>
      <c r="L71" s="113"/>
    </row>
    <row r="72" spans="3:12" ht="12.75">
      <c r="C72" s="21"/>
      <c r="D72" s="21"/>
      <c r="E72" s="18">
        <v>42970</v>
      </c>
      <c r="G72" s="33">
        <v>4910.85</v>
      </c>
      <c r="H72" s="21"/>
      <c r="I72" s="23"/>
      <c r="J72" s="111"/>
      <c r="K72" s="112"/>
      <c r="L72" s="113"/>
    </row>
    <row r="73" spans="3:11" ht="12.75">
      <c r="C73" s="21" t="s">
        <v>17</v>
      </c>
      <c r="D73" s="21"/>
      <c r="E73" s="18">
        <v>43104</v>
      </c>
      <c r="G73" s="33">
        <v>-19586.53</v>
      </c>
      <c r="H73" s="21"/>
      <c r="I73" s="23"/>
      <c r="J73" s="23"/>
      <c r="K73" s="21"/>
    </row>
    <row r="74" spans="3:11" ht="12.75">
      <c r="C74" s="21"/>
      <c r="D74" s="21"/>
      <c r="E74" s="18">
        <v>43157</v>
      </c>
      <c r="G74" s="33">
        <v>-18825.46</v>
      </c>
      <c r="H74" s="21"/>
      <c r="I74" s="23"/>
      <c r="J74" s="23"/>
      <c r="K74" s="21"/>
    </row>
    <row r="75" spans="3:11" ht="12.75">
      <c r="C75" s="21"/>
      <c r="D75" s="21"/>
      <c r="E75" s="18">
        <v>43181</v>
      </c>
      <c r="G75" s="33">
        <v>-51798</v>
      </c>
      <c r="H75" s="21"/>
      <c r="I75" s="23"/>
      <c r="J75" s="23"/>
      <c r="K75" s="21"/>
    </row>
    <row r="76" spans="3:11" ht="12.75">
      <c r="C76" s="21"/>
      <c r="D76" s="21"/>
      <c r="E76" s="18">
        <v>43256</v>
      </c>
      <c r="G76" s="33">
        <v>-20772.92</v>
      </c>
      <c r="H76" s="21"/>
      <c r="I76" s="23"/>
      <c r="J76" s="23"/>
      <c r="K76" s="21"/>
    </row>
    <row r="77" spans="3:11" ht="12.75">
      <c r="C77" s="21"/>
      <c r="D77" s="21"/>
      <c r="E77" s="18">
        <v>43278</v>
      </c>
      <c r="G77" s="33">
        <v>-16564.61</v>
      </c>
      <c r="H77" s="21"/>
      <c r="I77" s="23"/>
      <c r="J77" s="23"/>
      <c r="K77" s="21"/>
    </row>
    <row r="78" spans="3:11" ht="12.75">
      <c r="C78" s="21"/>
      <c r="D78" s="21"/>
      <c r="E78" s="18">
        <v>43336</v>
      </c>
      <c r="G78" s="33">
        <v>-21511.63</v>
      </c>
      <c r="H78" s="21"/>
      <c r="I78" s="23"/>
      <c r="J78" s="23"/>
      <c r="K78" s="21"/>
    </row>
    <row r="79" spans="3:11" ht="12.75">
      <c r="C79" s="21"/>
      <c r="D79" s="21"/>
      <c r="E79" s="18">
        <v>43367</v>
      </c>
      <c r="G79" s="33">
        <v>-36509.3</v>
      </c>
      <c r="H79" s="21"/>
      <c r="I79" s="23"/>
      <c r="J79" s="23"/>
      <c r="K79" s="21"/>
    </row>
    <row r="80" spans="3:11" ht="12.75">
      <c r="C80" s="21" t="s">
        <v>18</v>
      </c>
      <c r="D80" s="21"/>
      <c r="E80" s="18">
        <v>43439</v>
      </c>
      <c r="G80" s="33">
        <v>-22787.54</v>
      </c>
      <c r="H80" s="21"/>
      <c r="I80" s="23"/>
      <c r="J80" s="23"/>
      <c r="K80" s="21"/>
    </row>
    <row r="81" spans="4:11" ht="12.75">
      <c r="D81" s="21"/>
      <c r="E81" s="18">
        <v>43167</v>
      </c>
      <c r="G81" s="33">
        <v>4586.18</v>
      </c>
      <c r="H81" s="21"/>
      <c r="I81" s="23"/>
      <c r="J81" s="23"/>
      <c r="K81" s="21"/>
    </row>
    <row r="82" spans="3:11" ht="12.75">
      <c r="C82" s="21"/>
      <c r="D82" s="21"/>
      <c r="E82" s="18">
        <v>43255</v>
      </c>
      <c r="G82" s="33">
        <v>13656.12</v>
      </c>
      <c r="H82" s="21"/>
      <c r="I82" s="23"/>
      <c r="J82" s="23"/>
      <c r="K82" s="21"/>
    </row>
    <row r="83" spans="3:11" ht="12.75">
      <c r="C83" s="21"/>
      <c r="D83" s="21"/>
      <c r="E83" s="18">
        <v>43444</v>
      </c>
      <c r="G83" s="33">
        <v>9094.49</v>
      </c>
      <c r="H83" s="21"/>
      <c r="I83" s="23"/>
      <c r="J83" s="23"/>
      <c r="K83" s="21"/>
    </row>
    <row r="84" spans="3:11" ht="12.75">
      <c r="C84" s="21" t="s">
        <v>19</v>
      </c>
      <c r="D84" s="21"/>
      <c r="E84" s="18">
        <v>43481</v>
      </c>
      <c r="F84" s="33"/>
      <c r="G84" s="33">
        <v>-12983.08</v>
      </c>
      <c r="H84" s="21"/>
      <c r="I84" s="23"/>
      <c r="J84" s="23"/>
      <c r="K84" s="21"/>
    </row>
    <row r="85" spans="4:11" ht="12.75">
      <c r="D85" s="21"/>
      <c r="E85" s="18">
        <v>43544</v>
      </c>
      <c r="F85" s="33"/>
      <c r="G85" s="33">
        <v>-14370.91</v>
      </c>
      <c r="H85" s="21"/>
      <c r="I85" s="23"/>
      <c r="J85" s="23"/>
      <c r="K85" s="21"/>
    </row>
    <row r="86" spans="4:11" ht="12.75">
      <c r="D86" s="21"/>
      <c r="E86" s="18">
        <v>43591</v>
      </c>
      <c r="F86" s="33"/>
      <c r="G86" s="33">
        <v>-12826.38</v>
      </c>
      <c r="H86" s="21"/>
      <c r="I86" s="23"/>
      <c r="J86" s="23"/>
      <c r="K86" s="21"/>
    </row>
    <row r="87" spans="4:11" ht="12.75">
      <c r="D87" s="21"/>
      <c r="E87" s="18">
        <v>43675</v>
      </c>
      <c r="F87" s="33"/>
      <c r="G87" s="33">
        <v>-20056.62</v>
      </c>
      <c r="H87" s="21"/>
      <c r="I87" s="23"/>
      <c r="J87" s="23"/>
      <c r="K87" s="21"/>
    </row>
    <row r="88" spans="4:11" ht="12.75">
      <c r="D88" s="21"/>
      <c r="E88" s="18">
        <v>43707</v>
      </c>
      <c r="F88" s="33"/>
      <c r="G88" s="33">
        <v>-34427.54</v>
      </c>
      <c r="H88" s="21"/>
      <c r="I88" s="23"/>
      <c r="J88" s="23"/>
      <c r="K88" s="21"/>
    </row>
    <row r="89" spans="4:11" ht="12.75">
      <c r="D89" s="21"/>
      <c r="E89" s="18">
        <v>43769</v>
      </c>
      <c r="F89" s="33"/>
      <c r="G89" s="33">
        <v>-15781.16</v>
      </c>
      <c r="H89" s="21"/>
      <c r="I89" s="23"/>
      <c r="J89" s="23"/>
      <c r="K89" s="21"/>
    </row>
    <row r="90" spans="4:11" ht="12.75">
      <c r="D90" s="21"/>
      <c r="E90" s="18">
        <v>43804</v>
      </c>
      <c r="F90" s="33"/>
      <c r="G90" s="33">
        <v>-15758.78</v>
      </c>
      <c r="H90" s="21"/>
      <c r="I90" s="23"/>
      <c r="J90" s="23"/>
      <c r="K90" s="21"/>
    </row>
    <row r="91" spans="3:11" ht="12.75">
      <c r="C91" s="21" t="s">
        <v>20</v>
      </c>
      <c r="D91" s="21"/>
      <c r="E91" s="18">
        <v>43550</v>
      </c>
      <c r="F91" s="33"/>
      <c r="G91" s="33">
        <v>4493.27</v>
      </c>
      <c r="H91" s="21"/>
      <c r="I91" s="23"/>
      <c r="J91" s="23"/>
      <c r="K91" s="21"/>
    </row>
    <row r="92" spans="3:11" ht="12.75">
      <c r="C92" s="21"/>
      <c r="D92" s="21"/>
      <c r="E92" s="18">
        <v>43629</v>
      </c>
      <c r="F92" s="33"/>
      <c r="G92" s="33">
        <v>5024.01</v>
      </c>
      <c r="H92" s="21"/>
      <c r="I92" s="23"/>
      <c r="J92" s="23"/>
      <c r="K92" s="21"/>
    </row>
    <row r="93" spans="3:11" ht="12.75">
      <c r="C93" s="21"/>
      <c r="D93" s="21"/>
      <c r="E93" s="18">
        <v>43760</v>
      </c>
      <c r="F93" s="33"/>
      <c r="G93" s="33">
        <v>27971.27</v>
      </c>
      <c r="H93" s="21"/>
      <c r="I93" s="23"/>
      <c r="J93" s="23"/>
      <c r="K93" s="21"/>
    </row>
    <row r="94" spans="3:11" ht="12.75">
      <c r="C94" s="21"/>
      <c r="D94" s="21"/>
      <c r="E94" s="18">
        <v>43816</v>
      </c>
      <c r="F94" s="33"/>
      <c r="G94" s="33">
        <v>5278.68</v>
      </c>
      <c r="H94" s="21"/>
      <c r="I94" s="23"/>
      <c r="J94" s="23"/>
      <c r="K94" s="21"/>
    </row>
    <row r="95" spans="3:11" ht="12.75">
      <c r="C95" s="21" t="s">
        <v>21</v>
      </c>
      <c r="D95" s="21"/>
      <c r="E95" s="18">
        <v>43896</v>
      </c>
      <c r="F95" s="33"/>
      <c r="G95" s="33">
        <v>-9759.68</v>
      </c>
      <c r="H95" s="21"/>
      <c r="I95" s="23"/>
      <c r="J95" s="23"/>
      <c r="K95" s="21"/>
    </row>
    <row r="96" spans="3:11" ht="12.75">
      <c r="C96" s="21"/>
      <c r="D96" s="21"/>
      <c r="E96" s="18">
        <v>43922</v>
      </c>
      <c r="F96" s="33"/>
      <c r="G96" s="33">
        <v>-7297.39</v>
      </c>
      <c r="H96" s="21"/>
      <c r="I96" s="23"/>
      <c r="J96" s="23"/>
      <c r="K96" s="21"/>
    </row>
    <row r="97" spans="3:11" ht="12.75">
      <c r="C97" s="21"/>
      <c r="D97" s="21"/>
      <c r="E97" s="18">
        <v>43979</v>
      </c>
      <c r="F97" s="33"/>
      <c r="G97" s="33">
        <v>-9513.47</v>
      </c>
      <c r="H97" s="21"/>
      <c r="I97" s="23"/>
      <c r="J97" s="23"/>
      <c r="K97" s="21"/>
    </row>
    <row r="98" spans="3:11" ht="12.75">
      <c r="C98" s="21"/>
      <c r="D98" s="21"/>
      <c r="E98" s="18">
        <v>44015</v>
      </c>
      <c r="F98" s="33"/>
      <c r="G98" s="33">
        <v>-8259.92</v>
      </c>
      <c r="H98" s="21"/>
      <c r="I98" s="23"/>
      <c r="J98" s="23"/>
      <c r="K98" s="21"/>
    </row>
    <row r="99" spans="3:11" ht="12.75">
      <c r="C99" s="21"/>
      <c r="D99" s="21"/>
      <c r="E99" s="18">
        <v>44109</v>
      </c>
      <c r="F99" s="33"/>
      <c r="G99" s="33">
        <v>-5842.39</v>
      </c>
      <c r="H99" s="21"/>
      <c r="I99" s="23"/>
      <c r="J99" s="23"/>
      <c r="K99" s="21"/>
    </row>
    <row r="100" spans="3:11" ht="12.75">
      <c r="C100" s="21"/>
      <c r="D100" s="21"/>
      <c r="E100" s="18">
        <v>44160</v>
      </c>
      <c r="F100" s="33"/>
      <c r="G100" s="33">
        <v>-11080.38</v>
      </c>
      <c r="H100" s="21"/>
      <c r="I100" s="23"/>
      <c r="J100" s="23"/>
      <c r="K100" s="21"/>
    </row>
    <row r="101" spans="3:11" ht="12.75">
      <c r="C101" s="21" t="s">
        <v>22</v>
      </c>
      <c r="D101" s="21"/>
      <c r="E101" s="18">
        <v>43885</v>
      </c>
      <c r="F101" s="33"/>
      <c r="G101" s="33">
        <v>16180.48</v>
      </c>
      <c r="H101" s="21"/>
      <c r="I101" s="23"/>
      <c r="J101" s="23"/>
      <c r="K101" s="21"/>
    </row>
    <row r="102" spans="3:11" ht="12.75">
      <c r="C102" s="21"/>
      <c r="D102" s="21"/>
      <c r="E102" s="18">
        <v>44082</v>
      </c>
      <c r="F102" s="33"/>
      <c r="G102" s="33">
        <v>9793.01</v>
      </c>
      <c r="H102" s="21"/>
      <c r="I102" s="23"/>
      <c r="J102" s="23"/>
      <c r="K102" s="21"/>
    </row>
    <row r="103" spans="3:11" ht="12.75">
      <c r="C103" s="21" t="s">
        <v>24</v>
      </c>
      <c r="D103" s="21"/>
      <c r="E103" s="18">
        <v>44201</v>
      </c>
      <c r="F103" s="33"/>
      <c r="G103" s="33">
        <v>-5909.54</v>
      </c>
      <c r="H103" s="21"/>
      <c r="I103" s="23"/>
      <c r="J103" s="23"/>
      <c r="K103" s="21"/>
    </row>
    <row r="104" spans="3:12" ht="15.75">
      <c r="C104" s="21"/>
      <c r="D104" s="21"/>
      <c r="E104" s="18">
        <v>44246</v>
      </c>
      <c r="F104" s="33"/>
      <c r="G104" s="33">
        <v>-33576.92</v>
      </c>
      <c r="H104" s="21"/>
      <c r="I104" s="23"/>
      <c r="J104" s="23"/>
      <c r="K104" s="21"/>
      <c r="L104" s="50"/>
    </row>
    <row r="105" spans="3:12" ht="15.75">
      <c r="C105" s="21"/>
      <c r="D105" s="21"/>
      <c r="E105" s="18">
        <v>44267</v>
      </c>
      <c r="F105" s="33"/>
      <c r="G105" s="33">
        <v>-3335.31</v>
      </c>
      <c r="H105" s="21"/>
      <c r="I105" s="23"/>
      <c r="J105" s="23"/>
      <c r="K105" s="21"/>
      <c r="L105" s="50"/>
    </row>
    <row r="106" spans="3:12" ht="15.75">
      <c r="C106" s="21"/>
      <c r="D106" s="21"/>
      <c r="E106" s="18">
        <v>44285</v>
      </c>
      <c r="F106" s="33"/>
      <c r="G106" s="33">
        <v>-4208.31</v>
      </c>
      <c r="H106" s="21"/>
      <c r="I106" s="23"/>
      <c r="J106" s="23"/>
      <c r="K106" s="21"/>
      <c r="L106" s="50"/>
    </row>
    <row r="107" spans="3:12" ht="15.75">
      <c r="C107" s="21"/>
      <c r="D107" s="21"/>
      <c r="E107" s="18">
        <v>44308</v>
      </c>
      <c r="F107" s="33"/>
      <c r="G107" s="33">
        <v>-11147.53</v>
      </c>
      <c r="H107" s="21"/>
      <c r="I107" s="23"/>
      <c r="J107" s="23"/>
      <c r="K107" s="21"/>
      <c r="L107" s="50"/>
    </row>
    <row r="108" spans="3:12" ht="15.75">
      <c r="C108" s="21"/>
      <c r="D108" s="21"/>
      <c r="E108" s="18">
        <v>44348</v>
      </c>
      <c r="F108" s="33"/>
      <c r="G108" s="33">
        <v>-24690.23</v>
      </c>
      <c r="H108" s="21"/>
      <c r="I108" s="23"/>
      <c r="J108" s="23"/>
      <c r="K108" s="21"/>
      <c r="L108" s="50"/>
    </row>
    <row r="109" spans="3:12" ht="15.75">
      <c r="C109" s="21"/>
      <c r="D109" s="21"/>
      <c r="E109" s="18">
        <v>44467</v>
      </c>
      <c r="F109" s="33"/>
      <c r="G109" s="33">
        <v>-3626.31</v>
      </c>
      <c r="H109" s="21"/>
      <c r="I109" s="23"/>
      <c r="J109" s="23"/>
      <c r="K109" s="21"/>
      <c r="L109" s="50"/>
    </row>
    <row r="110" spans="3:12" ht="15.75">
      <c r="C110" s="21"/>
      <c r="D110" s="21"/>
      <c r="E110" s="18">
        <v>44546</v>
      </c>
      <c r="F110" s="33"/>
      <c r="G110" s="33">
        <v>-16564.61</v>
      </c>
      <c r="H110" s="21"/>
      <c r="I110" s="23"/>
      <c r="J110" s="23"/>
      <c r="K110" s="21"/>
      <c r="L110" s="50"/>
    </row>
    <row r="111" spans="3:12" ht="15.75">
      <c r="C111" s="21" t="s">
        <v>23</v>
      </c>
      <c r="D111" s="21"/>
      <c r="E111" s="18">
        <v>44217</v>
      </c>
      <c r="F111" s="33"/>
      <c r="G111" s="33">
        <v>16848.9</v>
      </c>
      <c r="H111" s="21"/>
      <c r="I111" s="23"/>
      <c r="J111" s="23"/>
      <c r="K111" s="21"/>
      <c r="L111" s="50"/>
    </row>
    <row r="112" spans="3:12" ht="15.75">
      <c r="C112" s="21"/>
      <c r="D112" s="21"/>
      <c r="E112" s="18">
        <v>44256</v>
      </c>
      <c r="F112" s="33"/>
      <c r="G112" s="33">
        <v>127881.02</v>
      </c>
      <c r="H112" s="21"/>
      <c r="I112" s="23"/>
      <c r="J112" s="23"/>
      <c r="K112" s="21"/>
      <c r="L112" s="50"/>
    </row>
    <row r="113" spans="3:12" ht="15.75">
      <c r="C113" s="21"/>
      <c r="D113" s="21"/>
      <c r="E113" s="18">
        <v>44279</v>
      </c>
      <c r="F113" s="33"/>
      <c r="G113" s="33">
        <v>27339.20</v>
      </c>
      <c r="H113" s="21"/>
      <c r="I113" s="23"/>
      <c r="J113" s="23"/>
      <c r="K113" s="21"/>
      <c r="L113" s="50"/>
    </row>
    <row r="114" spans="3:12" ht="15.75">
      <c r="C114" s="21"/>
      <c r="D114" s="21"/>
      <c r="E114" s="18">
        <v>44295</v>
      </c>
      <c r="F114" s="33"/>
      <c r="G114" s="33">
        <v>35769.09</v>
      </c>
      <c r="H114" s="21"/>
      <c r="I114" s="23"/>
      <c r="J114" s="23"/>
      <c r="K114" s="21"/>
      <c r="L114" s="50"/>
    </row>
    <row r="115" spans="3:12" ht="15.75">
      <c r="C115" s="21"/>
      <c r="D115" s="21"/>
      <c r="E115" s="18">
        <v>44371</v>
      </c>
      <c r="F115" s="33"/>
      <c r="G115" s="33">
        <v>5986.33</v>
      </c>
      <c r="H115" s="21"/>
      <c r="I115" s="23"/>
      <c r="J115" s="23"/>
      <c r="K115" s="21"/>
      <c r="L115" s="50"/>
    </row>
    <row r="116" spans="3:12" ht="15.75">
      <c r="C116" s="21"/>
      <c r="D116" s="21"/>
      <c r="E116" s="18">
        <v>44386</v>
      </c>
      <c r="F116" s="33"/>
      <c r="G116" s="33">
        <v>8536.12</v>
      </c>
      <c r="H116" s="21"/>
      <c r="I116" s="23"/>
      <c r="J116" s="23"/>
      <c r="K116" s="21"/>
      <c r="L116" s="50"/>
    </row>
    <row r="117" spans="3:12" ht="15.75">
      <c r="C117" s="21"/>
      <c r="D117" s="21"/>
      <c r="E117" s="18">
        <v>44417</v>
      </c>
      <c r="F117" s="33"/>
      <c r="G117" s="33">
        <v>9278.22</v>
      </c>
      <c r="H117" s="21"/>
      <c r="I117" s="23"/>
      <c r="J117" s="23"/>
      <c r="K117" s="21"/>
      <c r="L117" s="50"/>
    </row>
    <row r="118" spans="3:12" ht="15.75">
      <c r="C118" s="21"/>
      <c r="D118" s="21"/>
      <c r="E118" s="18">
        <v>44446</v>
      </c>
      <c r="F118" s="33"/>
      <c r="G118" s="33">
        <v>8939.64</v>
      </c>
      <c r="H118" s="21"/>
      <c r="I118" s="23"/>
      <c r="J118" s="23"/>
      <c r="K118" s="21"/>
      <c r="L118" s="50"/>
    </row>
    <row r="119" spans="3:12" ht="15.75">
      <c r="C119" s="21"/>
      <c r="D119" s="21"/>
      <c r="E119" s="18">
        <v>44473</v>
      </c>
      <c r="F119" s="33"/>
      <c r="G119" s="33">
        <v>14044.16</v>
      </c>
      <c r="H119" s="21"/>
      <c r="I119" s="23"/>
      <c r="J119" s="23"/>
      <c r="K119" s="21"/>
      <c r="L119" s="50"/>
    </row>
    <row r="120" spans="3:12" ht="15.75">
      <c r="C120" s="21"/>
      <c r="D120" s="21"/>
      <c r="E120" s="18">
        <v>44489</v>
      </c>
      <c r="F120" s="33"/>
      <c r="G120" s="33">
        <v>36503.26</v>
      </c>
      <c r="H120" s="21"/>
      <c r="I120" s="23"/>
      <c r="J120" s="23"/>
      <c r="K120" s="21"/>
      <c r="L120" s="50"/>
    </row>
    <row r="121" spans="3:12" ht="15.75">
      <c r="C121" s="21"/>
      <c r="D121" s="21"/>
      <c r="E121" s="18">
        <v>44496</v>
      </c>
      <c r="F121" s="33"/>
      <c r="G121" s="33">
        <v>75188.57</v>
      </c>
      <c r="H121" s="21"/>
      <c r="I121" s="23"/>
      <c r="J121" s="23"/>
      <c r="K121" s="21"/>
      <c r="L121" s="50"/>
    </row>
    <row r="122" spans="3:12" ht="15.75">
      <c r="C122" s="21"/>
      <c r="D122" s="21"/>
      <c r="E122" s="18">
        <v>44505</v>
      </c>
      <c r="F122" s="33"/>
      <c r="G122" s="33">
        <v>7588.54</v>
      </c>
      <c r="H122" s="21"/>
      <c r="I122" s="23"/>
      <c r="J122" s="23"/>
      <c r="K122" s="21"/>
      <c r="L122" s="50"/>
    </row>
    <row r="123" spans="3:12" ht="15.75">
      <c r="C123" s="21"/>
      <c r="D123" s="21"/>
      <c r="E123" s="18">
        <v>44547</v>
      </c>
      <c r="F123" s="33"/>
      <c r="G123" s="33">
        <v>57433.86</v>
      </c>
      <c r="H123" s="21"/>
      <c r="I123" s="23"/>
      <c r="J123" s="23"/>
      <c r="K123" s="21"/>
      <c r="L123" s="50"/>
    </row>
    <row r="124" spans="3:12" ht="15.75">
      <c r="C124" s="21" t="s">
        <v>27</v>
      </c>
      <c r="D124" s="21"/>
      <c r="E124" s="18">
        <v>44585</v>
      </c>
      <c r="F124" s="33"/>
      <c r="G124" s="33">
        <v>-6872.07</v>
      </c>
      <c r="H124" s="21"/>
      <c r="I124" s="23"/>
      <c r="J124" s="23"/>
      <c r="K124" s="21"/>
      <c r="L124" s="50"/>
    </row>
    <row r="125" spans="3:12" ht="15.75">
      <c r="C125" s="21"/>
      <c r="D125" s="21"/>
      <c r="E125" s="18">
        <v>44630</v>
      </c>
      <c r="F125" s="33"/>
      <c r="G125" s="33">
        <v>-8282.31</v>
      </c>
      <c r="H125" s="21"/>
      <c r="I125" s="23"/>
      <c r="J125" s="23"/>
      <c r="K125" s="21"/>
      <c r="L125" s="50"/>
    </row>
    <row r="126" spans="3:12" ht="15.75">
      <c r="C126" s="21"/>
      <c r="D126" s="21"/>
      <c r="E126" s="18">
        <v>44741</v>
      </c>
      <c r="F126" s="33"/>
      <c r="G126" s="33">
        <v>-3492</v>
      </c>
      <c r="H126" s="21"/>
      <c r="I126" s="23"/>
      <c r="J126" s="23"/>
      <c r="K126" s="21"/>
      <c r="L126" s="50"/>
    </row>
    <row r="127" spans="3:12" ht="15.75">
      <c r="C127" s="21"/>
      <c r="D127" s="21"/>
      <c r="E127" s="18">
        <v>44830</v>
      </c>
      <c r="F127" s="33"/>
      <c r="G127" s="33">
        <v>-3424.85</v>
      </c>
      <c r="H127" s="21"/>
      <c r="I127" s="23"/>
      <c r="J127" s="23"/>
      <c r="K127" s="21"/>
      <c r="L127" s="50"/>
    </row>
    <row r="128" spans="3:12" ht="15.75">
      <c r="C128" s="21"/>
      <c r="D128" s="21"/>
      <c r="E128" s="18">
        <v>44925</v>
      </c>
      <c r="F128" s="33"/>
      <c r="G128" s="33">
        <v>-5640.92</v>
      </c>
      <c r="H128" s="21"/>
      <c r="I128" s="23"/>
      <c r="J128" s="23"/>
      <c r="K128" s="21"/>
      <c r="L128" s="50"/>
    </row>
    <row r="129" spans="3:12" ht="15.75">
      <c r="C129" s="21" t="s">
        <v>25</v>
      </c>
      <c r="D129" s="21"/>
      <c r="E129" s="18">
        <v>44580</v>
      </c>
      <c r="F129" s="33"/>
      <c r="G129" s="33">
        <v>90440.08</v>
      </c>
      <c r="H129" s="21"/>
      <c r="I129" s="23"/>
      <c r="J129" s="23"/>
      <c r="K129" s="21"/>
      <c r="L129" s="50"/>
    </row>
    <row r="130" spans="3:12" ht="15.75">
      <c r="C130" s="21"/>
      <c r="D130" s="21"/>
      <c r="E130" s="18">
        <v>44595</v>
      </c>
      <c r="F130" s="33"/>
      <c r="G130" s="33">
        <v>34793.75</v>
      </c>
      <c r="H130" s="21"/>
      <c r="I130" s="23"/>
      <c r="J130" s="23"/>
      <c r="K130" s="21"/>
      <c r="L130" s="50"/>
    </row>
    <row r="131" spans="3:12" ht="15.75">
      <c r="C131" s="21"/>
      <c r="D131" s="21"/>
      <c r="E131" s="18">
        <v>44630</v>
      </c>
      <c r="F131" s="33"/>
      <c r="G131" s="33">
        <v>48745.82</v>
      </c>
      <c r="H131" s="21"/>
      <c r="I131" s="23"/>
      <c r="J131" s="23"/>
      <c r="K131" s="21"/>
      <c r="L131" s="50"/>
    </row>
    <row r="132" spans="3:12" ht="15.75">
      <c r="C132" s="21"/>
      <c r="D132" s="21"/>
      <c r="E132" s="18">
        <v>44655</v>
      </c>
      <c r="F132" s="33"/>
      <c r="G132" s="33">
        <v>87950.26</v>
      </c>
      <c r="H132" s="21"/>
      <c r="I132" s="23"/>
      <c r="J132" s="23"/>
      <c r="K132" s="21"/>
      <c r="L132" s="50"/>
    </row>
    <row r="133" spans="3:12" ht="15.75">
      <c r="C133" s="21"/>
      <c r="D133" s="21"/>
      <c r="E133" s="18">
        <v>44690</v>
      </c>
      <c r="F133" s="33"/>
      <c r="G133" s="33">
        <v>44153.45</v>
      </c>
      <c r="H133" s="21"/>
      <c r="I133" s="23"/>
      <c r="J133" s="23"/>
      <c r="K133" s="21"/>
      <c r="L133" s="50"/>
    </row>
    <row r="134" spans="3:12" ht="15.75">
      <c r="C134" s="21"/>
      <c r="D134" s="21"/>
      <c r="E134" s="18">
        <v>44714</v>
      </c>
      <c r="F134" s="33"/>
      <c r="G134" s="33">
        <v>63546.11</v>
      </c>
      <c r="H134" s="21"/>
      <c r="I134" s="23"/>
      <c r="J134" s="23"/>
      <c r="K134" s="21"/>
      <c r="L134" s="50"/>
    </row>
    <row r="135" spans="3:12" ht="15.75">
      <c r="C135" s="21"/>
      <c r="D135" s="21"/>
      <c r="E135" s="18">
        <v>44754</v>
      </c>
      <c r="F135" s="33"/>
      <c r="G135" s="33">
        <v>63217.80</v>
      </c>
      <c r="H135" s="21"/>
      <c r="I135" s="23"/>
      <c r="J135" s="23"/>
      <c r="K135" s="21"/>
      <c r="L135" s="50"/>
    </row>
    <row r="136" spans="3:12" ht="15.75">
      <c r="C136" s="21"/>
      <c r="D136" s="21"/>
      <c r="E136" s="18">
        <v>44782</v>
      </c>
      <c r="F136" s="33"/>
      <c r="G136" s="33">
        <v>13407.07</v>
      </c>
      <c r="H136" s="21"/>
      <c r="I136" s="23"/>
      <c r="J136" s="23"/>
      <c r="K136" s="21"/>
      <c r="L136" s="50"/>
    </row>
    <row r="137" spans="3:12" ht="15.75">
      <c r="C137" s="21"/>
      <c r="D137" s="21"/>
      <c r="E137" s="18">
        <v>44806</v>
      </c>
      <c r="F137" s="33"/>
      <c r="G137" s="33">
        <v>62613.50</v>
      </c>
      <c r="H137" s="21"/>
      <c r="I137" s="23"/>
      <c r="J137" s="23"/>
      <c r="K137" s="21"/>
      <c r="L137" s="50"/>
    </row>
    <row r="138" spans="3:12" ht="15.75">
      <c r="C138" s="21"/>
      <c r="D138" s="21"/>
      <c r="E138" s="18">
        <v>44846</v>
      </c>
      <c r="F138" s="33"/>
      <c r="G138" s="33">
        <v>47881.28</v>
      </c>
      <c r="H138" s="21"/>
      <c r="I138" s="23"/>
      <c r="J138" s="23"/>
      <c r="K138" s="21"/>
      <c r="L138" s="50"/>
    </row>
    <row r="139" spans="3:12" ht="15.75">
      <c r="C139" s="21"/>
      <c r="D139" s="21"/>
      <c r="E139" s="18">
        <v>44868</v>
      </c>
      <c r="F139" s="33"/>
      <c r="G139" s="33">
        <v>23429.99</v>
      </c>
      <c r="H139" s="21"/>
      <c r="I139" s="23"/>
      <c r="J139" s="23"/>
      <c r="K139" s="21"/>
      <c r="L139" s="50"/>
    </row>
    <row r="140" spans="3:12" ht="15.75">
      <c r="C140" s="21"/>
      <c r="D140" s="21"/>
      <c r="E140" s="18">
        <v>44901</v>
      </c>
      <c r="F140" s="33"/>
      <c r="G140" s="33">
        <v>9699.54</v>
      </c>
      <c r="H140" s="21"/>
      <c r="I140" s="23"/>
      <c r="J140" s="23"/>
      <c r="K140" s="21"/>
      <c r="L140" s="50"/>
    </row>
    <row r="141" spans="3:12" ht="15.75">
      <c r="C141" s="21" t="s">
        <v>28</v>
      </c>
      <c r="D141" s="21"/>
      <c r="E141" s="18">
        <v>44965</v>
      </c>
      <c r="F141" s="33"/>
      <c r="G141" s="33">
        <v>-5596.15</v>
      </c>
      <c r="H141" s="21"/>
      <c r="I141" s="23"/>
      <c r="J141" s="23"/>
      <c r="K141" s="21"/>
      <c r="L141" s="50"/>
    </row>
    <row r="142" spans="3:12" ht="15.75">
      <c r="C142" s="21"/>
      <c r="D142" s="21"/>
      <c r="E142" s="18">
        <v>45009</v>
      </c>
      <c r="F142" s="33"/>
      <c r="G142" s="33">
        <v>-3357.69</v>
      </c>
      <c r="H142" s="21"/>
      <c r="I142" s="23"/>
      <c r="J142" s="23"/>
      <c r="K142" s="21"/>
      <c r="L142" s="50"/>
    </row>
    <row r="143" spans="3:12" ht="15.75">
      <c r="C143" s="21"/>
      <c r="D143" s="21"/>
      <c r="E143" s="18">
        <v>45022</v>
      </c>
      <c r="F143" s="33"/>
      <c r="G143" s="33">
        <v>-3962.08</v>
      </c>
      <c r="H143" s="21"/>
      <c r="I143" s="23"/>
      <c r="J143" s="23"/>
      <c r="K143" s="21"/>
      <c r="L143" s="50"/>
    </row>
    <row r="144" spans="3:12" ht="15.75">
      <c r="C144" s="21"/>
      <c r="D144" s="21"/>
      <c r="E144" s="18">
        <v>45084</v>
      </c>
      <c r="F144" s="33"/>
      <c r="G144" s="33">
        <v>-9468.69</v>
      </c>
      <c r="H144" s="21"/>
      <c r="I144" s="23"/>
      <c r="J144" s="23"/>
      <c r="K144" s="21"/>
      <c r="L144" s="50"/>
    </row>
    <row r="145" spans="3:12" ht="15.75">
      <c r="C145" s="21" t="s">
        <v>26</v>
      </c>
      <c r="D145" s="21"/>
      <c r="E145" s="18">
        <v>44937</v>
      </c>
      <c r="F145" s="33"/>
      <c r="G145" s="33">
        <v>20857.32</v>
      </c>
      <c r="H145" s="21"/>
      <c r="I145" s="23"/>
      <c r="J145" s="23"/>
      <c r="K145" s="21"/>
      <c r="L145" s="50"/>
    </row>
    <row r="146" spans="3:12" ht="15.75">
      <c r="C146" s="21"/>
      <c r="D146" s="21"/>
      <c r="E146" s="18">
        <v>44960</v>
      </c>
      <c r="F146" s="33"/>
      <c r="G146" s="33">
        <v>10126.3</v>
      </c>
      <c r="H146" s="21"/>
      <c r="I146" s="23"/>
      <c r="J146" s="23"/>
      <c r="K146" s="21"/>
      <c r="L146" s="50"/>
    </row>
    <row r="147" spans="3:12" ht="15.75">
      <c r="C147" s="21"/>
      <c r="D147" s="21"/>
      <c r="E147" s="18">
        <v>44994</v>
      </c>
      <c r="F147" s="33"/>
      <c r="G147" s="33">
        <v>22712.60</v>
      </c>
      <c r="H147" s="21"/>
      <c r="I147" s="23"/>
      <c r="J147" s="23"/>
      <c r="K147" s="21"/>
      <c r="L147" s="50"/>
    </row>
    <row r="148" spans="3:12" ht="15.75">
      <c r="C148" s="21"/>
      <c r="D148" s="21"/>
      <c r="E148" s="18">
        <v>45030</v>
      </c>
      <c r="F148" s="33"/>
      <c r="G148" s="33">
        <v>198953.47</v>
      </c>
      <c r="H148" s="21"/>
      <c r="I148" s="23"/>
      <c r="J148" s="23"/>
      <c r="K148" s="21"/>
      <c r="L148" s="50"/>
    </row>
    <row r="149" spans="3:12" ht="15.75">
      <c r="C149" s="21"/>
      <c r="D149" s="21"/>
      <c r="E149" s="18">
        <v>45049</v>
      </c>
      <c r="F149" s="33"/>
      <c r="G149" s="33">
        <v>18891.08</v>
      </c>
      <c r="H149" s="21"/>
      <c r="I149" s="23"/>
      <c r="J149" s="23"/>
      <c r="K149" s="21"/>
      <c r="L149" s="50"/>
    </row>
    <row r="150" spans="3:12" ht="15.75">
      <c r="C150" s="21"/>
      <c r="D150" s="21"/>
      <c r="E150" s="18">
        <v>45091</v>
      </c>
      <c r="F150" s="33"/>
      <c r="G150" s="33">
        <v>148119.27</v>
      </c>
      <c r="H150" s="21"/>
      <c r="I150" s="23"/>
      <c r="J150" s="23"/>
      <c r="K150" s="21"/>
      <c r="L150" s="50"/>
    </row>
    <row r="151" spans="3:12" ht="15.75">
      <c r="C151" s="21"/>
      <c r="D151" s="21"/>
      <c r="E151" s="18">
        <v>45114</v>
      </c>
      <c r="F151" s="33"/>
      <c r="G151" s="33">
        <v>12558.65</v>
      </c>
      <c r="H151" s="21"/>
      <c r="I151" s="23"/>
      <c r="J151" s="23"/>
      <c r="K151" s="21"/>
      <c r="L151" s="50"/>
    </row>
    <row r="152" spans="3:12" ht="15.75">
      <c r="C152" s="21"/>
      <c r="D152" s="21"/>
      <c r="E152" s="18">
        <v>45154</v>
      </c>
      <c r="F152" s="33"/>
      <c r="G152" s="33">
        <v>117101.04</v>
      </c>
      <c r="H152" s="21"/>
      <c r="I152" s="23"/>
      <c r="J152" s="23"/>
      <c r="K152" s="21"/>
      <c r="L152" s="50"/>
    </row>
    <row r="153" spans="3:12" ht="15.75">
      <c r="C153" s="21"/>
      <c r="D153" s="21"/>
      <c r="E153" s="18">
        <v>45176</v>
      </c>
      <c r="F153" s="33"/>
      <c r="G153" s="33">
        <v>23850.18</v>
      </c>
      <c r="H153" s="21"/>
      <c r="I153" s="23"/>
      <c r="J153" s="23"/>
      <c r="K153" s="21"/>
      <c r="L153" s="50"/>
    </row>
    <row r="154" spans="3:12" ht="15.75">
      <c r="C154" s="21"/>
      <c r="D154" s="21"/>
      <c r="E154" s="18">
        <v>45191</v>
      </c>
      <c r="F154" s="33"/>
      <c r="G154" s="33">
        <v>41528.08</v>
      </c>
      <c r="H154" s="21"/>
      <c r="I154" s="23"/>
      <c r="J154" s="23"/>
      <c r="K154" s="21"/>
      <c r="L154" s="50"/>
    </row>
    <row r="155" spans="3:12" ht="15.75">
      <c r="C155" s="21"/>
      <c r="D155" s="21"/>
      <c r="E155" s="18">
        <v>45198</v>
      </c>
      <c r="F155" s="33"/>
      <c r="G155" s="33">
        <v>18700.13</v>
      </c>
      <c r="H155" s="21"/>
      <c r="I155" s="23"/>
      <c r="J155" s="23"/>
      <c r="K155" s="21"/>
      <c r="L155" s="50"/>
    </row>
    <row r="156" spans="3:12" ht="4.5" customHeight="1">
      <c r="C156" s="21"/>
      <c r="D156" s="21"/>
      <c r="E156" s="18"/>
      <c r="F156" s="21"/>
      <c r="G156" s="33"/>
      <c r="H156" s="21"/>
      <c r="I156" s="23"/>
      <c r="J156" s="23"/>
      <c r="L156" s="50"/>
    </row>
    <row r="157" spans="3:13" ht="15.75">
      <c r="C157" s="21" t="s">
        <v>1</v>
      </c>
      <c r="D157" s="21"/>
      <c r="E157" s="18">
        <f>+E8</f>
        <v>45199</v>
      </c>
      <c r="F157" s="21"/>
      <c r="G157" s="49">
        <f>L157*C22</f>
        <v>858385.69799733</v>
      </c>
      <c r="H157" s="21"/>
      <c r="I157" s="18"/>
      <c r="L157" s="54">
        <v>7.8974937E8</v>
      </c>
      <c r="M157" s="50"/>
    </row>
    <row r="158" spans="3:8" ht="12.75">
      <c r="C158" s="21"/>
      <c r="D158" s="21"/>
      <c r="E158" s="21"/>
      <c r="F158" s="21"/>
      <c r="G158" s="21"/>
      <c r="H158" s="21"/>
    </row>
    <row r="159" spans="3:11" ht="12.75">
      <c r="C159" s="20" t="s">
        <v>0</v>
      </c>
      <c r="G159" s="47">
        <f>+XIRR(G24:G157,E24:E157,0.1)</f>
        <v>0.14430227875709534</v>
      </c>
      <c r="H159" s="21"/>
      <c r="J159" s="33">
        <f>+SUMIF($G$24:$G$156,"&lt;0",$G$24:$G$156)+23052.4</f>
        <v>-1554863.5899999996</v>
      </c>
      <c r="K159" s="21" t="s">
        <v>11</v>
      </c>
    </row>
    <row r="160" spans="3:11" ht="12.75">
      <c r="C160" s="21"/>
      <c r="D160" s="21"/>
      <c r="E160" s="21"/>
      <c r="F160" s="21"/>
      <c r="G160" s="21"/>
      <c r="H160" s="21"/>
      <c r="J160" s="33">
        <f>+SUMIF($G$24:$G$156,"&gt;0",$G$24:$G$156)-23052.4</f>
        <v>1957247.4500000004</v>
      </c>
      <c r="K160" s="21" t="s">
        <v>12</v>
      </c>
    </row>
    <row r="161" spans="3:8" ht="12.75">
      <c r="C161" s="21"/>
      <c r="D161" s="21"/>
      <c r="E161" s="21"/>
      <c r="F161" s="21"/>
      <c r="G161" s="21"/>
      <c r="H161" s="21"/>
    </row>
    <row r="162" spans="3:8" ht="12.75">
      <c r="C162" s="26"/>
      <c r="D162" s="26"/>
      <c r="E162" s="34"/>
      <c r="F162" s="21"/>
      <c r="G162" s="34"/>
      <c r="H162" s="21"/>
    </row>
    <row r="163" spans="3:8" ht="12.75">
      <c r="C163" s="26"/>
      <c r="D163" s="26"/>
      <c r="E163" s="34"/>
      <c r="F163" s="26"/>
      <c r="G163" s="34"/>
      <c r="H163" s="21"/>
    </row>
    <row r="164" spans="3:8" ht="12.75">
      <c r="C164" s="26"/>
      <c r="D164" s="26"/>
      <c r="E164" s="34"/>
      <c r="F164" s="26"/>
      <c r="G164" s="34"/>
      <c r="H164" s="21"/>
    </row>
    <row r="165" spans="3:8" ht="12.75">
      <c r="C165" s="26"/>
      <c r="D165" s="26"/>
      <c r="E165" s="26"/>
      <c r="F165" s="26"/>
      <c r="G165" s="26"/>
      <c r="H165" s="20"/>
    </row>
    <row r="166" spans="3:8" ht="12.75">
      <c r="C166" s="26"/>
      <c r="D166" s="26"/>
      <c r="E166" s="34"/>
      <c r="F166" s="34"/>
      <c r="G166" s="34"/>
      <c r="H166" s="20"/>
    </row>
    <row r="167" spans="3:8" ht="12.75">
      <c r="C167" s="26"/>
      <c r="D167" s="26"/>
      <c r="E167" s="26"/>
      <c r="F167" s="26"/>
      <c r="G167" s="26"/>
      <c r="H167" s="20"/>
    </row>
    <row r="168" spans="3:8" ht="12.75">
      <c r="C168" s="114"/>
      <c r="D168" s="114"/>
      <c r="E168" s="115"/>
      <c r="F168" s="46"/>
      <c r="G168" s="45"/>
      <c r="H168" s="21"/>
    </row>
    <row r="169" spans="3:8" s="58" customFormat="1" ht="12.75">
      <c r="C169" s="114"/>
      <c r="D169" s="114"/>
      <c r="E169" s="46"/>
      <c r="F169" s="46"/>
      <c r="G169" s="46"/>
      <c r="H169" s="40"/>
    </row>
    <row r="170" spans="3:8" s="58" customFormat="1" ht="12.75">
      <c r="C170" s="114"/>
      <c r="D170" s="114"/>
      <c r="E170" s="46"/>
      <c r="F170" s="46"/>
      <c r="G170" s="46"/>
      <c r="H170" s="40"/>
    </row>
    <row r="171" spans="3:8" ht="12.75">
      <c r="C171" s="116"/>
      <c r="D171" s="114"/>
      <c r="E171" s="46"/>
      <c r="F171" s="46"/>
      <c r="G171" s="46"/>
      <c r="H171" s="21"/>
    </row>
    <row r="172" spans="3:8" ht="12.75">
      <c r="C172" s="116"/>
      <c r="D172" s="114"/>
      <c r="E172" s="46"/>
      <c r="F172" s="46"/>
      <c r="G172" s="46"/>
      <c r="H172" s="21"/>
    </row>
    <row r="173" spans="3:8" ht="12.75">
      <c r="C173" s="117"/>
      <c r="D173" s="114"/>
      <c r="E173" s="46"/>
      <c r="F173" s="46"/>
      <c r="G173" s="46"/>
      <c r="H173" s="21"/>
    </row>
    <row r="174" spans="3:8" s="58" customFormat="1" ht="12.75">
      <c r="C174" s="114"/>
      <c r="D174" s="114"/>
      <c r="E174" s="46"/>
      <c r="F174" s="46"/>
      <c r="G174" s="46"/>
      <c r="H174" s="40"/>
    </row>
    <row r="175" spans="3:8" ht="12.75">
      <c r="C175" s="114"/>
      <c r="D175" s="114"/>
      <c r="E175" s="46"/>
      <c r="F175" s="46"/>
      <c r="G175" s="46"/>
      <c r="H175" s="21"/>
    </row>
    <row r="176" spans="3:8" ht="12.75">
      <c r="C176" s="114"/>
      <c r="D176" s="114"/>
      <c r="E176" s="46"/>
      <c r="F176" s="46"/>
      <c r="G176" s="46"/>
      <c r="H176" s="21"/>
    </row>
    <row r="177" spans="3:8" ht="12.75">
      <c r="C177" s="114"/>
      <c r="D177" s="114"/>
      <c r="E177" s="46"/>
      <c r="F177" s="46"/>
      <c r="G177" s="46"/>
      <c r="H177" s="21"/>
    </row>
    <row r="178" spans="3:8" ht="12.75">
      <c r="C178" s="114"/>
      <c r="D178" s="114"/>
      <c r="E178" s="46"/>
      <c r="F178" s="46"/>
      <c r="G178" s="46"/>
      <c r="H178" s="21"/>
    </row>
    <row r="179" spans="3:8" ht="12.75">
      <c r="C179" s="114"/>
      <c r="D179" s="114"/>
      <c r="E179" s="46"/>
      <c r="F179" s="46"/>
      <c r="G179" s="46"/>
      <c r="H179" s="21"/>
    </row>
    <row r="180" spans="3:8" s="58" customFormat="1" ht="4.9" customHeight="1">
      <c r="C180" s="69"/>
      <c r="D180" s="20"/>
      <c r="E180" s="78"/>
      <c r="F180" s="37"/>
      <c r="G180" s="78"/>
      <c r="H180" s="40"/>
    </row>
    <row r="181" spans="3:8" ht="12.75">
      <c r="C181" s="21"/>
      <c r="D181" s="21"/>
      <c r="E181" s="21"/>
      <c r="F181" s="21"/>
      <c r="G181" s="21"/>
      <c r="H181" s="21"/>
    </row>
    <row r="182" spans="3:8" ht="12.75">
      <c r="C182" s="21"/>
      <c r="D182" s="21"/>
      <c r="E182" s="21"/>
      <c r="F182" s="21"/>
      <c r="G182" s="21"/>
      <c r="H182" s="21"/>
    </row>
    <row r="183" spans="3:8" ht="12.75">
      <c r="C183" s="21"/>
      <c r="D183" s="21"/>
      <c r="E183" s="21"/>
      <c r="F183" s="21"/>
      <c r="G183" s="21"/>
      <c r="H183" s="21"/>
    </row>
    <row r="184" spans="3:8" ht="12.75">
      <c r="C184" s="21"/>
      <c r="D184" s="21"/>
      <c r="E184" s="21"/>
      <c r="F184" s="21"/>
      <c r="G184" s="21"/>
      <c r="H184" s="21"/>
    </row>
    <row r="185" spans="3:8" ht="12.75">
      <c r="C185" s="21"/>
      <c r="D185" s="21"/>
      <c r="E185" s="21"/>
      <c r="F185" s="21"/>
      <c r="G185" s="21"/>
      <c r="H18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773475-A1DD-4466-BC9C-B6C9ECB05A99}">
  <sheetPr>
    <pageSetUpPr fitToPage="1"/>
  </sheetPr>
  <dimension ref="B4:O180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+'Fund X'!E8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15" ht="12.75" customHeight="1">
      <c r="C18" s="7" t="s">
        <v>3</v>
      </c>
      <c r="D18" s="7"/>
      <c r="E18" s="9">
        <f>G159</f>
        <v>0.15715442299842838</v>
      </c>
      <c r="F18" s="7"/>
      <c r="G18" s="15"/>
      <c r="H18" s="9"/>
      <c r="I18" s="55"/>
      <c r="M18" s="53"/>
      <c r="N18" s="65"/>
      <c r="O18" s="65"/>
    </row>
    <row r="19" spans="3:15" ht="12.75">
      <c r="C19" s="7" t="s">
        <v>6</v>
      </c>
      <c r="D19" s="7"/>
      <c r="E19" s="38">
        <f>-(G157+J160)/(J159)</f>
        <v>1.9174405212674248</v>
      </c>
      <c r="F19" s="7"/>
      <c r="G19" s="13"/>
      <c r="H19" s="8"/>
      <c r="M19" s="53"/>
      <c r="N19" s="65"/>
      <c r="O19" s="65"/>
    </row>
    <row r="20" spans="3:15" ht="12.75">
      <c r="C20" s="7"/>
      <c r="D20" s="7"/>
      <c r="E20" s="7"/>
      <c r="F20" s="7"/>
      <c r="G20" s="8"/>
      <c r="M20" s="53"/>
      <c r="N20" s="65"/>
      <c r="O20" s="65"/>
    </row>
    <row r="21" spans="3:15" ht="15.75">
      <c r="C21" s="22" t="s">
        <v>33</v>
      </c>
      <c r="D21" s="11"/>
      <c r="E21" s="11"/>
      <c r="F21" s="11"/>
      <c r="I21" s="18"/>
      <c r="J21" s="21"/>
      <c r="L21" s="25"/>
      <c r="M21" s="53"/>
      <c r="N21" s="65"/>
      <c r="O21" s="65"/>
    </row>
    <row r="22" spans="3:15" ht="12.75">
      <c r="C22" s="29">
        <v>0.009989242</v>
      </c>
      <c r="D22" s="21"/>
      <c r="E22" s="21"/>
      <c r="F22" s="21"/>
      <c r="G22" s="27"/>
      <c r="H22" s="21"/>
      <c r="I22" s="21"/>
      <c r="J22" s="21"/>
      <c r="M22" s="53"/>
      <c r="N22" s="65"/>
      <c r="O22" s="65"/>
    </row>
    <row r="23" spans="3:15" ht="12.75">
      <c r="C23" s="21"/>
      <c r="D23" s="21"/>
      <c r="E23" s="18"/>
      <c r="F23" s="33"/>
      <c r="G23" s="33"/>
      <c r="H23" s="21"/>
      <c r="I23" s="23"/>
      <c r="M23" s="53"/>
      <c r="N23" s="65"/>
      <c r="O23" s="65"/>
    </row>
    <row r="24" spans="3:15" ht="12.75">
      <c r="C24" s="21" t="s">
        <v>9</v>
      </c>
      <c r="D24" s="21"/>
      <c r="E24" s="18">
        <v>42089</v>
      </c>
      <c r="F24" s="33"/>
      <c r="G24" s="33">
        <v>-155350</v>
      </c>
      <c r="H24" s="21"/>
      <c r="I24" s="23"/>
      <c r="M24" s="53"/>
      <c r="N24" s="65"/>
      <c r="O24" s="65"/>
    </row>
    <row r="25" spans="3:15" ht="12.75">
      <c r="C25" s="21"/>
      <c r="D25" s="21"/>
      <c r="E25" s="18">
        <v>42118</v>
      </c>
      <c r="F25" s="33"/>
      <c r="G25" s="33">
        <v>49946.86</v>
      </c>
      <c r="H25" s="21"/>
      <c r="I25" s="23"/>
      <c r="M25" s="53"/>
      <c r="N25" s="65"/>
      <c r="O25" s="65"/>
    </row>
    <row r="26" spans="3:15" ht="12.75">
      <c r="C26" s="21"/>
      <c r="D26" s="21"/>
      <c r="E26" s="18">
        <v>42180</v>
      </c>
      <c r="F26" s="33"/>
      <c r="G26" s="33">
        <v>-15374.51</v>
      </c>
      <c r="H26" s="21"/>
      <c r="I26" s="23"/>
      <c r="M26" s="53"/>
      <c r="N26" s="65"/>
      <c r="O26" s="65"/>
    </row>
    <row r="27" spans="3:15" ht="12.75">
      <c r="C27" s="21"/>
      <c r="D27" s="21"/>
      <c r="E27" s="18">
        <v>42201</v>
      </c>
      <c r="F27" s="33"/>
      <c r="G27" s="33">
        <v>-4801.51</v>
      </c>
      <c r="H27" s="21"/>
      <c r="I27" s="23"/>
      <c r="M27" s="53"/>
      <c r="N27" s="65"/>
      <c r="O27" s="65"/>
    </row>
    <row r="28" spans="3:15" ht="12.75">
      <c r="C28" s="21"/>
      <c r="E28" s="18">
        <v>42271</v>
      </c>
      <c r="G28" s="33">
        <v>-15083.50</v>
      </c>
      <c r="H28" s="21"/>
      <c r="I28" s="23"/>
      <c r="J28" s="23"/>
      <c r="K28" s="21"/>
      <c r="M28" s="53"/>
      <c r="N28" s="65"/>
      <c r="O28" s="65"/>
    </row>
    <row r="29" spans="5:11" ht="12.75">
      <c r="E29" s="18">
        <v>42324</v>
      </c>
      <c r="G29" s="33">
        <v>-22940.50</v>
      </c>
      <c r="H29" s="21"/>
      <c r="I29" s="23"/>
      <c r="J29" s="23"/>
      <c r="K29" s="21"/>
    </row>
    <row r="30" spans="5:11" ht="12.75">
      <c r="E30" s="18">
        <v>42367</v>
      </c>
      <c r="G30" s="33">
        <v>-61352.50</v>
      </c>
      <c r="H30" s="21"/>
      <c r="I30" s="23"/>
      <c r="J30" s="23"/>
      <c r="K30" s="21"/>
    </row>
    <row r="31" spans="3:11" ht="12.75">
      <c r="C31" s="21" t="s">
        <v>13</v>
      </c>
      <c r="D31" s="21"/>
      <c r="E31" s="18">
        <v>42396</v>
      </c>
      <c r="G31" s="33">
        <v>-100589</v>
      </c>
      <c r="H31" s="21"/>
      <c r="I31" s="23"/>
      <c r="J31" s="23"/>
      <c r="K31" s="21"/>
    </row>
    <row r="32" spans="3:11" ht="12.75">
      <c r="C32" s="21"/>
      <c r="D32" s="21"/>
      <c r="E32" s="18">
        <v>42453</v>
      </c>
      <c r="G32" s="33">
        <v>-22358.50</v>
      </c>
      <c r="H32" s="21"/>
      <c r="I32" s="23"/>
      <c r="J32" s="23"/>
      <c r="K32" s="21"/>
    </row>
    <row r="33" spans="3:11" ht="12.75">
      <c r="C33" s="21"/>
      <c r="D33" s="21"/>
      <c r="E33" s="18">
        <v>42461</v>
      </c>
      <c r="G33" s="33">
        <v>-16199</v>
      </c>
      <c r="H33" s="21"/>
      <c r="I33" s="23"/>
      <c r="J33" s="23"/>
      <c r="K33" s="21"/>
    </row>
    <row r="34" spans="3:11" ht="12.75">
      <c r="C34" s="21"/>
      <c r="D34" s="21"/>
      <c r="E34" s="18">
        <v>42500</v>
      </c>
      <c r="G34" s="33">
        <v>-13968</v>
      </c>
      <c r="H34" s="21"/>
      <c r="I34" s="23"/>
      <c r="J34" s="23"/>
      <c r="K34" s="21"/>
    </row>
    <row r="35" spans="3:11" ht="12.75">
      <c r="C35" s="21"/>
      <c r="D35" s="21"/>
      <c r="E35" s="18">
        <v>42513</v>
      </c>
      <c r="G35" s="33">
        <v>-46268.99</v>
      </c>
      <c r="H35" s="21"/>
      <c r="I35" s="23"/>
      <c r="J35" s="23"/>
      <c r="K35" s="21"/>
    </row>
    <row r="36" spans="3:11" ht="12.75">
      <c r="C36" s="21"/>
      <c r="D36" s="21"/>
      <c r="E36" s="18">
        <v>42524</v>
      </c>
      <c r="G36" s="33">
        <v>-108446</v>
      </c>
      <c r="H36" s="21"/>
      <c r="I36" s="23"/>
      <c r="J36" s="23"/>
      <c r="K36" s="21"/>
    </row>
    <row r="37" spans="3:11" ht="12.75">
      <c r="C37" s="21"/>
      <c r="D37" s="21"/>
      <c r="E37" s="18">
        <v>42544</v>
      </c>
      <c r="G37" s="33">
        <v>-159662</v>
      </c>
      <c r="H37" s="21"/>
      <c r="I37" s="23"/>
      <c r="J37" s="23"/>
      <c r="K37" s="21"/>
    </row>
    <row r="38" spans="3:11" ht="12.75">
      <c r="C38" s="21"/>
      <c r="D38" s="21"/>
      <c r="E38" s="18">
        <v>42564</v>
      </c>
      <c r="G38" s="33">
        <v>-17460</v>
      </c>
      <c r="H38" s="21"/>
      <c r="I38" s="23"/>
      <c r="J38" s="23"/>
      <c r="K38" s="21"/>
    </row>
    <row r="39" spans="3:11" ht="12.75">
      <c r="C39" s="21"/>
      <c r="D39" s="21"/>
      <c r="E39" s="18">
        <v>42585</v>
      </c>
      <c r="G39" s="33">
        <v>-77697.02</v>
      </c>
      <c r="H39" s="21"/>
      <c r="I39" s="23"/>
      <c r="J39" s="23"/>
      <c r="K39" s="21"/>
    </row>
    <row r="40" spans="3:11" ht="12.75">
      <c r="C40" s="21"/>
      <c r="D40" s="21"/>
      <c r="E40" s="18">
        <v>42614</v>
      </c>
      <c r="G40" s="33">
        <v>-29633.49</v>
      </c>
      <c r="H40" s="21"/>
      <c r="I40" s="23"/>
      <c r="J40" s="23"/>
      <c r="K40" s="21"/>
    </row>
    <row r="41" spans="3:9" ht="12.75">
      <c r="C41" s="21"/>
      <c r="D41" s="21"/>
      <c r="E41" s="18">
        <v>42641</v>
      </c>
      <c r="G41" s="33">
        <v>-45396</v>
      </c>
      <c r="H41" s="21"/>
      <c r="I41" s="23"/>
    </row>
    <row r="42" spans="3:9" ht="12.75">
      <c r="C42" s="21"/>
      <c r="D42" s="21"/>
      <c r="E42" s="18">
        <v>42656</v>
      </c>
      <c r="G42" s="33">
        <v>-48451.50</v>
      </c>
      <c r="H42" s="21"/>
      <c r="I42" s="23"/>
    </row>
    <row r="43" spans="3:9" ht="12.75">
      <c r="C43" s="21"/>
      <c r="D43" s="21"/>
      <c r="E43" s="18">
        <v>42704</v>
      </c>
      <c r="G43" s="33">
        <v>-41564.50</v>
      </c>
      <c r="H43" s="21"/>
      <c r="I43" s="23"/>
    </row>
    <row r="44" spans="3:9" ht="12.75">
      <c r="C44" s="21"/>
      <c r="D44" s="21"/>
      <c r="E44" s="18">
        <v>42719</v>
      </c>
      <c r="G44" s="33">
        <v>-44620</v>
      </c>
      <c r="H44" s="21"/>
      <c r="I44" s="23"/>
    </row>
    <row r="45" spans="3:9" ht="12.75">
      <c r="C45" s="21"/>
      <c r="D45" s="21"/>
      <c r="E45" s="18">
        <v>42733</v>
      </c>
      <c r="G45" s="33">
        <v>-28857.49</v>
      </c>
      <c r="H45" s="21"/>
      <c r="I45" s="23"/>
    </row>
    <row r="46" spans="3:11" ht="12.75">
      <c r="C46" s="21" t="s">
        <v>14</v>
      </c>
      <c r="D46" s="21"/>
      <c r="E46" s="18">
        <v>42716</v>
      </c>
      <c r="G46" s="33">
        <v>37881.40</v>
      </c>
      <c r="H46" s="21"/>
      <c r="I46" s="23"/>
      <c r="J46" s="23"/>
      <c r="K46" s="21"/>
    </row>
    <row r="47" spans="3:11" ht="12.75">
      <c r="C47" s="21" t="s">
        <v>15</v>
      </c>
      <c r="D47" s="21"/>
      <c r="E47" s="18">
        <v>42754</v>
      </c>
      <c r="G47" s="33">
        <v>-28130</v>
      </c>
      <c r="H47" s="21"/>
      <c r="I47" s="23"/>
      <c r="J47" s="23"/>
      <c r="K47" s="21"/>
    </row>
    <row r="48" spans="3:11" ht="12.75">
      <c r="C48" s="21"/>
      <c r="D48" s="21"/>
      <c r="E48" s="18">
        <v>42765</v>
      </c>
      <c r="G48" s="33">
        <v>-28711.99</v>
      </c>
      <c r="H48" s="21"/>
      <c r="I48" s="23"/>
      <c r="J48" s="23"/>
      <c r="K48" s="21"/>
    </row>
    <row r="49" spans="3:11" ht="12.75">
      <c r="C49" s="21"/>
      <c r="D49" s="21"/>
      <c r="E49" s="18">
        <v>42773</v>
      </c>
      <c r="G49" s="33">
        <v>-48985</v>
      </c>
      <c r="H49" s="21"/>
      <c r="I49" s="23"/>
      <c r="J49" s="23"/>
      <c r="K49" s="21"/>
    </row>
    <row r="50" spans="3:11" ht="12.75">
      <c r="C50" s="21"/>
      <c r="D50" s="21"/>
      <c r="E50" s="18">
        <v>42797</v>
      </c>
      <c r="G50" s="33">
        <v>-68530.51</v>
      </c>
      <c r="H50" s="21"/>
      <c r="I50" s="23"/>
      <c r="J50" s="23"/>
      <c r="K50" s="21"/>
    </row>
    <row r="51" spans="3:11" ht="12.75">
      <c r="C51" s="21"/>
      <c r="D51" s="21"/>
      <c r="E51" s="18">
        <v>42817</v>
      </c>
      <c r="G51" s="33">
        <v>-40643</v>
      </c>
      <c r="H51" s="21"/>
      <c r="I51" s="23"/>
      <c r="J51" s="23"/>
      <c r="K51" s="21"/>
    </row>
    <row r="52" spans="3:11" ht="12.75">
      <c r="C52" s="21"/>
      <c r="D52" s="21"/>
      <c r="E52" s="18">
        <v>42828</v>
      </c>
      <c r="G52" s="33">
        <v>-35308</v>
      </c>
      <c r="H52" s="21"/>
      <c r="I52" s="23"/>
      <c r="J52" s="23"/>
      <c r="K52" s="21"/>
    </row>
    <row r="53" spans="3:11" ht="12.75">
      <c r="C53" s="21"/>
      <c r="D53" s="21"/>
      <c r="E53" s="18">
        <v>42851</v>
      </c>
      <c r="G53" s="33">
        <v>-154909</v>
      </c>
      <c r="H53" s="21"/>
      <c r="I53" s="23"/>
      <c r="J53" s="23"/>
      <c r="K53" s="21"/>
    </row>
    <row r="54" spans="3:11" ht="12.75">
      <c r="C54" s="21"/>
      <c r="D54" s="21"/>
      <c r="E54" s="18">
        <v>42863</v>
      </c>
      <c r="G54" s="33">
        <v>-32689.01</v>
      </c>
      <c r="H54" s="21"/>
      <c r="I54" s="23"/>
      <c r="J54" s="23"/>
      <c r="K54" s="21"/>
    </row>
    <row r="55" spans="3:9" ht="12.75">
      <c r="C55" s="21"/>
      <c r="D55" s="21"/>
      <c r="E55" s="18">
        <v>42878</v>
      </c>
      <c r="G55" s="33">
        <v>-36957</v>
      </c>
      <c r="H55" s="21"/>
      <c r="I55" s="23"/>
    </row>
    <row r="56" spans="3:9" ht="12.75">
      <c r="C56" s="21"/>
      <c r="D56" s="21"/>
      <c r="E56" s="18">
        <v>42893</v>
      </c>
      <c r="G56" s="33">
        <v>-69403.50</v>
      </c>
      <c r="H56" s="21"/>
      <c r="I56" s="23"/>
    </row>
    <row r="57" spans="3:9" ht="12.75">
      <c r="C57" s="21"/>
      <c r="D57" s="21"/>
      <c r="E57" s="18">
        <v>42907</v>
      </c>
      <c r="G57" s="33">
        <v>-36811.50</v>
      </c>
      <c r="H57" s="21"/>
      <c r="I57" s="23"/>
    </row>
    <row r="58" spans="3:9" ht="12.75">
      <c r="C58" s="21"/>
      <c r="D58" s="21"/>
      <c r="E58" s="18">
        <v>42915</v>
      </c>
      <c r="G58" s="33">
        <v>-84390</v>
      </c>
      <c r="H58" s="21"/>
      <c r="I58" s="23"/>
    </row>
    <row r="59" spans="3:9" ht="12.75">
      <c r="C59" s="21"/>
      <c r="D59" s="21"/>
      <c r="E59" s="18">
        <v>42927</v>
      </c>
      <c r="G59" s="33">
        <v>-30070</v>
      </c>
      <c r="H59" s="21"/>
      <c r="I59" s="23"/>
    </row>
    <row r="60" spans="3:9" ht="12.75">
      <c r="C60" s="21"/>
      <c r="D60" s="21"/>
      <c r="E60" s="18">
        <v>42957</v>
      </c>
      <c r="G60" s="33">
        <v>-46075</v>
      </c>
      <c r="H60" s="21"/>
      <c r="I60" s="23"/>
    </row>
    <row r="61" spans="3:9" ht="12.75">
      <c r="C61" s="21"/>
      <c r="D61" s="21"/>
      <c r="E61" s="18">
        <v>42970</v>
      </c>
      <c r="G61" s="33">
        <v>-99473.50</v>
      </c>
      <c r="H61" s="21"/>
      <c r="I61" s="23"/>
    </row>
    <row r="62" spans="3:11" ht="12.75">
      <c r="C62" s="21"/>
      <c r="D62" s="21"/>
      <c r="E62" s="18">
        <v>42993</v>
      </c>
      <c r="G62" s="33">
        <v>-35647.50</v>
      </c>
      <c r="H62" s="21"/>
      <c r="I62" s="23"/>
      <c r="J62" s="23"/>
      <c r="K62" s="21"/>
    </row>
    <row r="63" spans="3:11" ht="12.75">
      <c r="C63" s="21"/>
      <c r="D63" s="21"/>
      <c r="E63" s="18">
        <v>43000</v>
      </c>
      <c r="G63" s="33">
        <v>-51604</v>
      </c>
      <c r="H63" s="21"/>
      <c r="I63" s="23"/>
      <c r="J63" s="23"/>
      <c r="K63" s="21"/>
    </row>
    <row r="64" spans="3:11" ht="12.75">
      <c r="C64" s="21"/>
      <c r="D64" s="21"/>
      <c r="E64" s="18">
        <v>43012</v>
      </c>
      <c r="G64" s="33">
        <v>-51555.50</v>
      </c>
      <c r="H64" s="21"/>
      <c r="I64" s="23"/>
      <c r="J64" s="23"/>
      <c r="K64" s="21"/>
    </row>
    <row r="65" spans="3:12" ht="15.75">
      <c r="C65" s="21"/>
      <c r="D65" s="21"/>
      <c r="E65" s="18">
        <v>43027</v>
      </c>
      <c r="G65" s="33">
        <v>-50585.50</v>
      </c>
      <c r="H65" s="21"/>
      <c r="I65" s="23"/>
      <c r="J65" s="111"/>
      <c r="K65" s="112"/>
      <c r="L65" s="104"/>
    </row>
    <row r="66" spans="3:12" ht="12.75">
      <c r="C66" s="21"/>
      <c r="D66" s="21"/>
      <c r="E66" s="18">
        <v>43046</v>
      </c>
      <c r="G66" s="33">
        <v>-50876.49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43056</v>
      </c>
      <c r="G67" s="33">
        <v>-47045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43083</v>
      </c>
      <c r="G68" s="33">
        <v>-45493</v>
      </c>
      <c r="H68" s="21"/>
      <c r="I68" s="23"/>
      <c r="J68" s="111"/>
      <c r="K68" s="112"/>
      <c r="L68" s="54"/>
    </row>
    <row r="69" spans="3:12" ht="12.75">
      <c r="C69" s="21" t="s">
        <v>16</v>
      </c>
      <c r="D69" s="21"/>
      <c r="E69" s="18">
        <v>42780</v>
      </c>
      <c r="G69" s="33">
        <v>219636.89</v>
      </c>
      <c r="H69" s="21"/>
      <c r="I69" s="23"/>
      <c r="J69" s="111"/>
      <c r="K69" s="112"/>
      <c r="L69" s="54"/>
    </row>
    <row r="70" spans="3:12" ht="12.75">
      <c r="C70" s="21"/>
      <c r="D70" s="21"/>
      <c r="E70" s="18">
        <v>42822</v>
      </c>
      <c r="G70" s="33">
        <v>156941.24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42906</v>
      </c>
      <c r="G71" s="33">
        <v>26826.13</v>
      </c>
      <c r="H71" s="21"/>
      <c r="I71" s="23"/>
      <c r="J71" s="111"/>
      <c r="K71" s="112"/>
      <c r="L71" s="113"/>
    </row>
    <row r="72" spans="3:12" ht="12.75">
      <c r="C72" s="21"/>
      <c r="D72" s="21"/>
      <c r="E72" s="18">
        <v>42970</v>
      </c>
      <c r="G72" s="33">
        <v>10515.41</v>
      </c>
      <c r="H72" s="21"/>
      <c r="I72" s="23"/>
      <c r="J72" s="111"/>
      <c r="K72" s="112"/>
      <c r="L72" s="113"/>
    </row>
    <row r="73" spans="3:11" ht="12.75">
      <c r="C73" s="21" t="s">
        <v>17</v>
      </c>
      <c r="D73" s="21"/>
      <c r="E73" s="18">
        <v>43104</v>
      </c>
      <c r="G73" s="33">
        <v>-42437.51</v>
      </c>
      <c r="H73" s="21"/>
      <c r="I73" s="23"/>
      <c r="J73" s="23"/>
      <c r="K73" s="21"/>
    </row>
    <row r="74" spans="3:11" ht="12.75">
      <c r="C74" s="21"/>
      <c r="D74" s="21"/>
      <c r="E74" s="18">
        <v>43157</v>
      </c>
      <c r="G74" s="33">
        <v>-40788.50</v>
      </c>
      <c r="H74" s="21"/>
      <c r="I74" s="23"/>
      <c r="J74" s="23"/>
      <c r="K74" s="21"/>
    </row>
    <row r="75" spans="3:11" ht="12.75">
      <c r="C75" s="21"/>
      <c r="D75" s="21"/>
      <c r="E75" s="18">
        <v>43181</v>
      </c>
      <c r="G75" s="33">
        <v>-112229</v>
      </c>
      <c r="H75" s="21"/>
      <c r="I75" s="23"/>
      <c r="J75" s="23"/>
      <c r="K75" s="21"/>
    </row>
    <row r="76" spans="3:11" ht="12.75">
      <c r="C76" s="21"/>
      <c r="D76" s="21"/>
      <c r="E76" s="18">
        <v>43256</v>
      </c>
      <c r="G76" s="33">
        <v>-45007.99</v>
      </c>
      <c r="H76" s="21"/>
      <c r="I76" s="23"/>
      <c r="J76" s="23"/>
      <c r="K76" s="21"/>
    </row>
    <row r="77" spans="3:11" ht="12.75">
      <c r="C77" s="21"/>
      <c r="D77" s="21"/>
      <c r="E77" s="18">
        <v>43278</v>
      </c>
      <c r="G77" s="33">
        <v>-35890.01</v>
      </c>
      <c r="H77" s="21"/>
      <c r="I77" s="23"/>
      <c r="J77" s="23"/>
      <c r="K77" s="21"/>
    </row>
    <row r="78" spans="3:11" ht="12.75">
      <c r="C78" s="21"/>
      <c r="D78" s="21"/>
      <c r="E78" s="18">
        <v>43336</v>
      </c>
      <c r="G78" s="33">
        <v>-46608.51</v>
      </c>
      <c r="H78" s="21"/>
      <c r="I78" s="23"/>
      <c r="J78" s="23"/>
      <c r="K78" s="21"/>
    </row>
    <row r="79" spans="3:11" ht="12.75">
      <c r="C79" s="21"/>
      <c r="D79" s="21"/>
      <c r="E79" s="18">
        <v>43367</v>
      </c>
      <c r="G79" s="33">
        <v>-79103.50</v>
      </c>
      <c r="H79" s="21"/>
      <c r="I79" s="23"/>
      <c r="J79" s="23"/>
      <c r="K79" s="21"/>
    </row>
    <row r="80" spans="3:11" ht="12.75">
      <c r="C80" s="21"/>
      <c r="D80" s="21"/>
      <c r="E80" s="18">
        <v>43439</v>
      </c>
      <c r="G80" s="33">
        <v>-49373</v>
      </c>
      <c r="H80" s="21"/>
      <c r="I80" s="23"/>
      <c r="J80" s="23"/>
      <c r="K80" s="21"/>
    </row>
    <row r="81" spans="3:11" ht="12.75">
      <c r="C81" s="21" t="s">
        <v>18</v>
      </c>
      <c r="D81" s="21"/>
      <c r="E81" s="18">
        <v>43167</v>
      </c>
      <c r="G81" s="33">
        <v>11812.57</v>
      </c>
      <c r="H81" s="21"/>
      <c r="I81" s="23"/>
      <c r="J81" s="23"/>
      <c r="K81" s="21"/>
    </row>
    <row r="82" spans="3:11" ht="12.75">
      <c r="C82" s="21"/>
      <c r="D82" s="21"/>
      <c r="E82" s="18">
        <v>43255</v>
      </c>
      <c r="G82" s="33">
        <v>29353.12</v>
      </c>
      <c r="H82" s="21"/>
      <c r="I82" s="23"/>
      <c r="J82" s="23"/>
      <c r="K82" s="21"/>
    </row>
    <row r="83" spans="3:11" ht="12.75">
      <c r="C83" s="21"/>
      <c r="D83" s="21"/>
      <c r="E83" s="18">
        <v>43444</v>
      </c>
      <c r="G83" s="33">
        <v>17341.60</v>
      </c>
      <c r="H83" s="21"/>
      <c r="I83" s="23"/>
      <c r="J83" s="23"/>
      <c r="K83" s="21"/>
    </row>
    <row r="84" spans="3:11" ht="12.75">
      <c r="C84" s="21" t="s">
        <v>19</v>
      </c>
      <c r="D84" s="21"/>
      <c r="E84" s="18">
        <v>43481</v>
      </c>
      <c r="F84" s="33"/>
      <c r="G84" s="33">
        <v>-28129.99</v>
      </c>
      <c r="H84" s="21"/>
      <c r="I84" s="23"/>
      <c r="J84" s="23"/>
      <c r="K84" s="21"/>
    </row>
    <row r="85" spans="4:11" ht="12.75">
      <c r="D85" s="21"/>
      <c r="E85" s="18">
        <v>43544</v>
      </c>
      <c r="F85" s="33"/>
      <c r="G85" s="33">
        <v>-31137</v>
      </c>
      <c r="H85" s="21"/>
      <c r="I85" s="23"/>
      <c r="J85" s="23"/>
      <c r="K85" s="21"/>
    </row>
    <row r="86" spans="4:11" ht="12.75">
      <c r="D86" s="21"/>
      <c r="E86" s="18">
        <v>43591</v>
      </c>
      <c r="F86" s="33"/>
      <c r="G86" s="33">
        <v>-27790.50</v>
      </c>
      <c r="H86" s="21"/>
      <c r="I86" s="23"/>
      <c r="J86" s="23"/>
      <c r="K86" s="21"/>
    </row>
    <row r="87" spans="4:11" ht="12.75">
      <c r="D87" s="21"/>
      <c r="E87" s="18">
        <v>43675</v>
      </c>
      <c r="F87" s="33"/>
      <c r="G87" s="33">
        <v>-43456</v>
      </c>
      <c r="H87" s="21"/>
      <c r="I87" s="23"/>
      <c r="J87" s="23"/>
      <c r="K87" s="21"/>
    </row>
    <row r="88" spans="4:11" ht="12.75">
      <c r="D88" s="21"/>
      <c r="E88" s="18">
        <v>43707</v>
      </c>
      <c r="F88" s="33"/>
      <c r="G88" s="33">
        <v>-74593</v>
      </c>
      <c r="H88" s="21"/>
      <c r="I88" s="23"/>
      <c r="J88" s="23"/>
      <c r="K88" s="21"/>
    </row>
    <row r="89" spans="4:11" ht="12.75">
      <c r="D89" s="21"/>
      <c r="E89" s="18">
        <v>43769</v>
      </c>
      <c r="F89" s="33"/>
      <c r="G89" s="33">
        <v>-34192.50</v>
      </c>
      <c r="H89" s="21"/>
      <c r="I89" s="23"/>
      <c r="J89" s="23"/>
      <c r="K89" s="21"/>
    </row>
    <row r="90" spans="4:11" ht="12.75">
      <c r="D90" s="21"/>
      <c r="E90" s="18">
        <v>43804</v>
      </c>
      <c r="F90" s="33"/>
      <c r="G90" s="33">
        <v>-34144</v>
      </c>
      <c r="H90" s="21"/>
      <c r="I90" s="23"/>
      <c r="J90" s="23"/>
      <c r="K90" s="21"/>
    </row>
    <row r="91" spans="3:11" ht="12.75">
      <c r="C91" s="21" t="s">
        <v>20</v>
      </c>
      <c r="D91" s="21"/>
      <c r="E91" s="18">
        <v>43550</v>
      </c>
      <c r="F91" s="33"/>
      <c r="G91" s="33">
        <v>9634.96</v>
      </c>
      <c r="H91" s="21"/>
      <c r="I91" s="23"/>
      <c r="J91" s="23"/>
      <c r="K91" s="21"/>
    </row>
    <row r="92" spans="3:11" ht="12.75">
      <c r="C92" s="21"/>
      <c r="D92" s="21"/>
      <c r="E92" s="18">
        <v>43629</v>
      </c>
      <c r="F92" s="33"/>
      <c r="G92" s="33">
        <v>10836.58</v>
      </c>
      <c r="H92" s="21"/>
      <c r="I92" s="23"/>
      <c r="J92" s="23"/>
      <c r="K92" s="21"/>
    </row>
    <row r="93" spans="3:11" ht="12.75">
      <c r="C93" s="21"/>
      <c r="D93" s="21"/>
      <c r="E93" s="18">
        <v>43760</v>
      </c>
      <c r="F93" s="33"/>
      <c r="G93" s="33">
        <v>60129.25</v>
      </c>
      <c r="H93" s="21"/>
      <c r="I93" s="23"/>
      <c r="J93" s="23"/>
      <c r="K93" s="21"/>
    </row>
    <row r="94" spans="3:11" ht="12.75">
      <c r="C94" s="21"/>
      <c r="D94" s="21"/>
      <c r="E94" s="18">
        <v>43816</v>
      </c>
      <c r="F94" s="33"/>
      <c r="G94" s="33">
        <v>11437.15</v>
      </c>
      <c r="H94" s="21"/>
      <c r="I94" s="23"/>
      <c r="J94" s="23"/>
      <c r="K94" s="21"/>
    </row>
    <row r="95" spans="3:11" ht="12.75">
      <c r="C95" s="21" t="s">
        <v>21</v>
      </c>
      <c r="D95" s="21"/>
      <c r="E95" s="18">
        <v>43896</v>
      </c>
      <c r="F95" s="33"/>
      <c r="G95" s="33">
        <v>-21146</v>
      </c>
      <c r="H95" s="21"/>
      <c r="I95" s="23"/>
      <c r="J95" s="23"/>
      <c r="K95" s="21"/>
    </row>
    <row r="96" spans="3:11" ht="12.75">
      <c r="C96" s="21"/>
      <c r="D96" s="21"/>
      <c r="E96" s="18">
        <v>43922</v>
      </c>
      <c r="F96" s="33"/>
      <c r="G96" s="33">
        <v>-15811</v>
      </c>
      <c r="H96" s="21"/>
      <c r="I96" s="23"/>
      <c r="J96" s="23"/>
      <c r="K96" s="21"/>
    </row>
    <row r="97" spans="3:11" ht="12.75">
      <c r="C97" s="21"/>
      <c r="D97" s="21"/>
      <c r="E97" s="18">
        <v>43979</v>
      </c>
      <c r="F97" s="33"/>
      <c r="G97" s="33">
        <v>-20612.50</v>
      </c>
      <c r="H97" s="21"/>
      <c r="I97" s="23"/>
      <c r="J97" s="23"/>
      <c r="K97" s="21"/>
    </row>
    <row r="98" spans="3:11" ht="12.75">
      <c r="C98" s="21"/>
      <c r="D98" s="21"/>
      <c r="E98" s="18">
        <v>44015</v>
      </c>
      <c r="F98" s="33"/>
      <c r="G98" s="33">
        <v>-17896.50</v>
      </c>
      <c r="H98" s="21"/>
      <c r="I98" s="23"/>
      <c r="J98" s="23"/>
      <c r="K98" s="21"/>
    </row>
    <row r="99" spans="3:11" ht="12.75">
      <c r="C99" s="21"/>
      <c r="D99" s="21"/>
      <c r="E99" s="18">
        <v>44109</v>
      </c>
      <c r="F99" s="33"/>
      <c r="G99" s="33">
        <v>-12658.50</v>
      </c>
      <c r="H99" s="21"/>
      <c r="I99" s="23"/>
      <c r="J99" s="23"/>
      <c r="K99" s="21"/>
    </row>
    <row r="100" spans="3:11" ht="12.75">
      <c r="C100" s="21"/>
      <c r="D100" s="21"/>
      <c r="E100" s="18">
        <v>44160</v>
      </c>
      <c r="F100" s="33"/>
      <c r="G100" s="33">
        <v>-24007.50</v>
      </c>
      <c r="H100" s="21"/>
      <c r="I100" s="23"/>
      <c r="J100" s="23"/>
      <c r="K100" s="21"/>
    </row>
    <row r="101" spans="3:11" ht="12.75">
      <c r="C101" s="21" t="s">
        <v>22</v>
      </c>
      <c r="D101" s="21"/>
      <c r="E101" s="18">
        <v>43885</v>
      </c>
      <c r="F101" s="33"/>
      <c r="G101" s="33">
        <v>36192.72</v>
      </c>
      <c r="H101" s="21"/>
      <c r="I101" s="23"/>
      <c r="J101" s="23"/>
      <c r="K101" s="21"/>
    </row>
    <row r="102" spans="3:11" ht="12.75">
      <c r="C102" s="21"/>
      <c r="D102" s="21"/>
      <c r="E102" s="18">
        <v>44082</v>
      </c>
      <c r="F102" s="33"/>
      <c r="G102" s="33">
        <v>21489.23</v>
      </c>
      <c r="H102" s="21"/>
      <c r="I102" s="23"/>
      <c r="J102" s="23"/>
      <c r="K102" s="21"/>
    </row>
    <row r="103" spans="3:11" ht="12.75">
      <c r="C103" s="21" t="s">
        <v>24</v>
      </c>
      <c r="D103" s="21"/>
      <c r="E103" s="18">
        <v>44201</v>
      </c>
      <c r="F103" s="33"/>
      <c r="G103" s="33">
        <v>-12804</v>
      </c>
      <c r="H103" s="21"/>
      <c r="I103" s="23"/>
      <c r="J103" s="23"/>
      <c r="K103" s="21"/>
    </row>
    <row r="104" spans="3:11" ht="12.75">
      <c r="C104" s="21"/>
      <c r="D104" s="21"/>
      <c r="E104" s="18">
        <v>44246</v>
      </c>
      <c r="F104" s="33"/>
      <c r="G104" s="33">
        <v>-72750</v>
      </c>
      <c r="H104" s="21"/>
      <c r="I104" s="23"/>
      <c r="J104" s="23"/>
      <c r="K104" s="21"/>
    </row>
    <row r="105" spans="3:11" ht="12.75">
      <c r="C105" s="21"/>
      <c r="D105" s="21"/>
      <c r="E105" s="18">
        <v>44267</v>
      </c>
      <c r="F105" s="33"/>
      <c r="G105" s="33">
        <v>-7226.50</v>
      </c>
      <c r="H105" s="21"/>
      <c r="I105" s="23"/>
      <c r="J105" s="23"/>
      <c r="K105" s="21"/>
    </row>
    <row r="106" spans="3:11" ht="12.75">
      <c r="C106" s="21"/>
      <c r="D106" s="21"/>
      <c r="E106" s="18">
        <v>44285</v>
      </c>
      <c r="F106" s="33"/>
      <c r="G106" s="33">
        <v>-9118</v>
      </c>
      <c r="H106" s="21"/>
      <c r="I106" s="23"/>
      <c r="J106" s="23"/>
      <c r="K106" s="21"/>
    </row>
    <row r="107" spans="3:11" ht="12.75">
      <c r="C107" s="21"/>
      <c r="D107" s="21"/>
      <c r="E107" s="18">
        <v>44308</v>
      </c>
      <c r="F107" s="33"/>
      <c r="G107" s="33">
        <v>-24153</v>
      </c>
      <c r="H107" s="21"/>
      <c r="I107" s="23"/>
      <c r="J107" s="23"/>
      <c r="K107" s="21"/>
    </row>
    <row r="108" spans="3:11" ht="12.75">
      <c r="C108" s="21"/>
      <c r="D108" s="21"/>
      <c r="E108" s="18">
        <v>44348</v>
      </c>
      <c r="F108" s="33"/>
      <c r="G108" s="33">
        <v>-53495.50</v>
      </c>
      <c r="H108" s="21"/>
      <c r="I108" s="23"/>
      <c r="J108" s="23"/>
      <c r="K108" s="21"/>
    </row>
    <row r="109" spans="3:11" ht="12.75">
      <c r="C109" s="21"/>
      <c r="D109" s="21"/>
      <c r="E109" s="18">
        <v>44467</v>
      </c>
      <c r="F109" s="33"/>
      <c r="G109" s="33">
        <v>-7857</v>
      </c>
      <c r="H109" s="21"/>
      <c r="I109" s="23"/>
      <c r="J109" s="23"/>
      <c r="K109" s="21"/>
    </row>
    <row r="110" spans="3:11" ht="12.75">
      <c r="C110" s="21"/>
      <c r="D110" s="21"/>
      <c r="E110" s="18">
        <v>44546</v>
      </c>
      <c r="F110" s="33"/>
      <c r="G110" s="33">
        <v>-35890</v>
      </c>
      <c r="H110" s="21"/>
      <c r="I110" s="23"/>
      <c r="J110" s="23"/>
      <c r="K110" s="21"/>
    </row>
    <row r="111" spans="3:11" ht="12.75">
      <c r="C111" s="21" t="s">
        <v>23</v>
      </c>
      <c r="D111" s="21"/>
      <c r="E111" s="18">
        <v>44217</v>
      </c>
      <c r="F111" s="33"/>
      <c r="G111" s="33">
        <v>33239.26</v>
      </c>
      <c r="H111" s="21"/>
      <c r="I111" s="23"/>
      <c r="J111" s="23"/>
      <c r="K111" s="21"/>
    </row>
    <row r="112" spans="3:11" ht="12.75">
      <c r="C112" s="21"/>
      <c r="D112" s="21"/>
      <c r="E112" s="18">
        <v>44256</v>
      </c>
      <c r="F112" s="33"/>
      <c r="G112" s="33">
        <v>276993.05</v>
      </c>
      <c r="H112" s="21"/>
      <c r="I112" s="23"/>
      <c r="J112" s="23"/>
      <c r="K112" s="21"/>
    </row>
    <row r="113" spans="3:11" ht="12.75">
      <c r="C113" s="21"/>
      <c r="D113" s="21"/>
      <c r="E113" s="18">
        <v>44279</v>
      </c>
      <c r="F113" s="33"/>
      <c r="G113" s="33">
        <v>59234.92</v>
      </c>
      <c r="H113" s="21"/>
      <c r="I113" s="23"/>
      <c r="J113" s="23"/>
      <c r="K113" s="21"/>
    </row>
    <row r="114" spans="3:11" ht="12.75">
      <c r="C114" s="21"/>
      <c r="D114" s="21"/>
      <c r="E114" s="18">
        <v>44295</v>
      </c>
      <c r="F114" s="33"/>
      <c r="G114" s="33">
        <v>77499.69</v>
      </c>
      <c r="H114" s="21"/>
      <c r="I114" s="23"/>
      <c r="J114" s="23"/>
      <c r="K114" s="21"/>
    </row>
    <row r="115" spans="3:11" ht="12.75">
      <c r="C115" s="21"/>
      <c r="D115" s="21"/>
      <c r="E115" s="18">
        <v>44371</v>
      </c>
      <c r="F115" s="33"/>
      <c r="G115" s="33">
        <v>10182.89</v>
      </c>
      <c r="H115" s="21"/>
      <c r="I115" s="23"/>
      <c r="J115" s="23"/>
      <c r="K115" s="21"/>
    </row>
    <row r="116" spans="3:11" ht="12.75">
      <c r="C116" s="21"/>
      <c r="D116" s="21"/>
      <c r="E116" s="18">
        <v>44386</v>
      </c>
      <c r="F116" s="33"/>
      <c r="G116" s="33">
        <v>18470.01</v>
      </c>
      <c r="H116" s="21"/>
      <c r="I116" s="23"/>
      <c r="J116" s="23"/>
      <c r="K116" s="21"/>
    </row>
    <row r="117" spans="3:11" ht="12.75">
      <c r="C117" s="21"/>
      <c r="D117" s="21"/>
      <c r="E117" s="18">
        <v>44417</v>
      </c>
      <c r="F117" s="33"/>
      <c r="G117" s="33">
        <v>20081.81</v>
      </c>
      <c r="H117" s="21"/>
      <c r="I117" s="23"/>
      <c r="J117" s="23"/>
      <c r="K117" s="21"/>
    </row>
    <row r="118" spans="3:11" ht="12.75">
      <c r="C118" s="21"/>
      <c r="D118" s="21"/>
      <c r="E118" s="18">
        <v>44446</v>
      </c>
      <c r="F118" s="33"/>
      <c r="G118" s="33">
        <v>19372.30</v>
      </c>
      <c r="H118" s="21"/>
      <c r="I118" s="23"/>
      <c r="J118" s="23"/>
      <c r="K118" s="21"/>
    </row>
    <row r="119" spans="3:11" ht="12.75">
      <c r="C119" s="21"/>
      <c r="D119" s="21"/>
      <c r="E119" s="18">
        <v>44473</v>
      </c>
      <c r="F119" s="33"/>
      <c r="G119" s="33">
        <v>30429</v>
      </c>
      <c r="H119" s="21"/>
      <c r="I119" s="23"/>
      <c r="J119" s="23"/>
      <c r="K119" s="21"/>
    </row>
    <row r="120" spans="3:11" ht="12.75">
      <c r="C120" s="21"/>
      <c r="D120" s="21"/>
      <c r="E120" s="18">
        <v>44489</v>
      </c>
      <c r="F120" s="33"/>
      <c r="G120" s="33">
        <v>79017.88</v>
      </c>
      <c r="H120" s="21"/>
      <c r="I120" s="23"/>
      <c r="J120" s="23"/>
      <c r="K120" s="21"/>
    </row>
    <row r="121" spans="3:11" ht="12.75">
      <c r="C121" s="21"/>
      <c r="D121" s="21"/>
      <c r="E121" s="18">
        <v>44496</v>
      </c>
      <c r="F121" s="33"/>
      <c r="G121" s="33">
        <v>162908.57</v>
      </c>
      <c r="H121" s="21"/>
      <c r="I121" s="23"/>
      <c r="J121" s="23"/>
      <c r="K121" s="21"/>
    </row>
    <row r="122" spans="3:11" ht="12.75">
      <c r="C122" s="21"/>
      <c r="D122" s="21"/>
      <c r="E122" s="18">
        <v>44505</v>
      </c>
      <c r="F122" s="33"/>
      <c r="G122" s="33">
        <v>16441.85</v>
      </c>
      <c r="H122" s="21"/>
      <c r="I122" s="23"/>
      <c r="J122" s="23"/>
      <c r="K122" s="21"/>
    </row>
    <row r="123" spans="3:11" ht="12.75">
      <c r="C123" s="21"/>
      <c r="D123" s="21"/>
      <c r="E123" s="18">
        <v>44547</v>
      </c>
      <c r="F123" s="33"/>
      <c r="G123" s="33">
        <v>124440.06</v>
      </c>
      <c r="H123" s="21"/>
      <c r="I123" s="23"/>
      <c r="J123" s="23"/>
      <c r="K123" s="21"/>
    </row>
    <row r="124" spans="3:11" ht="12.75">
      <c r="C124" s="21" t="s">
        <v>27</v>
      </c>
      <c r="D124" s="21"/>
      <c r="E124" s="18">
        <v>44585</v>
      </c>
      <c r="F124" s="33"/>
      <c r="G124" s="33">
        <v>-14889.50</v>
      </c>
      <c r="H124" s="21"/>
      <c r="I124" s="23"/>
      <c r="J124" s="23"/>
      <c r="K124" s="21"/>
    </row>
    <row r="125" spans="3:11" ht="12.75">
      <c r="C125" s="21"/>
      <c r="D125" s="21"/>
      <c r="E125" s="18">
        <v>44630</v>
      </c>
      <c r="F125" s="33"/>
      <c r="G125" s="33">
        <v>-17945</v>
      </c>
      <c r="H125" s="21"/>
      <c r="I125" s="23"/>
      <c r="J125" s="23"/>
      <c r="K125" s="21"/>
    </row>
    <row r="126" spans="3:11" ht="12.75">
      <c r="C126" s="21"/>
      <c r="D126" s="21"/>
      <c r="E126" s="18">
        <v>44741</v>
      </c>
      <c r="F126" s="33"/>
      <c r="G126" s="33">
        <v>-7566</v>
      </c>
      <c r="H126" s="21"/>
      <c r="I126" s="23"/>
      <c r="J126" s="23"/>
      <c r="K126" s="21"/>
    </row>
    <row r="127" spans="3:11" ht="12.75">
      <c r="C127" s="21"/>
      <c r="D127" s="21"/>
      <c r="E127" s="18">
        <v>44830</v>
      </c>
      <c r="F127" s="33"/>
      <c r="G127" s="33">
        <v>-7420.50</v>
      </c>
      <c r="H127" s="21"/>
      <c r="I127" s="23"/>
      <c r="J127" s="23"/>
      <c r="K127" s="21"/>
    </row>
    <row r="128" spans="3:11" ht="12.75">
      <c r="C128" s="21"/>
      <c r="D128" s="21"/>
      <c r="E128" s="18">
        <v>44925</v>
      </c>
      <c r="F128" s="33"/>
      <c r="G128" s="33">
        <v>-12222</v>
      </c>
      <c r="H128" s="21"/>
      <c r="I128" s="23"/>
      <c r="J128" s="23"/>
      <c r="K128" s="21"/>
    </row>
    <row r="129" spans="3:11" ht="12.75">
      <c r="C129" s="21" t="s">
        <v>25</v>
      </c>
      <c r="D129" s="21"/>
      <c r="E129" s="18">
        <v>44580</v>
      </c>
      <c r="F129" s="33"/>
      <c r="G129" s="33">
        <v>195953.50</v>
      </c>
      <c r="H129" s="21"/>
      <c r="I129" s="23"/>
      <c r="J129" s="23"/>
      <c r="K129" s="21"/>
    </row>
    <row r="130" spans="3:11" ht="12.75">
      <c r="C130" s="21"/>
      <c r="D130" s="21"/>
      <c r="E130" s="18">
        <v>44595</v>
      </c>
      <c r="F130" s="33"/>
      <c r="G130" s="33">
        <v>75341.20</v>
      </c>
      <c r="H130" s="21"/>
      <c r="I130" s="23"/>
      <c r="J130" s="23"/>
      <c r="K130" s="21"/>
    </row>
    <row r="131" spans="3:11" ht="12.75">
      <c r="C131" s="21"/>
      <c r="D131" s="21"/>
      <c r="E131" s="18">
        <v>44630</v>
      </c>
      <c r="F131" s="33"/>
      <c r="G131" s="33">
        <v>105615.95</v>
      </c>
      <c r="H131" s="21"/>
      <c r="I131" s="23"/>
      <c r="J131" s="23"/>
      <c r="K131" s="21"/>
    </row>
    <row r="132" spans="3:11" ht="12.75">
      <c r="C132" s="21"/>
      <c r="D132" s="21"/>
      <c r="E132" s="18">
        <v>44655</v>
      </c>
      <c r="F132" s="33"/>
      <c r="G132" s="33">
        <v>191736.38</v>
      </c>
      <c r="H132" s="21"/>
      <c r="I132" s="23"/>
      <c r="J132" s="23"/>
      <c r="K132" s="21"/>
    </row>
    <row r="133" spans="3:11" ht="12.75">
      <c r="C133" s="21"/>
      <c r="D133" s="21"/>
      <c r="E133" s="18">
        <v>44690</v>
      </c>
      <c r="F133" s="33"/>
      <c r="G133" s="33">
        <v>95616.97</v>
      </c>
      <c r="H133" s="21"/>
      <c r="I133" s="23"/>
      <c r="J133" s="23"/>
      <c r="K133" s="21"/>
    </row>
    <row r="134" spans="3:11" ht="12.75">
      <c r="C134" s="21"/>
      <c r="D134" s="21"/>
      <c r="E134" s="18">
        <v>44714</v>
      </c>
      <c r="F134" s="33"/>
      <c r="G134" s="33">
        <v>143347.05</v>
      </c>
      <c r="H134" s="21"/>
      <c r="I134" s="23"/>
      <c r="J134" s="23"/>
      <c r="K134" s="21"/>
    </row>
    <row r="135" spans="3:11" ht="12.75">
      <c r="C135" s="21"/>
      <c r="D135" s="21"/>
      <c r="E135" s="18">
        <v>44754</v>
      </c>
      <c r="F135" s="33"/>
      <c r="G135" s="33">
        <v>138214.31</v>
      </c>
      <c r="H135" s="21"/>
      <c r="I135" s="23"/>
      <c r="J135" s="23"/>
      <c r="K135" s="21"/>
    </row>
    <row r="136" spans="3:11" ht="12.75">
      <c r="C136" s="21"/>
      <c r="D136" s="21"/>
      <c r="E136" s="18">
        <v>44782</v>
      </c>
      <c r="F136" s="33"/>
      <c r="G136" s="33">
        <v>41814.62</v>
      </c>
      <c r="H136" s="21"/>
      <c r="I136" s="23"/>
      <c r="J136" s="23"/>
      <c r="K136" s="21"/>
    </row>
    <row r="137" spans="3:11" ht="12.75">
      <c r="C137" s="21"/>
      <c r="D137" s="21"/>
      <c r="E137" s="18">
        <v>44806</v>
      </c>
      <c r="F137" s="33"/>
      <c r="G137" s="33">
        <v>123851.67</v>
      </c>
      <c r="H137" s="21"/>
      <c r="I137" s="23"/>
      <c r="J137" s="23"/>
      <c r="K137" s="21"/>
    </row>
    <row r="138" spans="3:11" ht="12.75">
      <c r="C138" s="21"/>
      <c r="D138" s="21"/>
      <c r="E138" s="18">
        <v>44846</v>
      </c>
      <c r="F138" s="33"/>
      <c r="G138" s="33">
        <v>103742.78</v>
      </c>
      <c r="H138" s="21"/>
      <c r="I138" s="23"/>
      <c r="J138" s="23"/>
      <c r="K138" s="21"/>
    </row>
    <row r="139" spans="3:11" ht="12.75">
      <c r="C139" s="21"/>
      <c r="D139" s="21"/>
      <c r="E139" s="18">
        <v>44868</v>
      </c>
      <c r="F139" s="33"/>
      <c r="G139" s="33">
        <v>50764.98</v>
      </c>
      <c r="H139" s="21"/>
      <c r="I139" s="23"/>
      <c r="J139" s="23"/>
      <c r="K139" s="21"/>
    </row>
    <row r="140" spans="3:11" ht="12.75">
      <c r="C140" s="21"/>
      <c r="D140" s="21"/>
      <c r="E140" s="18">
        <v>44901</v>
      </c>
      <c r="F140" s="33"/>
      <c r="G140" s="33">
        <v>33198.13</v>
      </c>
      <c r="H140" s="21"/>
      <c r="I140" s="23"/>
      <c r="J140" s="23"/>
      <c r="K140" s="21"/>
    </row>
    <row r="141" spans="3:11" ht="12.75">
      <c r="C141" s="21" t="s">
        <v>28</v>
      </c>
      <c r="D141" s="21"/>
      <c r="E141" s="18">
        <v>44965</v>
      </c>
      <c r="F141" s="33"/>
      <c r="G141" s="33">
        <v>-12125</v>
      </c>
      <c r="H141" s="21"/>
      <c r="I141" s="23"/>
      <c r="J141" s="23"/>
      <c r="K141" s="21"/>
    </row>
    <row r="142" spans="3:11" ht="12.75">
      <c r="C142" s="21"/>
      <c r="D142" s="21"/>
      <c r="E142" s="18">
        <v>45009</v>
      </c>
      <c r="F142" s="33"/>
      <c r="G142" s="33">
        <v>-7275</v>
      </c>
      <c r="H142" s="21"/>
      <c r="I142" s="23"/>
      <c r="J142" s="23"/>
      <c r="K142" s="21"/>
    </row>
    <row r="143" spans="3:11" ht="12.75">
      <c r="C143" s="21"/>
      <c r="D143" s="21"/>
      <c r="E143" s="18">
        <v>45022</v>
      </c>
      <c r="F143" s="33"/>
      <c r="G143" s="33">
        <v>-8584.50</v>
      </c>
      <c r="H143" s="21"/>
      <c r="I143" s="23"/>
      <c r="J143" s="23"/>
      <c r="K143" s="21"/>
    </row>
    <row r="144" spans="3:11" ht="12.75">
      <c r="C144" s="21"/>
      <c r="D144" s="21"/>
      <c r="E144" s="18">
        <v>45084</v>
      </c>
      <c r="F144" s="33"/>
      <c r="G144" s="33">
        <v>-20515.50</v>
      </c>
      <c r="H144" s="21"/>
      <c r="I144" s="23"/>
      <c r="J144" s="23"/>
      <c r="K144" s="21"/>
    </row>
    <row r="145" spans="3:11" ht="12.75">
      <c r="C145" s="21" t="s">
        <v>26</v>
      </c>
      <c r="D145" s="21"/>
      <c r="E145" s="18">
        <v>44937</v>
      </c>
      <c r="F145" s="33"/>
      <c r="G145" s="33">
        <v>45190.86</v>
      </c>
      <c r="H145" s="21"/>
      <c r="I145" s="23"/>
      <c r="J145" s="23"/>
      <c r="K145" s="21"/>
    </row>
    <row r="146" spans="3:11" ht="12.75">
      <c r="C146" s="21"/>
      <c r="D146" s="21"/>
      <c r="E146" s="18">
        <v>44960</v>
      </c>
      <c r="F146" s="33"/>
      <c r="G146" s="33">
        <v>21940.34</v>
      </c>
      <c r="H146" s="21"/>
      <c r="I146" s="23"/>
      <c r="J146" s="23"/>
      <c r="K146" s="21"/>
    </row>
    <row r="147" spans="3:11" ht="12.75">
      <c r="C147" s="21"/>
      <c r="D147" s="21"/>
      <c r="E147" s="18">
        <v>44994</v>
      </c>
      <c r="F147" s="33"/>
      <c r="G147" s="33">
        <v>51513.14</v>
      </c>
      <c r="H147" s="21"/>
      <c r="I147" s="23"/>
      <c r="J147" s="23"/>
      <c r="K147" s="21"/>
    </row>
    <row r="148" spans="3:11" ht="12.75">
      <c r="C148" s="21"/>
      <c r="D148" s="21"/>
      <c r="E148" s="18">
        <v>45030</v>
      </c>
      <c r="F148" s="33"/>
      <c r="G148" s="33">
        <v>501714.97</v>
      </c>
      <c r="H148" s="21"/>
      <c r="I148" s="23"/>
      <c r="J148" s="23"/>
      <c r="K148" s="21"/>
    </row>
    <row r="149" spans="3:11" ht="12.75">
      <c r="C149" s="21"/>
      <c r="D149" s="21"/>
      <c r="E149" s="18">
        <v>45049</v>
      </c>
      <c r="F149" s="33"/>
      <c r="G149" s="33">
        <v>40930.68</v>
      </c>
      <c r="H149" s="21"/>
      <c r="I149" s="23"/>
      <c r="J149" s="23"/>
      <c r="K149" s="21"/>
    </row>
    <row r="150" spans="3:11" ht="12.75">
      <c r="C150" s="21"/>
      <c r="D150" s="21"/>
      <c r="E150" s="18">
        <v>45091</v>
      </c>
      <c r="F150" s="33"/>
      <c r="G150" s="33">
        <v>391060.28</v>
      </c>
      <c r="H150" s="21"/>
      <c r="I150" s="23"/>
      <c r="J150" s="23"/>
      <c r="K150" s="21"/>
    </row>
    <row r="151" spans="3:11" ht="12.75">
      <c r="C151" s="21"/>
      <c r="D151" s="21"/>
      <c r="E151" s="18">
        <v>45114</v>
      </c>
      <c r="F151" s="33"/>
      <c r="G151" s="33">
        <v>26446.97</v>
      </c>
      <c r="H151" s="21"/>
      <c r="I151" s="23"/>
      <c r="J151" s="23"/>
      <c r="K151" s="21"/>
    </row>
    <row r="152" spans="3:11" ht="12.75">
      <c r="C152" s="21"/>
      <c r="D152" s="21"/>
      <c r="E152" s="18">
        <v>45154</v>
      </c>
      <c r="F152" s="33"/>
      <c r="G152" s="33">
        <v>352627.63</v>
      </c>
      <c r="H152" s="21"/>
      <c r="I152" s="23"/>
      <c r="J152" s="23"/>
      <c r="K152" s="21"/>
    </row>
    <row r="153" spans="3:11" ht="12.75">
      <c r="C153" s="21"/>
      <c r="D153" s="21"/>
      <c r="E153" s="18">
        <v>45176</v>
      </c>
      <c r="F153" s="33"/>
      <c r="G153" s="33">
        <v>18705.79</v>
      </c>
      <c r="H153" s="21"/>
      <c r="I153" s="23"/>
      <c r="J153" s="23"/>
      <c r="K153" s="21"/>
    </row>
    <row r="154" spans="3:11" ht="12.75">
      <c r="C154" s="21"/>
      <c r="D154" s="21"/>
      <c r="E154" s="18">
        <v>45191</v>
      </c>
      <c r="F154" s="33"/>
      <c r="G154" s="33">
        <v>89977.53</v>
      </c>
      <c r="H154" s="21"/>
      <c r="I154" s="23"/>
      <c r="J154" s="23"/>
      <c r="K154" s="21"/>
    </row>
    <row r="155" spans="3:11" ht="12.75">
      <c r="C155" s="21"/>
      <c r="D155" s="21"/>
      <c r="E155" s="18">
        <v>45198</v>
      </c>
      <c r="F155" s="33"/>
      <c r="G155" s="33">
        <v>40516.94</v>
      </c>
      <c r="H155" s="21"/>
      <c r="I155" s="23"/>
      <c r="J155" s="23"/>
      <c r="K155" s="21"/>
    </row>
    <row r="156" spans="3:10" ht="4.5" customHeight="1">
      <c r="C156" s="21"/>
      <c r="D156" s="21"/>
      <c r="E156" s="18"/>
      <c r="F156" s="21"/>
      <c r="G156" s="33"/>
      <c r="H156" s="21"/>
      <c r="I156" s="23"/>
      <c r="J156" s="23"/>
    </row>
    <row r="157" spans="3:12" ht="12.75">
      <c r="C157" s="21" t="s">
        <v>1</v>
      </c>
      <c r="D157" s="21"/>
      <c r="E157" s="18">
        <f>+E8</f>
        <v>45199</v>
      </c>
      <c r="F157" s="21"/>
      <c r="G157" s="49">
        <f>L157*C22</f>
        <v>1991447.863113194</v>
      </c>
      <c r="H157" s="21"/>
      <c r="I157" s="18"/>
      <c r="L157" s="54">
        <v>199359257</v>
      </c>
    </row>
    <row r="158" spans="3:8" ht="12.75">
      <c r="C158" s="21"/>
      <c r="D158" s="21"/>
      <c r="E158" s="21"/>
      <c r="F158" s="21"/>
      <c r="G158" s="21"/>
      <c r="H158" s="21"/>
    </row>
    <row r="159" spans="3:11" ht="12.75">
      <c r="C159" s="20" t="s">
        <v>0</v>
      </c>
      <c r="G159" s="47">
        <f>+XIRR(G24:G157,E24:E157,0.1)</f>
        <v>0.15715442299842838</v>
      </c>
      <c r="H159" s="21"/>
      <c r="J159" s="33">
        <f>+SUMIF($G$24:$G$156,"&lt;0",$G$24:$G$156)+49946.86</f>
        <v>-3368871.16</v>
      </c>
      <c r="K159" s="21" t="s">
        <v>11</v>
      </c>
    </row>
    <row r="160" spans="3:11" ht="12.75">
      <c r="C160" s="21"/>
      <c r="D160" s="21"/>
      <c r="E160" s="21"/>
      <c r="F160" s="21"/>
      <c r="G160" s="21"/>
      <c r="H160" s="21"/>
      <c r="J160" s="33">
        <f>+SUMIF($G$24:$G$156,"&gt;0",$G$24:$G$156)-49946.86</f>
        <v>4468162.210000001</v>
      </c>
      <c r="K160" s="21" t="s">
        <v>12</v>
      </c>
    </row>
    <row r="161" spans="3:8" ht="12.75">
      <c r="C161" s="21"/>
      <c r="D161" s="21"/>
      <c r="E161" s="21"/>
      <c r="F161" s="21"/>
      <c r="G161" s="21"/>
      <c r="H161" s="21"/>
    </row>
    <row r="162" spans="3:8" ht="12.75">
      <c r="C162" s="26"/>
      <c r="D162" s="26"/>
      <c r="E162" s="34"/>
      <c r="F162" s="21"/>
      <c r="G162" s="34"/>
      <c r="H162" s="21"/>
    </row>
    <row r="163" spans="3:8" ht="12.75">
      <c r="C163" s="26"/>
      <c r="D163" s="26"/>
      <c r="E163" s="34"/>
      <c r="F163" s="26"/>
      <c r="G163" s="34"/>
      <c r="H163" s="21"/>
    </row>
    <row r="164" spans="3:8" ht="12.75">
      <c r="C164" s="26"/>
      <c r="D164" s="26"/>
      <c r="E164" s="34"/>
      <c r="F164" s="26"/>
      <c r="G164" s="34"/>
      <c r="H164" s="21"/>
    </row>
    <row r="165" spans="3:8" ht="12.75">
      <c r="C165" s="26"/>
      <c r="D165" s="26"/>
      <c r="E165" s="26"/>
      <c r="F165" s="26"/>
      <c r="G165" s="26"/>
      <c r="H165" s="20"/>
    </row>
    <row r="166" spans="3:8" ht="12.75">
      <c r="C166" s="26"/>
      <c r="D166" s="26"/>
      <c r="E166" s="34"/>
      <c r="F166" s="34"/>
      <c r="G166" s="34"/>
      <c r="H166" s="20"/>
    </row>
    <row r="167" spans="3:8" ht="12.75">
      <c r="C167" s="26"/>
      <c r="D167" s="26"/>
      <c r="E167" s="26"/>
      <c r="F167" s="26"/>
      <c r="G167" s="26"/>
      <c r="H167" s="20"/>
    </row>
    <row r="168" spans="3:8" ht="12.75">
      <c r="C168" s="114"/>
      <c r="D168" s="114"/>
      <c r="E168" s="115"/>
      <c r="F168" s="46"/>
      <c r="G168" s="45"/>
      <c r="H168" s="21"/>
    </row>
    <row r="169" spans="3:8" ht="12.75">
      <c r="C169" s="114"/>
      <c r="D169" s="114"/>
      <c r="E169" s="46"/>
      <c r="F169" s="46"/>
      <c r="G169" s="46"/>
      <c r="H169" s="21"/>
    </row>
    <row r="170" spans="3:8" ht="12.75">
      <c r="C170" s="114"/>
      <c r="D170" s="114"/>
      <c r="E170" s="46"/>
      <c r="F170" s="46"/>
      <c r="G170" s="46"/>
      <c r="H170" s="21"/>
    </row>
    <row r="171" spans="3:8" ht="12.75">
      <c r="C171" s="116"/>
      <c r="D171" s="114"/>
      <c r="E171" s="46"/>
      <c r="F171" s="46"/>
      <c r="G171" s="46"/>
      <c r="H171" s="21"/>
    </row>
    <row r="172" spans="3:8" ht="12.75">
      <c r="C172" s="116"/>
      <c r="D172" s="114"/>
      <c r="E172" s="46"/>
      <c r="F172" s="46"/>
      <c r="G172" s="46"/>
      <c r="H172" s="21"/>
    </row>
    <row r="173" spans="3:8" ht="12.75">
      <c r="C173" s="117"/>
      <c r="D173" s="114"/>
      <c r="E173" s="46"/>
      <c r="F173" s="46"/>
      <c r="G173" s="46"/>
      <c r="H173" s="21"/>
    </row>
    <row r="174" spans="3:8" ht="12.75">
      <c r="C174" s="114"/>
      <c r="D174" s="114"/>
      <c r="E174" s="46"/>
      <c r="F174" s="46"/>
      <c r="G174" s="46"/>
      <c r="H174" s="21"/>
    </row>
    <row r="175" spans="3:8" ht="12.75">
      <c r="C175" s="114"/>
      <c r="D175" s="114"/>
      <c r="E175" s="46"/>
      <c r="F175" s="46"/>
      <c r="G175" s="46"/>
      <c r="H175" s="21"/>
    </row>
    <row r="176" spans="3:8" ht="12.75">
      <c r="C176" s="114"/>
      <c r="D176" s="114"/>
      <c r="E176" s="46"/>
      <c r="F176" s="46"/>
      <c r="G176" s="46"/>
      <c r="H176" s="21"/>
    </row>
    <row r="177" spans="3:8" ht="12.75">
      <c r="C177" s="114"/>
      <c r="D177" s="114"/>
      <c r="E177" s="46"/>
      <c r="F177" s="46"/>
      <c r="G177" s="46"/>
      <c r="H177" s="21"/>
    </row>
    <row r="178" spans="3:8" ht="12.75">
      <c r="C178" s="114"/>
      <c r="D178" s="114"/>
      <c r="E178" s="46"/>
      <c r="F178" s="46"/>
      <c r="G178" s="46"/>
      <c r="H178" s="21"/>
    </row>
    <row r="179" spans="3:8" ht="12.75">
      <c r="C179" s="114"/>
      <c r="D179" s="114"/>
      <c r="E179" s="46"/>
      <c r="F179" s="46"/>
      <c r="G179" s="46"/>
      <c r="H179" s="21"/>
    </row>
    <row r="180" spans="3:8" ht="4.9" customHeight="1">
      <c r="C180" s="21"/>
      <c r="D180" s="21"/>
      <c r="E180" s="21"/>
      <c r="F180" s="21"/>
      <c r="G180" s="21"/>
      <c r="H180" s="21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13EF6A-F713-4241-8037-5C8B8C017984}">
  <sheetPr>
    <pageSetUpPr fitToPage="1"/>
  </sheetPr>
  <dimension ref="B4:O15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0.21051302552223208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-(G121+J124)/J123</f>
        <v>1.6612279920133124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50"/>
    </row>
    <row r="22" spans="3:13" ht="12.75">
      <c r="C22" s="28">
        <f>2000000/6961190721.65</f>
        <v>2.8730716912837915E-4</v>
      </c>
      <c r="D22" s="21"/>
      <c r="E22" s="21"/>
      <c r="F22" s="21"/>
      <c r="G22" s="27"/>
      <c r="H22" s="21"/>
      <c r="I22" s="21"/>
      <c r="J22" s="111"/>
      <c r="K22" s="112"/>
      <c r="L22" s="54"/>
      <c r="M22" s="70"/>
    </row>
    <row r="23" spans="3:14" ht="12.75">
      <c r="C23" s="21"/>
      <c r="D23" s="21"/>
      <c r="E23" s="18"/>
      <c r="F23" s="33"/>
      <c r="G23" s="33"/>
      <c r="H23" s="21"/>
      <c r="I23" s="23"/>
      <c r="J23" s="111"/>
      <c r="K23" s="112"/>
      <c r="L23" s="54"/>
      <c r="M23" s="70"/>
      <c r="N23" s="41"/>
    </row>
    <row r="24" spans="3:15" ht="12.75">
      <c r="C24" s="21" t="s">
        <v>15</v>
      </c>
      <c r="D24" s="21"/>
      <c r="E24" s="18">
        <v>42933</v>
      </c>
      <c r="F24" s="33"/>
      <c r="G24" s="33">
        <v>-33800</v>
      </c>
      <c r="H24" s="21"/>
      <c r="I24" s="23"/>
      <c r="J24" s="111"/>
      <c r="K24" s="112"/>
      <c r="L24" s="54"/>
      <c r="M24" s="70"/>
      <c r="N24" s="126"/>
      <c r="O24" s="113"/>
    </row>
    <row r="25" spans="3:15" ht="12.75">
      <c r="C25" s="21"/>
      <c r="D25" s="21"/>
      <c r="E25" s="18">
        <v>43010</v>
      </c>
      <c r="F25" s="33"/>
      <c r="G25" s="33">
        <v>-8200</v>
      </c>
      <c r="H25" s="21"/>
      <c r="I25" s="23"/>
      <c r="J25" s="111"/>
      <c r="K25" s="112"/>
      <c r="L25" s="54"/>
      <c r="M25" s="70"/>
      <c r="N25" s="126"/>
      <c r="O25" s="113"/>
    </row>
    <row r="26" spans="3:15" ht="12.75">
      <c r="C26" s="21"/>
      <c r="D26" s="21"/>
      <c r="E26" s="18">
        <v>43052</v>
      </c>
      <c r="F26" s="33"/>
      <c r="G26" s="33">
        <v>-3600</v>
      </c>
      <c r="H26" s="21"/>
      <c r="I26" s="23"/>
      <c r="J26" s="111"/>
      <c r="K26" s="112"/>
      <c r="L26" s="133"/>
      <c r="M26" s="41"/>
      <c r="N26" s="126"/>
      <c r="O26" s="113"/>
    </row>
    <row r="27" spans="3:15" ht="12.75">
      <c r="C27" s="21"/>
      <c r="D27" s="21"/>
      <c r="E27" s="18">
        <v>43087</v>
      </c>
      <c r="F27" s="33"/>
      <c r="G27" s="33">
        <v>-15835.83</v>
      </c>
      <c r="H27" s="21"/>
      <c r="I27" s="23"/>
      <c r="J27" s="111"/>
      <c r="K27" s="113"/>
      <c r="L27" s="113"/>
      <c r="N27" s="126"/>
      <c r="O27" s="113"/>
    </row>
    <row r="28" spans="3:15" ht="12.75">
      <c r="C28" s="21"/>
      <c r="D28" s="21"/>
      <c r="E28" s="18">
        <v>43096</v>
      </c>
      <c r="F28" s="33"/>
      <c r="G28" s="33">
        <v>-9710.99</v>
      </c>
      <c r="H28" s="21"/>
      <c r="I28" s="23"/>
      <c r="J28" s="111"/>
      <c r="K28" s="112"/>
      <c r="L28" s="113"/>
      <c r="N28" s="126"/>
      <c r="O28" s="113"/>
    </row>
    <row r="29" spans="3:15" ht="12.75">
      <c r="C29" s="21" t="s">
        <v>17</v>
      </c>
      <c r="D29" s="21"/>
      <c r="E29" s="18">
        <v>43182</v>
      </c>
      <c r="F29" s="33"/>
      <c r="G29" s="33">
        <v>-70246.61</v>
      </c>
      <c r="H29" s="21"/>
      <c r="I29" s="23"/>
      <c r="J29" s="23"/>
      <c r="K29" s="21"/>
      <c r="N29" s="126"/>
      <c r="O29" s="113"/>
    </row>
    <row r="30" spans="3:15" ht="12.75">
      <c r="C30" s="21"/>
      <c r="D30" s="21"/>
      <c r="E30" s="18">
        <v>43276</v>
      </c>
      <c r="F30" s="33"/>
      <c r="G30" s="33">
        <v>-24938.27</v>
      </c>
      <c r="H30" s="21"/>
      <c r="I30" s="23"/>
      <c r="J30" s="23"/>
      <c r="K30" s="21"/>
      <c r="N30" s="126"/>
      <c r="O30" s="113"/>
    </row>
    <row r="31" spans="3:15" ht="12.75">
      <c r="C31" s="21"/>
      <c r="D31" s="21"/>
      <c r="E31" s="18">
        <v>43363</v>
      </c>
      <c r="F31" s="33"/>
      <c r="G31" s="33">
        <v>-18588.78</v>
      </c>
      <c r="H31" s="21"/>
      <c r="I31" s="23"/>
      <c r="J31" s="23"/>
      <c r="K31" s="21"/>
      <c r="N31" s="126"/>
      <c r="O31" s="113"/>
    </row>
    <row r="32" spans="3:15" ht="12.75">
      <c r="C32" s="21"/>
      <c r="D32" s="21"/>
      <c r="E32" s="18">
        <v>43398</v>
      </c>
      <c r="F32" s="33"/>
      <c r="G32" s="33">
        <v>-16290.31</v>
      </c>
      <c r="H32" s="21"/>
      <c r="I32" s="23"/>
      <c r="J32" s="23"/>
      <c r="K32" s="21"/>
      <c r="N32" s="126"/>
      <c r="O32" s="113"/>
    </row>
    <row r="33" spans="3:15" ht="12.75">
      <c r="C33" s="21"/>
      <c r="D33" s="21"/>
      <c r="E33" s="18">
        <v>43433</v>
      </c>
      <c r="F33" s="33"/>
      <c r="G33" s="33">
        <v>-13216.14</v>
      </c>
      <c r="H33" s="21"/>
      <c r="I33" s="23"/>
      <c r="J33" s="23"/>
      <c r="K33" s="21"/>
      <c r="N33" s="126"/>
      <c r="O33" s="113"/>
    </row>
    <row r="34" spans="3:15" ht="12.75">
      <c r="C34" s="21" t="s">
        <v>19</v>
      </c>
      <c r="D34" s="21"/>
      <c r="E34" s="18">
        <v>43468</v>
      </c>
      <c r="F34" s="33"/>
      <c r="G34" s="33">
        <v>-22438.69</v>
      </c>
      <c r="H34" s="21"/>
      <c r="I34" s="23"/>
      <c r="J34" s="23"/>
      <c r="K34" s="21"/>
      <c r="N34" s="126"/>
      <c r="O34" s="113"/>
    </row>
    <row r="35" spans="3:15" ht="12.75">
      <c r="C35" s="21"/>
      <c r="D35" s="21"/>
      <c r="E35" s="18">
        <v>43495</v>
      </c>
      <c r="F35" s="33"/>
      <c r="G35" s="33">
        <v>-36976.44</v>
      </c>
      <c r="H35" s="21"/>
      <c r="I35" s="23"/>
      <c r="J35" s="23"/>
      <c r="K35" s="21"/>
      <c r="N35" s="126"/>
      <c r="O35" s="113"/>
    </row>
    <row r="36" spans="3:15" ht="12.75">
      <c r="C36" s="21"/>
      <c r="D36" s="21"/>
      <c r="E36" s="18">
        <v>43510</v>
      </c>
      <c r="F36" s="33"/>
      <c r="G36" s="33">
        <v>-14853.79</v>
      </c>
      <c r="H36" s="21"/>
      <c r="I36" s="23"/>
      <c r="J36" s="23"/>
      <c r="K36" s="21"/>
      <c r="N36" s="126"/>
      <c r="O36" s="113"/>
    </row>
    <row r="37" spans="3:15" ht="12.75">
      <c r="C37" s="21"/>
      <c r="D37" s="21"/>
      <c r="E37" s="18">
        <v>43559</v>
      </c>
      <c r="F37" s="33"/>
      <c r="G37" s="33">
        <v>-20599.93</v>
      </c>
      <c r="H37" s="21"/>
      <c r="I37" s="23"/>
      <c r="J37" s="23"/>
      <c r="K37" s="21"/>
      <c r="N37" s="126"/>
      <c r="O37" s="113"/>
    </row>
    <row r="38" spans="3:15" ht="12.75">
      <c r="C38" s="21"/>
      <c r="D38" s="21"/>
      <c r="E38" s="18">
        <v>43593</v>
      </c>
      <c r="F38" s="33"/>
      <c r="G38" s="33">
        <v>-20542.46</v>
      </c>
      <c r="H38" s="21"/>
      <c r="I38" s="23"/>
      <c r="J38" s="23"/>
      <c r="K38" s="21"/>
      <c r="N38" s="126"/>
      <c r="O38" s="113"/>
    </row>
    <row r="39" spans="3:15" ht="12.75">
      <c r="C39" s="21"/>
      <c r="D39" s="21"/>
      <c r="E39" s="18">
        <v>43642</v>
      </c>
      <c r="F39" s="33"/>
      <c r="G39" s="33">
        <v>-32810.49</v>
      </c>
      <c r="H39" s="21"/>
      <c r="I39" s="23"/>
      <c r="J39" s="23"/>
      <c r="K39" s="21"/>
      <c r="N39" s="126"/>
      <c r="O39" s="113"/>
    </row>
    <row r="40" spans="3:15" ht="12.75">
      <c r="C40" s="21"/>
      <c r="D40" s="21"/>
      <c r="E40" s="18">
        <v>43656</v>
      </c>
      <c r="F40" s="33"/>
      <c r="G40" s="33">
        <v>-24363.64</v>
      </c>
      <c r="H40" s="21"/>
      <c r="I40" s="23"/>
      <c r="J40" s="23"/>
      <c r="K40" s="21"/>
      <c r="N40" s="126"/>
      <c r="O40" s="113"/>
    </row>
    <row r="41" spans="3:15" ht="12.75">
      <c r="C41" s="21"/>
      <c r="D41" s="21"/>
      <c r="E41" s="18">
        <v>43684</v>
      </c>
      <c r="F41" s="33"/>
      <c r="G41" s="33">
        <v>-21260.73</v>
      </c>
      <c r="H41" s="21"/>
      <c r="I41" s="23"/>
      <c r="J41" s="23"/>
      <c r="K41" s="21"/>
      <c r="N41" s="126"/>
      <c r="O41" s="113"/>
    </row>
    <row r="42" spans="3:15" ht="12.75">
      <c r="C42" s="21"/>
      <c r="D42" s="21"/>
      <c r="E42" s="18">
        <v>43768</v>
      </c>
      <c r="F42" s="33"/>
      <c r="G42" s="33">
        <v>-21030.88</v>
      </c>
      <c r="H42" s="21"/>
      <c r="I42" s="23"/>
      <c r="J42" s="23"/>
      <c r="K42" s="21"/>
      <c r="N42" s="126"/>
      <c r="O42" s="113"/>
    </row>
    <row r="43" spans="3:15" ht="12.75">
      <c r="C43" s="21"/>
      <c r="D43" s="21"/>
      <c r="E43" s="18">
        <v>43817</v>
      </c>
      <c r="F43" s="33"/>
      <c r="G43" s="33">
        <v>-161696.48</v>
      </c>
      <c r="H43" s="21"/>
      <c r="I43" s="23"/>
      <c r="J43" s="23"/>
      <c r="K43" s="21"/>
      <c r="N43" s="126"/>
      <c r="O43" s="113"/>
    </row>
    <row r="44" spans="3:15" ht="12.75">
      <c r="C44" s="21" t="s">
        <v>21</v>
      </c>
      <c r="D44" s="21"/>
      <c r="E44" s="18">
        <v>44006</v>
      </c>
      <c r="F44" s="33"/>
      <c r="G44" s="33">
        <v>-11980.70</v>
      </c>
      <c r="H44" s="21"/>
      <c r="I44" s="23"/>
      <c r="J44" s="23"/>
      <c r="K44" s="21"/>
      <c r="N44" s="126"/>
      <c r="O44" s="113"/>
    </row>
    <row r="45" spans="3:15" ht="12.75">
      <c r="C45" s="21"/>
      <c r="D45" s="21"/>
      <c r="E45" s="18">
        <v>44026</v>
      </c>
      <c r="F45" s="33"/>
      <c r="G45" s="33">
        <v>-29621.37</v>
      </c>
      <c r="H45" s="21"/>
      <c r="I45" s="23"/>
      <c r="J45" s="23"/>
      <c r="K45" s="21"/>
      <c r="N45" s="126"/>
      <c r="O45" s="113"/>
    </row>
    <row r="46" spans="3:15" ht="12.75">
      <c r="C46" s="21"/>
      <c r="D46" s="21"/>
      <c r="E46" s="18">
        <v>44106</v>
      </c>
      <c r="F46" s="33"/>
      <c r="G46" s="33">
        <v>-10170.67</v>
      </c>
      <c r="H46" s="21"/>
      <c r="I46" s="23"/>
      <c r="J46" s="23"/>
      <c r="K46" s="21"/>
      <c r="N46" s="126"/>
      <c r="O46" s="113"/>
    </row>
    <row r="47" spans="3:15" ht="12.75">
      <c r="C47" s="21"/>
      <c r="D47" s="21"/>
      <c r="E47" s="18">
        <v>44182</v>
      </c>
      <c r="F47" s="33"/>
      <c r="G47" s="33">
        <v>-41228.58</v>
      </c>
      <c r="H47" s="21"/>
      <c r="I47" s="23"/>
      <c r="J47" s="23"/>
      <c r="K47" s="21"/>
      <c r="N47" s="126"/>
      <c r="O47" s="113"/>
    </row>
    <row r="48" spans="3:15" ht="12.75">
      <c r="C48" s="21"/>
      <c r="D48" s="21"/>
      <c r="E48" s="18">
        <v>44188</v>
      </c>
      <c r="F48" s="33"/>
      <c r="G48" s="33">
        <v>-9596.06</v>
      </c>
      <c r="H48" s="21"/>
      <c r="I48" s="23"/>
      <c r="J48" s="23"/>
      <c r="K48" s="21"/>
      <c r="N48" s="126"/>
      <c r="O48" s="113"/>
    </row>
    <row r="49" spans="3:15" ht="12.75">
      <c r="C49" s="21" t="s">
        <v>24</v>
      </c>
      <c r="D49" s="21"/>
      <c r="E49" s="18">
        <v>44246</v>
      </c>
      <c r="F49" s="33"/>
      <c r="G49" s="33">
        <v>-8849.07</v>
      </c>
      <c r="H49" s="21"/>
      <c r="I49" s="23"/>
      <c r="J49" s="23"/>
      <c r="K49" s="21"/>
      <c r="N49" s="126"/>
      <c r="O49" s="113"/>
    </row>
    <row r="50" spans="3:15" ht="12.75">
      <c r="C50" s="21"/>
      <c r="D50" s="21"/>
      <c r="E50" s="18">
        <v>44250</v>
      </c>
      <c r="F50" s="33"/>
      <c r="G50" s="33">
        <v>-9337.48</v>
      </c>
      <c r="H50" s="21"/>
      <c r="I50" s="23"/>
      <c r="J50" s="23"/>
      <c r="K50" s="21"/>
      <c r="N50" s="126"/>
      <c r="O50" s="113"/>
    </row>
    <row r="51" spans="3:15" ht="12.75">
      <c r="C51" s="21"/>
      <c r="D51" s="21"/>
      <c r="E51" s="18">
        <v>44274</v>
      </c>
      <c r="F51" s="33"/>
      <c r="G51" s="33">
        <v>-14710.13</v>
      </c>
      <c r="H51" s="21"/>
      <c r="I51" s="23"/>
      <c r="J51" s="23"/>
      <c r="K51" s="21"/>
      <c r="N51" s="126"/>
      <c r="O51" s="113"/>
    </row>
    <row r="52" spans="3:15" ht="12.75">
      <c r="C52" s="21"/>
      <c r="D52" s="21"/>
      <c r="E52" s="18">
        <v>44305</v>
      </c>
      <c r="F52" s="33"/>
      <c r="G52" s="33">
        <v>-163880.01</v>
      </c>
      <c r="H52" s="21"/>
      <c r="I52" s="23"/>
      <c r="J52" s="23"/>
      <c r="K52" s="21"/>
      <c r="N52" s="126"/>
      <c r="O52" s="113"/>
    </row>
    <row r="53" spans="3:15" ht="12.75">
      <c r="C53" s="21"/>
      <c r="D53" s="21"/>
      <c r="E53" s="18">
        <v>44362</v>
      </c>
      <c r="F53" s="33"/>
      <c r="G53" s="33">
        <v>25713.99</v>
      </c>
      <c r="H53" s="21"/>
      <c r="I53" s="23"/>
      <c r="J53" s="23"/>
      <c r="K53" s="21"/>
      <c r="N53" s="126"/>
      <c r="O53" s="113"/>
    </row>
    <row r="54" spans="3:15" ht="12.75">
      <c r="C54" s="21"/>
      <c r="D54" s="21"/>
      <c r="E54" s="18">
        <v>44400</v>
      </c>
      <c r="F54" s="33"/>
      <c r="G54" s="33">
        <v>-20111.50</v>
      </c>
      <c r="H54" s="21"/>
      <c r="I54" s="23"/>
      <c r="J54" s="23"/>
      <c r="K54" s="21"/>
      <c r="N54" s="126"/>
      <c r="O54" s="113"/>
    </row>
    <row r="55" spans="3:15" ht="12.75">
      <c r="C55" s="21"/>
      <c r="D55" s="21"/>
      <c r="E55" s="18">
        <v>44407</v>
      </c>
      <c r="F55" s="33"/>
      <c r="G55" s="33">
        <v>-21548.04</v>
      </c>
      <c r="H55" s="21"/>
      <c r="I55" s="23"/>
      <c r="J55" s="23"/>
      <c r="K55" s="21"/>
      <c r="N55" s="126"/>
      <c r="O55" s="113"/>
    </row>
    <row r="56" spans="3:15" ht="12.75">
      <c r="C56" s="21"/>
      <c r="D56" s="21"/>
      <c r="E56" s="18">
        <v>44440</v>
      </c>
      <c r="F56" s="33"/>
      <c r="G56" s="33">
        <v>-10285.59</v>
      </c>
      <c r="H56" s="21"/>
      <c r="I56" s="23"/>
      <c r="J56" s="23"/>
      <c r="K56" s="21"/>
      <c r="N56" s="126"/>
      <c r="O56" s="113"/>
    </row>
    <row r="57" spans="3:15" ht="12.75">
      <c r="C57" s="21"/>
      <c r="D57" s="21"/>
      <c r="E57" s="18">
        <v>44453</v>
      </c>
      <c r="F57" s="33"/>
      <c r="G57" s="33">
        <v>-16979.85</v>
      </c>
      <c r="H57" s="21"/>
      <c r="I57" s="23"/>
      <c r="J57" s="23"/>
      <c r="K57" s="21"/>
      <c r="N57" s="126"/>
      <c r="O57" s="113"/>
    </row>
    <row r="58" spans="3:15" ht="12.75">
      <c r="C58" s="21"/>
      <c r="D58" s="21"/>
      <c r="E58" s="18">
        <v>44473</v>
      </c>
      <c r="F58" s="33"/>
      <c r="G58" s="33">
        <v>-10831.48</v>
      </c>
      <c r="H58" s="21"/>
      <c r="I58" s="23"/>
      <c r="J58" s="23"/>
      <c r="K58" s="21"/>
      <c r="N58" s="126"/>
      <c r="O58" s="113"/>
    </row>
    <row r="59" spans="3:15" ht="12.75">
      <c r="C59" s="21"/>
      <c r="D59" s="21"/>
      <c r="E59" s="18">
        <v>44496</v>
      </c>
      <c r="F59" s="33"/>
      <c r="G59" s="33">
        <v>-12354.21</v>
      </c>
      <c r="H59" s="21"/>
      <c r="I59" s="23"/>
      <c r="J59" s="23"/>
      <c r="K59" s="21"/>
      <c r="N59" s="126"/>
      <c r="O59" s="113"/>
    </row>
    <row r="60" spans="3:15" ht="12.75">
      <c r="C60" s="21"/>
      <c r="D60" s="21"/>
      <c r="E60" s="18">
        <v>44537</v>
      </c>
      <c r="F60" s="33"/>
      <c r="G60" s="33">
        <v>-48928.42</v>
      </c>
      <c r="H60" s="21"/>
      <c r="I60" s="23"/>
      <c r="J60" s="23"/>
      <c r="K60" s="21"/>
      <c r="N60" s="126"/>
      <c r="O60" s="113"/>
    </row>
    <row r="61" spans="3:15" ht="12.75">
      <c r="C61" s="21"/>
      <c r="D61" s="21"/>
      <c r="E61" s="18">
        <v>44550</v>
      </c>
      <c r="F61" s="33"/>
      <c r="G61" s="33">
        <v>-115928.44</v>
      </c>
      <c r="H61" s="21"/>
      <c r="I61" s="23"/>
      <c r="J61" s="23"/>
      <c r="K61" s="21"/>
      <c r="N61" s="126"/>
      <c r="O61" s="113"/>
    </row>
    <row r="62" spans="3:15" ht="12.75">
      <c r="C62" s="21" t="s">
        <v>23</v>
      </c>
      <c r="D62" s="21"/>
      <c r="E62" s="18">
        <v>44396</v>
      </c>
      <c r="F62" s="33"/>
      <c r="G62" s="33">
        <v>5204.69</v>
      </c>
      <c r="H62" s="21"/>
      <c r="I62" s="23"/>
      <c r="J62" s="23"/>
      <c r="K62" s="21"/>
      <c r="N62" s="126"/>
      <c r="O62" s="113"/>
    </row>
    <row r="63" spans="3:15" ht="12.75">
      <c r="C63" s="21"/>
      <c r="D63" s="21"/>
      <c r="E63" s="18">
        <v>44476</v>
      </c>
      <c r="F63" s="33"/>
      <c r="G63" s="33">
        <v>4954.93</v>
      </c>
      <c r="H63" s="21"/>
      <c r="I63" s="23"/>
      <c r="J63" s="23"/>
      <c r="K63" s="21"/>
      <c r="N63" s="126"/>
      <c r="O63" s="113"/>
    </row>
    <row r="64" spans="3:15" ht="12.75">
      <c r="C64" s="21"/>
      <c r="D64" s="21"/>
      <c r="E64" s="18">
        <v>44512</v>
      </c>
      <c r="F64" s="33"/>
      <c r="G64" s="33">
        <v>15882.82</v>
      </c>
      <c r="H64" s="21"/>
      <c r="I64" s="23"/>
      <c r="J64" s="23"/>
      <c r="K64" s="21"/>
      <c r="N64" s="126"/>
      <c r="O64" s="113"/>
    </row>
    <row r="65" spans="3:15" ht="12.75">
      <c r="C65" s="21" t="s">
        <v>27</v>
      </c>
      <c r="D65" s="21"/>
      <c r="E65" s="18">
        <v>44565</v>
      </c>
      <c r="F65" s="33"/>
      <c r="G65" s="33">
        <v>-5717.42</v>
      </c>
      <c r="H65" s="21"/>
      <c r="I65" s="23"/>
      <c r="J65" s="23"/>
      <c r="K65" s="21"/>
      <c r="N65" s="126"/>
      <c r="O65" s="113"/>
    </row>
    <row r="66" spans="3:15" ht="12.75">
      <c r="C66" s="21"/>
      <c r="D66" s="21"/>
      <c r="E66" s="18">
        <v>44602</v>
      </c>
      <c r="F66" s="33"/>
      <c r="G66" s="33">
        <v>-17669.40</v>
      </c>
      <c r="H66" s="21"/>
      <c r="I66" s="23"/>
      <c r="J66" s="23"/>
      <c r="K66" s="21"/>
      <c r="N66" s="126"/>
      <c r="O66" s="113"/>
    </row>
    <row r="67" spans="3:15" ht="12.75">
      <c r="C67" s="21"/>
      <c r="D67" s="21"/>
      <c r="E67" s="18">
        <v>44628</v>
      </c>
      <c r="F67" s="33"/>
      <c r="G67" s="33">
        <v>-13158.66</v>
      </c>
      <c r="H67" s="21"/>
      <c r="I67" s="23"/>
      <c r="J67" s="23"/>
      <c r="K67" s="21"/>
      <c r="N67" s="126"/>
      <c r="O67" s="113"/>
    </row>
    <row r="68" spans="3:15" ht="12.75">
      <c r="C68" s="21"/>
      <c r="D68" s="21"/>
      <c r="E68" s="18">
        <v>44641</v>
      </c>
      <c r="F68" s="33"/>
      <c r="G68" s="33">
        <v>-86192.15</v>
      </c>
      <c r="H68" s="21"/>
      <c r="I68" s="23"/>
      <c r="J68" s="23"/>
      <c r="K68" s="21"/>
      <c r="N68" s="126"/>
      <c r="O68" s="113"/>
    </row>
    <row r="69" spans="3:15" ht="12.75">
      <c r="C69" s="21"/>
      <c r="D69" s="21"/>
      <c r="E69" s="18">
        <v>44645</v>
      </c>
      <c r="F69" s="33"/>
      <c r="G69" s="33">
        <v>-186088.86</v>
      </c>
      <c r="H69" s="21"/>
      <c r="I69" s="23"/>
      <c r="J69" s="23"/>
      <c r="K69" s="21"/>
      <c r="N69" s="126"/>
      <c r="O69" s="113"/>
    </row>
    <row r="70" spans="3:15" ht="12.75">
      <c r="C70" s="21"/>
      <c r="D70" s="21"/>
      <c r="E70" s="18">
        <v>44670</v>
      </c>
      <c r="F70" s="33"/>
      <c r="G70" s="33">
        <v>77659.12</v>
      </c>
      <c r="H70" s="21"/>
      <c r="I70" s="23"/>
      <c r="J70" s="23"/>
      <c r="K70" s="21"/>
      <c r="N70" s="126"/>
      <c r="O70" s="113"/>
    </row>
    <row r="71" spans="3:15" ht="12.75">
      <c r="C71" s="21"/>
      <c r="D71" s="21"/>
      <c r="E71" s="18">
        <v>44694</v>
      </c>
      <c r="F71" s="33"/>
      <c r="G71" s="33">
        <v>-3936.11</v>
      </c>
      <c r="H71" s="21"/>
      <c r="I71" s="23"/>
      <c r="J71" s="23"/>
      <c r="K71" s="21"/>
      <c r="N71" s="126"/>
      <c r="O71" s="113"/>
    </row>
    <row r="72" spans="3:15" ht="12.75">
      <c r="C72" s="21"/>
      <c r="D72" s="21"/>
      <c r="E72" s="18">
        <v>44701</v>
      </c>
      <c r="F72" s="33"/>
      <c r="G72" s="33">
        <v>-10027.02</v>
      </c>
      <c r="H72" s="21"/>
      <c r="I72" s="23"/>
      <c r="J72" s="23"/>
      <c r="K72" s="21"/>
      <c r="N72" s="126"/>
      <c r="O72" s="113"/>
    </row>
    <row r="73" spans="3:15" ht="12.75">
      <c r="C73" s="21"/>
      <c r="D73" s="21"/>
      <c r="E73" s="18">
        <v>44727</v>
      </c>
      <c r="F73" s="33"/>
      <c r="G73" s="33">
        <v>-32207.13</v>
      </c>
      <c r="H73" s="21"/>
      <c r="I73" s="23"/>
      <c r="J73" s="23"/>
      <c r="K73" s="21"/>
      <c r="N73" s="126"/>
      <c r="O73" s="113"/>
    </row>
    <row r="74" spans="3:15" ht="12.75">
      <c r="C74" s="21"/>
      <c r="D74" s="21"/>
      <c r="E74" s="18">
        <v>44750</v>
      </c>
      <c r="F74" s="33"/>
      <c r="G74" s="33">
        <v>-31316.48</v>
      </c>
      <c r="H74" s="21"/>
      <c r="I74" s="23"/>
      <c r="J74" s="23"/>
      <c r="K74" s="21"/>
      <c r="N74" s="126"/>
      <c r="O74" s="113"/>
    </row>
    <row r="75" spans="3:15" ht="12.75">
      <c r="C75" s="21"/>
      <c r="D75" s="21"/>
      <c r="E75" s="18">
        <v>44764</v>
      </c>
      <c r="F75" s="33"/>
      <c r="G75" s="33">
        <v>-4539.45</v>
      </c>
      <c r="H75" s="21"/>
      <c r="I75" s="23"/>
      <c r="J75" s="23"/>
      <c r="K75" s="21"/>
      <c r="N75" s="126"/>
      <c r="O75" s="113"/>
    </row>
    <row r="76" spans="3:15" ht="12.75">
      <c r="C76" s="21"/>
      <c r="D76" s="21"/>
      <c r="E76" s="18">
        <v>44790</v>
      </c>
      <c r="F76" s="33"/>
      <c r="G76" s="33">
        <v>-5343.92</v>
      </c>
      <c r="H76" s="21"/>
      <c r="I76" s="23"/>
      <c r="J76" s="23"/>
      <c r="K76" s="21"/>
      <c r="N76" s="126"/>
      <c r="O76" s="113"/>
    </row>
    <row r="77" spans="3:15" ht="12.75">
      <c r="C77" s="21"/>
      <c r="D77" s="21"/>
      <c r="E77" s="18">
        <v>44797</v>
      </c>
      <c r="F77" s="33"/>
      <c r="G77" s="33">
        <v>-15485.86</v>
      </c>
      <c r="H77" s="21"/>
      <c r="I77" s="23"/>
      <c r="J77" s="23"/>
      <c r="K77" s="21"/>
      <c r="N77" s="126"/>
      <c r="O77" s="113"/>
    </row>
    <row r="78" spans="3:15" ht="12.75">
      <c r="C78" s="21"/>
      <c r="D78" s="21"/>
      <c r="E78" s="18">
        <v>44806</v>
      </c>
      <c r="F78" s="33"/>
      <c r="G78" s="33">
        <v>-13733.29</v>
      </c>
      <c r="H78" s="21"/>
      <c r="I78" s="23"/>
      <c r="J78" s="23"/>
      <c r="K78" s="21"/>
      <c r="N78" s="126"/>
      <c r="O78" s="113"/>
    </row>
    <row r="79" spans="3:15" ht="12.75">
      <c r="C79" s="21"/>
      <c r="D79" s="21"/>
      <c r="E79" s="18">
        <v>44818</v>
      </c>
      <c r="F79" s="33"/>
      <c r="G79" s="33">
        <v>-39677.12</v>
      </c>
      <c r="H79" s="21"/>
      <c r="I79" s="23"/>
      <c r="J79" s="23"/>
      <c r="K79" s="21"/>
      <c r="N79" s="126"/>
      <c r="O79" s="113"/>
    </row>
    <row r="80" spans="3:15" ht="12.75">
      <c r="C80" s="21"/>
      <c r="D80" s="21"/>
      <c r="E80" s="18">
        <v>44833</v>
      </c>
      <c r="F80" s="33"/>
      <c r="G80" s="33">
        <v>-14078.05</v>
      </c>
      <c r="H80" s="21"/>
      <c r="I80" s="23"/>
      <c r="J80" s="23"/>
      <c r="K80" s="21"/>
      <c r="N80" s="126"/>
      <c r="O80" s="113"/>
    </row>
    <row r="81" spans="3:15" ht="12.75">
      <c r="C81" s="21"/>
      <c r="D81" s="21"/>
      <c r="E81" s="18">
        <v>44838</v>
      </c>
      <c r="F81" s="33"/>
      <c r="G81" s="33">
        <v>-30454.57</v>
      </c>
      <c r="H81" s="21"/>
      <c r="I81" s="23"/>
      <c r="J81" s="23"/>
      <c r="K81" s="21"/>
      <c r="N81" s="126"/>
      <c r="O81" s="113"/>
    </row>
    <row r="82" spans="3:15" ht="12.75">
      <c r="C82" s="21"/>
      <c r="D82" s="21"/>
      <c r="E82" s="18">
        <v>44847</v>
      </c>
      <c r="F82" s="33"/>
      <c r="G82" s="33">
        <v>-17382.09</v>
      </c>
      <c r="H82" s="21"/>
      <c r="I82" s="23"/>
      <c r="J82" s="23"/>
      <c r="K82" s="21"/>
      <c r="N82" s="126"/>
      <c r="O82" s="113"/>
    </row>
    <row r="83" spans="3:15" ht="12.75">
      <c r="C83" s="21"/>
      <c r="D83" s="21"/>
      <c r="E83" s="18">
        <v>44858</v>
      </c>
      <c r="F83" s="33"/>
      <c r="G83" s="33">
        <v>-9050.17</v>
      </c>
      <c r="H83" s="21"/>
      <c r="I83" s="23"/>
      <c r="J83" s="23"/>
      <c r="K83" s="21"/>
      <c r="N83" s="126"/>
      <c r="O83" s="113"/>
    </row>
    <row r="84" spans="3:15" ht="12.75">
      <c r="C84" s="21"/>
      <c r="D84" s="21"/>
      <c r="E84" s="18">
        <v>44866</v>
      </c>
      <c r="F84" s="33"/>
      <c r="G84" s="33">
        <v>-5372.65</v>
      </c>
      <c r="H84" s="21"/>
      <c r="I84" s="23"/>
      <c r="J84" s="23"/>
      <c r="K84" s="21"/>
      <c r="N84" s="126"/>
      <c r="O84" s="113"/>
    </row>
    <row r="85" spans="3:15" ht="12.75">
      <c r="C85" s="21"/>
      <c r="D85" s="21"/>
      <c r="E85" s="18">
        <v>44893</v>
      </c>
      <c r="F85" s="33"/>
      <c r="G85" s="33">
        <v>-25685.26</v>
      </c>
      <c r="H85" s="21"/>
      <c r="I85" s="23"/>
      <c r="J85" s="23"/>
      <c r="K85" s="21"/>
      <c r="N85" s="126"/>
      <c r="O85" s="113"/>
    </row>
    <row r="86" spans="3:15" ht="12.75">
      <c r="C86" s="21"/>
      <c r="D86" s="21"/>
      <c r="E86" s="18">
        <v>44902</v>
      </c>
      <c r="F86" s="33"/>
      <c r="G86" s="33">
        <v>-14336.63</v>
      </c>
      <c r="H86" s="21"/>
      <c r="I86" s="23"/>
      <c r="J86" s="23"/>
      <c r="K86" s="21"/>
      <c r="N86" s="126"/>
      <c r="O86" s="113"/>
    </row>
    <row r="87" spans="3:15" ht="12.75">
      <c r="C87" s="21"/>
      <c r="D87" s="21"/>
      <c r="E87" s="18">
        <v>44909</v>
      </c>
      <c r="F87" s="33"/>
      <c r="G87" s="33">
        <v>-55996.17</v>
      </c>
      <c r="H87" s="21"/>
      <c r="I87" s="23"/>
      <c r="J87" s="23"/>
      <c r="K87" s="21"/>
      <c r="N87" s="126"/>
      <c r="O87" s="113"/>
    </row>
    <row r="88" spans="3:15" ht="12.75">
      <c r="C88" s="21" t="s">
        <v>25</v>
      </c>
      <c r="D88" s="21"/>
      <c r="E88" s="18">
        <v>44575</v>
      </c>
      <c r="F88" s="33"/>
      <c r="G88" s="33">
        <v>20090.68</v>
      </c>
      <c r="H88" s="21"/>
      <c r="I88" s="23"/>
      <c r="J88" s="23"/>
      <c r="K88" s="21"/>
      <c r="N88" s="126"/>
      <c r="O88" s="113"/>
    </row>
    <row r="89" spans="3:15" ht="12.75">
      <c r="C89" s="21"/>
      <c r="D89" s="21"/>
      <c r="E89" s="18">
        <v>44601</v>
      </c>
      <c r="F89" s="33"/>
      <c r="G89" s="33">
        <v>15699.90</v>
      </c>
      <c r="H89" s="21"/>
      <c r="I89" s="23"/>
      <c r="J89" s="23"/>
      <c r="K89" s="21"/>
      <c r="N89" s="126"/>
      <c r="O89" s="113"/>
    </row>
    <row r="90" spans="3:15" ht="12.75">
      <c r="C90" s="21"/>
      <c r="D90" s="21"/>
      <c r="E90" s="18">
        <v>44628</v>
      </c>
      <c r="F90" s="33"/>
      <c r="G90" s="33">
        <v>40970.06</v>
      </c>
      <c r="H90" s="21"/>
      <c r="I90" s="23"/>
      <c r="J90" s="23"/>
      <c r="K90" s="21"/>
      <c r="N90" s="126"/>
      <c r="O90" s="113"/>
    </row>
    <row r="91" spans="3:15" ht="12.75">
      <c r="C91" s="21"/>
      <c r="D91" s="21"/>
      <c r="E91" s="18">
        <v>44659</v>
      </c>
      <c r="F91" s="33"/>
      <c r="G91" s="33">
        <v>20791.02</v>
      </c>
      <c r="H91" s="21"/>
      <c r="I91" s="23"/>
      <c r="J91" s="23"/>
      <c r="K91" s="21"/>
      <c r="N91" s="126"/>
      <c r="O91" s="113"/>
    </row>
    <row r="92" spans="3:15" ht="12.75">
      <c r="C92" s="21"/>
      <c r="D92" s="21"/>
      <c r="E92" s="18">
        <v>44692</v>
      </c>
      <c r="F92" s="33"/>
      <c r="G92" s="33">
        <v>17582.41</v>
      </c>
      <c r="H92" s="21"/>
      <c r="I92" s="23"/>
      <c r="J92" s="23"/>
      <c r="K92" s="21"/>
      <c r="N92" s="126"/>
      <c r="O92" s="113"/>
    </row>
    <row r="93" spans="3:15" ht="12.75">
      <c r="C93" s="21"/>
      <c r="D93" s="21"/>
      <c r="E93" s="18">
        <v>44719</v>
      </c>
      <c r="F93" s="33"/>
      <c r="G93" s="33">
        <v>21829.37</v>
      </c>
      <c r="H93" s="21"/>
      <c r="I93" s="23"/>
      <c r="J93" s="23"/>
      <c r="K93" s="21"/>
      <c r="N93" s="126"/>
      <c r="O93" s="113"/>
    </row>
    <row r="94" spans="3:15" ht="12.75">
      <c r="C94" s="21"/>
      <c r="D94" s="21"/>
      <c r="E94" s="18">
        <v>44761</v>
      </c>
      <c r="F94" s="33"/>
      <c r="G94" s="33">
        <v>33935.96</v>
      </c>
      <c r="H94" s="21"/>
      <c r="I94" s="23"/>
      <c r="J94" s="23"/>
      <c r="K94" s="21"/>
      <c r="N94" s="126"/>
      <c r="O94" s="113"/>
    </row>
    <row r="95" spans="3:15" ht="12.75">
      <c r="C95" s="21"/>
      <c r="D95" s="21"/>
      <c r="E95" s="18">
        <v>44776</v>
      </c>
      <c r="F95" s="33"/>
      <c r="G95" s="33">
        <v>29980.31</v>
      </c>
      <c r="H95" s="21"/>
      <c r="I95" s="23"/>
      <c r="J95" s="23"/>
      <c r="K95" s="21"/>
      <c r="N95" s="126"/>
      <c r="O95" s="113"/>
    </row>
    <row r="96" spans="3:15" ht="12.75">
      <c r="C96" s="21"/>
      <c r="D96" s="21"/>
      <c r="E96" s="18">
        <v>44817</v>
      </c>
      <c r="F96" s="33"/>
      <c r="G96" s="33">
        <v>10413.17</v>
      </c>
      <c r="H96" s="21"/>
      <c r="I96" s="23"/>
      <c r="J96" s="23"/>
      <c r="K96" s="21"/>
      <c r="N96" s="126"/>
      <c r="O96" s="113"/>
    </row>
    <row r="97" spans="3:15" ht="12.75">
      <c r="C97" s="21"/>
      <c r="D97" s="21"/>
      <c r="E97" s="18">
        <v>44841</v>
      </c>
      <c r="F97" s="33"/>
      <c r="G97" s="33">
        <v>7569.79</v>
      </c>
      <c r="H97" s="21"/>
      <c r="I97" s="23"/>
      <c r="J97" s="23"/>
      <c r="K97" s="21"/>
      <c r="N97" s="126"/>
      <c r="O97" s="113"/>
    </row>
    <row r="98" spans="3:15" ht="12.75">
      <c r="C98" s="21"/>
      <c r="D98" s="21"/>
      <c r="E98" s="18">
        <v>44872</v>
      </c>
      <c r="F98" s="33"/>
      <c r="G98" s="33">
        <v>5737.35</v>
      </c>
      <c r="H98" s="21"/>
      <c r="I98" s="23"/>
      <c r="J98" s="23"/>
      <c r="K98" s="21"/>
      <c r="N98" s="126"/>
      <c r="O98" s="113"/>
    </row>
    <row r="99" spans="3:15" ht="12.75">
      <c r="C99" s="21"/>
      <c r="D99" s="21"/>
      <c r="E99" s="18">
        <v>44902</v>
      </c>
      <c r="F99" s="33"/>
      <c r="G99" s="33">
        <v>9742.93</v>
      </c>
      <c r="H99" s="21"/>
      <c r="I99" s="23"/>
      <c r="J99" s="23"/>
      <c r="K99" s="21"/>
      <c r="N99" s="126"/>
      <c r="O99" s="113"/>
    </row>
    <row r="100" spans="3:15" ht="12.75">
      <c r="C100" s="21" t="s">
        <v>28</v>
      </c>
      <c r="D100" s="21"/>
      <c r="E100" s="18">
        <v>44960</v>
      </c>
      <c r="F100" s="33"/>
      <c r="G100" s="33">
        <v>-9596.06</v>
      </c>
      <c r="H100" s="21"/>
      <c r="I100" s="23"/>
      <c r="J100" s="23"/>
      <c r="K100" s="21"/>
      <c r="N100" s="126"/>
      <c r="O100" s="113"/>
    </row>
    <row r="101" spans="3:15" ht="12.75">
      <c r="C101" s="21"/>
      <c r="D101" s="21"/>
      <c r="E101" s="18">
        <v>44979</v>
      </c>
      <c r="F101" s="33"/>
      <c r="G101" s="33">
        <v>-11176.25</v>
      </c>
      <c r="H101" s="21"/>
      <c r="I101" s="23"/>
      <c r="J101" s="23"/>
      <c r="K101" s="21"/>
      <c r="N101" s="126"/>
      <c r="O101" s="113"/>
    </row>
    <row r="102" spans="3:15" ht="12.75">
      <c r="C102" s="21"/>
      <c r="D102" s="21"/>
      <c r="E102" s="18">
        <v>45013</v>
      </c>
      <c r="F102" s="33"/>
      <c r="G102" s="33">
        <v>-22984.57</v>
      </c>
      <c r="H102" s="21"/>
      <c r="I102" s="23"/>
      <c r="J102" s="23"/>
      <c r="K102" s="21"/>
      <c r="N102" s="126"/>
      <c r="O102" s="113"/>
    </row>
    <row r="103" spans="3:15" ht="12.75">
      <c r="C103" s="21"/>
      <c r="D103" s="21"/>
      <c r="E103" s="18">
        <v>45022</v>
      </c>
      <c r="F103" s="33"/>
      <c r="G103" s="33">
        <v>-13819.48</v>
      </c>
      <c r="H103" s="21"/>
      <c r="I103" s="23"/>
      <c r="J103" s="23"/>
      <c r="K103" s="21"/>
      <c r="N103" s="126"/>
      <c r="O103" s="113"/>
    </row>
    <row r="104" spans="3:15" ht="12.75">
      <c r="C104" s="21"/>
      <c r="D104" s="21"/>
      <c r="E104" s="18">
        <v>45028</v>
      </c>
      <c r="F104" s="33"/>
      <c r="G104" s="33">
        <v>-4194.69</v>
      </c>
      <c r="H104" s="21"/>
      <c r="I104" s="23"/>
      <c r="J104" s="23"/>
      <c r="K104" s="21"/>
      <c r="N104" s="126"/>
      <c r="O104" s="113"/>
    </row>
    <row r="105" spans="3:15" ht="12.75">
      <c r="C105" s="21"/>
      <c r="D105" s="21"/>
      <c r="E105" s="18">
        <v>45047</v>
      </c>
      <c r="F105" s="33"/>
      <c r="G105" s="33">
        <v>-49876.52</v>
      </c>
      <c r="H105" s="21"/>
      <c r="I105" s="23"/>
      <c r="J105" s="23"/>
      <c r="K105" s="21"/>
      <c r="N105" s="126"/>
      <c r="O105" s="113"/>
    </row>
    <row r="106" spans="3:15" ht="12.75">
      <c r="C106" s="21"/>
      <c r="D106" s="21"/>
      <c r="E106" s="18">
        <v>45061</v>
      </c>
      <c r="F106" s="33"/>
      <c r="G106" s="33">
        <v>-15083.62</v>
      </c>
      <c r="H106" s="21"/>
      <c r="I106" s="23"/>
      <c r="J106" s="23"/>
      <c r="K106" s="21"/>
      <c r="N106" s="126"/>
      <c r="O106" s="113"/>
    </row>
    <row r="107" spans="3:15" ht="12.75">
      <c r="C107" s="21"/>
      <c r="D107" s="21"/>
      <c r="E107" s="18">
        <v>45182</v>
      </c>
      <c r="F107" s="33"/>
      <c r="G107" s="33">
        <v>-9050.18</v>
      </c>
      <c r="H107" s="21"/>
      <c r="I107" s="23"/>
      <c r="J107" s="23"/>
      <c r="K107" s="21"/>
      <c r="N107" s="126"/>
      <c r="O107" s="113"/>
    </row>
    <row r="108" spans="3:15" ht="12.75">
      <c r="C108" s="21"/>
      <c r="D108" s="21"/>
      <c r="E108" s="18">
        <v>45198</v>
      </c>
      <c r="F108" s="33"/>
      <c r="G108" s="33">
        <v>-5257.72</v>
      </c>
      <c r="H108" s="21"/>
      <c r="I108" s="23"/>
      <c r="J108" s="23"/>
      <c r="K108" s="21"/>
      <c r="N108" s="126"/>
      <c r="O108" s="113"/>
    </row>
    <row r="109" spans="3:15" ht="12.75">
      <c r="C109" s="21" t="s">
        <v>26</v>
      </c>
      <c r="D109" s="21"/>
      <c r="E109" s="18">
        <v>44939</v>
      </c>
      <c r="F109" s="33"/>
      <c r="G109" s="33">
        <v>8083.49</v>
      </c>
      <c r="H109" s="21"/>
      <c r="I109" s="23"/>
      <c r="J109" s="23"/>
      <c r="K109" s="21"/>
      <c r="N109" s="126"/>
      <c r="O109" s="113"/>
    </row>
    <row r="110" spans="3:15" ht="12.75">
      <c r="C110" s="21"/>
      <c r="D110" s="21"/>
      <c r="E110" s="18">
        <v>44966</v>
      </c>
      <c r="F110" s="33"/>
      <c r="G110" s="33">
        <v>8423.23</v>
      </c>
      <c r="H110" s="21"/>
      <c r="I110" s="23"/>
      <c r="J110" s="23"/>
      <c r="K110" s="21"/>
      <c r="N110" s="126"/>
      <c r="O110" s="113"/>
    </row>
    <row r="111" spans="3:15" ht="12.75">
      <c r="C111" s="21"/>
      <c r="D111" s="21"/>
      <c r="E111" s="18">
        <v>44995</v>
      </c>
      <c r="F111" s="33"/>
      <c r="G111" s="33">
        <v>12010.54</v>
      </c>
      <c r="H111" s="21"/>
      <c r="I111" s="23"/>
      <c r="J111" s="23"/>
      <c r="K111" s="21"/>
      <c r="N111" s="126"/>
      <c r="O111" s="113"/>
    </row>
    <row r="112" spans="3:15" ht="12.75">
      <c r="C112" s="21"/>
      <c r="D112" s="21"/>
      <c r="E112" s="18">
        <v>45027</v>
      </c>
      <c r="F112" s="33"/>
      <c r="G112" s="33">
        <v>17176.38</v>
      </c>
      <c r="H112" s="21"/>
      <c r="I112" s="23"/>
      <c r="J112" s="23"/>
      <c r="K112" s="21"/>
      <c r="N112" s="126"/>
      <c r="O112" s="113"/>
    </row>
    <row r="113" spans="3:15" ht="12.75">
      <c r="C113" s="21"/>
      <c r="D113" s="21"/>
      <c r="E113" s="18">
        <v>45055</v>
      </c>
      <c r="F113" s="33"/>
      <c r="G113" s="33">
        <v>10405.26</v>
      </c>
      <c r="H113" s="21"/>
      <c r="I113" s="23"/>
      <c r="J113" s="23"/>
      <c r="K113" s="21"/>
      <c r="N113" s="126"/>
      <c r="O113" s="113"/>
    </row>
    <row r="114" spans="3:15" ht="12.75">
      <c r="C114" s="21"/>
      <c r="D114" s="21"/>
      <c r="E114" s="18">
        <v>45090</v>
      </c>
      <c r="F114" s="33"/>
      <c r="G114" s="33">
        <v>335778.39</v>
      </c>
      <c r="H114" s="21"/>
      <c r="I114" s="23"/>
      <c r="J114" s="23"/>
      <c r="K114" s="21"/>
      <c r="N114" s="126"/>
      <c r="O114" s="113"/>
    </row>
    <row r="115" spans="3:15" ht="12.75">
      <c r="C115" s="21"/>
      <c r="D115" s="21"/>
      <c r="E115" s="18">
        <v>45113</v>
      </c>
      <c r="F115" s="33"/>
      <c r="G115" s="33">
        <v>125016.43</v>
      </c>
      <c r="H115" s="21"/>
      <c r="I115" s="23"/>
      <c r="J115" s="23"/>
      <c r="K115" s="21"/>
      <c r="N115" s="126"/>
      <c r="O115" s="113"/>
    </row>
    <row r="116" spans="3:15" ht="12.75">
      <c r="C116" s="21"/>
      <c r="D116" s="21"/>
      <c r="E116" s="18">
        <v>45141</v>
      </c>
      <c r="F116" s="33"/>
      <c r="G116" s="33">
        <v>10153.36</v>
      </c>
      <c r="H116" s="21"/>
      <c r="I116" s="23"/>
      <c r="J116" s="23"/>
      <c r="K116" s="21"/>
      <c r="N116" s="126"/>
      <c r="O116" s="113"/>
    </row>
    <row r="117" spans="3:15" ht="12.75">
      <c r="C117" s="21"/>
      <c r="D117" s="21"/>
      <c r="E117" s="18">
        <v>45177</v>
      </c>
      <c r="F117" s="33"/>
      <c r="G117" s="33">
        <v>16426.35</v>
      </c>
      <c r="H117" s="21"/>
      <c r="I117" s="23"/>
      <c r="J117" s="23"/>
      <c r="K117" s="21"/>
      <c r="N117" s="126"/>
      <c r="O117" s="113"/>
    </row>
    <row r="118" spans="3:15" ht="12.75">
      <c r="C118" s="21"/>
      <c r="D118" s="21"/>
      <c r="E118" s="18">
        <v>45189</v>
      </c>
      <c r="F118" s="33"/>
      <c r="G118" s="33">
        <v>68757.99</v>
      </c>
      <c r="H118" s="21"/>
      <c r="I118" s="23"/>
      <c r="J118" s="23"/>
      <c r="K118" s="21"/>
      <c r="N118" s="126"/>
      <c r="O118" s="113"/>
    </row>
    <row r="119" spans="3:15" ht="12.75">
      <c r="C119" s="21"/>
      <c r="D119" s="21"/>
      <c r="E119" s="18">
        <v>45197</v>
      </c>
      <c r="F119" s="33"/>
      <c r="G119" s="33">
        <v>15314.73</v>
      </c>
      <c r="H119" s="21"/>
      <c r="I119" s="23"/>
      <c r="J119" s="23"/>
      <c r="K119" s="21"/>
      <c r="N119" s="126"/>
      <c r="O119" s="113"/>
    </row>
    <row r="120" spans="3:15" ht="4.5" customHeight="1">
      <c r="C120" s="21"/>
      <c r="D120" s="21"/>
      <c r="E120" s="18"/>
      <c r="F120" s="21"/>
      <c r="G120" s="33"/>
      <c r="H120" s="21"/>
      <c r="I120" s="23"/>
      <c r="N120" s="113"/>
      <c r="O120" s="113"/>
    </row>
    <row r="121" spans="3:15" ht="12.75">
      <c r="C121" s="21" t="s">
        <v>1</v>
      </c>
      <c r="D121" s="21"/>
      <c r="E121" s="18">
        <f>+E8</f>
        <v>45199</v>
      </c>
      <c r="F121" s="21"/>
      <c r="G121" s="49">
        <f>L121/0.97*C22</f>
        <v>2139584.2120266086</v>
      </c>
      <c r="H121" s="21"/>
      <c r="I121" s="18"/>
      <c r="L121" s="54">
        <v>7.223616076E9</v>
      </c>
      <c r="N121" s="126"/>
      <c r="O121" s="113"/>
    </row>
    <row r="122" spans="3:10" ht="12.75">
      <c r="C122" s="21"/>
      <c r="D122" s="21"/>
      <c r="E122" s="21"/>
      <c r="F122" s="21"/>
      <c r="G122" s="21"/>
      <c r="H122" s="21"/>
      <c r="J122" s="23"/>
    </row>
    <row r="123" spans="3:11" ht="12.75">
      <c r="C123" s="20" t="s">
        <v>0</v>
      </c>
      <c r="G123" s="47">
        <f>XIRR(G24:G121,E24:E121,0.1)</f>
        <v>0.21051302552223208</v>
      </c>
      <c r="H123" s="21"/>
      <c r="J123" s="33">
        <f>+SUMIF($G$24:$G$120,"&lt;0",$G$24:$G$120)+G53+G70</f>
        <v>-1822456.4999999995</v>
      </c>
      <c r="K123" s="21" t="s">
        <v>11</v>
      </c>
    </row>
    <row r="124" spans="3:11" ht="12.75">
      <c r="C124" s="21"/>
      <c r="D124" s="21"/>
      <c r="E124" s="21"/>
      <c r="F124" s="21"/>
      <c r="G124" s="21"/>
      <c r="H124" s="21"/>
      <c r="J124" s="33">
        <f>+SUMIF($G$24:$G$120,"&gt;0",$G$24:$G$120)-G53-G70</f>
        <v>887931.5399999999</v>
      </c>
      <c r="K124" s="21" t="s">
        <v>12</v>
      </c>
    </row>
    <row r="125" spans="3:8" ht="12.75">
      <c r="C125" s="21"/>
      <c r="D125" s="21"/>
      <c r="E125" s="21"/>
      <c r="F125" s="21"/>
      <c r="G125" s="21"/>
      <c r="H125" s="21"/>
    </row>
    <row r="126" spans="3:11" ht="12.75">
      <c r="C126" s="21"/>
      <c r="D126" s="21"/>
      <c r="E126" s="17"/>
      <c r="F126" s="21"/>
      <c r="G126" s="26"/>
      <c r="H126" s="21"/>
      <c r="K126" s="34"/>
    </row>
    <row r="127" spans="4:11" ht="12.75">
      <c r="D127" s="26"/>
      <c r="E127" s="17"/>
      <c r="F127" s="26"/>
      <c r="G127" s="34"/>
      <c r="H127" s="21"/>
      <c r="K127" s="34"/>
    </row>
    <row r="128" spans="3:11" ht="12.75">
      <c r="C128" s="26"/>
      <c r="D128" s="26"/>
      <c r="E128" s="34"/>
      <c r="F128" s="26"/>
      <c r="G128" s="34"/>
      <c r="H128" s="21"/>
      <c r="K128" s="34"/>
    </row>
    <row r="129" spans="3:11" ht="12.75">
      <c r="C129" s="26"/>
      <c r="D129" s="26"/>
      <c r="E129" s="51"/>
      <c r="F129" s="51"/>
      <c r="G129" s="51"/>
      <c r="H129" s="20"/>
      <c r="K129" s="34"/>
    </row>
    <row r="130" spans="3:11" ht="12.75">
      <c r="C130" s="26"/>
      <c r="D130" s="26"/>
      <c r="E130" s="34"/>
      <c r="F130" s="34"/>
      <c r="G130" s="34"/>
      <c r="H130" s="20"/>
      <c r="K130" s="34"/>
    </row>
    <row r="131" spans="3:11" ht="12.75">
      <c r="C131" s="26"/>
      <c r="D131" s="26"/>
      <c r="E131" s="26"/>
      <c r="F131" s="26"/>
      <c r="G131" s="26"/>
      <c r="H131" s="20"/>
      <c r="K131" s="53"/>
    </row>
    <row r="132" spans="3:8" ht="12.75">
      <c r="C132" s="114"/>
      <c r="D132" s="114"/>
      <c r="E132" s="115"/>
      <c r="F132" s="71"/>
      <c r="G132" s="45"/>
      <c r="H132" s="20"/>
    </row>
    <row r="133" spans="3:11" ht="12.75">
      <c r="C133" s="114"/>
      <c r="D133" s="114"/>
      <c r="E133" s="46"/>
      <c r="F133" s="71"/>
      <c r="G133" s="46"/>
      <c r="H133" s="20"/>
      <c r="K133" s="53"/>
    </row>
    <row r="134" spans="3:8" ht="12.75">
      <c r="C134" s="114"/>
      <c r="D134" s="114"/>
      <c r="E134" s="46"/>
      <c r="F134" s="71"/>
      <c r="G134" s="46"/>
      <c r="H134" s="20"/>
    </row>
    <row r="135" spans="3:8" ht="12.75">
      <c r="C135" s="116"/>
      <c r="D135" s="114"/>
      <c r="E135" s="46"/>
      <c r="F135" s="71"/>
      <c r="G135" s="46"/>
      <c r="H135" s="20"/>
    </row>
    <row r="136" spans="3:8" ht="12.75">
      <c r="C136" s="116"/>
      <c r="D136" s="114"/>
      <c r="E136" s="46"/>
      <c r="F136" s="71"/>
      <c r="G136" s="46"/>
      <c r="H136" s="20"/>
    </row>
    <row r="137" spans="3:8" ht="12.75">
      <c r="C137" s="117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12.75">
      <c r="C141" s="114"/>
      <c r="D141" s="114"/>
      <c r="E141" s="46"/>
      <c r="F141" s="71"/>
      <c r="G141" s="46"/>
      <c r="H141" s="20"/>
    </row>
    <row r="142" spans="3:8" ht="12.75">
      <c r="C142" s="114"/>
      <c r="D142" s="114"/>
      <c r="E142" s="46"/>
      <c r="F142" s="71"/>
      <c r="G142" s="46"/>
      <c r="H142" s="20"/>
    </row>
    <row r="143" spans="3:8" ht="12.75">
      <c r="C143" s="114"/>
      <c r="D143" s="114"/>
      <c r="E143" s="46"/>
      <c r="F143" s="71"/>
      <c r="G143" s="46"/>
      <c r="H143" s="20"/>
    </row>
    <row r="144" spans="3:8" ht="5.1" customHeight="1">
      <c r="C144" s="20"/>
      <c r="D144" s="20"/>
      <c r="E144" s="72"/>
      <c r="F144" s="37"/>
      <c r="G144" s="72"/>
      <c r="H144" s="20"/>
    </row>
    <row r="145" spans="3:8" ht="12.75">
      <c r="C145" s="20"/>
      <c r="D145" s="20"/>
      <c r="E145" s="73"/>
      <c r="F145" s="43"/>
      <c r="G145" s="73"/>
      <c r="H145" s="20"/>
    </row>
    <row r="146" spans="3:8" ht="12.75">
      <c r="C146" s="21"/>
      <c r="D146" s="21"/>
      <c r="E146" s="74"/>
      <c r="F146" s="75"/>
      <c r="G146" s="74"/>
      <c r="H146" s="21"/>
    </row>
    <row r="147" spans="3:8" ht="12.75">
      <c r="C147" s="21"/>
      <c r="D147" s="21"/>
      <c r="E147" s="74"/>
      <c r="F147" s="75"/>
      <c r="G147" s="74"/>
      <c r="H147" s="21"/>
    </row>
    <row r="148" spans="3:8" ht="12.75">
      <c r="C148" s="21"/>
      <c r="D148" s="21"/>
      <c r="E148" s="74"/>
      <c r="F148" s="75"/>
      <c r="G148" s="74"/>
      <c r="H148" s="21"/>
    </row>
    <row r="149" spans="3:8" ht="12.75">
      <c r="C149" s="21"/>
      <c r="D149" s="21"/>
      <c r="E149" s="76"/>
      <c r="F149" s="76"/>
      <c r="G149" s="76"/>
      <c r="H149" s="21"/>
    </row>
    <row r="150" spans="3:8" ht="12.75">
      <c r="C150" s="21"/>
      <c r="D150" s="21"/>
      <c r="E150" s="21"/>
      <c r="F150" s="21"/>
      <c r="G150" s="21"/>
      <c r="H150" s="21"/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1"/>
      <c r="D152" s="21"/>
      <c r="E152" s="21"/>
      <c r="F152" s="21"/>
      <c r="G152" s="21"/>
      <c r="H152" s="21"/>
    </row>
    <row r="153" spans="3:8" ht="12.75">
      <c r="C153" s="21"/>
      <c r="D153" s="21"/>
      <c r="E153" s="21"/>
      <c r="F153" s="21"/>
      <c r="G153" s="21"/>
      <c r="H153" s="21"/>
    </row>
    <row r="154" spans="3:8" ht="12.75">
      <c r="C154" s="21"/>
      <c r="D154" s="21"/>
      <c r="E154" s="21"/>
      <c r="F154" s="21"/>
      <c r="G154" s="21"/>
      <c r="H154" s="21"/>
    </row>
    <row r="155" spans="3:8" ht="12.75">
      <c r="C155" s="21"/>
      <c r="D155" s="21"/>
      <c r="E155" s="21"/>
      <c r="F155" s="21"/>
      <c r="G155" s="21"/>
      <c r="H155" s="21"/>
    </row>
    <row r="156" spans="3:8" ht="12.75">
      <c r="C156" s="21"/>
      <c r="D156" s="21"/>
      <c r="E156" s="21"/>
      <c r="F156" s="21"/>
      <c r="G156" s="21"/>
      <c r="H156" s="21"/>
    </row>
    <row r="157" spans="3:8" ht="12.75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</sheetData>
  <mergeCells count="1">
    <mergeCell ref="E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974AD1-C9DC-491F-84E9-B82850BD1738}">
  <sheetPr>
    <pageSetUpPr fitToPage="1"/>
  </sheetPr>
  <dimension ref="B4:L15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f>'Fund XI'!E8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0.18223671317100523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-(G121+J124)/J123</f>
        <v>1.548963038850385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50"/>
    </row>
    <row r="22" spans="3:12" ht="12.75">
      <c r="C22" s="28">
        <v>0.027350044</v>
      </c>
      <c r="D22" s="21"/>
      <c r="E22" s="21"/>
      <c r="F22" s="21"/>
      <c r="G22" s="27"/>
      <c r="H22" s="21"/>
      <c r="I22" s="21"/>
      <c r="J22" s="111"/>
      <c r="K22" s="112"/>
      <c r="L22" s="54"/>
    </row>
    <row r="23" spans="3:12" ht="12.75">
      <c r="C23" s="21"/>
      <c r="D23" s="21"/>
      <c r="E23" s="18"/>
      <c r="F23" s="33"/>
      <c r="G23" s="33"/>
      <c r="H23" s="21"/>
      <c r="I23" s="23"/>
      <c r="J23" s="111"/>
      <c r="K23" s="112"/>
      <c r="L23" s="54"/>
    </row>
    <row r="24" spans="3:12" ht="12.75">
      <c r="C24" s="21" t="s">
        <v>15</v>
      </c>
      <c r="D24" s="21"/>
      <c r="E24" s="18">
        <v>42933</v>
      </c>
      <c r="F24" s="33"/>
      <c r="G24" s="33">
        <v>-422500</v>
      </c>
      <c r="H24" s="21"/>
      <c r="I24" s="23"/>
      <c r="J24" s="111"/>
      <c r="K24" s="112"/>
      <c r="L24" s="54"/>
    </row>
    <row r="25" spans="3:12" ht="12.75">
      <c r="C25" s="21"/>
      <c r="D25" s="21"/>
      <c r="E25" s="18">
        <v>43010</v>
      </c>
      <c r="F25" s="33"/>
      <c r="G25" s="33">
        <v>-102500</v>
      </c>
      <c r="H25" s="21"/>
      <c r="I25" s="23"/>
      <c r="J25" s="111"/>
      <c r="K25" s="112"/>
      <c r="L25" s="54"/>
    </row>
    <row r="26" spans="3:12" ht="12.75">
      <c r="C26" s="21"/>
      <c r="D26" s="21"/>
      <c r="E26" s="18">
        <v>43052</v>
      </c>
      <c r="F26" s="33"/>
      <c r="G26" s="33">
        <v>-45000</v>
      </c>
      <c r="H26" s="21"/>
      <c r="I26" s="23"/>
      <c r="J26" s="111"/>
      <c r="K26" s="112"/>
      <c r="L26" s="113"/>
    </row>
    <row r="27" spans="3:12" ht="12.75">
      <c r="C27" s="21"/>
      <c r="D27" s="21"/>
      <c r="E27" s="18">
        <v>43087</v>
      </c>
      <c r="F27" s="33"/>
      <c r="G27" s="33">
        <v>-197947.88</v>
      </c>
      <c r="H27" s="21"/>
      <c r="I27" s="23"/>
      <c r="J27" s="111"/>
      <c r="K27" s="113"/>
      <c r="L27" s="113"/>
    </row>
    <row r="28" spans="3:12" ht="12.75">
      <c r="C28" s="21"/>
      <c r="D28" s="21"/>
      <c r="E28" s="18">
        <v>43096</v>
      </c>
      <c r="F28" s="33"/>
      <c r="G28" s="33">
        <v>-121387.29</v>
      </c>
      <c r="H28" s="21"/>
      <c r="I28" s="23"/>
      <c r="J28" s="111"/>
      <c r="K28" s="112"/>
      <c r="L28" s="113"/>
    </row>
    <row r="29" spans="3:11" ht="12.75">
      <c r="C29" s="21" t="s">
        <v>17</v>
      </c>
      <c r="D29" s="21"/>
      <c r="E29" s="18">
        <v>43182</v>
      </c>
      <c r="F29" s="33"/>
      <c r="G29" s="33">
        <v>-878082.53</v>
      </c>
      <c r="H29" s="21"/>
      <c r="I29" s="23"/>
      <c r="J29" s="23"/>
      <c r="K29" s="21"/>
    </row>
    <row r="30" spans="3:11" ht="12.75">
      <c r="C30" s="21"/>
      <c r="D30" s="21"/>
      <c r="E30" s="18">
        <v>43276</v>
      </c>
      <c r="F30" s="33"/>
      <c r="G30" s="33">
        <v>-311728.27</v>
      </c>
      <c r="H30" s="21"/>
      <c r="I30" s="23"/>
      <c r="J30" s="23"/>
      <c r="K30" s="21"/>
    </row>
    <row r="31" spans="3:11" ht="12.75">
      <c r="C31" s="21"/>
      <c r="D31" s="21"/>
      <c r="E31" s="18">
        <v>43363</v>
      </c>
      <c r="F31" s="33"/>
      <c r="G31" s="33">
        <v>-232359.67</v>
      </c>
      <c r="H31" s="21"/>
      <c r="I31" s="23"/>
      <c r="J31" s="23"/>
      <c r="K31" s="21"/>
    </row>
    <row r="32" spans="3:11" ht="12.75">
      <c r="C32" s="21"/>
      <c r="D32" s="21"/>
      <c r="E32" s="18">
        <v>43398</v>
      </c>
      <c r="F32" s="33"/>
      <c r="G32" s="33">
        <v>-203628.95</v>
      </c>
      <c r="H32" s="21"/>
      <c r="I32" s="23"/>
      <c r="J32" s="23"/>
      <c r="K32" s="21"/>
    </row>
    <row r="33" spans="3:11" ht="12.75">
      <c r="C33" s="21"/>
      <c r="D33" s="21"/>
      <c r="E33" s="18">
        <v>43433</v>
      </c>
      <c r="F33" s="33"/>
      <c r="G33" s="33">
        <v>-165201.61</v>
      </c>
      <c r="H33" s="21"/>
      <c r="I33" s="23"/>
      <c r="J33" s="23"/>
      <c r="K33" s="21"/>
    </row>
    <row r="34" spans="3:11" ht="12.75">
      <c r="C34" s="21" t="s">
        <v>19</v>
      </c>
      <c r="D34" s="21"/>
      <c r="E34" s="18">
        <v>43468</v>
      </c>
      <c r="F34" s="33"/>
      <c r="G34" s="33">
        <v>-280483.64</v>
      </c>
      <c r="H34" s="21"/>
      <c r="I34" s="23"/>
      <c r="J34" s="23"/>
      <c r="K34" s="21"/>
    </row>
    <row r="35" spans="3:11" ht="12.75">
      <c r="C35" s="21"/>
      <c r="D35" s="21"/>
      <c r="E35" s="18">
        <v>43495</v>
      </c>
      <c r="F35" s="33"/>
      <c r="G35" s="33">
        <v>-462205.41</v>
      </c>
      <c r="H35" s="21"/>
      <c r="I35" s="23"/>
      <c r="J35" s="23"/>
      <c r="K35" s="21"/>
    </row>
    <row r="36" spans="3:11" ht="12.75">
      <c r="C36" s="21"/>
      <c r="D36" s="21"/>
      <c r="E36" s="18">
        <v>43510</v>
      </c>
      <c r="F36" s="33"/>
      <c r="G36" s="33">
        <v>-185672.25</v>
      </c>
      <c r="H36" s="21"/>
      <c r="I36" s="23"/>
      <c r="J36" s="23"/>
      <c r="K36" s="21"/>
    </row>
    <row r="37" spans="3:11" ht="12.75">
      <c r="C37" s="21"/>
      <c r="D37" s="21"/>
      <c r="E37" s="18">
        <v>43559</v>
      </c>
      <c r="F37" s="33"/>
      <c r="G37" s="33">
        <v>-257499.03</v>
      </c>
      <c r="H37" s="21"/>
      <c r="I37" s="23"/>
      <c r="J37" s="23"/>
      <c r="K37" s="21"/>
    </row>
    <row r="38" spans="3:11" ht="12.75">
      <c r="C38" s="21"/>
      <c r="D38" s="21"/>
      <c r="E38" s="18">
        <v>43593</v>
      </c>
      <c r="F38" s="33"/>
      <c r="G38" s="33">
        <v>-256780.77</v>
      </c>
      <c r="H38" s="21"/>
      <c r="I38" s="23"/>
      <c r="J38" s="23"/>
      <c r="K38" s="21"/>
    </row>
    <row r="39" spans="3:11" ht="12.75">
      <c r="C39" s="21"/>
      <c r="D39" s="21"/>
      <c r="E39" s="18">
        <v>43642</v>
      </c>
      <c r="F39" s="33"/>
      <c r="G39" s="33">
        <v>-410130.99</v>
      </c>
      <c r="H39" s="21"/>
      <c r="I39" s="23"/>
      <c r="J39" s="23"/>
      <c r="K39" s="21"/>
    </row>
    <row r="40" spans="3:11" ht="12.75">
      <c r="C40" s="21"/>
      <c r="D40" s="21"/>
      <c r="E40" s="18">
        <v>43656</v>
      </c>
      <c r="F40" s="33"/>
      <c r="G40" s="33">
        <v>-304545.62</v>
      </c>
      <c r="H40" s="21"/>
      <c r="I40" s="23"/>
      <c r="J40" s="23"/>
      <c r="K40" s="21"/>
    </row>
    <row r="41" spans="3:11" ht="12.75">
      <c r="C41" s="21"/>
      <c r="D41" s="21"/>
      <c r="E41" s="18">
        <v>43684</v>
      </c>
      <c r="F41" s="33"/>
      <c r="G41" s="33">
        <v>-265759.16</v>
      </c>
      <c r="H41" s="21"/>
      <c r="I41" s="23"/>
      <c r="J41" s="23"/>
      <c r="K41" s="21"/>
    </row>
    <row r="42" spans="3:11" ht="12.75">
      <c r="C42" s="21"/>
      <c r="D42" s="21"/>
      <c r="E42" s="18">
        <v>43768</v>
      </c>
      <c r="F42" s="33"/>
      <c r="G42" s="33">
        <v>-262886.05</v>
      </c>
      <c r="H42" s="21"/>
      <c r="I42" s="23"/>
      <c r="J42" s="23"/>
      <c r="K42" s="21"/>
    </row>
    <row r="43" spans="3:11" ht="12.75">
      <c r="C43" s="21"/>
      <c r="D43" s="21"/>
      <c r="E43" s="18">
        <v>43817</v>
      </c>
      <c r="F43" s="33"/>
      <c r="G43" s="33">
        <v>-2021205.94</v>
      </c>
      <c r="H43" s="21"/>
      <c r="I43" s="23"/>
      <c r="J43" s="23"/>
      <c r="K43" s="21"/>
    </row>
    <row r="44" spans="3:11" ht="12.75">
      <c r="C44" s="21" t="s">
        <v>21</v>
      </c>
      <c r="D44" s="21"/>
      <c r="E44" s="18">
        <v>44006</v>
      </c>
      <c r="F44" s="33"/>
      <c r="G44" s="33">
        <v>-149758.87</v>
      </c>
      <c r="H44" s="21"/>
      <c r="I44" s="23"/>
      <c r="J44" s="23"/>
      <c r="K44" s="21"/>
    </row>
    <row r="45" spans="3:11" ht="12.75">
      <c r="C45" s="21"/>
      <c r="D45" s="21"/>
      <c r="E45" s="18">
        <v>44026</v>
      </c>
      <c r="F45" s="33"/>
      <c r="G45" s="33">
        <v>-370267.11</v>
      </c>
      <c r="H45" s="21"/>
      <c r="I45" s="23"/>
      <c r="J45" s="23"/>
      <c r="K45" s="21"/>
    </row>
    <row r="46" spans="3:11" ht="12.75">
      <c r="C46" s="21"/>
      <c r="D46" s="21"/>
      <c r="E46" s="18">
        <v>44105</v>
      </c>
      <c r="F46" s="33"/>
      <c r="G46" s="33">
        <v>-127133.42</v>
      </c>
      <c r="H46" s="21"/>
      <c r="I46" s="23"/>
      <c r="J46" s="23"/>
      <c r="K46" s="21"/>
    </row>
    <row r="47" spans="3:11" ht="12.75">
      <c r="C47" s="21"/>
      <c r="D47" s="21"/>
      <c r="E47" s="18">
        <v>44182</v>
      </c>
      <c r="F47" s="33"/>
      <c r="G47" s="33">
        <v>-515357.25</v>
      </c>
      <c r="H47" s="21"/>
      <c r="I47" s="23"/>
      <c r="J47" s="23"/>
      <c r="K47" s="21"/>
    </row>
    <row r="48" spans="3:11" ht="12.75">
      <c r="C48" s="21"/>
      <c r="D48" s="21"/>
      <c r="E48" s="18">
        <v>44188</v>
      </c>
      <c r="F48" s="33"/>
      <c r="G48" s="33">
        <v>-119950.73</v>
      </c>
      <c r="H48" s="21"/>
      <c r="I48" s="23"/>
      <c r="J48" s="23"/>
      <c r="K48" s="21"/>
    </row>
    <row r="49" spans="3:11" ht="12.75">
      <c r="C49" s="21" t="s">
        <v>24</v>
      </c>
      <c r="D49" s="21"/>
      <c r="E49" s="18">
        <v>44246</v>
      </c>
      <c r="F49" s="33"/>
      <c r="G49" s="33">
        <v>-110613.25</v>
      </c>
      <c r="H49" s="21"/>
      <c r="I49" s="23"/>
      <c r="J49" s="23"/>
      <c r="K49" s="21"/>
    </row>
    <row r="50" spans="3:11" ht="12.75">
      <c r="C50" s="21"/>
      <c r="D50" s="21"/>
      <c r="E50" s="18">
        <v>44250</v>
      </c>
      <c r="F50" s="33"/>
      <c r="G50" s="33">
        <v>-116718.53</v>
      </c>
      <c r="H50" s="21"/>
      <c r="I50" s="23"/>
      <c r="J50" s="23"/>
      <c r="K50" s="21"/>
    </row>
    <row r="51" spans="3:11" ht="12.75">
      <c r="C51" s="21"/>
      <c r="D51" s="21"/>
      <c r="E51" s="18">
        <v>44274</v>
      </c>
      <c r="F51" s="33"/>
      <c r="G51" s="33">
        <v>-183876.57</v>
      </c>
      <c r="H51" s="21"/>
      <c r="I51" s="23"/>
      <c r="J51" s="23"/>
      <c r="K51" s="21"/>
    </row>
    <row r="52" spans="3:11" ht="12.75">
      <c r="C52" s="21"/>
      <c r="D52" s="21"/>
      <c r="E52" s="18">
        <v>44305</v>
      </c>
      <c r="F52" s="33"/>
      <c r="G52" s="33">
        <v>-2048500.12</v>
      </c>
      <c r="H52" s="21"/>
      <c r="I52" s="23"/>
      <c r="J52" s="23"/>
      <c r="K52" s="21"/>
    </row>
    <row r="53" spans="3:11" ht="12.75">
      <c r="C53" s="21"/>
      <c r="D53" s="21"/>
      <c r="E53" s="18">
        <v>44362</v>
      </c>
      <c r="F53" s="33"/>
      <c r="G53" s="33">
        <v>321424.89</v>
      </c>
      <c r="H53" s="21"/>
      <c r="I53" s="23"/>
      <c r="J53" s="23"/>
      <c r="K53" s="21"/>
    </row>
    <row r="54" spans="3:11" ht="12.75">
      <c r="C54" s="21"/>
      <c r="D54" s="21"/>
      <c r="E54" s="18">
        <v>44400</v>
      </c>
      <c r="F54" s="33"/>
      <c r="G54" s="33">
        <v>-251393.78</v>
      </c>
      <c r="H54" s="21"/>
      <c r="I54" s="23"/>
      <c r="J54" s="23"/>
      <c r="K54" s="21"/>
    </row>
    <row r="55" spans="3:11" ht="12.75">
      <c r="C55" s="21"/>
      <c r="D55" s="21"/>
      <c r="E55" s="18">
        <v>44407</v>
      </c>
      <c r="F55" s="33"/>
      <c r="G55" s="33">
        <v>-269350.47</v>
      </c>
      <c r="H55" s="21"/>
      <c r="I55" s="23"/>
      <c r="J55" s="23"/>
      <c r="K55" s="21"/>
    </row>
    <row r="56" spans="3:11" ht="12.75">
      <c r="C56" s="21"/>
      <c r="D56" s="21"/>
      <c r="E56" s="18">
        <v>44440</v>
      </c>
      <c r="F56" s="33"/>
      <c r="G56" s="33">
        <v>-128569.95</v>
      </c>
      <c r="H56" s="21"/>
      <c r="I56" s="23"/>
      <c r="J56" s="23"/>
      <c r="K56" s="21"/>
    </row>
    <row r="57" spans="3:11" ht="12.75">
      <c r="C57" s="21"/>
      <c r="D57" s="21"/>
      <c r="E57" s="18">
        <v>44453</v>
      </c>
      <c r="F57" s="33"/>
      <c r="G57" s="33">
        <v>-212248.17</v>
      </c>
      <c r="H57" s="21"/>
      <c r="I57" s="23"/>
      <c r="J57" s="23"/>
      <c r="K57" s="21"/>
    </row>
    <row r="58" spans="3:11" ht="12.75">
      <c r="C58" s="21"/>
      <c r="D58" s="21"/>
      <c r="E58" s="18">
        <v>44473</v>
      </c>
      <c r="F58" s="33"/>
      <c r="G58" s="33">
        <v>-135393.50</v>
      </c>
      <c r="H58" s="21"/>
      <c r="I58" s="23"/>
      <c r="J58" s="23"/>
      <c r="K58" s="21"/>
    </row>
    <row r="59" spans="3:11" ht="12.75">
      <c r="C59" s="21"/>
      <c r="D59" s="21"/>
      <c r="E59" s="18">
        <v>44496</v>
      </c>
      <c r="F59" s="33"/>
      <c r="G59" s="33">
        <v>-154427.59</v>
      </c>
      <c r="H59" s="21"/>
      <c r="I59" s="23"/>
      <c r="J59" s="23"/>
      <c r="K59" s="21"/>
    </row>
    <row r="60" spans="3:11" ht="12.75">
      <c r="C60" s="21"/>
      <c r="D60" s="21"/>
      <c r="E60" s="18">
        <v>44537</v>
      </c>
      <c r="F60" s="33"/>
      <c r="G60" s="33">
        <v>-611605.14</v>
      </c>
      <c r="H60" s="21"/>
      <c r="I60" s="23"/>
      <c r="J60" s="23"/>
      <c r="K60" s="21"/>
    </row>
    <row r="61" spans="3:11" ht="12.75">
      <c r="C61" s="21"/>
      <c r="D61" s="21"/>
      <c r="E61" s="18">
        <v>44550</v>
      </c>
      <c r="F61" s="33"/>
      <c r="G61" s="33">
        <v>-1449105.54</v>
      </c>
      <c r="H61" s="21"/>
      <c r="I61" s="23"/>
      <c r="J61" s="23"/>
      <c r="K61" s="21"/>
    </row>
    <row r="62" spans="3:11" ht="12.75">
      <c r="C62" s="21" t="s">
        <v>23</v>
      </c>
      <c r="D62" s="21"/>
      <c r="E62" s="18">
        <v>44396</v>
      </c>
      <c r="F62" s="33"/>
      <c r="G62" s="33">
        <v>58254.94</v>
      </c>
      <c r="H62" s="21"/>
      <c r="I62" s="23"/>
      <c r="J62" s="23"/>
      <c r="K62" s="21"/>
    </row>
    <row r="63" spans="3:11" ht="12.75">
      <c r="C63" s="21"/>
      <c r="D63" s="21"/>
      <c r="E63" s="18">
        <v>44476</v>
      </c>
      <c r="F63" s="33"/>
      <c r="G63" s="33">
        <v>53658.19</v>
      </c>
      <c r="H63" s="21"/>
      <c r="I63" s="23"/>
      <c r="J63" s="23"/>
      <c r="K63" s="21"/>
    </row>
    <row r="64" spans="3:11" ht="12.75">
      <c r="C64" s="21"/>
      <c r="D64" s="21"/>
      <c r="E64" s="18">
        <v>44512</v>
      </c>
      <c r="F64" s="33"/>
      <c r="G64" s="33">
        <v>198424.12</v>
      </c>
      <c r="H64" s="21"/>
      <c r="I64" s="23"/>
      <c r="J64" s="23"/>
      <c r="K64" s="21"/>
    </row>
    <row r="65" spans="3:11" ht="12.75">
      <c r="C65" s="21" t="s">
        <v>27</v>
      </c>
      <c r="D65" s="21"/>
      <c r="E65" s="18">
        <v>44565</v>
      </c>
      <c r="F65" s="33"/>
      <c r="G65" s="33">
        <v>-71467.65</v>
      </c>
      <c r="H65" s="21"/>
      <c r="I65" s="23"/>
      <c r="J65" s="23"/>
      <c r="K65" s="21"/>
    </row>
    <row r="66" spans="3:11" ht="12.75">
      <c r="C66" s="21"/>
      <c r="D66" s="21"/>
      <c r="E66" s="18">
        <v>44602</v>
      </c>
      <c r="F66" s="33"/>
      <c r="G66" s="33">
        <v>-220867.36</v>
      </c>
      <c r="H66" s="21"/>
      <c r="I66" s="23"/>
      <c r="J66" s="23"/>
      <c r="K66" s="21"/>
    </row>
    <row r="67" spans="3:11" ht="12.75">
      <c r="C67" s="21"/>
      <c r="D67" s="21"/>
      <c r="E67" s="18">
        <v>44628</v>
      </c>
      <c r="F67" s="33"/>
      <c r="G67" s="33">
        <v>-164483.36</v>
      </c>
      <c r="H67" s="21"/>
      <c r="I67" s="23"/>
      <c r="J67" s="23"/>
      <c r="K67" s="21"/>
    </row>
    <row r="68" spans="3:11" ht="12.75">
      <c r="C68" s="21"/>
      <c r="D68" s="21"/>
      <c r="E68" s="18">
        <v>44641</v>
      </c>
      <c r="F68" s="33"/>
      <c r="G68" s="33">
        <v>-1077401.87</v>
      </c>
      <c r="H68" s="21"/>
      <c r="I68" s="23"/>
      <c r="J68" s="23"/>
      <c r="K68" s="21"/>
    </row>
    <row r="69" spans="3:11" ht="12.75">
      <c r="C69" s="21"/>
      <c r="D69" s="21"/>
      <c r="E69" s="18">
        <v>44645</v>
      </c>
      <c r="F69" s="33"/>
      <c r="G69" s="33">
        <v>-2326110.68</v>
      </c>
      <c r="H69" s="21"/>
      <c r="I69" s="23"/>
      <c r="J69" s="23"/>
      <c r="K69" s="21"/>
    </row>
    <row r="70" spans="3:11" ht="12.75">
      <c r="C70" s="21"/>
      <c r="D70" s="21"/>
      <c r="E70" s="18">
        <v>44670</v>
      </c>
      <c r="F70" s="33"/>
      <c r="G70" s="33">
        <v>970739.10</v>
      </c>
      <c r="H70" s="21"/>
      <c r="I70" s="23"/>
      <c r="J70" s="23"/>
      <c r="K70" s="21"/>
    </row>
    <row r="71" spans="3:11" ht="12.75">
      <c r="C71" s="21"/>
      <c r="D71" s="21"/>
      <c r="E71" s="18">
        <v>44694</v>
      </c>
      <c r="F71" s="33"/>
      <c r="G71" s="33">
        <v>-49201.35</v>
      </c>
      <c r="H71" s="21"/>
      <c r="I71" s="23"/>
      <c r="J71" s="23"/>
      <c r="K71" s="21"/>
    </row>
    <row r="72" spans="3:11" ht="12.75">
      <c r="C72" s="21"/>
      <c r="D72" s="21"/>
      <c r="E72" s="18">
        <v>44701</v>
      </c>
      <c r="F72" s="33"/>
      <c r="G72" s="33">
        <v>-125337.73</v>
      </c>
      <c r="H72" s="21"/>
      <c r="I72" s="23"/>
      <c r="J72" s="23"/>
      <c r="K72" s="21"/>
    </row>
    <row r="73" spans="3:11" ht="12.75">
      <c r="C73" s="21"/>
      <c r="D73" s="21"/>
      <c r="E73" s="18">
        <v>44727</v>
      </c>
      <c r="F73" s="33"/>
      <c r="G73" s="33">
        <v>-402589.17</v>
      </c>
      <c r="H73" s="21"/>
      <c r="I73" s="23"/>
      <c r="J73" s="23"/>
      <c r="K73" s="21"/>
    </row>
    <row r="74" spans="3:11" ht="12.75">
      <c r="C74" s="21"/>
      <c r="D74" s="21"/>
      <c r="E74" s="18">
        <v>44750</v>
      </c>
      <c r="F74" s="33"/>
      <c r="G74" s="33">
        <v>-391456.02</v>
      </c>
      <c r="H74" s="21"/>
      <c r="I74" s="23"/>
      <c r="J74" s="23"/>
      <c r="K74" s="21"/>
    </row>
    <row r="75" spans="3:11" ht="12.75">
      <c r="C75" s="21"/>
      <c r="D75" s="21"/>
      <c r="E75" s="18">
        <v>44764</v>
      </c>
      <c r="F75" s="33"/>
      <c r="G75" s="33">
        <v>-56743.17</v>
      </c>
      <c r="H75" s="21"/>
      <c r="I75" s="23"/>
      <c r="J75" s="23"/>
      <c r="K75" s="21"/>
    </row>
    <row r="76" spans="3:11" ht="12.75">
      <c r="C76" s="21"/>
      <c r="D76" s="21"/>
      <c r="E76" s="18">
        <v>44790</v>
      </c>
      <c r="F76" s="33"/>
      <c r="G76" s="33">
        <v>-66798.92</v>
      </c>
      <c r="H76" s="21"/>
      <c r="I76" s="23"/>
      <c r="J76" s="23"/>
      <c r="K76" s="21"/>
    </row>
    <row r="77" spans="3:11" ht="12.75">
      <c r="C77" s="21"/>
      <c r="D77" s="21"/>
      <c r="E77" s="18">
        <v>44797</v>
      </c>
      <c r="F77" s="33"/>
      <c r="G77" s="33">
        <v>-193573.22</v>
      </c>
      <c r="H77" s="21"/>
      <c r="I77" s="23"/>
      <c r="J77" s="23"/>
      <c r="K77" s="21"/>
    </row>
    <row r="78" spans="3:11" ht="12.75">
      <c r="C78" s="21"/>
      <c r="D78" s="21"/>
      <c r="E78" s="18">
        <v>44806</v>
      </c>
      <c r="F78" s="33"/>
      <c r="G78" s="33">
        <v>-171666.04</v>
      </c>
      <c r="H78" s="21"/>
      <c r="I78" s="23"/>
      <c r="J78" s="23"/>
      <c r="K78" s="21"/>
    </row>
    <row r="79" spans="3:11" ht="12.75">
      <c r="C79" s="21"/>
      <c r="D79" s="21"/>
      <c r="E79" s="18">
        <v>44818</v>
      </c>
      <c r="F79" s="33"/>
      <c r="G79" s="33">
        <v>-495963.99</v>
      </c>
      <c r="H79" s="21"/>
      <c r="I79" s="23"/>
      <c r="J79" s="23"/>
      <c r="K79" s="21"/>
    </row>
    <row r="80" spans="3:11" ht="12.75">
      <c r="C80" s="21"/>
      <c r="D80" s="21"/>
      <c r="E80" s="18">
        <v>44833</v>
      </c>
      <c r="F80" s="33"/>
      <c r="G80" s="33">
        <v>-175975.64</v>
      </c>
      <c r="H80" s="21"/>
      <c r="I80" s="23"/>
      <c r="J80" s="23"/>
      <c r="K80" s="21"/>
    </row>
    <row r="81" spans="3:11" ht="12.75">
      <c r="C81" s="21"/>
      <c r="D81" s="21"/>
      <c r="E81" s="18">
        <v>44838</v>
      </c>
      <c r="F81" s="33"/>
      <c r="G81" s="33">
        <v>-380682</v>
      </c>
      <c r="H81" s="21"/>
      <c r="I81" s="23"/>
      <c r="J81" s="23"/>
      <c r="K81" s="21"/>
    </row>
    <row r="82" spans="3:11" ht="12.75">
      <c r="C82" s="21"/>
      <c r="D82" s="21"/>
      <c r="E82" s="18">
        <v>44847</v>
      </c>
      <c r="F82" s="33"/>
      <c r="G82" s="33">
        <v>-217276.05</v>
      </c>
      <c r="H82" s="21"/>
      <c r="I82" s="23"/>
      <c r="J82" s="23"/>
      <c r="K82" s="21"/>
    </row>
    <row r="83" spans="3:11" ht="12.75">
      <c r="C83" s="21"/>
      <c r="D83" s="21"/>
      <c r="E83" s="18">
        <v>44858</v>
      </c>
      <c r="F83" s="33"/>
      <c r="G83" s="33">
        <v>-113127.21</v>
      </c>
      <c r="H83" s="21"/>
      <c r="I83" s="23"/>
      <c r="J83" s="23"/>
      <c r="K83" s="21"/>
    </row>
    <row r="84" spans="3:11" ht="12.75">
      <c r="C84" s="21"/>
      <c r="D84" s="21"/>
      <c r="E84" s="18">
        <v>44866</v>
      </c>
      <c r="F84" s="33"/>
      <c r="G84" s="33">
        <v>-67158.05</v>
      </c>
      <c r="H84" s="21"/>
      <c r="I84" s="23"/>
      <c r="J84" s="23"/>
      <c r="K84" s="21"/>
    </row>
    <row r="85" spans="3:11" ht="12.75">
      <c r="C85" s="21"/>
      <c r="D85" s="21"/>
      <c r="E85" s="18">
        <v>44893</v>
      </c>
      <c r="F85" s="33"/>
      <c r="G85" s="33">
        <v>-321065.76</v>
      </c>
      <c r="H85" s="21"/>
      <c r="I85" s="23"/>
      <c r="J85" s="23"/>
      <c r="K85" s="21"/>
    </row>
    <row r="86" spans="3:11" ht="12.75">
      <c r="C86" s="21"/>
      <c r="D86" s="21"/>
      <c r="E86" s="18">
        <v>44902</v>
      </c>
      <c r="F86" s="33"/>
      <c r="G86" s="33">
        <v>-179207.84</v>
      </c>
      <c r="H86" s="21"/>
      <c r="I86" s="23"/>
      <c r="J86" s="23"/>
      <c r="K86" s="21"/>
    </row>
    <row r="87" spans="3:11" ht="12.75">
      <c r="C87" s="21"/>
      <c r="D87" s="21"/>
      <c r="E87" s="18">
        <v>44909</v>
      </c>
      <c r="F87" s="33"/>
      <c r="G87" s="33">
        <v>-699952.10</v>
      </c>
      <c r="H87" s="21"/>
      <c r="I87" s="23"/>
      <c r="J87" s="23"/>
      <c r="K87" s="21"/>
    </row>
    <row r="88" spans="3:11" ht="12.75">
      <c r="C88" s="21" t="s">
        <v>25</v>
      </c>
      <c r="D88" s="21"/>
      <c r="E88" s="18">
        <v>44575</v>
      </c>
      <c r="F88" s="33"/>
      <c r="G88" s="33">
        <v>251133.34</v>
      </c>
      <c r="H88" s="21"/>
      <c r="I88" s="23"/>
      <c r="J88" s="23"/>
      <c r="K88" s="21"/>
    </row>
    <row r="89" spans="3:11" ht="12.75">
      <c r="C89" s="21"/>
      <c r="D89" s="21"/>
      <c r="E89" s="18">
        <v>44601</v>
      </c>
      <c r="F89" s="33"/>
      <c r="G89" s="33">
        <v>195115.32</v>
      </c>
      <c r="H89" s="21"/>
      <c r="I89" s="23"/>
      <c r="J89" s="23"/>
      <c r="K89" s="21"/>
    </row>
    <row r="90" spans="3:11" ht="12.75">
      <c r="C90" s="21"/>
      <c r="D90" s="21"/>
      <c r="E90" s="18">
        <v>44628</v>
      </c>
      <c r="F90" s="33"/>
      <c r="G90" s="33">
        <v>512125.65</v>
      </c>
      <c r="H90" s="21"/>
      <c r="I90" s="23"/>
      <c r="J90" s="23"/>
      <c r="K90" s="21"/>
    </row>
    <row r="91" spans="3:11" ht="12.75">
      <c r="C91" s="21"/>
      <c r="D91" s="21"/>
      <c r="E91" s="18">
        <v>44659</v>
      </c>
      <c r="F91" s="33"/>
      <c r="G91" s="33">
        <v>259887.72</v>
      </c>
      <c r="H91" s="21"/>
      <c r="I91" s="23"/>
      <c r="J91" s="23"/>
      <c r="K91" s="21"/>
    </row>
    <row r="92" spans="3:11" ht="12.75">
      <c r="C92" s="21"/>
      <c r="D92" s="21"/>
      <c r="E92" s="18">
        <v>44692</v>
      </c>
      <c r="F92" s="33"/>
      <c r="G92" s="33">
        <v>219484.73</v>
      </c>
      <c r="H92" s="21"/>
      <c r="I92" s="23"/>
      <c r="J92" s="23"/>
      <c r="K92" s="21"/>
    </row>
    <row r="93" spans="3:11" ht="12.75">
      <c r="C93" s="21"/>
      <c r="D93" s="21"/>
      <c r="E93" s="18">
        <v>44719</v>
      </c>
      <c r="F93" s="33"/>
      <c r="G93" s="33">
        <v>271197.35</v>
      </c>
      <c r="H93" s="21"/>
      <c r="I93" s="23"/>
      <c r="J93" s="23"/>
      <c r="K93" s="21"/>
    </row>
    <row r="94" spans="3:11" ht="12.75">
      <c r="C94" s="21"/>
      <c r="D94" s="21"/>
      <c r="E94" s="18">
        <v>44761</v>
      </c>
      <c r="F94" s="33"/>
      <c r="G94" s="33">
        <v>424199.43</v>
      </c>
      <c r="H94" s="21"/>
      <c r="I94" s="23"/>
      <c r="J94" s="23"/>
      <c r="K94" s="21"/>
    </row>
    <row r="95" spans="3:11" ht="12.75">
      <c r="C95" s="21"/>
      <c r="D95" s="21"/>
      <c r="E95" s="18">
        <v>44776</v>
      </c>
      <c r="F95" s="33"/>
      <c r="G95" s="33">
        <v>373876.58</v>
      </c>
      <c r="H95" s="21"/>
      <c r="I95" s="23"/>
      <c r="J95" s="23"/>
      <c r="K95" s="21"/>
    </row>
    <row r="96" spans="3:11" ht="12.75">
      <c r="C96" s="21"/>
      <c r="D96" s="21"/>
      <c r="E96" s="18">
        <v>44817</v>
      </c>
      <c r="F96" s="33"/>
      <c r="G96" s="33">
        <v>129981.04</v>
      </c>
      <c r="H96" s="21"/>
      <c r="I96" s="23"/>
      <c r="J96" s="23"/>
      <c r="K96" s="21"/>
    </row>
    <row r="97" spans="3:11" ht="12.75">
      <c r="C97" s="21"/>
      <c r="D97" s="21"/>
      <c r="E97" s="18">
        <v>44841</v>
      </c>
      <c r="F97" s="33"/>
      <c r="G97" s="33">
        <v>94622.35</v>
      </c>
      <c r="H97" s="21"/>
      <c r="I97" s="23"/>
      <c r="J97" s="23"/>
      <c r="K97" s="21"/>
    </row>
    <row r="98" spans="3:11" ht="12.75">
      <c r="C98" s="21"/>
      <c r="D98" s="21"/>
      <c r="E98" s="18">
        <v>44872</v>
      </c>
      <c r="F98" s="33"/>
      <c r="G98" s="33">
        <v>71716.91</v>
      </c>
      <c r="H98" s="21"/>
      <c r="I98" s="23"/>
      <c r="J98" s="23"/>
      <c r="K98" s="21"/>
    </row>
    <row r="99" spans="3:11" ht="12.75">
      <c r="C99" s="21"/>
      <c r="D99" s="21"/>
      <c r="E99" s="18">
        <v>44902</v>
      </c>
      <c r="F99" s="33"/>
      <c r="G99" s="33">
        <v>120626.61</v>
      </c>
      <c r="H99" s="21"/>
      <c r="I99" s="23"/>
      <c r="J99" s="23"/>
      <c r="K99" s="21"/>
    </row>
    <row r="100" spans="3:11" ht="12.75">
      <c r="C100" s="21" t="s">
        <v>28</v>
      </c>
      <c r="D100" s="21"/>
      <c r="E100" s="18">
        <v>44960</v>
      </c>
      <c r="F100" s="33"/>
      <c r="G100" s="33">
        <v>-119950.76</v>
      </c>
      <c r="H100" s="21"/>
      <c r="I100" s="23"/>
      <c r="J100" s="23"/>
      <c r="K100" s="21"/>
    </row>
    <row r="101" spans="3:11" ht="12.75">
      <c r="C101" s="21"/>
      <c r="D101" s="21"/>
      <c r="E101" s="18">
        <v>44979</v>
      </c>
      <c r="F101" s="33"/>
      <c r="G101" s="33">
        <v>-139703.11</v>
      </c>
      <c r="H101" s="21"/>
      <c r="I101" s="23"/>
      <c r="J101" s="23"/>
      <c r="K101" s="21"/>
    </row>
    <row r="102" spans="3:11" ht="12.75">
      <c r="C102" s="21"/>
      <c r="D102" s="21"/>
      <c r="E102" s="18">
        <v>45013</v>
      </c>
      <c r="F102" s="33"/>
      <c r="G102" s="33">
        <v>-287307.18</v>
      </c>
      <c r="H102" s="21"/>
      <c r="I102" s="23"/>
      <c r="J102" s="23"/>
      <c r="K102" s="21"/>
    </row>
    <row r="103" spans="3:11" ht="12.75">
      <c r="C103" s="21"/>
      <c r="D103" s="21"/>
      <c r="E103" s="18">
        <v>45022</v>
      </c>
      <c r="F103" s="33"/>
      <c r="G103" s="33">
        <v>-172743.44</v>
      </c>
      <c r="H103" s="21"/>
      <c r="I103" s="23"/>
      <c r="J103" s="23"/>
      <c r="K103" s="21"/>
    </row>
    <row r="104" spans="3:11" ht="12.75">
      <c r="C104" s="21"/>
      <c r="D104" s="21"/>
      <c r="E104" s="18">
        <v>45028</v>
      </c>
      <c r="F104" s="33"/>
      <c r="G104" s="33">
        <v>-52433.55</v>
      </c>
      <c r="H104" s="21"/>
      <c r="I104" s="23"/>
      <c r="J104" s="23"/>
      <c r="K104" s="21"/>
    </row>
    <row r="105" spans="3:11" ht="12.75">
      <c r="C105" s="21"/>
      <c r="D105" s="21"/>
      <c r="E105" s="18">
        <v>45047</v>
      </c>
      <c r="F105" s="33"/>
      <c r="G105" s="33">
        <v>-623456.56</v>
      </c>
      <c r="H105" s="21"/>
      <c r="I105" s="23"/>
      <c r="J105" s="23"/>
      <c r="K105" s="21"/>
    </row>
    <row r="106" spans="3:11" ht="12.75">
      <c r="C106" s="21"/>
      <c r="D106" s="21"/>
      <c r="E106" s="18">
        <v>45061</v>
      </c>
      <c r="F106" s="33"/>
      <c r="G106" s="33">
        <v>-188545.35</v>
      </c>
      <c r="H106" s="21"/>
      <c r="I106" s="23"/>
      <c r="J106" s="23"/>
      <c r="K106" s="21"/>
    </row>
    <row r="107" spans="3:11" ht="12.75">
      <c r="C107" s="21"/>
      <c r="D107" s="21"/>
      <c r="E107" s="18">
        <v>45182</v>
      </c>
      <c r="F107" s="33"/>
      <c r="G107" s="33">
        <v>-113127.18</v>
      </c>
      <c r="H107" s="21"/>
      <c r="I107" s="23"/>
      <c r="J107" s="23"/>
      <c r="K107" s="21"/>
    </row>
    <row r="108" spans="3:11" ht="12.75">
      <c r="C108" s="21"/>
      <c r="D108" s="21"/>
      <c r="E108" s="18">
        <v>45198</v>
      </c>
      <c r="F108" s="33"/>
      <c r="G108" s="33">
        <v>-65721.52</v>
      </c>
      <c r="H108" s="21"/>
      <c r="I108" s="23"/>
      <c r="J108" s="23"/>
      <c r="K108" s="21"/>
    </row>
    <row r="109" spans="3:11" ht="12.75">
      <c r="C109" s="21" t="s">
        <v>26</v>
      </c>
      <c r="D109" s="21"/>
      <c r="E109" s="18">
        <v>44939</v>
      </c>
      <c r="F109" s="33"/>
      <c r="G109" s="33">
        <v>101043.53</v>
      </c>
      <c r="H109" s="21"/>
      <c r="I109" s="23"/>
      <c r="J109" s="23"/>
      <c r="K109" s="21"/>
    </row>
    <row r="110" spans="3:11" ht="12.75">
      <c r="C110" s="21"/>
      <c r="D110" s="21"/>
      <c r="E110" s="18">
        <v>44966</v>
      </c>
      <c r="F110" s="33"/>
      <c r="G110" s="33">
        <v>105290.37</v>
      </c>
      <c r="H110" s="21"/>
      <c r="I110" s="23"/>
      <c r="J110" s="23"/>
      <c r="K110" s="21"/>
    </row>
    <row r="111" spans="3:11" ht="12.75">
      <c r="C111" s="21"/>
      <c r="D111" s="21"/>
      <c r="E111" s="18">
        <v>44995</v>
      </c>
      <c r="F111" s="33"/>
      <c r="G111" s="33">
        <v>150131.69</v>
      </c>
      <c r="H111" s="21"/>
      <c r="I111" s="23"/>
      <c r="J111" s="23"/>
      <c r="K111" s="21"/>
    </row>
    <row r="112" spans="3:11" ht="12.75">
      <c r="C112" s="21"/>
      <c r="D112" s="21"/>
      <c r="E112" s="18">
        <v>45027</v>
      </c>
      <c r="F112" s="33"/>
      <c r="G112" s="33">
        <v>206979.39</v>
      </c>
      <c r="H112" s="21"/>
      <c r="I112" s="23"/>
      <c r="J112" s="23"/>
      <c r="K112" s="21"/>
    </row>
    <row r="113" spans="3:11" ht="12.75">
      <c r="C113" s="21"/>
      <c r="D113" s="21"/>
      <c r="E113" s="18">
        <v>45055</v>
      </c>
      <c r="F113" s="33"/>
      <c r="G113" s="33">
        <v>130065.72</v>
      </c>
      <c r="H113" s="21"/>
      <c r="I113" s="23"/>
      <c r="J113" s="23"/>
      <c r="K113" s="21"/>
    </row>
    <row r="114" spans="3:11" ht="12.75">
      <c r="C114" s="21"/>
      <c r="D114" s="21"/>
      <c r="E114" s="18">
        <v>45090</v>
      </c>
      <c r="F114" s="33"/>
      <c r="G114" s="33">
        <v>4187884.91</v>
      </c>
      <c r="H114" s="21"/>
      <c r="I114" s="23"/>
      <c r="J114" s="23"/>
      <c r="K114" s="21"/>
    </row>
    <row r="115" spans="3:11" ht="12.75">
      <c r="C115" s="21"/>
      <c r="D115" s="21"/>
      <c r="E115" s="18">
        <v>45113</v>
      </c>
      <c r="F115" s="33"/>
      <c r="G115" s="33">
        <v>1532931.51</v>
      </c>
      <c r="H115" s="21"/>
      <c r="I115" s="23"/>
      <c r="J115" s="23"/>
      <c r="K115" s="21"/>
    </row>
    <row r="116" spans="3:11" ht="12.75">
      <c r="C116" s="21"/>
      <c r="D116" s="21"/>
      <c r="E116" s="18">
        <v>45141</v>
      </c>
      <c r="F116" s="33"/>
      <c r="G116" s="33">
        <v>126916.88</v>
      </c>
      <c r="H116" s="21"/>
      <c r="I116" s="23"/>
      <c r="J116" s="23"/>
      <c r="K116" s="21"/>
    </row>
    <row r="117" spans="3:11" ht="12.75">
      <c r="C117" s="21"/>
      <c r="D117" s="21"/>
      <c r="E117" s="18">
        <v>45177</v>
      </c>
      <c r="F117" s="33"/>
      <c r="G117" s="33">
        <v>205329.37</v>
      </c>
      <c r="H117" s="21"/>
      <c r="I117" s="23"/>
      <c r="J117" s="23"/>
      <c r="K117" s="21"/>
    </row>
    <row r="118" spans="3:11" ht="12.75">
      <c r="C118" s="21"/>
      <c r="D118" s="21"/>
      <c r="E118" s="18">
        <v>45189</v>
      </c>
      <c r="F118" s="33"/>
      <c r="G118" s="33">
        <v>859474.96</v>
      </c>
      <c r="H118" s="21"/>
      <c r="I118" s="23"/>
      <c r="J118" s="23"/>
      <c r="K118" s="21"/>
    </row>
    <row r="119" spans="3:11" ht="12.75">
      <c r="C119" s="21"/>
      <c r="D119" s="21"/>
      <c r="E119" s="18">
        <v>45197</v>
      </c>
      <c r="F119" s="33"/>
      <c r="G119" s="33">
        <v>191434.24</v>
      </c>
      <c r="H119" s="21"/>
      <c r="I119" s="23"/>
      <c r="J119" s="23"/>
      <c r="K119" s="21"/>
    </row>
    <row r="120" spans="3:9" ht="5.25" customHeight="1">
      <c r="C120" s="21"/>
      <c r="D120" s="21"/>
      <c r="E120" s="18"/>
      <c r="F120" s="21"/>
      <c r="G120" s="33"/>
      <c r="H120" s="21"/>
      <c r="I120" s="23"/>
    </row>
    <row r="121" spans="3:12" ht="12.75">
      <c r="C121" s="21" t="s">
        <v>1</v>
      </c>
      <c r="D121" s="21"/>
      <c r="E121" s="18">
        <f>+E8</f>
        <v>45199</v>
      </c>
      <c r="F121" s="21"/>
      <c r="G121" s="49">
        <f>L121*C22</f>
        <v>2.425468302356823E7</v>
      </c>
      <c r="H121" s="21"/>
      <c r="I121" s="18"/>
      <c r="L121" s="54">
        <v>8.86824278E8</v>
      </c>
    </row>
    <row r="122" spans="3:10" ht="12.75">
      <c r="C122" s="21"/>
      <c r="D122" s="21"/>
      <c r="E122" s="21"/>
      <c r="F122" s="21"/>
      <c r="G122" s="21"/>
      <c r="H122" s="21"/>
      <c r="J122" s="23"/>
    </row>
    <row r="123" spans="3:11" ht="12.75">
      <c r="C123" s="20" t="s">
        <v>0</v>
      </c>
      <c r="G123" s="47">
        <f>+XIRR(G24:G121,E24:E121,0.1)</f>
        <v>0.18223671317100523</v>
      </c>
      <c r="H123" s="21"/>
      <c r="J123" s="33">
        <f>+SUMIF($G$24:$G$120,"&lt;0",$G$24:$G$120)+G53+G70</f>
        <v>-2.2780704890000008E7</v>
      </c>
      <c r="K123" s="21" t="s">
        <v>11</v>
      </c>
    </row>
    <row r="124" spans="3:11" ht="12.75">
      <c r="C124" s="21"/>
      <c r="D124" s="21"/>
      <c r="E124" s="21"/>
      <c r="F124" s="21"/>
      <c r="G124" s="21"/>
      <c r="H124" s="21"/>
      <c r="J124" s="33">
        <f>+SUMIF($G$24:$G$120,"&gt;0",$G$24:$G$120)-G53-G70</f>
        <v>1.1031786850000001E7</v>
      </c>
      <c r="K124" s="21" t="s">
        <v>12</v>
      </c>
    </row>
    <row r="125" spans="3:8" ht="12.75">
      <c r="C125" s="21"/>
      <c r="D125" s="21"/>
      <c r="E125" s="21"/>
      <c r="F125" s="21"/>
      <c r="G125" s="23"/>
      <c r="H125" s="21"/>
    </row>
    <row r="126" spans="3:11" ht="12.75">
      <c r="C126" s="21"/>
      <c r="D126" s="21"/>
      <c r="E126" s="34"/>
      <c r="F126" s="21"/>
      <c r="G126" s="34"/>
      <c r="H126" s="21"/>
      <c r="K126" s="34"/>
    </row>
    <row r="127" spans="3:11" ht="12.75">
      <c r="C127" s="26"/>
      <c r="D127" s="26"/>
      <c r="E127" s="34"/>
      <c r="F127" s="26"/>
      <c r="G127" s="34"/>
      <c r="H127" s="21"/>
      <c r="K127" s="34"/>
    </row>
    <row r="128" spans="3:11" ht="12.75">
      <c r="C128" s="26"/>
      <c r="D128" s="26"/>
      <c r="E128" s="34"/>
      <c r="F128" s="26"/>
      <c r="G128" s="34"/>
      <c r="H128" s="21"/>
      <c r="K128" s="34"/>
    </row>
    <row r="129" spans="3:11" ht="12.75">
      <c r="C129" s="26"/>
      <c r="D129" s="51"/>
      <c r="E129" s="51"/>
      <c r="F129" s="51"/>
      <c r="G129" s="51"/>
      <c r="H129" s="20"/>
      <c r="K129" s="34"/>
    </row>
    <row r="130" spans="3:11" ht="12.75">
      <c r="C130" s="26"/>
      <c r="D130" s="26"/>
      <c r="E130" s="34"/>
      <c r="F130" s="34"/>
      <c r="G130" s="34"/>
      <c r="H130" s="20"/>
      <c r="K130" s="34"/>
    </row>
    <row r="131" spans="3:11" ht="12.75">
      <c r="C131" s="26"/>
      <c r="D131" s="26"/>
      <c r="E131" s="26"/>
      <c r="F131" s="26"/>
      <c r="G131" s="26"/>
      <c r="H131" s="20"/>
      <c r="K131" s="53"/>
    </row>
    <row r="132" spans="3:8" ht="12.75">
      <c r="C132" s="114"/>
      <c r="D132" s="114"/>
      <c r="E132" s="115"/>
      <c r="F132" s="71"/>
      <c r="G132" s="45"/>
      <c r="H132" s="20"/>
    </row>
    <row r="133" spans="3:11" ht="12.75">
      <c r="C133" s="114"/>
      <c r="D133" s="114"/>
      <c r="E133" s="46"/>
      <c r="F133" s="71"/>
      <c r="G133" s="46"/>
      <c r="H133" s="20"/>
      <c r="K133" s="53"/>
    </row>
    <row r="134" spans="3:8" ht="12.75">
      <c r="C134" s="114"/>
      <c r="D134" s="114"/>
      <c r="E134" s="46"/>
      <c r="F134" s="71"/>
      <c r="G134" s="46"/>
      <c r="H134" s="20"/>
    </row>
    <row r="135" spans="3:8" ht="12.75">
      <c r="C135" s="116"/>
      <c r="D135" s="114"/>
      <c r="E135" s="46"/>
      <c r="F135" s="71"/>
      <c r="G135" s="46"/>
      <c r="H135" s="20"/>
    </row>
    <row r="136" spans="3:8" ht="12.75">
      <c r="C136" s="116"/>
      <c r="D136" s="114"/>
      <c r="E136" s="46"/>
      <c r="F136" s="71"/>
      <c r="G136" s="46"/>
      <c r="H136" s="20"/>
    </row>
    <row r="137" spans="3:8" ht="12.75">
      <c r="C137" s="117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12.75">
      <c r="C141" s="114"/>
      <c r="D141" s="114"/>
      <c r="E141" s="46"/>
      <c r="F141" s="71"/>
      <c r="G141" s="46"/>
      <c r="H141" s="20"/>
    </row>
    <row r="142" spans="3:8" ht="12.75">
      <c r="C142" s="114"/>
      <c r="D142" s="114"/>
      <c r="E142" s="46"/>
      <c r="F142" s="71"/>
      <c r="G142" s="46"/>
      <c r="H142" s="20"/>
    </row>
    <row r="143" spans="3:8" ht="12.75">
      <c r="C143" s="114"/>
      <c r="D143" s="114"/>
      <c r="E143" s="46"/>
      <c r="F143" s="71"/>
      <c r="G143" s="46"/>
      <c r="H143" s="20"/>
    </row>
    <row r="144" spans="3:8" ht="5.1" customHeight="1">
      <c r="C144" s="20"/>
      <c r="D144" s="20"/>
      <c r="E144" s="72"/>
      <c r="F144" s="37"/>
      <c r="G144" s="72"/>
      <c r="H144" s="20"/>
    </row>
    <row r="145" spans="3:8" ht="12.75">
      <c r="C145" s="20"/>
      <c r="D145" s="20"/>
      <c r="E145" s="73"/>
      <c r="F145" s="43"/>
      <c r="G145" s="73"/>
      <c r="H145" s="20"/>
    </row>
    <row r="146" spans="3:8" ht="12.75">
      <c r="C146" s="21"/>
      <c r="D146" s="21"/>
      <c r="E146" s="74"/>
      <c r="F146" s="75"/>
      <c r="G146" s="74"/>
      <c r="H146" s="21"/>
    </row>
    <row r="147" spans="3:8" ht="12.75">
      <c r="C147" s="21"/>
      <c r="D147" s="21"/>
      <c r="E147" s="74"/>
      <c r="F147" s="75"/>
      <c r="G147" s="74"/>
      <c r="H147" s="21"/>
    </row>
    <row r="148" spans="3:8" ht="12.75">
      <c r="C148" s="21"/>
      <c r="D148" s="21"/>
      <c r="E148" s="74"/>
      <c r="F148" s="75"/>
      <c r="G148" s="74"/>
      <c r="H148" s="21"/>
    </row>
    <row r="149" spans="3:8" ht="12.75">
      <c r="C149" s="21"/>
      <c r="D149" s="21"/>
      <c r="E149" s="76"/>
      <c r="F149" s="76"/>
      <c r="G149" s="76"/>
      <c r="H149" s="21"/>
    </row>
    <row r="150" spans="3:8" ht="12.75">
      <c r="C150" s="21"/>
      <c r="D150" s="21"/>
      <c r="E150" s="21"/>
      <c r="F150" s="21"/>
      <c r="G150" s="21"/>
      <c r="H150" s="21"/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1"/>
      <c r="D152" s="21"/>
      <c r="E152" s="21"/>
      <c r="F152" s="21"/>
      <c r="G152" s="21"/>
      <c r="H152" s="21"/>
    </row>
    <row r="153" spans="3:8" ht="12.75">
      <c r="C153" s="21"/>
      <c r="D153" s="21"/>
      <c r="E153" s="21"/>
      <c r="F153" s="21"/>
      <c r="G153" s="21"/>
      <c r="H153" s="21"/>
    </row>
    <row r="154" spans="3:8" ht="12.75">
      <c r="C154" s="21"/>
      <c r="D154" s="21"/>
      <c r="E154" s="21"/>
      <c r="F154" s="21"/>
      <c r="G154" s="21"/>
      <c r="H154" s="21"/>
    </row>
    <row r="155" spans="3:8" ht="12.75">
      <c r="C155" s="21"/>
      <c r="D155" s="21"/>
      <c r="E155" s="21"/>
      <c r="F155" s="21"/>
      <c r="G155" s="21"/>
      <c r="H155" s="21"/>
    </row>
    <row r="156" spans="3:8" ht="12.75">
      <c r="C156" s="21"/>
      <c r="D156" s="21"/>
      <c r="E156" s="21"/>
      <c r="F156" s="21"/>
      <c r="G156" s="21"/>
      <c r="H156" s="21"/>
    </row>
    <row r="157" spans="3:8" ht="12.75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</sheetData>
  <mergeCells count="1">
    <mergeCell ref="D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43CD4A-E0E8-441B-BB01-ED1DFB012DD3}">
  <sheetPr>
    <pageSetUpPr fitToPage="1"/>
  </sheetPr>
  <dimension ref="B4:L15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f>'Fund XI'!E8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0.210218495130539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-(G121+J124)/J123</f>
        <v>1.6603990956377273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50"/>
    </row>
    <row r="22" spans="3:12" ht="12.75">
      <c r="C22" s="28">
        <v>0.012144909</v>
      </c>
      <c r="D22" s="21"/>
      <c r="E22" s="21"/>
      <c r="F22" s="21"/>
      <c r="G22" s="27"/>
      <c r="H22" s="21"/>
      <c r="I22" s="21"/>
      <c r="J22" s="111"/>
      <c r="K22" s="112"/>
      <c r="L22" s="54"/>
    </row>
    <row r="23" spans="3:12" ht="12.75">
      <c r="C23" s="21"/>
      <c r="D23" s="21"/>
      <c r="E23" s="18"/>
      <c r="F23" s="33"/>
      <c r="G23" s="33"/>
      <c r="H23" s="21"/>
      <c r="I23" s="23"/>
      <c r="J23" s="111"/>
      <c r="K23" s="112"/>
      <c r="L23" s="54"/>
    </row>
    <row r="24" spans="3:12" ht="12.75">
      <c r="C24" s="21" t="s">
        <v>15</v>
      </c>
      <c r="D24" s="21"/>
      <c r="E24" s="18">
        <v>42933</v>
      </c>
      <c r="F24" s="33"/>
      <c r="G24" s="33">
        <v>-118300</v>
      </c>
      <c r="H24" s="21"/>
      <c r="I24" s="23"/>
      <c r="J24" s="111"/>
      <c r="K24" s="112"/>
      <c r="L24" s="54"/>
    </row>
    <row r="25" spans="3:12" ht="12.75">
      <c r="C25" s="21"/>
      <c r="D25" s="21"/>
      <c r="E25" s="18">
        <v>43010</v>
      </c>
      <c r="F25" s="33"/>
      <c r="G25" s="33">
        <v>-28700</v>
      </c>
      <c r="H25" s="21"/>
      <c r="I25" s="23"/>
      <c r="J25" s="111"/>
      <c r="K25" s="112"/>
      <c r="L25" s="54"/>
    </row>
    <row r="26" spans="3:12" ht="12.75">
      <c r="C26" s="21"/>
      <c r="D26" s="21"/>
      <c r="E26" s="18">
        <v>43052</v>
      </c>
      <c r="F26" s="33"/>
      <c r="G26" s="33">
        <v>-12600</v>
      </c>
      <c r="H26" s="21"/>
      <c r="I26" s="23"/>
      <c r="J26" s="111"/>
      <c r="K26" s="112"/>
      <c r="L26" s="113"/>
    </row>
    <row r="27" spans="3:12" ht="12.75">
      <c r="C27" s="21"/>
      <c r="D27" s="21"/>
      <c r="E27" s="18">
        <v>43087</v>
      </c>
      <c r="F27" s="33"/>
      <c r="G27" s="33">
        <v>-55425.40</v>
      </c>
      <c r="H27" s="21"/>
      <c r="I27" s="23"/>
      <c r="J27" s="111"/>
      <c r="K27" s="113"/>
      <c r="L27" s="113"/>
    </row>
    <row r="28" spans="3:12" ht="12.75">
      <c r="C28" s="21"/>
      <c r="D28" s="21"/>
      <c r="E28" s="18">
        <v>43096</v>
      </c>
      <c r="F28" s="33"/>
      <c r="G28" s="33">
        <v>-33988.44</v>
      </c>
      <c r="H28" s="21"/>
      <c r="I28" s="23"/>
      <c r="J28" s="111"/>
      <c r="K28" s="112"/>
      <c r="L28" s="113"/>
    </row>
    <row r="29" spans="3:11" ht="12.75">
      <c r="C29" s="21" t="s">
        <v>17</v>
      </c>
      <c r="D29" s="21"/>
      <c r="E29" s="18">
        <v>43182</v>
      </c>
      <c r="F29" s="33"/>
      <c r="G29" s="33">
        <v>-245863.11</v>
      </c>
      <c r="H29" s="21"/>
      <c r="I29" s="23"/>
      <c r="J29" s="23"/>
      <c r="K29" s="21"/>
    </row>
    <row r="30" spans="3:11" ht="12.75">
      <c r="C30" s="21"/>
      <c r="D30" s="21"/>
      <c r="E30" s="18">
        <v>43276</v>
      </c>
      <c r="F30" s="33"/>
      <c r="G30" s="33">
        <v>-87283.92</v>
      </c>
      <c r="H30" s="21"/>
      <c r="I30" s="23"/>
      <c r="J30" s="23"/>
      <c r="K30" s="21"/>
    </row>
    <row r="31" spans="3:11" ht="12.75">
      <c r="C31" s="21"/>
      <c r="D31" s="21"/>
      <c r="E31" s="18">
        <v>43363</v>
      </c>
      <c r="F31" s="33"/>
      <c r="G31" s="33">
        <v>-65060.71</v>
      </c>
      <c r="H31" s="21"/>
      <c r="I31" s="23"/>
      <c r="J31" s="23"/>
      <c r="K31" s="21"/>
    </row>
    <row r="32" spans="3:11" ht="12.75">
      <c r="C32" s="21"/>
      <c r="D32" s="21"/>
      <c r="E32" s="18">
        <v>43398</v>
      </c>
      <c r="F32" s="33"/>
      <c r="G32" s="33">
        <v>-57016.11</v>
      </c>
      <c r="H32" s="21"/>
      <c r="I32" s="23"/>
      <c r="J32" s="23"/>
      <c r="K32" s="21"/>
    </row>
    <row r="33" spans="3:11" ht="12.75">
      <c r="C33" s="21"/>
      <c r="D33" s="21"/>
      <c r="E33" s="18">
        <v>43433</v>
      </c>
      <c r="F33" s="33"/>
      <c r="G33" s="33">
        <v>-46256.45</v>
      </c>
      <c r="H33" s="21"/>
      <c r="I33" s="23"/>
      <c r="J33" s="23"/>
      <c r="K33" s="21"/>
    </row>
    <row r="34" spans="3:11" ht="12.75">
      <c r="C34" s="21" t="s">
        <v>19</v>
      </c>
      <c r="D34" s="21"/>
      <c r="E34" s="18">
        <v>43468</v>
      </c>
      <c r="F34" s="33"/>
      <c r="G34" s="33">
        <v>-78535.4</v>
      </c>
      <c r="H34" s="21"/>
      <c r="I34" s="23"/>
      <c r="J34" s="23"/>
      <c r="K34" s="21"/>
    </row>
    <row r="35" spans="3:11" ht="12.75">
      <c r="C35" s="21"/>
      <c r="D35" s="21"/>
      <c r="E35" s="18">
        <v>43495</v>
      </c>
      <c r="F35" s="33"/>
      <c r="G35" s="33">
        <v>-129417.52</v>
      </c>
      <c r="H35" s="21"/>
      <c r="I35" s="23"/>
      <c r="J35" s="23"/>
      <c r="K35" s="21"/>
    </row>
    <row r="36" spans="3:11" ht="12.75">
      <c r="C36" s="21"/>
      <c r="D36" s="21"/>
      <c r="E36" s="18">
        <v>43510</v>
      </c>
      <c r="F36" s="33"/>
      <c r="G36" s="33">
        <v>-51988.23</v>
      </c>
      <c r="H36" s="21"/>
      <c r="I36" s="23"/>
      <c r="J36" s="23"/>
      <c r="K36" s="21"/>
    </row>
    <row r="37" spans="3:11" ht="12.75">
      <c r="C37" s="21"/>
      <c r="D37" s="21"/>
      <c r="E37" s="18">
        <v>43559</v>
      </c>
      <c r="F37" s="33"/>
      <c r="G37" s="33">
        <v>-72099.73</v>
      </c>
      <c r="H37" s="21"/>
      <c r="I37" s="23"/>
      <c r="J37" s="23"/>
      <c r="K37" s="21"/>
    </row>
    <row r="38" spans="3:11" ht="12.75">
      <c r="C38" s="21"/>
      <c r="D38" s="21"/>
      <c r="E38" s="18">
        <v>43593</v>
      </c>
      <c r="F38" s="33"/>
      <c r="G38" s="33">
        <v>-71898.61</v>
      </c>
      <c r="H38" s="21"/>
      <c r="I38" s="23"/>
      <c r="J38" s="23"/>
      <c r="K38" s="21"/>
    </row>
    <row r="39" spans="3:11" ht="12.75">
      <c r="C39" s="21"/>
      <c r="D39" s="21"/>
      <c r="E39" s="18">
        <v>43642</v>
      </c>
      <c r="F39" s="33"/>
      <c r="G39" s="33">
        <v>-114836.68</v>
      </c>
      <c r="H39" s="21"/>
      <c r="I39" s="23"/>
      <c r="J39" s="23"/>
      <c r="K39" s="21"/>
    </row>
    <row r="40" spans="3:11" ht="12.75">
      <c r="C40" s="21"/>
      <c r="D40" s="21"/>
      <c r="E40" s="18">
        <v>43656</v>
      </c>
      <c r="F40" s="33"/>
      <c r="G40" s="33">
        <v>-85272.77</v>
      </c>
      <c r="H40" s="21"/>
      <c r="I40" s="23"/>
      <c r="J40" s="23"/>
      <c r="K40" s="21"/>
    </row>
    <row r="41" spans="3:11" ht="12.75">
      <c r="C41" s="21"/>
      <c r="D41" s="21"/>
      <c r="E41" s="18">
        <v>43684</v>
      </c>
      <c r="F41" s="33"/>
      <c r="G41" s="33">
        <v>-74412.54</v>
      </c>
      <c r="H41" s="21"/>
      <c r="I41" s="23"/>
      <c r="J41" s="23"/>
      <c r="K41" s="21"/>
    </row>
    <row r="42" spans="3:11" ht="12.75">
      <c r="C42" s="21"/>
      <c r="D42" s="21"/>
      <c r="E42" s="18">
        <v>43768</v>
      </c>
      <c r="F42" s="33"/>
      <c r="G42" s="33">
        <v>-73608.09</v>
      </c>
      <c r="H42" s="21"/>
      <c r="I42" s="23"/>
      <c r="J42" s="23"/>
      <c r="K42" s="21"/>
    </row>
    <row r="43" spans="3:11" ht="12.75">
      <c r="C43" s="21"/>
      <c r="D43" s="21"/>
      <c r="E43" s="18">
        <v>43817</v>
      </c>
      <c r="F43" s="33"/>
      <c r="G43" s="33">
        <v>-565937.67</v>
      </c>
      <c r="H43" s="21"/>
      <c r="I43" s="23"/>
      <c r="J43" s="23"/>
      <c r="K43" s="21"/>
    </row>
    <row r="44" spans="3:11" ht="12.75">
      <c r="C44" s="21" t="s">
        <v>21</v>
      </c>
      <c r="D44" s="21"/>
      <c r="E44" s="18">
        <v>44006</v>
      </c>
      <c r="F44" s="33"/>
      <c r="G44" s="33">
        <v>-41932.49</v>
      </c>
      <c r="H44" s="21"/>
      <c r="I44" s="23"/>
      <c r="J44" s="23"/>
      <c r="K44" s="21"/>
    </row>
    <row r="45" spans="3:11" ht="12.75">
      <c r="C45" s="21"/>
      <c r="D45" s="21"/>
      <c r="E45" s="18">
        <v>44026</v>
      </c>
      <c r="F45" s="33"/>
      <c r="G45" s="33">
        <v>-103674.79</v>
      </c>
      <c r="H45" s="21"/>
      <c r="I45" s="23"/>
      <c r="J45" s="23"/>
      <c r="K45" s="21"/>
    </row>
    <row r="46" spans="3:11" ht="12.75">
      <c r="C46" s="21"/>
      <c r="D46" s="21"/>
      <c r="E46" s="18">
        <v>44105</v>
      </c>
      <c r="F46" s="33"/>
      <c r="G46" s="33">
        <v>-35597.36</v>
      </c>
      <c r="H46" s="21"/>
      <c r="I46" s="23"/>
      <c r="J46" s="23"/>
      <c r="K46" s="21"/>
    </row>
    <row r="47" spans="3:11" ht="12.75">
      <c r="C47" s="21"/>
      <c r="D47" s="21"/>
      <c r="E47" s="18">
        <v>44182</v>
      </c>
      <c r="F47" s="33"/>
      <c r="G47" s="33">
        <v>-144300.02</v>
      </c>
      <c r="H47" s="21"/>
      <c r="I47" s="23"/>
      <c r="J47" s="23"/>
      <c r="K47" s="21"/>
    </row>
    <row r="48" spans="3:11" ht="12.75">
      <c r="C48" s="21"/>
      <c r="D48" s="21"/>
      <c r="E48" s="18">
        <v>44188</v>
      </c>
      <c r="F48" s="33"/>
      <c r="G48" s="33">
        <v>-33586.21</v>
      </c>
      <c r="H48" s="21"/>
      <c r="I48" s="23"/>
      <c r="J48" s="23"/>
      <c r="K48" s="21"/>
    </row>
    <row r="49" spans="3:11" ht="12.75">
      <c r="C49" s="21" t="s">
        <v>24</v>
      </c>
      <c r="D49" s="21"/>
      <c r="E49" s="18">
        <v>44246</v>
      </c>
      <c r="F49" s="33"/>
      <c r="G49" s="33">
        <v>-30971.71</v>
      </c>
      <c r="H49" s="21"/>
      <c r="I49" s="23"/>
      <c r="J49" s="23"/>
      <c r="K49" s="21"/>
    </row>
    <row r="50" spans="3:11" ht="12.75">
      <c r="C50" s="21"/>
      <c r="D50" s="21"/>
      <c r="E50" s="18">
        <v>44250</v>
      </c>
      <c r="F50" s="33"/>
      <c r="G50" s="33">
        <v>-32681.18</v>
      </c>
      <c r="H50" s="21"/>
      <c r="I50" s="23"/>
      <c r="J50" s="23"/>
      <c r="K50" s="21"/>
    </row>
    <row r="51" spans="3:11" ht="12.75">
      <c r="C51" s="21"/>
      <c r="D51" s="21"/>
      <c r="E51" s="18">
        <v>44274</v>
      </c>
      <c r="F51" s="33"/>
      <c r="G51" s="33">
        <v>-51485.45</v>
      </c>
      <c r="H51" s="21"/>
      <c r="I51" s="23"/>
      <c r="J51" s="23"/>
      <c r="K51" s="21"/>
    </row>
    <row r="52" spans="3:11" ht="12.75">
      <c r="C52" s="21"/>
      <c r="D52" s="21"/>
      <c r="E52" s="18">
        <v>44305</v>
      </c>
      <c r="F52" s="33"/>
      <c r="G52" s="33">
        <v>-573580.03</v>
      </c>
      <c r="H52" s="21"/>
      <c r="I52" s="23"/>
      <c r="J52" s="23"/>
      <c r="K52" s="21"/>
    </row>
    <row r="53" spans="3:11" ht="12.75">
      <c r="C53" s="21"/>
      <c r="D53" s="21"/>
      <c r="E53" s="18">
        <v>44362</v>
      </c>
      <c r="F53" s="33"/>
      <c r="G53" s="33">
        <v>89998.97</v>
      </c>
      <c r="H53" s="21"/>
      <c r="I53" s="23"/>
      <c r="J53" s="23"/>
      <c r="K53" s="21"/>
    </row>
    <row r="54" spans="3:11" ht="12.75">
      <c r="C54" s="21"/>
      <c r="D54" s="21"/>
      <c r="E54" s="18">
        <v>44400</v>
      </c>
      <c r="F54" s="33"/>
      <c r="G54" s="33">
        <v>-70390.26</v>
      </c>
      <c r="H54" s="21"/>
      <c r="I54" s="23"/>
      <c r="J54" s="23"/>
      <c r="K54" s="21"/>
    </row>
    <row r="55" spans="3:11" ht="12.75">
      <c r="C55" s="21"/>
      <c r="D55" s="21"/>
      <c r="E55" s="18">
        <v>44407</v>
      </c>
      <c r="F55" s="33"/>
      <c r="G55" s="33">
        <v>-75418.13</v>
      </c>
      <c r="H55" s="21"/>
      <c r="I55" s="23"/>
      <c r="J55" s="23"/>
      <c r="K55" s="21"/>
    </row>
    <row r="56" spans="3:11" ht="12.75">
      <c r="C56" s="21"/>
      <c r="D56" s="21"/>
      <c r="E56" s="18">
        <v>44440</v>
      </c>
      <c r="F56" s="33"/>
      <c r="G56" s="33">
        <v>-35999.59</v>
      </c>
      <c r="H56" s="21"/>
      <c r="I56" s="23"/>
      <c r="J56" s="23"/>
      <c r="K56" s="21"/>
    </row>
    <row r="57" spans="3:11" ht="12.75">
      <c r="C57" s="21"/>
      <c r="D57" s="21"/>
      <c r="E57" s="18">
        <v>44453</v>
      </c>
      <c r="F57" s="33"/>
      <c r="G57" s="33">
        <v>-59429.49</v>
      </c>
      <c r="H57" s="21"/>
      <c r="I57" s="23"/>
      <c r="J57" s="23"/>
      <c r="K57" s="21"/>
    </row>
    <row r="58" spans="3:11" ht="12.75">
      <c r="C58" s="21"/>
      <c r="D58" s="21"/>
      <c r="E58" s="18">
        <v>44473</v>
      </c>
      <c r="F58" s="33"/>
      <c r="G58" s="33">
        <v>-37910.19</v>
      </c>
      <c r="H58" s="21"/>
      <c r="I58" s="23"/>
      <c r="J58" s="23"/>
      <c r="K58" s="21"/>
    </row>
    <row r="59" spans="3:11" ht="12.75">
      <c r="C59" s="21"/>
      <c r="D59" s="21"/>
      <c r="E59" s="18">
        <v>44496</v>
      </c>
      <c r="F59" s="33"/>
      <c r="G59" s="33">
        <v>-43239.73</v>
      </c>
      <c r="H59" s="21"/>
      <c r="I59" s="23"/>
      <c r="J59" s="23"/>
      <c r="K59" s="21"/>
    </row>
    <row r="60" spans="3:11" ht="12.75">
      <c r="C60" s="21"/>
      <c r="D60" s="21"/>
      <c r="E60" s="18">
        <v>44537</v>
      </c>
      <c r="F60" s="33"/>
      <c r="G60" s="33">
        <v>-171249.44</v>
      </c>
      <c r="H60" s="21"/>
      <c r="I60" s="23"/>
      <c r="J60" s="23"/>
      <c r="K60" s="21"/>
    </row>
    <row r="61" spans="3:11" ht="12.75">
      <c r="C61" s="21"/>
      <c r="D61" s="21"/>
      <c r="E61" s="18">
        <v>44550</v>
      </c>
      <c r="F61" s="33"/>
      <c r="G61" s="33">
        <v>-405749.55</v>
      </c>
      <c r="H61" s="21"/>
      <c r="I61" s="23"/>
      <c r="J61" s="23"/>
      <c r="K61" s="21"/>
    </row>
    <row r="62" spans="3:11" ht="12.75">
      <c r="C62" s="21" t="s">
        <v>23</v>
      </c>
      <c r="D62" s="21"/>
      <c r="E62" s="18">
        <v>44396</v>
      </c>
      <c r="F62" s="33"/>
      <c r="G62" s="33">
        <v>14478.55</v>
      </c>
      <c r="H62" s="21"/>
      <c r="I62" s="23"/>
      <c r="J62" s="23"/>
      <c r="K62" s="21"/>
    </row>
    <row r="63" spans="3:11" ht="12.75">
      <c r="C63" s="21"/>
      <c r="D63" s="21"/>
      <c r="E63" s="18">
        <v>44476</v>
      </c>
      <c r="F63" s="33"/>
      <c r="G63" s="33">
        <v>17147.06</v>
      </c>
      <c r="H63" s="21"/>
      <c r="I63" s="23"/>
      <c r="J63" s="23"/>
      <c r="K63" s="21"/>
    </row>
    <row r="64" spans="3:11" ht="12.75">
      <c r="C64" s="21"/>
      <c r="D64" s="21"/>
      <c r="E64" s="18">
        <v>44512</v>
      </c>
      <c r="F64" s="33"/>
      <c r="G64" s="33">
        <v>55569.08</v>
      </c>
      <c r="H64" s="21"/>
      <c r="I64" s="23"/>
      <c r="J64" s="23"/>
      <c r="K64" s="21"/>
    </row>
    <row r="65" spans="3:11" ht="12.75">
      <c r="C65" s="21" t="s">
        <v>27</v>
      </c>
      <c r="D65" s="21"/>
      <c r="E65" s="18">
        <v>44565</v>
      </c>
      <c r="F65" s="33"/>
      <c r="G65" s="33">
        <v>-20010.94</v>
      </c>
      <c r="H65" s="21"/>
      <c r="I65" s="23"/>
      <c r="J65" s="23"/>
      <c r="K65" s="21"/>
    </row>
    <row r="66" spans="3:11" ht="12.75">
      <c r="C66" s="21"/>
      <c r="D66" s="21"/>
      <c r="E66" s="18">
        <v>44602</v>
      </c>
      <c r="F66" s="33"/>
      <c r="G66" s="33">
        <v>-61842.87</v>
      </c>
      <c r="H66" s="21"/>
      <c r="I66" s="23"/>
      <c r="J66" s="23"/>
      <c r="K66" s="21"/>
    </row>
    <row r="67" spans="3:11" ht="12.75">
      <c r="C67" s="21"/>
      <c r="D67" s="21"/>
      <c r="E67" s="18">
        <v>44628</v>
      </c>
      <c r="F67" s="33"/>
      <c r="G67" s="33">
        <v>-46055.35</v>
      </c>
      <c r="H67" s="21"/>
      <c r="I67" s="23"/>
      <c r="J67" s="23"/>
      <c r="K67" s="21"/>
    </row>
    <row r="68" spans="3:11" ht="12.75">
      <c r="C68" s="21"/>
      <c r="D68" s="21"/>
      <c r="E68" s="18">
        <v>44641</v>
      </c>
      <c r="F68" s="33"/>
      <c r="G68" s="33">
        <v>-301672.53</v>
      </c>
      <c r="H68" s="21"/>
      <c r="I68" s="23"/>
      <c r="J68" s="23"/>
      <c r="K68" s="21"/>
    </row>
    <row r="69" spans="3:11" ht="12.75">
      <c r="C69" s="21"/>
      <c r="D69" s="21"/>
      <c r="E69" s="18">
        <v>44645</v>
      </c>
      <c r="F69" s="33"/>
      <c r="G69" s="33">
        <v>-651310.98</v>
      </c>
      <c r="H69" s="21"/>
      <c r="I69" s="23"/>
      <c r="J69" s="23"/>
      <c r="K69" s="21"/>
    </row>
    <row r="70" spans="3:11" ht="12.75">
      <c r="C70" s="21"/>
      <c r="D70" s="21"/>
      <c r="E70" s="18">
        <v>44670</v>
      </c>
      <c r="F70" s="33"/>
      <c r="G70" s="33">
        <v>271806.95</v>
      </c>
      <c r="H70" s="21"/>
      <c r="I70" s="23"/>
      <c r="J70" s="23"/>
      <c r="K70" s="21"/>
    </row>
    <row r="71" spans="3:11" ht="12.75">
      <c r="C71" s="21"/>
      <c r="D71" s="21"/>
      <c r="E71" s="18">
        <v>44694</v>
      </c>
      <c r="F71" s="33"/>
      <c r="G71" s="33">
        <v>-13776.38</v>
      </c>
      <c r="H71" s="21"/>
      <c r="I71" s="23"/>
      <c r="J71" s="23"/>
      <c r="K71" s="21"/>
    </row>
    <row r="72" spans="3:11" ht="12.75">
      <c r="C72" s="21"/>
      <c r="D72" s="21"/>
      <c r="E72" s="18">
        <v>44701</v>
      </c>
      <c r="F72" s="33"/>
      <c r="G72" s="33">
        <v>-35094.57</v>
      </c>
      <c r="H72" s="21"/>
      <c r="I72" s="23"/>
      <c r="J72" s="23"/>
      <c r="K72" s="21"/>
    </row>
    <row r="73" spans="3:11" ht="12.75">
      <c r="C73" s="21"/>
      <c r="D73" s="21"/>
      <c r="E73" s="18">
        <v>44727</v>
      </c>
      <c r="F73" s="33"/>
      <c r="G73" s="33">
        <v>-112724.96</v>
      </c>
      <c r="H73" s="21"/>
      <c r="I73" s="23"/>
      <c r="J73" s="23"/>
      <c r="K73" s="21"/>
    </row>
    <row r="74" spans="3:11" ht="12.75">
      <c r="C74" s="21"/>
      <c r="D74" s="21"/>
      <c r="E74" s="18">
        <v>44750</v>
      </c>
      <c r="F74" s="33"/>
      <c r="G74" s="33">
        <v>-109607.68</v>
      </c>
      <c r="H74" s="21"/>
      <c r="I74" s="23"/>
      <c r="J74" s="23"/>
      <c r="K74" s="21"/>
    </row>
    <row r="75" spans="3:11" ht="12.75">
      <c r="C75" s="21"/>
      <c r="D75" s="21"/>
      <c r="E75" s="18">
        <v>44764</v>
      </c>
      <c r="F75" s="33"/>
      <c r="G75" s="33">
        <v>-15888.08</v>
      </c>
      <c r="H75" s="21"/>
      <c r="I75" s="23"/>
      <c r="J75" s="23"/>
      <c r="K75" s="21"/>
    </row>
    <row r="76" spans="3:11" ht="12.75">
      <c r="C76" s="21"/>
      <c r="D76" s="21"/>
      <c r="E76" s="18">
        <v>44790</v>
      </c>
      <c r="F76" s="33"/>
      <c r="G76" s="33">
        <v>-18703.69</v>
      </c>
      <c r="H76" s="21"/>
      <c r="I76" s="23"/>
      <c r="J76" s="23"/>
      <c r="K76" s="21"/>
    </row>
    <row r="77" spans="3:11" ht="12.75">
      <c r="C77" s="21"/>
      <c r="D77" s="21"/>
      <c r="E77" s="18">
        <v>44797</v>
      </c>
      <c r="F77" s="33"/>
      <c r="G77" s="33">
        <v>-54200.49</v>
      </c>
      <c r="H77" s="21"/>
      <c r="I77" s="23"/>
      <c r="J77" s="23"/>
      <c r="K77" s="21"/>
    </row>
    <row r="78" spans="3:11" ht="12.75">
      <c r="C78" s="21"/>
      <c r="D78" s="21"/>
      <c r="E78" s="18">
        <v>44806</v>
      </c>
      <c r="F78" s="33"/>
      <c r="G78" s="33">
        <v>-48066.50</v>
      </c>
      <c r="H78" s="21"/>
      <c r="I78" s="23"/>
      <c r="J78" s="23"/>
      <c r="K78" s="21"/>
    </row>
    <row r="79" spans="3:11" ht="12.75">
      <c r="C79" s="21"/>
      <c r="D79" s="21"/>
      <c r="E79" s="18">
        <v>44818</v>
      </c>
      <c r="F79" s="33"/>
      <c r="G79" s="33">
        <v>-138869.93</v>
      </c>
      <c r="H79" s="21"/>
      <c r="I79" s="23"/>
      <c r="J79" s="23"/>
      <c r="K79" s="21"/>
    </row>
    <row r="80" spans="3:11" ht="12.75">
      <c r="C80" s="21"/>
      <c r="D80" s="21"/>
      <c r="E80" s="18">
        <v>44833</v>
      </c>
      <c r="F80" s="33"/>
      <c r="G80" s="33">
        <v>-49273.18</v>
      </c>
      <c r="H80" s="21"/>
      <c r="I80" s="23"/>
      <c r="J80" s="23"/>
      <c r="K80" s="21"/>
    </row>
    <row r="81" spans="3:11" ht="12.75">
      <c r="C81" s="21"/>
      <c r="D81" s="21"/>
      <c r="E81" s="18">
        <v>44838</v>
      </c>
      <c r="F81" s="33"/>
      <c r="G81" s="33">
        <v>-106590.96</v>
      </c>
      <c r="H81" s="21"/>
      <c r="I81" s="23"/>
      <c r="J81" s="23"/>
      <c r="K81" s="21"/>
    </row>
    <row r="82" spans="3:11" ht="12.75">
      <c r="C82" s="21"/>
      <c r="D82" s="21"/>
      <c r="E82" s="18">
        <v>44847</v>
      </c>
      <c r="F82" s="33"/>
      <c r="G82" s="33">
        <v>-60837.30</v>
      </c>
      <c r="H82" s="21"/>
      <c r="I82" s="23"/>
      <c r="J82" s="23"/>
      <c r="K82" s="21"/>
    </row>
    <row r="83" spans="3:11" ht="12.75">
      <c r="C83" s="21"/>
      <c r="D83" s="21"/>
      <c r="E83" s="18">
        <v>44858</v>
      </c>
      <c r="F83" s="33"/>
      <c r="G83" s="33">
        <v>-31675.62</v>
      </c>
      <c r="H83" s="21"/>
      <c r="I83" s="23"/>
      <c r="J83" s="23"/>
      <c r="K83" s="21"/>
    </row>
    <row r="84" spans="3:11" ht="12.75">
      <c r="C84" s="21"/>
      <c r="D84" s="21"/>
      <c r="E84" s="18">
        <v>44866</v>
      </c>
      <c r="F84" s="33"/>
      <c r="G84" s="33">
        <v>-18804.25</v>
      </c>
      <c r="H84" s="21"/>
      <c r="I84" s="23"/>
      <c r="J84" s="23"/>
      <c r="K84" s="21"/>
    </row>
    <row r="85" spans="3:11" ht="12.75">
      <c r="C85" s="21"/>
      <c r="D85" s="21"/>
      <c r="E85" s="18">
        <v>44893</v>
      </c>
      <c r="F85" s="33"/>
      <c r="G85" s="33">
        <v>-89898.41</v>
      </c>
      <c r="H85" s="21"/>
      <c r="I85" s="23"/>
      <c r="J85" s="23"/>
      <c r="K85" s="21"/>
    </row>
    <row r="86" spans="3:11" ht="12.75">
      <c r="C86" s="21"/>
      <c r="D86" s="21"/>
      <c r="E86" s="18">
        <v>44902</v>
      </c>
      <c r="F86" s="33"/>
      <c r="G86" s="33">
        <v>-50178.20</v>
      </c>
      <c r="H86" s="21"/>
      <c r="I86" s="23"/>
      <c r="J86" s="23"/>
      <c r="K86" s="21"/>
    </row>
    <row r="87" spans="3:11" ht="12.75">
      <c r="C87" s="21"/>
      <c r="D87" s="21"/>
      <c r="E87" s="18">
        <v>44909</v>
      </c>
      <c r="F87" s="33"/>
      <c r="G87" s="33">
        <v>-195986.58</v>
      </c>
      <c r="H87" s="21"/>
      <c r="I87" s="23"/>
      <c r="J87" s="23"/>
      <c r="K87" s="21"/>
    </row>
    <row r="88" spans="3:11" ht="12.75">
      <c r="C88" s="21" t="s">
        <v>25</v>
      </c>
      <c r="D88" s="21"/>
      <c r="E88" s="18">
        <v>44575</v>
      </c>
      <c r="F88" s="33"/>
      <c r="G88" s="33">
        <v>70317.36</v>
      </c>
      <c r="H88" s="21"/>
      <c r="I88" s="23"/>
      <c r="J88" s="23"/>
      <c r="K88" s="21"/>
    </row>
    <row r="89" spans="3:11" ht="12.75">
      <c r="C89" s="21"/>
      <c r="D89" s="21"/>
      <c r="E89" s="18">
        <v>44601</v>
      </c>
      <c r="F89" s="33"/>
      <c r="G89" s="33">
        <v>54777.98</v>
      </c>
      <c r="H89" s="21"/>
      <c r="I89" s="23"/>
      <c r="J89" s="23"/>
      <c r="K89" s="21"/>
    </row>
    <row r="90" spans="3:11" ht="12.75">
      <c r="C90" s="21"/>
      <c r="D90" s="21"/>
      <c r="E90" s="18">
        <v>44628</v>
      </c>
      <c r="F90" s="33"/>
      <c r="G90" s="33">
        <v>143395.19</v>
      </c>
      <c r="H90" s="21"/>
      <c r="I90" s="23"/>
      <c r="J90" s="23"/>
      <c r="K90" s="21"/>
    </row>
    <row r="91" spans="3:11" ht="12.75">
      <c r="C91" s="21"/>
      <c r="D91" s="21"/>
      <c r="E91" s="18">
        <v>44659</v>
      </c>
      <c r="F91" s="33"/>
      <c r="G91" s="33">
        <v>72768.56</v>
      </c>
      <c r="H91" s="21"/>
      <c r="I91" s="23"/>
      <c r="J91" s="23"/>
      <c r="K91" s="21"/>
    </row>
    <row r="92" spans="3:11" ht="12.75">
      <c r="C92" s="21"/>
      <c r="D92" s="21"/>
      <c r="E92" s="18">
        <v>44692</v>
      </c>
      <c r="F92" s="33"/>
      <c r="G92" s="33">
        <v>61434.59</v>
      </c>
      <c r="H92" s="21"/>
      <c r="I92" s="23"/>
      <c r="J92" s="23"/>
      <c r="K92" s="21"/>
    </row>
    <row r="93" spans="3:11" ht="12.75">
      <c r="C93" s="21"/>
      <c r="D93" s="21"/>
      <c r="E93" s="18">
        <v>44719</v>
      </c>
      <c r="F93" s="33"/>
      <c r="G93" s="33">
        <v>76039.47</v>
      </c>
      <c r="H93" s="21"/>
      <c r="I93" s="23"/>
      <c r="J93" s="23"/>
      <c r="K93" s="21"/>
    </row>
    <row r="94" spans="3:11" ht="12.75">
      <c r="C94" s="21"/>
      <c r="D94" s="21"/>
      <c r="E94" s="18">
        <v>44761</v>
      </c>
      <c r="F94" s="33"/>
      <c r="G94" s="33">
        <v>118775.84</v>
      </c>
      <c r="H94" s="21"/>
      <c r="I94" s="23"/>
      <c r="J94" s="23"/>
      <c r="K94" s="21"/>
    </row>
    <row r="95" spans="3:11" ht="12.75">
      <c r="C95" s="21"/>
      <c r="D95" s="21"/>
      <c r="E95" s="18">
        <v>44776</v>
      </c>
      <c r="F95" s="33"/>
      <c r="G95" s="33">
        <v>104734.96</v>
      </c>
      <c r="H95" s="21"/>
      <c r="I95" s="23"/>
      <c r="J95" s="23"/>
      <c r="K95" s="21"/>
    </row>
    <row r="96" spans="3:11" ht="12.75">
      <c r="C96" s="21"/>
      <c r="D96" s="21"/>
      <c r="E96" s="18">
        <v>44817</v>
      </c>
      <c r="F96" s="33"/>
      <c r="G96" s="33">
        <v>36369.32</v>
      </c>
      <c r="H96" s="21"/>
      <c r="I96" s="23"/>
      <c r="J96" s="23"/>
      <c r="K96" s="21"/>
    </row>
    <row r="97" spans="3:11" ht="12.75">
      <c r="C97" s="21"/>
      <c r="D97" s="21"/>
      <c r="E97" s="18">
        <v>44841</v>
      </c>
      <c r="F97" s="33"/>
      <c r="G97" s="33">
        <v>26494.26</v>
      </c>
      <c r="H97" s="21"/>
      <c r="I97" s="23"/>
      <c r="J97" s="23"/>
      <c r="K97" s="21"/>
    </row>
    <row r="98" spans="3:11" ht="12.75">
      <c r="C98" s="21"/>
      <c r="D98" s="21"/>
      <c r="E98" s="18">
        <v>44872</v>
      </c>
      <c r="F98" s="33"/>
      <c r="G98" s="33">
        <v>20080.73</v>
      </c>
      <c r="H98" s="21"/>
      <c r="I98" s="23"/>
      <c r="J98" s="23"/>
      <c r="K98" s="21"/>
    </row>
    <row r="99" spans="3:11" ht="12.75">
      <c r="C99" s="21"/>
      <c r="D99" s="21"/>
      <c r="E99" s="18">
        <v>44902</v>
      </c>
      <c r="F99" s="33"/>
      <c r="G99" s="33">
        <v>33882.87</v>
      </c>
      <c r="H99" s="21"/>
      <c r="I99" s="23"/>
      <c r="J99" s="23"/>
      <c r="K99" s="21"/>
    </row>
    <row r="100" spans="3:11" ht="12.75">
      <c r="C100" s="21" t="s">
        <v>28</v>
      </c>
      <c r="D100" s="21"/>
      <c r="E100" s="18">
        <v>44960</v>
      </c>
      <c r="F100" s="33"/>
      <c r="G100" s="33">
        <v>-33586.21</v>
      </c>
      <c r="H100" s="21"/>
      <c r="I100" s="23"/>
      <c r="J100" s="23"/>
      <c r="K100" s="21"/>
    </row>
    <row r="101" spans="3:11" ht="12.75">
      <c r="C101" s="21"/>
      <c r="D101" s="21"/>
      <c r="E101" s="18">
        <v>44979</v>
      </c>
      <c r="F101" s="33"/>
      <c r="G101" s="33">
        <v>-39116.87</v>
      </c>
      <c r="H101" s="21"/>
      <c r="I101" s="23"/>
      <c r="J101" s="23"/>
      <c r="K101" s="21"/>
    </row>
    <row r="102" spans="3:11" ht="12.75">
      <c r="C102" s="21"/>
      <c r="D102" s="21"/>
      <c r="E102" s="18">
        <v>45013</v>
      </c>
      <c r="F102" s="33"/>
      <c r="G102" s="33">
        <v>-80446.01</v>
      </c>
      <c r="H102" s="21"/>
      <c r="I102" s="23"/>
      <c r="J102" s="23"/>
      <c r="K102" s="21"/>
    </row>
    <row r="103" spans="3:11" ht="12.75">
      <c r="C103" s="21"/>
      <c r="D103" s="21"/>
      <c r="E103" s="18">
        <v>45022</v>
      </c>
      <c r="F103" s="33"/>
      <c r="G103" s="33">
        <v>-48368.16</v>
      </c>
      <c r="H103" s="21"/>
      <c r="I103" s="23"/>
      <c r="J103" s="23"/>
      <c r="K103" s="21"/>
    </row>
    <row r="104" spans="3:11" ht="12.75">
      <c r="C104" s="21"/>
      <c r="D104" s="21"/>
      <c r="E104" s="18">
        <v>45028</v>
      </c>
      <c r="F104" s="33"/>
      <c r="G104" s="33">
        <v>-14681.39</v>
      </c>
      <c r="H104" s="21"/>
      <c r="I104" s="23"/>
      <c r="J104" s="23"/>
      <c r="K104" s="21"/>
    </row>
    <row r="105" spans="3:11" ht="12.75">
      <c r="C105" s="21"/>
      <c r="D105" s="21"/>
      <c r="E105" s="18">
        <v>45047</v>
      </c>
      <c r="F105" s="33"/>
      <c r="G105" s="33">
        <v>-174567.84</v>
      </c>
      <c r="H105" s="21"/>
      <c r="I105" s="23"/>
      <c r="J105" s="23"/>
      <c r="K105" s="21"/>
    </row>
    <row r="106" spans="3:11" ht="12.75">
      <c r="C106" s="21"/>
      <c r="D106" s="21"/>
      <c r="E106" s="18">
        <v>45061</v>
      </c>
      <c r="F106" s="33"/>
      <c r="G106" s="33">
        <v>-52792.69</v>
      </c>
      <c r="H106" s="21"/>
      <c r="I106" s="23"/>
      <c r="J106" s="23"/>
      <c r="K106" s="21"/>
    </row>
    <row r="107" spans="3:11" ht="12.75">
      <c r="C107" s="21"/>
      <c r="D107" s="21"/>
      <c r="E107" s="18">
        <v>45182</v>
      </c>
      <c r="F107" s="33"/>
      <c r="G107" s="33">
        <v>-31675.62</v>
      </c>
      <c r="H107" s="21"/>
      <c r="I107" s="23"/>
      <c r="J107" s="23"/>
      <c r="K107" s="21"/>
    </row>
    <row r="108" spans="3:11" ht="12.75">
      <c r="C108" s="21"/>
      <c r="D108" s="21"/>
      <c r="E108" s="18">
        <v>45198</v>
      </c>
      <c r="F108" s="33"/>
      <c r="G108" s="33">
        <v>-18402.02</v>
      </c>
      <c r="H108" s="21"/>
      <c r="I108" s="23"/>
      <c r="J108" s="23"/>
      <c r="K108" s="21"/>
    </row>
    <row r="109" spans="3:11" ht="12.75">
      <c r="C109" s="21" t="s">
        <v>26</v>
      </c>
      <c r="D109" s="21"/>
      <c r="E109" s="18">
        <v>44939</v>
      </c>
      <c r="F109" s="33"/>
      <c r="G109" s="33">
        <v>28292.19</v>
      </c>
      <c r="H109" s="21"/>
      <c r="I109" s="23"/>
      <c r="J109" s="23"/>
      <c r="K109" s="21"/>
    </row>
    <row r="110" spans="3:11" ht="12.75">
      <c r="C110" s="21"/>
      <c r="D110" s="21"/>
      <c r="E110" s="18">
        <v>44966</v>
      </c>
      <c r="F110" s="33"/>
      <c r="G110" s="33">
        <v>29481.31</v>
      </c>
      <c r="H110" s="21"/>
      <c r="I110" s="23"/>
      <c r="J110" s="23"/>
      <c r="K110" s="21"/>
    </row>
    <row r="111" spans="3:11" ht="12.75">
      <c r="C111" s="21"/>
      <c r="D111" s="21"/>
      <c r="E111" s="18">
        <v>44995</v>
      </c>
      <c r="F111" s="33"/>
      <c r="G111" s="33">
        <v>42036.88</v>
      </c>
      <c r="H111" s="21"/>
      <c r="I111" s="23"/>
      <c r="J111" s="23"/>
      <c r="K111" s="21"/>
    </row>
    <row r="112" spans="3:11" ht="12.75">
      <c r="C112" s="21"/>
      <c r="D112" s="21"/>
      <c r="E112" s="18">
        <v>45027</v>
      </c>
      <c r="F112" s="33"/>
      <c r="G112" s="33">
        <v>60117.34</v>
      </c>
      <c r="H112" s="21"/>
      <c r="I112" s="23"/>
      <c r="J112" s="23"/>
      <c r="K112" s="21"/>
    </row>
    <row r="113" spans="3:11" ht="12.75">
      <c r="C113" s="21"/>
      <c r="D113" s="21"/>
      <c r="E113" s="18">
        <v>45055</v>
      </c>
      <c r="F113" s="33"/>
      <c r="G113" s="33">
        <v>36418.40</v>
      </c>
      <c r="H113" s="21"/>
      <c r="I113" s="23"/>
      <c r="J113" s="23"/>
      <c r="K113" s="21"/>
    </row>
    <row r="114" spans="3:11" ht="12.75">
      <c r="C114" s="21"/>
      <c r="D114" s="21"/>
      <c r="E114" s="18">
        <v>45090</v>
      </c>
      <c r="F114" s="33"/>
      <c r="G114" s="33">
        <v>1174373.9</v>
      </c>
      <c r="H114" s="21"/>
      <c r="I114" s="23"/>
      <c r="J114" s="23"/>
      <c r="K114" s="21"/>
    </row>
    <row r="115" spans="3:11" ht="12.75">
      <c r="C115" s="21"/>
      <c r="D115" s="21"/>
      <c r="E115" s="18">
        <v>45113</v>
      </c>
      <c r="F115" s="33"/>
      <c r="G115" s="33">
        <v>436343</v>
      </c>
      <c r="H115" s="21"/>
      <c r="I115" s="23"/>
      <c r="J115" s="23"/>
      <c r="K115" s="21"/>
    </row>
    <row r="116" spans="3:11" ht="12.75">
      <c r="C116" s="21"/>
      <c r="D116" s="21"/>
      <c r="E116" s="18">
        <v>45141</v>
      </c>
      <c r="F116" s="33"/>
      <c r="G116" s="33">
        <v>35536.73</v>
      </c>
      <c r="H116" s="21"/>
      <c r="I116" s="23"/>
      <c r="J116" s="23"/>
      <c r="K116" s="21"/>
    </row>
    <row r="117" spans="3:11" ht="12.75">
      <c r="C117" s="21"/>
      <c r="D117" s="21"/>
      <c r="E117" s="18">
        <v>45177</v>
      </c>
      <c r="F117" s="33"/>
      <c r="G117" s="33">
        <v>57492.22</v>
      </c>
      <c r="H117" s="21"/>
      <c r="I117" s="23"/>
      <c r="J117" s="23"/>
      <c r="K117" s="21"/>
    </row>
    <row r="118" spans="3:11" ht="12.75">
      <c r="C118" s="21"/>
      <c r="D118" s="21"/>
      <c r="E118" s="18">
        <v>45189</v>
      </c>
      <c r="F118" s="33"/>
      <c r="G118" s="33">
        <v>240652.99</v>
      </c>
      <c r="H118" s="21"/>
      <c r="I118" s="23"/>
      <c r="J118" s="23"/>
      <c r="K118" s="21"/>
    </row>
    <row r="119" spans="3:11" ht="12.75">
      <c r="C119" s="21"/>
      <c r="D119" s="21"/>
      <c r="E119" s="18">
        <v>45197</v>
      </c>
      <c r="F119" s="33"/>
      <c r="G119" s="33">
        <v>53601.58</v>
      </c>
      <c r="H119" s="21"/>
      <c r="I119" s="23"/>
      <c r="J119" s="23"/>
      <c r="K119" s="21"/>
    </row>
    <row r="120" spans="3:9" ht="4.5" customHeight="1">
      <c r="C120" s="21"/>
      <c r="D120" s="21"/>
      <c r="E120" s="18"/>
      <c r="F120" s="21"/>
      <c r="G120" s="33"/>
      <c r="H120" s="21"/>
      <c r="I120" s="23"/>
    </row>
    <row r="121" spans="3:12" ht="12.75">
      <c r="C121" s="21" t="s">
        <v>1</v>
      </c>
      <c r="D121" s="21"/>
      <c r="E121" s="18">
        <f>+E8</f>
        <v>45199</v>
      </c>
      <c r="F121" s="21"/>
      <c r="G121" s="49">
        <f>L121*C22</f>
        <v>7490404.894773213</v>
      </c>
      <c r="H121" s="21"/>
      <c r="I121" s="18"/>
      <c r="L121" s="54">
        <v>6.16752657E8</v>
      </c>
    </row>
    <row r="122" spans="3:10" ht="12.75">
      <c r="C122" s="21"/>
      <c r="D122" s="21"/>
      <c r="E122" s="21"/>
      <c r="F122" s="21"/>
      <c r="G122" s="21"/>
      <c r="H122" s="21"/>
      <c r="J122" s="23"/>
    </row>
    <row r="123" spans="3:11" ht="12.75">
      <c r="C123" s="20" t="s">
        <v>0</v>
      </c>
      <c r="G123" s="47">
        <f>+XIRR(G24:G121,E24:E121,0.1)</f>
        <v>0.210218495130539</v>
      </c>
      <c r="H123" s="21"/>
      <c r="J123" s="33">
        <f>+SUMIF($G$24:$G$120,"&lt;0",$G$24:$G$120)+G53+G70</f>
        <v>-6378597.34</v>
      </c>
      <c r="K123" s="21" t="s">
        <v>11</v>
      </c>
    </row>
    <row r="124" spans="3:11" ht="12.75">
      <c r="C124" s="21"/>
      <c r="D124" s="21"/>
      <c r="E124" s="21"/>
      <c r="F124" s="21"/>
      <c r="G124" s="21"/>
      <c r="H124" s="21"/>
      <c r="J124" s="33">
        <f>+SUMIF($G$24:$G$120,"&gt;0",$G$24:$G$120)-G53-G70</f>
        <v>3100612.36</v>
      </c>
      <c r="K124" s="21" t="s">
        <v>12</v>
      </c>
    </row>
    <row r="125" spans="3:8" ht="12.75">
      <c r="C125" s="21"/>
      <c r="D125" s="21"/>
      <c r="E125" s="21"/>
      <c r="F125" s="21"/>
      <c r="G125" s="23"/>
      <c r="H125" s="21"/>
    </row>
    <row r="126" spans="3:11" ht="12.75">
      <c r="C126" s="21"/>
      <c r="D126" s="21"/>
      <c r="E126" s="34"/>
      <c r="F126" s="21"/>
      <c r="G126" s="34"/>
      <c r="H126" s="21"/>
      <c r="K126" s="34"/>
    </row>
    <row r="127" spans="3:11" ht="12.75">
      <c r="C127" s="26"/>
      <c r="D127" s="26"/>
      <c r="E127" s="34"/>
      <c r="F127" s="26"/>
      <c r="G127" s="34"/>
      <c r="H127" s="21"/>
      <c r="K127" s="34"/>
    </row>
    <row r="128" spans="3:11" ht="12.75">
      <c r="C128" s="26"/>
      <c r="D128" s="26"/>
      <c r="E128" s="34"/>
      <c r="F128" s="26"/>
      <c r="G128" s="34"/>
      <c r="H128" s="21"/>
      <c r="K128" s="34"/>
    </row>
    <row r="129" spans="3:11" ht="12.75">
      <c r="C129" s="26"/>
      <c r="D129" s="26"/>
      <c r="E129" s="51"/>
      <c r="F129" s="51"/>
      <c r="G129" s="51"/>
      <c r="H129" s="20"/>
      <c r="K129" s="34"/>
    </row>
    <row r="130" spans="3:11" ht="12.75">
      <c r="C130" s="26"/>
      <c r="D130" s="26"/>
      <c r="E130" s="34"/>
      <c r="F130" s="34"/>
      <c r="G130" s="34"/>
      <c r="H130" s="20"/>
      <c r="K130" s="34"/>
    </row>
    <row r="131" spans="3:11" ht="12.75">
      <c r="C131" s="26"/>
      <c r="D131" s="26"/>
      <c r="E131" s="26"/>
      <c r="F131" s="26"/>
      <c r="G131" s="26"/>
      <c r="H131" s="20"/>
      <c r="K131" s="53"/>
    </row>
    <row r="132" spans="3:8" ht="12.75">
      <c r="C132" s="114"/>
      <c r="D132" s="114"/>
      <c r="E132" s="115"/>
      <c r="F132" s="71"/>
      <c r="G132" s="45"/>
      <c r="H132" s="20"/>
    </row>
    <row r="133" spans="3:11" ht="12.75">
      <c r="C133" s="114"/>
      <c r="D133" s="114"/>
      <c r="E133" s="46"/>
      <c r="F133" s="71"/>
      <c r="G133" s="46"/>
      <c r="H133" s="20"/>
      <c r="K133" s="53"/>
    </row>
    <row r="134" spans="3:8" ht="12.75">
      <c r="C134" s="114"/>
      <c r="D134" s="114"/>
      <c r="E134" s="46"/>
      <c r="F134" s="71"/>
      <c r="G134" s="46"/>
      <c r="H134" s="20"/>
    </row>
    <row r="135" spans="3:8" ht="12.75">
      <c r="C135" s="116"/>
      <c r="D135" s="114"/>
      <c r="E135" s="46"/>
      <c r="F135" s="71"/>
      <c r="G135" s="46"/>
      <c r="H135" s="20"/>
    </row>
    <row r="136" spans="3:8" ht="12.75">
      <c r="C136" s="116"/>
      <c r="D136" s="114"/>
      <c r="E136" s="46"/>
      <c r="F136" s="71"/>
      <c r="G136" s="46"/>
      <c r="H136" s="20"/>
    </row>
    <row r="137" spans="3:8" ht="12.75">
      <c r="C137" s="117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12.75">
      <c r="C141" s="114"/>
      <c r="D141" s="114"/>
      <c r="E141" s="46"/>
      <c r="F141" s="71"/>
      <c r="G141" s="46"/>
      <c r="H141" s="20"/>
    </row>
    <row r="142" spans="3:8" ht="12.75">
      <c r="C142" s="114"/>
      <c r="D142" s="114"/>
      <c r="E142" s="46"/>
      <c r="F142" s="71"/>
      <c r="G142" s="46"/>
      <c r="H142" s="20"/>
    </row>
    <row r="143" spans="3:8" ht="12.75">
      <c r="C143" s="114"/>
      <c r="D143" s="114"/>
      <c r="E143" s="46"/>
      <c r="F143" s="71"/>
      <c r="G143" s="46"/>
      <c r="H143" s="20"/>
    </row>
    <row r="144" spans="3:8" ht="5.1" customHeight="1">
      <c r="C144" s="20"/>
      <c r="D144" s="20"/>
      <c r="E144" s="72"/>
      <c r="F144" s="37"/>
      <c r="G144" s="72"/>
      <c r="H144" s="20"/>
    </row>
    <row r="145" spans="3:8" ht="12.75">
      <c r="C145" s="20"/>
      <c r="D145" s="20"/>
      <c r="E145" s="73"/>
      <c r="F145" s="43"/>
      <c r="G145" s="73"/>
      <c r="H145" s="20"/>
    </row>
    <row r="146" spans="3:8" ht="12.75">
      <c r="C146" s="21"/>
      <c r="D146" s="21"/>
      <c r="E146" s="74"/>
      <c r="F146" s="75"/>
      <c r="G146" s="74"/>
      <c r="H146" s="21"/>
    </row>
    <row r="147" spans="3:8" ht="12.75">
      <c r="C147" s="21"/>
      <c r="D147" s="21"/>
      <c r="E147" s="74"/>
      <c r="F147" s="75"/>
      <c r="G147" s="74"/>
      <c r="H147" s="21"/>
    </row>
    <row r="148" spans="3:8" ht="12.75">
      <c r="C148" s="21"/>
      <c r="D148" s="21"/>
      <c r="E148" s="74"/>
      <c r="F148" s="75"/>
      <c r="G148" s="74"/>
      <c r="H148" s="21"/>
    </row>
    <row r="149" spans="3:8" ht="12.75">
      <c r="C149" s="21"/>
      <c r="D149" s="21"/>
      <c r="E149" s="76"/>
      <c r="F149" s="76"/>
      <c r="G149" s="76"/>
      <c r="H149" s="21"/>
    </row>
    <row r="150" spans="3:8" ht="12.75">
      <c r="C150" s="21"/>
      <c r="D150" s="21"/>
      <c r="E150" s="21"/>
      <c r="F150" s="21"/>
      <c r="G150" s="21"/>
      <c r="H150" s="21"/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1"/>
      <c r="D152" s="21"/>
      <c r="E152" s="21"/>
      <c r="F152" s="21"/>
      <c r="G152" s="21"/>
      <c r="H152" s="21"/>
    </row>
    <row r="153" spans="3:8" ht="12.75">
      <c r="C153" s="21"/>
      <c r="D153" s="21"/>
      <c r="E153" s="21"/>
      <c r="F153" s="21"/>
      <c r="G153" s="21"/>
      <c r="H153" s="21"/>
    </row>
    <row r="154" spans="3:8" ht="12.75">
      <c r="C154" s="21"/>
      <c r="D154" s="21"/>
      <c r="E154" s="21"/>
      <c r="F154" s="21"/>
      <c r="G154" s="21"/>
      <c r="H154" s="21"/>
    </row>
    <row r="155" spans="3:8" ht="12.75">
      <c r="C155" s="21"/>
      <c r="D155" s="21"/>
      <c r="E155" s="21"/>
      <c r="F155" s="21"/>
      <c r="G155" s="21"/>
      <c r="H155" s="21"/>
    </row>
    <row r="156" spans="3:8" ht="12.75">
      <c r="C156" s="21"/>
      <c r="D156" s="21"/>
      <c r="E156" s="21"/>
      <c r="F156" s="21"/>
      <c r="G156" s="21"/>
      <c r="H156" s="21"/>
    </row>
    <row r="157" spans="3:8" ht="12.75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</sheetData>
  <mergeCells count="1">
    <mergeCell ref="E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9EC661-0BBF-419B-BB39-E650500B5E66}">
  <dimension ref="B4:Q94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50"/>
    </row>
    <row r="9" spans="3:13" ht="15.75">
      <c r="C9" s="5"/>
      <c r="D9" s="5"/>
      <c r="E9" s="5"/>
      <c r="F9" s="5"/>
      <c r="G9" s="50"/>
      <c r="I9" s="52"/>
      <c r="J9" s="50"/>
      <c r="M9" s="53"/>
    </row>
    <row r="10" spans="3:15" ht="12.75">
      <c r="C10" s="7"/>
      <c r="D10" s="7"/>
      <c r="E10" s="13"/>
      <c r="F10" s="7"/>
      <c r="G10" s="54"/>
      <c r="H10" s="8"/>
      <c r="I10" s="55"/>
      <c r="J10" s="54"/>
      <c r="O10" s="31"/>
    </row>
    <row r="11" spans="3:9" ht="12.75">
      <c r="C11" s="7"/>
      <c r="D11" s="7"/>
      <c r="E11" s="13"/>
      <c r="F11" s="7"/>
      <c r="G11" s="13"/>
      <c r="H11" s="8"/>
      <c r="I11" s="55"/>
    </row>
    <row r="12" spans="3:9" ht="15.75">
      <c r="C12" s="12"/>
      <c r="D12" s="12"/>
      <c r="E12" s="14"/>
      <c r="F12" s="12"/>
      <c r="G12" s="14"/>
      <c r="H12" s="5"/>
      <c r="I12" s="55"/>
    </row>
    <row r="13" spans="3:15" ht="12.75">
      <c r="C13" s="7"/>
      <c r="D13" s="7"/>
      <c r="E13" s="15"/>
      <c r="F13" s="7"/>
      <c r="G13" s="54"/>
      <c r="H13" s="9"/>
      <c r="I13" s="55"/>
      <c r="J13" s="56"/>
      <c r="O13" s="31"/>
    </row>
    <row r="14" spans="3:9" ht="12.75">
      <c r="C14" s="7"/>
      <c r="D14" s="7"/>
      <c r="E14" s="57"/>
      <c r="F14" s="7"/>
      <c r="G14" s="54"/>
      <c r="H14" s="10"/>
      <c r="I14" s="55"/>
    </row>
    <row r="15" spans="3:9" ht="12.75">
      <c r="C15" s="7"/>
      <c r="D15" s="7"/>
      <c r="E15" s="13"/>
      <c r="F15" s="7"/>
      <c r="G15" s="13"/>
      <c r="H15" s="8"/>
      <c r="I15" s="55"/>
    </row>
    <row r="16" spans="3:9" ht="15.75">
      <c r="C16" s="5"/>
      <c r="D16" s="5"/>
      <c r="E16" s="14"/>
      <c r="F16" s="5"/>
      <c r="G16" s="14"/>
      <c r="H16" s="5"/>
      <c r="I16" s="16"/>
    </row>
    <row r="17" spans="3:15" ht="15.75">
      <c r="C17" s="12" t="s">
        <v>2</v>
      </c>
      <c r="D17" s="12"/>
      <c r="E17" s="14"/>
      <c r="F17" s="12"/>
      <c r="G17" s="14"/>
      <c r="H17" s="5"/>
      <c r="I17" s="55"/>
      <c r="J17" s="58"/>
      <c r="K17" s="58"/>
      <c r="L17" s="58"/>
      <c r="M17" s="58"/>
      <c r="N17" s="58"/>
      <c r="O17" s="41"/>
    </row>
    <row r="18" spans="3:15" ht="12.75" customHeight="1">
      <c r="C18" s="7" t="s">
        <v>3</v>
      </c>
      <c r="D18" s="7"/>
      <c r="E18" s="9">
        <f>G76</f>
        <v>0.2624829947948456</v>
      </c>
      <c r="F18" s="7"/>
      <c r="G18" s="15"/>
      <c r="H18" s="9"/>
      <c r="I18" s="55"/>
      <c r="J18" s="59"/>
      <c r="K18" s="58"/>
      <c r="L18" s="60"/>
      <c r="M18" s="61"/>
      <c r="N18" s="58"/>
      <c r="O18" s="41"/>
    </row>
    <row r="19" spans="3:14" ht="15.75">
      <c r="C19" s="7" t="s">
        <v>6</v>
      </c>
      <c r="D19" s="7"/>
      <c r="E19" s="38">
        <f>-(G74+I75)/I74</f>
        <v>1.4025823489888607</v>
      </c>
      <c r="F19" s="7"/>
      <c r="G19" s="13"/>
      <c r="H19" s="8"/>
      <c r="J19" s="50"/>
      <c r="K19" s="58"/>
      <c r="L19" s="60"/>
      <c r="M19" s="61"/>
      <c r="N19" s="62"/>
    </row>
    <row r="20" spans="3:14" ht="15.75">
      <c r="C20" s="7"/>
      <c r="D20" s="7"/>
      <c r="E20" s="7"/>
      <c r="F20" s="7"/>
      <c r="G20" s="8"/>
      <c r="J20" s="50"/>
      <c r="L20" s="60"/>
      <c r="M20" s="61"/>
      <c r="N20" s="58"/>
    </row>
    <row r="21" spans="3:15" ht="15.75">
      <c r="C21" s="22" t="s">
        <v>33</v>
      </c>
      <c r="D21" s="11"/>
      <c r="E21" s="11"/>
      <c r="F21" s="11"/>
      <c r="I21" s="18"/>
      <c r="J21" s="49"/>
      <c r="K21" s="21"/>
      <c r="L21" s="60"/>
      <c r="M21" s="61"/>
      <c r="N21" s="62"/>
      <c r="O21" s="41"/>
    </row>
    <row r="22" spans="3:15" ht="12.75">
      <c r="C22" s="28">
        <v>1</v>
      </c>
      <c r="D22" s="21"/>
      <c r="E22" s="21"/>
      <c r="F22" s="21"/>
      <c r="G22" s="27"/>
      <c r="H22" s="21"/>
      <c r="I22" s="21"/>
      <c r="J22" s="49"/>
      <c r="K22" s="21"/>
      <c r="L22" s="60"/>
      <c r="M22" s="61"/>
      <c r="N22" s="58"/>
      <c r="O22" s="41"/>
    </row>
    <row r="23" spans="3:15" ht="12.75">
      <c r="C23" s="21"/>
      <c r="D23" s="21"/>
      <c r="E23" s="18"/>
      <c r="F23" s="33"/>
      <c r="G23" s="33"/>
      <c r="H23" s="21"/>
      <c r="I23" s="23"/>
      <c r="J23" s="49"/>
      <c r="K23" s="21"/>
      <c r="L23" s="60"/>
      <c r="M23" s="61"/>
      <c r="N23" s="58"/>
      <c r="O23" s="41"/>
    </row>
    <row r="24" spans="3:16" ht="12.75">
      <c r="C24" s="21" t="s">
        <v>21</v>
      </c>
      <c r="D24" s="21"/>
      <c r="E24" s="18">
        <v>43857</v>
      </c>
      <c r="F24" s="33"/>
      <c r="G24" s="33">
        <f>-8355693.57*193814409.75/213814409.75</f>
        <v>-7574109.804923568</v>
      </c>
      <c r="H24" s="21"/>
      <c r="I24" s="23"/>
      <c r="J24" s="49"/>
      <c r="K24" s="21"/>
      <c r="L24" s="60"/>
      <c r="M24" s="61"/>
      <c r="N24" s="58"/>
      <c r="O24" s="23"/>
      <c r="P24" s="41"/>
    </row>
    <row r="25" spans="3:15" ht="12.75">
      <c r="C25" s="21"/>
      <c r="D25" s="21"/>
      <c r="E25" s="18">
        <v>43985</v>
      </c>
      <c r="F25" s="33"/>
      <c r="G25" s="33">
        <f>-8946403.4*193814409.75/213814409.75</f>
        <v>-8109565.189660437</v>
      </c>
      <c r="H25" s="21"/>
      <c r="I25" s="23"/>
      <c r="J25" s="49"/>
      <c r="K25" s="21"/>
      <c r="L25" s="60"/>
      <c r="M25" s="61"/>
      <c r="N25" s="58"/>
      <c r="O25" s="23"/>
    </row>
    <row r="26" spans="3:16" ht="12.75">
      <c r="C26" s="21"/>
      <c r="D26" s="21"/>
      <c r="E26" s="18">
        <v>44076</v>
      </c>
      <c r="F26" s="33"/>
      <c r="G26" s="33">
        <f>-8101403.91*193814409.75/213814409.75-1912477.07</f>
        <v>-9256083.231992982</v>
      </c>
      <c r="H26" s="21"/>
      <c r="I26" s="23"/>
      <c r="J26" s="49"/>
      <c r="K26" s="21"/>
      <c r="L26" s="60"/>
      <c r="M26" s="61"/>
      <c r="N26" s="58"/>
      <c r="O26" s="23"/>
      <c r="P26" s="41"/>
    </row>
    <row r="27" spans="3:16" ht="12.75">
      <c r="C27" s="21"/>
      <c r="D27" s="21"/>
      <c r="E27" s="18">
        <v>44117</v>
      </c>
      <c r="F27" s="33"/>
      <c r="G27" s="33">
        <f>-10183965.83*193814409.75/213814409.75</f>
        <v>-9231367.186914392</v>
      </c>
      <c r="H27" s="21"/>
      <c r="I27" s="23"/>
      <c r="J27" s="49"/>
      <c r="K27" s="21"/>
      <c r="L27" s="60"/>
      <c r="M27" s="61"/>
      <c r="N27" s="58"/>
      <c r="O27" s="23"/>
      <c r="P27" s="41"/>
    </row>
    <row r="28" spans="3:16" ht="12.75">
      <c r="C28" s="21"/>
      <c r="D28" s="21"/>
      <c r="E28" s="18">
        <v>44141</v>
      </c>
      <c r="F28" s="33"/>
      <c r="G28" s="33">
        <f>-9094491.06*193814409.75/213814409.75</f>
        <v>-8243800.86838629</v>
      </c>
      <c r="H28" s="21"/>
      <c r="I28" s="23"/>
      <c r="J28" s="49"/>
      <c r="K28" s="21"/>
      <c r="L28" s="60"/>
      <c r="M28" s="61"/>
      <c r="N28" s="58"/>
      <c r="O28" s="23"/>
      <c r="P28" s="41"/>
    </row>
    <row r="29" spans="3:16" ht="12.75">
      <c r="C29" s="21"/>
      <c r="D29" s="21"/>
      <c r="E29" s="18">
        <v>44148</v>
      </c>
      <c r="F29" s="33"/>
      <c r="G29" s="33">
        <f>-4743875.63*193814409.75/213814409.75</f>
        <v>-4300137.938462117</v>
      </c>
      <c r="H29" s="21"/>
      <c r="I29" s="23"/>
      <c r="J29" s="49"/>
      <c r="K29" s="21"/>
      <c r="L29" s="60"/>
      <c r="M29" s="61"/>
      <c r="N29" s="58"/>
      <c r="O29" s="23"/>
      <c r="P29" s="41"/>
    </row>
    <row r="30" spans="3:15" ht="12.75">
      <c r="C30" s="21"/>
      <c r="D30" s="21"/>
      <c r="E30" s="18">
        <v>44187</v>
      </c>
      <c r="F30" s="33"/>
      <c r="G30" s="33">
        <f>-4000309.07*193814409.75/213814409.75-294804.35</f>
        <v>-3920928.24934875</v>
      </c>
      <c r="H30" s="21"/>
      <c r="I30" s="23"/>
      <c r="J30" s="49"/>
      <c r="K30" s="21"/>
      <c r="L30" s="60"/>
      <c r="M30" s="61"/>
      <c r="N30" s="58"/>
      <c r="O30" s="23"/>
    </row>
    <row r="31" spans="3:16" ht="12.75">
      <c r="C31" s="21" t="s">
        <v>24</v>
      </c>
      <c r="D31" s="21"/>
      <c r="E31" s="18">
        <v>44203</v>
      </c>
      <c r="F31" s="33"/>
      <c r="G31" s="33">
        <f>-17965219.19*193814409.75/213814409.75-492157.19</f>
        <v>-1.6776926572056223E7</v>
      </c>
      <c r="H31" s="21"/>
      <c r="I31" s="23"/>
      <c r="J31" s="49"/>
      <c r="K31" s="21"/>
      <c r="L31" s="60"/>
      <c r="M31" s="61"/>
      <c r="N31" s="58"/>
      <c r="P31" s="41"/>
    </row>
    <row r="32" spans="3:16" ht="12.75">
      <c r="C32" s="21"/>
      <c r="D32" s="21"/>
      <c r="E32" s="18">
        <v>44217</v>
      </c>
      <c r="F32" s="33"/>
      <c r="G32" s="33">
        <f>-2420477.32*193814409.75/213814409.75</f>
        <v>-2194068.134311335</v>
      </c>
      <c r="H32" s="21"/>
      <c r="I32" s="23"/>
      <c r="J32" s="49"/>
      <c r="K32" s="21"/>
      <c r="L32" s="60"/>
      <c r="M32" s="61"/>
      <c r="N32" s="58"/>
      <c r="P32" s="41"/>
    </row>
    <row r="33" spans="3:14" ht="12.75">
      <c r="C33" s="21"/>
      <c r="D33" s="21"/>
      <c r="E33" s="18">
        <v>44250</v>
      </c>
      <c r="F33" s="33"/>
      <c r="G33" s="33">
        <f>8743624.8*193814409.75/213814409.75</f>
        <v>7925754.310333436</v>
      </c>
      <c r="H33" s="21"/>
      <c r="I33" s="23"/>
      <c r="J33" s="23"/>
      <c r="K33" s="21"/>
      <c r="L33" s="58"/>
      <c r="M33" s="58"/>
      <c r="N33" s="58"/>
    </row>
    <row r="34" spans="3:15" ht="12.75">
      <c r="C34" s="21"/>
      <c r="D34" s="21"/>
      <c r="E34" s="18">
        <v>44265</v>
      </c>
      <c r="F34" s="33"/>
      <c r="G34" s="33">
        <f>-5278462.5*193814409.75/213814409.75-155480.19</f>
        <v>-4940200.242409889</v>
      </c>
      <c r="H34" s="21"/>
      <c r="I34" s="23"/>
      <c r="J34" s="23"/>
      <c r="K34" s="21"/>
      <c r="L34" s="58"/>
      <c r="M34" s="58"/>
      <c r="N34" s="58"/>
      <c r="O34" s="41"/>
    </row>
    <row r="35" spans="3:14" ht="12.75">
      <c r="C35" s="21"/>
      <c r="D35" s="21"/>
      <c r="E35" s="18">
        <v>44291</v>
      </c>
      <c r="F35" s="33"/>
      <c r="G35" s="33">
        <f>-12658173.89*193814409.75/213814409.75-268874.97</f>
        <v>-1.174301510803722E7</v>
      </c>
      <c r="H35" s="21"/>
      <c r="I35" s="23"/>
      <c r="J35" s="23"/>
      <c r="K35" s="21"/>
      <c r="L35" s="58"/>
      <c r="M35" s="58"/>
      <c r="N35" s="58"/>
    </row>
    <row r="36" spans="3:14" ht="12.75">
      <c r="C36" s="21"/>
      <c r="D36" s="21"/>
      <c r="E36" s="18">
        <v>44307</v>
      </c>
      <c r="F36" s="33"/>
      <c r="G36" s="33">
        <f>-28503534.36*193814409.75/213814409.75-795428.94</f>
        <v>-2.6632769342976484E7</v>
      </c>
      <c r="H36" s="21"/>
      <c r="I36" s="23"/>
      <c r="J36" s="23"/>
      <c r="K36" s="21"/>
      <c r="L36" s="58"/>
      <c r="M36" s="58"/>
      <c r="N36" s="58"/>
    </row>
    <row r="37" spans="3:14" ht="12.75">
      <c r="C37" s="21"/>
      <c r="D37" s="21"/>
      <c r="E37" s="18">
        <v>44319</v>
      </c>
      <c r="F37" s="33"/>
      <c r="G37" s="33">
        <f>29772852.87*193814409.75/213814409.75</f>
        <v>2.6987928046194952E7</v>
      </c>
      <c r="H37" s="21"/>
      <c r="I37" s="23"/>
      <c r="J37" s="63"/>
      <c r="K37" s="21"/>
      <c r="L37" s="58"/>
      <c r="M37" s="58"/>
      <c r="N37" s="58"/>
    </row>
    <row r="38" spans="3:14" ht="12.75">
      <c r="C38" s="21"/>
      <c r="D38" s="21"/>
      <c r="E38" s="18">
        <v>44335</v>
      </c>
      <c r="F38" s="33"/>
      <c r="G38" s="33">
        <f>-13567083.21*193814409.75/213814409.75-457505.62</f>
        <v>-1.275553654995366E7</v>
      </c>
      <c r="H38" s="21"/>
      <c r="I38" s="23"/>
      <c r="J38" s="23"/>
      <c r="K38" s="21"/>
      <c r="L38" s="58"/>
      <c r="M38" s="58"/>
      <c r="N38" s="58"/>
    </row>
    <row r="39" spans="3:14" ht="12.75">
      <c r="C39" s="21"/>
      <c r="D39" s="21"/>
      <c r="E39" s="18">
        <v>44344</v>
      </c>
      <c r="F39" s="33"/>
      <c r="G39" s="33">
        <f>16251618.18*193814409.75/213814409.75</f>
        <v>1.473145700854275E7</v>
      </c>
      <c r="H39" s="21"/>
      <c r="I39" s="23"/>
      <c r="J39" s="23"/>
      <c r="K39" s="21"/>
      <c r="L39" s="58"/>
      <c r="M39" s="58"/>
      <c r="N39" s="58"/>
    </row>
    <row r="40" spans="3:14" ht="12.75">
      <c r="C40" s="21"/>
      <c r="D40" s="21"/>
      <c r="E40" s="18">
        <v>44361</v>
      </c>
      <c r="F40" s="33"/>
      <c r="G40" s="33">
        <f>416746.8*193814409.75/213814409.75+67984.53</f>
        <v>445749.2239307901</v>
      </c>
      <c r="H40" s="21"/>
      <c r="I40" s="23"/>
      <c r="J40" s="64"/>
      <c r="K40" s="21"/>
      <c r="L40" s="58"/>
      <c r="M40" s="58"/>
      <c r="N40" s="58"/>
    </row>
    <row r="41" spans="3:14" ht="12.75">
      <c r="C41" s="21"/>
      <c r="D41" s="21"/>
      <c r="E41" s="18">
        <v>44375</v>
      </c>
      <c r="F41" s="33"/>
      <c r="G41" s="33">
        <v>-6218476.1</v>
      </c>
      <c r="H41" s="21"/>
      <c r="I41" s="23"/>
      <c r="J41" s="63"/>
      <c r="K41" s="21"/>
      <c r="L41" s="58"/>
      <c r="M41" s="58"/>
      <c r="N41" s="58"/>
    </row>
    <row r="42" spans="3:14" ht="12.75">
      <c r="C42" s="21"/>
      <c r="D42" s="21"/>
      <c r="E42" s="18">
        <v>44405</v>
      </c>
      <c r="F42" s="33"/>
      <c r="G42" s="33">
        <v>-3521085.97</v>
      </c>
      <c r="H42" s="21"/>
      <c r="I42" s="23"/>
      <c r="J42" s="23"/>
      <c r="K42" s="21"/>
      <c r="L42" s="58"/>
      <c r="M42" s="62"/>
      <c r="N42" s="58"/>
    </row>
    <row r="43" spans="3:14" ht="12.75">
      <c r="C43" s="21"/>
      <c r="D43" s="21"/>
      <c r="E43" s="18">
        <v>44468</v>
      </c>
      <c r="F43" s="33"/>
      <c r="G43" s="33">
        <v>-1653652.87</v>
      </c>
      <c r="H43" s="21"/>
      <c r="I43" s="23"/>
      <c r="J43" s="23"/>
      <c r="K43" s="21"/>
      <c r="L43" s="58"/>
      <c r="M43" s="62"/>
      <c r="N43" s="58"/>
    </row>
    <row r="44" spans="3:14" ht="12.75">
      <c r="C44" s="21"/>
      <c r="D44" s="21"/>
      <c r="E44" s="18">
        <v>44475</v>
      </c>
      <c r="F44" s="33"/>
      <c r="G44" s="33">
        <v>-4024098.30</v>
      </c>
      <c r="H44" s="21"/>
      <c r="I44" s="23"/>
      <c r="J44" s="23"/>
      <c r="K44" s="21"/>
      <c r="L44" s="58"/>
      <c r="M44" s="58"/>
      <c r="N44" s="58"/>
    </row>
    <row r="45" spans="3:14" ht="12.75">
      <c r="C45" s="21"/>
      <c r="D45" s="21"/>
      <c r="E45" s="18">
        <v>44483</v>
      </c>
      <c r="F45" s="33"/>
      <c r="G45" s="33">
        <v>-4703164.88</v>
      </c>
      <c r="H45" s="21"/>
      <c r="I45" s="23"/>
      <c r="J45" s="23"/>
      <c r="K45" s="21"/>
      <c r="L45" s="58"/>
      <c r="M45" s="58"/>
      <c r="N45" s="58"/>
    </row>
    <row r="46" spans="3:14" ht="12.75">
      <c r="C46" s="21"/>
      <c r="D46" s="21"/>
      <c r="E46" s="18">
        <v>44505</v>
      </c>
      <c r="F46" s="33"/>
      <c r="G46" s="33">
        <v>-4225303.20</v>
      </c>
      <c r="H46" s="21"/>
      <c r="I46" s="23"/>
      <c r="J46" s="23"/>
      <c r="K46" s="21"/>
      <c r="L46" s="58"/>
      <c r="M46" s="58"/>
      <c r="N46" s="58"/>
    </row>
    <row r="47" spans="3:14" ht="12.75">
      <c r="C47" s="21"/>
      <c r="D47" s="21"/>
      <c r="E47" s="18">
        <v>44551</v>
      </c>
      <c r="F47" s="33"/>
      <c r="G47" s="33">
        <v>-2584225.62</v>
      </c>
      <c r="H47" s="21"/>
      <c r="I47" s="23"/>
      <c r="J47" s="23"/>
      <c r="K47" s="21"/>
      <c r="L47" s="58"/>
      <c r="M47" s="58"/>
      <c r="N47" s="58"/>
    </row>
    <row r="48" spans="3:14" ht="12.75">
      <c r="C48" s="21" t="s">
        <v>23</v>
      </c>
      <c r="D48" s="21"/>
      <c r="E48" s="18">
        <v>44558</v>
      </c>
      <c r="F48" s="33"/>
      <c r="G48" s="33">
        <v>4.111236031E7</v>
      </c>
      <c r="H48" s="21"/>
      <c r="I48" s="23"/>
      <c r="J48" s="23"/>
      <c r="K48" s="21"/>
      <c r="L48" s="58"/>
      <c r="M48" s="58"/>
      <c r="N48" s="58"/>
    </row>
    <row r="49" spans="3:14" ht="12.75">
      <c r="C49" s="21" t="s">
        <v>27</v>
      </c>
      <c r="D49" s="21"/>
      <c r="E49" s="18">
        <v>44599</v>
      </c>
      <c r="F49" s="33"/>
      <c r="G49" s="33">
        <v>-1735392.37</v>
      </c>
      <c r="H49" s="21"/>
      <c r="I49" s="23"/>
      <c r="J49" s="23"/>
      <c r="K49" s="21"/>
      <c r="L49" s="58"/>
      <c r="M49" s="58"/>
      <c r="N49" s="58"/>
    </row>
    <row r="50" spans="3:14" ht="12.75">
      <c r="C50" s="21"/>
      <c r="D50" s="21"/>
      <c r="E50" s="18">
        <v>44635</v>
      </c>
      <c r="F50" s="33"/>
      <c r="G50" s="33">
        <v>-5023835.19</v>
      </c>
      <c r="H50" s="21"/>
      <c r="I50" s="23"/>
      <c r="J50" s="23"/>
      <c r="K50" s="21"/>
      <c r="L50" s="58"/>
      <c r="M50" s="58"/>
      <c r="N50" s="58"/>
    </row>
    <row r="51" spans="3:14" ht="12.75">
      <c r="C51" s="21"/>
      <c r="D51" s="21"/>
      <c r="E51" s="18">
        <v>44676</v>
      </c>
      <c r="F51" s="33"/>
      <c r="G51" s="33">
        <v>-2842019.40</v>
      </c>
      <c r="H51" s="21"/>
      <c r="I51" s="23"/>
      <c r="J51" s="23"/>
      <c r="K51" s="21"/>
      <c r="L51" s="58"/>
      <c r="M51" s="58"/>
      <c r="N51" s="58"/>
    </row>
    <row r="52" spans="3:14" ht="12.75">
      <c r="C52" s="21"/>
      <c r="D52" s="21"/>
      <c r="E52" s="18">
        <v>44686</v>
      </c>
      <c r="F52" s="33"/>
      <c r="G52" s="33">
        <v>-6312804.13</v>
      </c>
      <c r="H52" s="21"/>
      <c r="I52" s="23"/>
      <c r="J52" s="23"/>
      <c r="K52" s="21"/>
      <c r="L52" s="58"/>
      <c r="M52" s="58"/>
      <c r="N52" s="58"/>
    </row>
    <row r="53" spans="3:14" ht="12.75">
      <c r="C53" s="21"/>
      <c r="D53" s="21"/>
      <c r="E53" s="18">
        <v>44701</v>
      </c>
      <c r="F53" s="33"/>
      <c r="G53" s="33">
        <v>-6438557.24</v>
      </c>
      <c r="H53" s="21"/>
      <c r="I53" s="23"/>
      <c r="J53" s="23"/>
      <c r="K53" s="21"/>
      <c r="L53" s="58"/>
      <c r="M53" s="58"/>
      <c r="N53" s="58"/>
    </row>
    <row r="54" spans="3:14" ht="12.75">
      <c r="C54" s="21"/>
      <c r="D54" s="21"/>
      <c r="E54" s="18">
        <v>44728</v>
      </c>
      <c r="F54" s="33"/>
      <c r="G54" s="33">
        <v>-3414195.91</v>
      </c>
      <c r="H54" s="21"/>
      <c r="I54" s="23"/>
      <c r="J54" s="23"/>
      <c r="K54" s="21"/>
      <c r="L54" s="58"/>
      <c r="M54" s="58"/>
      <c r="N54" s="58"/>
    </row>
    <row r="55" spans="3:14" ht="12.75">
      <c r="C55" s="21"/>
      <c r="D55" s="21"/>
      <c r="E55" s="18">
        <v>44781</v>
      </c>
      <c r="F55" s="33"/>
      <c r="G55" s="33">
        <v>-8173949.63</v>
      </c>
      <c r="H55" s="21"/>
      <c r="I55" s="23"/>
      <c r="J55" s="23"/>
      <c r="K55" s="21"/>
      <c r="L55" s="58"/>
      <c r="M55" s="58"/>
      <c r="N55" s="58"/>
    </row>
    <row r="56" spans="3:14" ht="12.75">
      <c r="C56" s="21"/>
      <c r="D56" s="21"/>
      <c r="E56" s="18">
        <v>44817</v>
      </c>
      <c r="F56" s="33"/>
      <c r="G56" s="33">
        <v>-1.177166708E7</v>
      </c>
      <c r="H56" s="21"/>
      <c r="I56" s="23"/>
      <c r="J56" s="23"/>
      <c r="K56" s="21"/>
      <c r="L56" s="58"/>
      <c r="M56" s="58"/>
      <c r="N56" s="58"/>
    </row>
    <row r="57" spans="3:14" ht="12.75">
      <c r="C57" s="21"/>
      <c r="D57" s="21"/>
      <c r="E57" s="18">
        <v>44852</v>
      </c>
      <c r="F57" s="33"/>
      <c r="G57" s="33">
        <v>-2791718.17</v>
      </c>
      <c r="H57" s="21"/>
      <c r="I57" s="23"/>
      <c r="J57" s="23"/>
      <c r="K57" s="21"/>
      <c r="L57" s="58"/>
      <c r="M57" s="58"/>
      <c r="N57" s="58"/>
    </row>
    <row r="58" spans="3:14" ht="12.75">
      <c r="C58" s="21"/>
      <c r="D58" s="21"/>
      <c r="E58" s="18">
        <v>44859</v>
      </c>
      <c r="F58" s="33"/>
      <c r="G58" s="33">
        <v>-1.453705506E7</v>
      </c>
      <c r="H58" s="21"/>
      <c r="I58" s="23"/>
      <c r="J58" s="23"/>
      <c r="K58" s="21"/>
      <c r="L58" s="58"/>
      <c r="M58" s="58"/>
      <c r="N58" s="58"/>
    </row>
    <row r="59" spans="3:14" ht="12.75">
      <c r="C59" s="21"/>
      <c r="D59" s="21"/>
      <c r="E59" s="18">
        <v>44902</v>
      </c>
      <c r="F59" s="33"/>
      <c r="G59" s="33">
        <v>-5860093.13</v>
      </c>
      <c r="H59" s="21"/>
      <c r="I59" s="23"/>
      <c r="J59" s="23"/>
      <c r="K59" s="21"/>
      <c r="L59" s="58"/>
      <c r="M59" s="58"/>
      <c r="N59" s="58"/>
    </row>
    <row r="60" spans="3:14" ht="12.75">
      <c r="C60" s="21" t="s">
        <v>25</v>
      </c>
      <c r="D60" s="21"/>
      <c r="E60" s="18">
        <v>44861</v>
      </c>
      <c r="F60" s="33"/>
      <c r="G60" s="33">
        <v>4795541.16</v>
      </c>
      <c r="H60" s="21"/>
      <c r="I60" s="23"/>
      <c r="J60" s="23"/>
      <c r="K60" s="21"/>
      <c r="L60" s="58"/>
      <c r="M60" s="58"/>
      <c r="N60" s="58"/>
    </row>
    <row r="61" spans="3:14" ht="12.75">
      <c r="C61" s="21"/>
      <c r="D61" s="21"/>
      <c r="E61" s="18">
        <v>44917</v>
      </c>
      <c r="F61" s="33"/>
      <c r="G61" s="33">
        <v>8.072480342E7</v>
      </c>
      <c r="H61" s="21"/>
      <c r="I61" s="23"/>
      <c r="J61" s="23"/>
      <c r="K61" s="21"/>
      <c r="L61" s="58"/>
      <c r="M61" s="58"/>
      <c r="N61" s="58"/>
    </row>
    <row r="62" spans="3:14" ht="12.75">
      <c r="C62" s="21" t="s">
        <v>28</v>
      </c>
      <c r="D62" s="21"/>
      <c r="E62" s="18">
        <v>44932</v>
      </c>
      <c r="F62" s="33"/>
      <c r="G62" s="33">
        <v>-7772124.59</v>
      </c>
      <c r="H62" s="21"/>
      <c r="I62" s="23"/>
      <c r="J62" s="23"/>
      <c r="K62" s="21"/>
      <c r="L62" s="58"/>
      <c r="M62" s="58"/>
      <c r="N62" s="58"/>
    </row>
    <row r="63" spans="3:14" ht="12.75">
      <c r="C63" s="21"/>
      <c r="D63" s="21"/>
      <c r="E63" s="18">
        <v>44984</v>
      </c>
      <c r="F63" s="33"/>
      <c r="G63" s="33">
        <v>-915285.33</v>
      </c>
      <c r="H63" s="21"/>
      <c r="I63" s="23"/>
      <c r="J63" s="23"/>
      <c r="K63" s="21"/>
      <c r="L63" s="58"/>
      <c r="M63" s="58"/>
      <c r="N63" s="58"/>
    </row>
    <row r="64" spans="3:14" ht="12.75">
      <c r="C64" s="21"/>
      <c r="D64" s="21"/>
      <c r="E64" s="18">
        <v>45049</v>
      </c>
      <c r="F64" s="33"/>
      <c r="G64" s="33">
        <v>-1796240.08</v>
      </c>
      <c r="H64" s="21"/>
      <c r="I64" s="23"/>
      <c r="J64" s="23"/>
      <c r="K64" s="21"/>
      <c r="L64" s="58"/>
      <c r="M64" s="58"/>
      <c r="N64" s="58"/>
    </row>
    <row r="65" spans="3:14" ht="12.75">
      <c r="C65" s="21"/>
      <c r="D65" s="21"/>
      <c r="E65" s="18">
        <v>45089</v>
      </c>
      <c r="F65" s="33"/>
      <c r="G65" s="33">
        <v>-2400061.68</v>
      </c>
      <c r="H65" s="21"/>
      <c r="I65" s="23"/>
      <c r="J65" s="23"/>
      <c r="K65" s="21"/>
      <c r="L65" s="58"/>
      <c r="M65" s="58"/>
      <c r="N65" s="58"/>
    </row>
    <row r="66" spans="3:14" ht="12.75">
      <c r="C66" s="21"/>
      <c r="D66" s="21"/>
      <c r="E66" s="18">
        <v>45110</v>
      </c>
      <c r="F66" s="33"/>
      <c r="G66" s="33">
        <v>-2037199.77</v>
      </c>
      <c r="H66" s="21"/>
      <c r="I66" s="23"/>
      <c r="J66" s="23"/>
      <c r="K66" s="21"/>
      <c r="L66" s="58"/>
      <c r="M66" s="58"/>
      <c r="N66" s="58"/>
    </row>
    <row r="67" spans="3:14" ht="12.75">
      <c r="C67" s="21"/>
      <c r="D67" s="21"/>
      <c r="E67" s="18">
        <v>45125</v>
      </c>
      <c r="F67" s="33"/>
      <c r="G67" s="33">
        <v>-1886296.08</v>
      </c>
      <c r="H67" s="21"/>
      <c r="I67" s="23"/>
      <c r="J67" s="23"/>
      <c r="K67" s="21"/>
      <c r="L67" s="58"/>
      <c r="M67" s="58"/>
      <c r="N67" s="58"/>
    </row>
    <row r="68" spans="3:14" ht="12.75">
      <c r="C68" s="21"/>
      <c r="D68" s="21"/>
      <c r="E68" s="18">
        <v>45133</v>
      </c>
      <c r="F68" s="33"/>
      <c r="G68" s="33">
        <v>-2137802.21</v>
      </c>
      <c r="H68" s="21"/>
      <c r="I68" s="23"/>
      <c r="J68" s="23"/>
      <c r="K68" s="21"/>
      <c r="L68" s="58"/>
      <c r="M68" s="58"/>
      <c r="N68" s="58"/>
    </row>
    <row r="69" spans="3:14" ht="12.75">
      <c r="C69" s="21"/>
      <c r="D69" s="21"/>
      <c r="E69" s="18">
        <v>45148</v>
      </c>
      <c r="F69" s="33"/>
      <c r="G69" s="33">
        <v>-880271.47</v>
      </c>
      <c r="H69" s="21"/>
      <c r="I69" s="23"/>
      <c r="J69" s="23"/>
      <c r="K69" s="21"/>
      <c r="L69" s="58"/>
      <c r="M69" s="58"/>
      <c r="N69" s="58"/>
    </row>
    <row r="70" spans="3:14" ht="12.75">
      <c r="C70" s="21"/>
      <c r="D70" s="21"/>
      <c r="E70" s="18">
        <v>45177</v>
      </c>
      <c r="F70" s="33"/>
      <c r="G70" s="33">
        <v>-2012049.14</v>
      </c>
      <c r="H70" s="21"/>
      <c r="I70" s="23"/>
      <c r="J70" s="23"/>
      <c r="K70" s="21"/>
      <c r="L70" s="58"/>
      <c r="M70" s="58"/>
      <c r="N70" s="58"/>
    </row>
    <row r="71" spans="3:14" ht="12.75">
      <c r="C71" s="21" t="s">
        <v>26</v>
      </c>
      <c r="D71" s="21"/>
      <c r="E71" s="18">
        <v>44980</v>
      </c>
      <c r="F71" s="33"/>
      <c r="G71" s="33">
        <v>1627036.49</v>
      </c>
      <c r="H71" s="21"/>
      <c r="I71" s="23"/>
      <c r="J71" s="23"/>
      <c r="K71" s="21"/>
      <c r="L71" s="58"/>
      <c r="M71" s="58"/>
      <c r="N71" s="58"/>
    </row>
    <row r="72" spans="3:14" ht="12.75">
      <c r="C72" s="21"/>
      <c r="D72" s="21"/>
      <c r="E72" s="18">
        <v>45042</v>
      </c>
      <c r="F72" s="33"/>
      <c r="G72" s="33">
        <v>3481451.18</v>
      </c>
      <c r="H72" s="21"/>
      <c r="I72" s="23"/>
      <c r="J72" s="23"/>
      <c r="K72" s="21"/>
      <c r="L72" s="58"/>
      <c r="M72" s="58"/>
      <c r="N72" s="58"/>
    </row>
    <row r="73" spans="3:15" ht="4.5" customHeight="1">
      <c r="C73" s="21"/>
      <c r="D73" s="21"/>
      <c r="E73" s="18"/>
      <c r="F73" s="21"/>
      <c r="G73" s="33"/>
      <c r="H73" s="21"/>
      <c r="I73" s="23"/>
      <c r="J73" s="23"/>
      <c r="O73" s="65"/>
    </row>
    <row r="74" spans="3:13" ht="12.75">
      <c r="C74" s="21" t="s">
        <v>1</v>
      </c>
      <c r="D74" s="21"/>
      <c r="E74" s="18">
        <f>+E8</f>
        <v>45199</v>
      </c>
      <c r="F74" s="21"/>
      <c r="G74" s="49">
        <v>1.3931660470999998E8</v>
      </c>
      <c r="H74" s="21"/>
      <c r="I74" s="33">
        <f>+SUMIF($G$24:$G$73,"&lt;0",$G$24:$G$73)+G33+G37+G39+G40</f>
        <v>-1.9325624443043151E8</v>
      </c>
      <c r="J74" s="21" t="s">
        <v>11</v>
      </c>
      <c r="M74" s="65"/>
    </row>
    <row r="75" spans="3:15" ht="12.75">
      <c r="C75" s="21"/>
      <c r="D75" s="21"/>
      <c r="E75" s="21"/>
      <c r="F75" s="21"/>
      <c r="G75" s="21"/>
      <c r="H75" s="21"/>
      <c r="I75" s="33">
        <f>+SUMIF($G$24:$G$73,"&gt;0",$G$24:$G$73)-G33-G37-G39-G40</f>
        <v>1.3174119256000005E8</v>
      </c>
      <c r="J75" s="21" t="s">
        <v>12</v>
      </c>
      <c r="M75" s="65"/>
      <c r="O75" s="41"/>
    </row>
    <row r="76" spans="3:13" ht="12.75">
      <c r="C76" s="20" t="s">
        <v>0</v>
      </c>
      <c r="G76" s="47">
        <f>+XIRR(G24:G74,E24:E74,0.1)</f>
        <v>0.2624829947948456</v>
      </c>
      <c r="H76" s="21"/>
      <c r="M76" s="53"/>
    </row>
    <row r="77" spans="3:15" ht="12.75">
      <c r="C77" s="21"/>
      <c r="D77" s="21"/>
      <c r="E77" s="21"/>
      <c r="F77" s="21"/>
      <c r="G77" s="134"/>
      <c r="H77" s="135"/>
      <c r="I77" s="136"/>
      <c r="O77" s="41"/>
    </row>
    <row r="78" spans="3:13" ht="12.75">
      <c r="C78" s="21"/>
      <c r="D78" s="21"/>
      <c r="E78" s="21"/>
      <c r="F78" s="21"/>
      <c r="G78" s="135"/>
      <c r="H78" s="135"/>
      <c r="I78" s="136"/>
      <c r="M78" s="53"/>
    </row>
    <row r="79" spans="3:15" ht="12.75">
      <c r="C79" s="26"/>
      <c r="D79" s="26"/>
      <c r="E79" s="34"/>
      <c r="F79" s="26"/>
      <c r="G79" s="34"/>
      <c r="H79" s="21"/>
      <c r="I79" s="53"/>
      <c r="M79" s="53"/>
      <c r="O79" s="41"/>
    </row>
    <row r="80" spans="3:15" ht="12.75">
      <c r="C80" s="26"/>
      <c r="D80" s="26"/>
      <c r="E80" s="34"/>
      <c r="F80" s="26"/>
      <c r="G80" s="34"/>
      <c r="H80" s="21"/>
      <c r="M80" s="53"/>
      <c r="O80" s="41"/>
    </row>
    <row r="81" spans="3:15" ht="12.75">
      <c r="C81" s="26"/>
      <c r="D81" s="26"/>
      <c r="E81" s="34"/>
      <c r="F81" s="26"/>
      <c r="G81" s="34"/>
      <c r="H81" s="21"/>
      <c r="M81" s="53"/>
      <c r="O81" s="41"/>
    </row>
    <row r="82" spans="3:8" ht="12.75">
      <c r="C82" s="26"/>
      <c r="D82" s="26"/>
      <c r="E82" s="34"/>
      <c r="F82" s="26"/>
      <c r="G82" s="34"/>
      <c r="H82" s="20"/>
    </row>
    <row r="83" spans="3:8" ht="12.75">
      <c r="C83" s="26"/>
      <c r="D83" s="26"/>
      <c r="E83" s="34"/>
      <c r="F83" s="34"/>
      <c r="G83" s="34"/>
      <c r="H83" s="20"/>
    </row>
    <row r="84" spans="3:17" ht="12.75">
      <c r="C84" s="26"/>
      <c r="D84" s="26"/>
      <c r="E84" s="26"/>
      <c r="F84" s="26"/>
      <c r="G84" s="26"/>
      <c r="H84" s="20"/>
      <c r="O84" s="41"/>
      <c r="Q84" s="66"/>
    </row>
    <row r="85" spans="3:17" ht="12.75">
      <c r="C85" s="26"/>
      <c r="D85" s="26"/>
      <c r="E85" s="45"/>
      <c r="F85" s="46"/>
      <c r="G85" s="45"/>
      <c r="H85" s="20"/>
      <c r="O85" s="41"/>
      <c r="Q85" s="66"/>
    </row>
    <row r="86" spans="3:17" ht="12.75">
      <c r="C86" s="26"/>
      <c r="D86" s="26"/>
      <c r="E86" s="46"/>
      <c r="F86" s="46"/>
      <c r="G86" s="46"/>
      <c r="H86" s="20"/>
      <c r="Q86" s="66"/>
    </row>
    <row r="87" spans="3:17" ht="12.75">
      <c r="C87" s="26"/>
      <c r="D87" s="26"/>
      <c r="E87" s="46"/>
      <c r="F87" s="46"/>
      <c r="G87" s="46"/>
      <c r="H87" s="20"/>
      <c r="Q87" s="66"/>
    </row>
    <row r="88" spans="3:17" ht="12.75">
      <c r="C88" s="67"/>
      <c r="D88" s="26"/>
      <c r="E88" s="46"/>
      <c r="F88" s="46"/>
      <c r="G88" s="46"/>
      <c r="H88" s="20"/>
      <c r="Q88" s="66"/>
    </row>
    <row r="89" spans="3:17" ht="12.75">
      <c r="C89" s="67"/>
      <c r="D89" s="26"/>
      <c r="E89" s="46"/>
      <c r="F89" s="46"/>
      <c r="G89" s="46"/>
      <c r="H89" s="20"/>
      <c r="Q89" s="66"/>
    </row>
    <row r="90" spans="3:17" ht="12.75">
      <c r="C90" s="68"/>
      <c r="D90" s="26"/>
      <c r="E90" s="46"/>
      <c r="F90" s="46"/>
      <c r="G90" s="46"/>
      <c r="H90" s="20"/>
      <c r="Q90" s="66"/>
    </row>
    <row r="91" spans="3:17" ht="12.75">
      <c r="C91" s="26"/>
      <c r="D91" s="26"/>
      <c r="E91" s="46"/>
      <c r="F91" s="46"/>
      <c r="G91" s="46"/>
      <c r="H91" s="20"/>
      <c r="Q91" s="66"/>
    </row>
    <row r="92" spans="3:8" ht="12.75">
      <c r="C92" s="26"/>
      <c r="D92" s="26"/>
      <c r="E92" s="46"/>
      <c r="F92" s="46"/>
      <c r="G92" s="46"/>
      <c r="H92" s="20"/>
    </row>
    <row r="93" spans="3:8" ht="5.1" customHeight="1">
      <c r="C93" s="69"/>
      <c r="D93" s="20"/>
      <c r="E93" s="37"/>
      <c r="F93" s="37"/>
      <c r="G93" s="37"/>
      <c r="H93" s="20"/>
    </row>
    <row r="94" spans="3:8" ht="12.75">
      <c r="C94" s="69"/>
      <c r="D94" s="20"/>
      <c r="E94" s="43"/>
      <c r="F94" s="43"/>
      <c r="G94" s="43"/>
      <c r="H94" s="20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O133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5" ht="12.75">
      <c r="C10" s="105"/>
      <c r="D10" s="105"/>
      <c r="E10" s="106"/>
      <c r="F10" s="105"/>
      <c r="G10" s="54"/>
      <c r="H10" s="8"/>
      <c r="I10" s="16"/>
      <c r="O10" s="31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15" ht="12.75">
      <c r="C13" s="105"/>
      <c r="D13" s="105"/>
      <c r="E13" s="109"/>
      <c r="F13" s="105"/>
      <c r="G13" s="54"/>
      <c r="H13" s="9"/>
      <c r="I13" s="16"/>
      <c r="O13" s="31"/>
    </row>
    <row r="14" spans="3:15" ht="12.75">
      <c r="C14" s="105"/>
      <c r="D14" s="105"/>
      <c r="E14" s="110"/>
      <c r="F14" s="105"/>
      <c r="G14" s="54"/>
      <c r="H14" s="10"/>
      <c r="I14" s="16"/>
      <c r="O14" s="31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G99</f>
        <v>0.2592014968395233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-(G97+J100)/(J99)</f>
        <v>1.6240775927032503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0.0056</v>
      </c>
      <c r="D22" s="21"/>
      <c r="E22" s="21"/>
      <c r="F22" s="21"/>
      <c r="G22" s="27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3"/>
      <c r="G23" s="19">
        <v>-75000</v>
      </c>
      <c r="H23" s="21"/>
      <c r="I23" s="23"/>
      <c r="J23" s="23"/>
    </row>
    <row r="24" spans="3:10" ht="12.75">
      <c r="C24" s="21"/>
      <c r="D24" s="21"/>
      <c r="E24" s="18">
        <v>41166</v>
      </c>
      <c r="F24" s="33"/>
      <c r="G24" s="19">
        <v>-94080</v>
      </c>
      <c r="H24" s="21"/>
      <c r="I24" s="23"/>
      <c r="J24" s="23"/>
    </row>
    <row r="25" spans="3:10" ht="12.75">
      <c r="C25" s="21"/>
      <c r="D25" s="21"/>
      <c r="E25" s="18">
        <v>41270</v>
      </c>
      <c r="F25" s="33"/>
      <c r="G25" s="19">
        <v>-273280</v>
      </c>
      <c r="H25" s="21"/>
      <c r="I25" s="23"/>
      <c r="J25" s="23"/>
    </row>
    <row r="26" spans="3:10" ht="12.75">
      <c r="C26" s="21" t="s">
        <v>5</v>
      </c>
      <c r="D26" s="21"/>
      <c r="E26" s="18">
        <v>41311</v>
      </c>
      <c r="F26" s="33"/>
      <c r="G26" s="19">
        <v>-97440</v>
      </c>
      <c r="H26" s="21"/>
      <c r="I26" s="23"/>
      <c r="J26" s="23"/>
    </row>
    <row r="27" spans="3:10" ht="12.75">
      <c r="C27" s="21"/>
      <c r="D27" s="21"/>
      <c r="E27" s="18">
        <v>41341</v>
      </c>
      <c r="F27" s="33"/>
      <c r="G27" s="19">
        <v>-140000</v>
      </c>
      <c r="H27" s="21"/>
      <c r="I27" s="23"/>
      <c r="J27" s="23"/>
    </row>
    <row r="28" spans="3:10" ht="12.75">
      <c r="C28" s="21"/>
      <c r="D28" s="21"/>
      <c r="E28" s="18">
        <v>41361</v>
      </c>
      <c r="F28" s="33"/>
      <c r="G28" s="19">
        <v>-62720</v>
      </c>
      <c r="H28" s="21"/>
      <c r="I28" s="23"/>
      <c r="J28" s="23"/>
    </row>
    <row r="29" spans="3:10" ht="12.75">
      <c r="C29" s="21"/>
      <c r="D29" s="21"/>
      <c r="E29" s="18">
        <v>41387</v>
      </c>
      <c r="F29" s="33"/>
      <c r="G29" s="19">
        <v>-136640</v>
      </c>
      <c r="H29" s="21"/>
      <c r="I29" s="23"/>
      <c r="J29" s="23"/>
    </row>
    <row r="30" spans="3:10" ht="12.75">
      <c r="C30" s="21"/>
      <c r="D30" s="21"/>
      <c r="E30" s="18">
        <v>41408</v>
      </c>
      <c r="F30" s="33"/>
      <c r="G30" s="19">
        <v>-58800</v>
      </c>
      <c r="H30" s="21"/>
      <c r="I30" s="23"/>
      <c r="J30" s="23"/>
    </row>
    <row r="31" spans="3:10" ht="12.75">
      <c r="C31" s="21"/>
      <c r="D31" s="21"/>
      <c r="E31" s="18">
        <v>41439</v>
      </c>
      <c r="F31" s="33"/>
      <c r="G31" s="19">
        <v>-136080</v>
      </c>
      <c r="H31" s="21"/>
      <c r="I31" s="23"/>
      <c r="J31" s="23"/>
    </row>
    <row r="32" spans="3:9" ht="12.75">
      <c r="C32" s="21"/>
      <c r="D32" s="21"/>
      <c r="E32" s="18">
        <v>41479</v>
      </c>
      <c r="F32" s="33"/>
      <c r="G32" s="19">
        <v>-150640</v>
      </c>
      <c r="H32" s="21"/>
      <c r="I32" s="23"/>
    </row>
    <row r="33" spans="3:9" ht="12.75">
      <c r="C33" s="21"/>
      <c r="D33" s="21"/>
      <c r="E33" s="18">
        <v>41515</v>
      </c>
      <c r="F33" s="33"/>
      <c r="G33" s="19">
        <v>-94640</v>
      </c>
      <c r="H33" s="21"/>
      <c r="I33" s="23"/>
    </row>
    <row r="34" spans="3:9" ht="12.75">
      <c r="C34" s="21"/>
      <c r="D34" s="21"/>
      <c r="E34" s="18">
        <v>41543</v>
      </c>
      <c r="F34" s="33"/>
      <c r="G34" s="19">
        <v>-352800</v>
      </c>
      <c r="H34" s="21"/>
      <c r="I34" s="23"/>
    </row>
    <row r="35" spans="3:9" ht="12.75">
      <c r="C35" s="21"/>
      <c r="D35" s="21"/>
      <c r="E35" s="18">
        <v>41605</v>
      </c>
      <c r="F35" s="33"/>
      <c r="G35" s="19">
        <v>-83440</v>
      </c>
      <c r="H35" s="21"/>
      <c r="I35" s="23"/>
    </row>
    <row r="36" spans="3:9" ht="12.75">
      <c r="C36" s="21"/>
      <c r="D36" s="21"/>
      <c r="E36" s="18">
        <v>41638</v>
      </c>
      <c r="F36" s="33"/>
      <c r="G36" s="19">
        <v>-59920</v>
      </c>
      <c r="H36" s="21"/>
      <c r="I36" s="23"/>
    </row>
    <row r="37" spans="3:11" ht="12.75">
      <c r="C37" s="21" t="s">
        <v>7</v>
      </c>
      <c r="D37" s="21"/>
      <c r="E37" s="18">
        <v>41683</v>
      </c>
      <c r="F37" s="33"/>
      <c r="G37" s="33">
        <v>-61600</v>
      </c>
      <c r="H37" s="21"/>
      <c r="I37" s="23"/>
      <c r="J37" s="23"/>
      <c r="K37" s="21"/>
    </row>
    <row r="38" spans="3:9" ht="12.75">
      <c r="C38" s="21"/>
      <c r="D38" s="21"/>
      <c r="E38" s="18">
        <v>41701</v>
      </c>
      <c r="F38" s="33"/>
      <c r="G38" s="33">
        <v>-89599.99</v>
      </c>
      <c r="H38" s="21"/>
      <c r="I38" s="23"/>
    </row>
    <row r="39" spans="3:9" ht="12.75">
      <c r="C39" s="21"/>
      <c r="D39" s="21"/>
      <c r="E39" s="18">
        <v>41729</v>
      </c>
      <c r="F39" s="33"/>
      <c r="G39" s="33">
        <v>-115360</v>
      </c>
      <c r="H39" s="21"/>
      <c r="I39" s="23"/>
    </row>
    <row r="40" spans="3:9" ht="12.75">
      <c r="C40" s="21"/>
      <c r="D40" s="21"/>
      <c r="E40" s="18">
        <v>41751</v>
      </c>
      <c r="F40" s="33"/>
      <c r="G40" s="33">
        <v>-81200</v>
      </c>
      <c r="H40" s="21"/>
      <c r="I40" s="23"/>
    </row>
    <row r="41" spans="3:9" ht="12.75">
      <c r="C41" s="21"/>
      <c r="D41" s="21"/>
      <c r="E41" s="18">
        <v>41782</v>
      </c>
      <c r="F41" s="33"/>
      <c r="G41" s="33">
        <v>-138320</v>
      </c>
      <c r="H41" s="21"/>
      <c r="I41" s="23"/>
    </row>
    <row r="42" spans="3:9" ht="12.75">
      <c r="C42" s="21"/>
      <c r="D42" s="21"/>
      <c r="E42" s="18">
        <v>41808</v>
      </c>
      <c r="F42" s="33"/>
      <c r="G42" s="33">
        <v>-332080</v>
      </c>
      <c r="H42" s="21"/>
      <c r="I42" s="23"/>
    </row>
    <row r="43" spans="3:11" ht="12.75">
      <c r="C43" s="21"/>
      <c r="D43" s="21"/>
      <c r="E43" s="18">
        <v>41894</v>
      </c>
      <c r="F43" s="33"/>
      <c r="G43" s="33">
        <v>-69440</v>
      </c>
      <c r="H43" s="21"/>
      <c r="I43" s="23"/>
      <c r="J43" s="39"/>
      <c r="K43" s="40"/>
    </row>
    <row r="44" spans="3:11" ht="12.75">
      <c r="C44" s="21"/>
      <c r="D44" s="21"/>
      <c r="E44" s="18">
        <v>41942</v>
      </c>
      <c r="F44" s="33"/>
      <c r="G44" s="33">
        <v>-98560</v>
      </c>
      <c r="H44" s="21"/>
      <c r="I44" s="23"/>
      <c r="J44" s="39"/>
      <c r="K44" s="40"/>
    </row>
    <row r="45" spans="3:11" ht="12.75">
      <c r="C45" s="21"/>
      <c r="D45" s="21"/>
      <c r="E45" s="18">
        <v>41962</v>
      </c>
      <c r="F45" s="33"/>
      <c r="G45" s="33">
        <v>-218960</v>
      </c>
      <c r="H45" s="21"/>
      <c r="I45" s="23"/>
      <c r="J45" s="39"/>
      <c r="K45" s="40"/>
    </row>
    <row r="46" spans="3:11" ht="12.75">
      <c r="C46" s="21"/>
      <c r="D46" s="21"/>
      <c r="E46" s="18">
        <v>41975</v>
      </c>
      <c r="F46" s="33"/>
      <c r="G46" s="33">
        <v>-257600</v>
      </c>
      <c r="H46" s="21"/>
      <c r="I46" s="23"/>
      <c r="J46" s="39"/>
      <c r="K46" s="40"/>
    </row>
    <row r="47" spans="3:9" ht="12.75">
      <c r="C47" s="21" t="s">
        <v>8</v>
      </c>
      <c r="D47" s="21"/>
      <c r="E47" s="18">
        <v>41969</v>
      </c>
      <c r="F47" s="33"/>
      <c r="G47" s="33">
        <v>950190.04</v>
      </c>
      <c r="H47" s="21"/>
      <c r="I47" s="23"/>
    </row>
    <row r="48" spans="3:9" ht="12.75">
      <c r="C48" s="21" t="s">
        <v>9</v>
      </c>
      <c r="D48" s="21"/>
      <c r="E48" s="18">
        <v>42037</v>
      </c>
      <c r="F48" s="33"/>
      <c r="G48" s="33">
        <v>-216720</v>
      </c>
      <c r="H48" s="21"/>
      <c r="I48" s="23"/>
    </row>
    <row r="49" spans="3:9" ht="12.75">
      <c r="C49" s="21"/>
      <c r="D49" s="21"/>
      <c r="E49" s="18">
        <v>42094</v>
      </c>
      <c r="F49" s="33"/>
      <c r="G49" s="33">
        <v>-188160</v>
      </c>
      <c r="H49" s="21"/>
      <c r="I49" s="23"/>
    </row>
    <row r="50" spans="3:9" ht="12.75">
      <c r="C50" s="21"/>
      <c r="D50" s="21"/>
      <c r="E50" s="18">
        <v>42110</v>
      </c>
      <c r="F50" s="33"/>
      <c r="G50" s="33">
        <v>-157360</v>
      </c>
      <c r="H50" s="21"/>
      <c r="I50" s="23"/>
    </row>
    <row r="51" spans="3:9" ht="12.75">
      <c r="C51" s="21"/>
      <c r="D51" s="21"/>
      <c r="E51" s="18">
        <v>42145</v>
      </c>
      <c r="F51" s="33"/>
      <c r="G51" s="33">
        <v>-196560</v>
      </c>
      <c r="H51" s="21"/>
      <c r="I51" s="23"/>
    </row>
    <row r="52" spans="3:11" ht="12.75">
      <c r="C52" s="21"/>
      <c r="D52" s="21"/>
      <c r="E52" s="18">
        <v>42158</v>
      </c>
      <c r="F52" s="33"/>
      <c r="G52" s="33">
        <v>-563360</v>
      </c>
      <c r="H52" s="21"/>
      <c r="I52" s="23"/>
      <c r="J52" s="23"/>
      <c r="K52" s="21"/>
    </row>
    <row r="53" spans="3:11" ht="12.75">
      <c r="C53" s="21"/>
      <c r="D53" s="21"/>
      <c r="E53" s="18">
        <v>42261</v>
      </c>
      <c r="F53" s="33"/>
      <c r="G53" s="33">
        <v>-423920</v>
      </c>
      <c r="H53" s="21"/>
      <c r="I53" s="23"/>
      <c r="J53" s="23"/>
      <c r="K53" s="21"/>
    </row>
    <row r="54" spans="3:11" ht="12.75">
      <c r="C54" s="21"/>
      <c r="D54" s="21"/>
      <c r="E54" s="18">
        <v>42366</v>
      </c>
      <c r="F54" s="33"/>
      <c r="G54" s="33">
        <v>-105840</v>
      </c>
      <c r="H54" s="21"/>
      <c r="I54" s="23"/>
      <c r="J54" s="23"/>
      <c r="K54" s="21"/>
    </row>
    <row r="55" spans="3:11" ht="12.75">
      <c r="C55" s="21" t="s">
        <v>10</v>
      </c>
      <c r="D55" s="21"/>
      <c r="E55" s="18">
        <v>42341</v>
      </c>
      <c r="F55" s="33"/>
      <c r="G55" s="33">
        <v>167083.98</v>
      </c>
      <c r="H55" s="21"/>
      <c r="I55" s="23"/>
      <c r="J55" s="23"/>
      <c r="K55" s="21"/>
    </row>
    <row r="56" spans="3:11" ht="12.75">
      <c r="C56" s="21" t="s">
        <v>13</v>
      </c>
      <c r="D56" s="21"/>
      <c r="E56" s="18">
        <v>42397</v>
      </c>
      <c r="F56" s="33"/>
      <c r="G56" s="33">
        <v>-152880</v>
      </c>
      <c r="H56" s="21"/>
      <c r="I56" s="23"/>
      <c r="J56" s="23"/>
      <c r="K56" s="21"/>
    </row>
    <row r="57" spans="3:11" ht="12.75">
      <c r="C57" s="21"/>
      <c r="D57" s="21"/>
      <c r="E57" s="18">
        <v>42447</v>
      </c>
      <c r="F57" s="33"/>
      <c r="G57" s="33">
        <v>-192080</v>
      </c>
      <c r="H57" s="21"/>
      <c r="I57" s="23"/>
      <c r="J57" s="23"/>
      <c r="K57" s="21"/>
    </row>
    <row r="58" spans="3:11" ht="12.75">
      <c r="C58" s="21"/>
      <c r="D58" s="21"/>
      <c r="E58" s="18">
        <v>42494</v>
      </c>
      <c r="F58" s="33"/>
      <c r="G58" s="33">
        <v>-149520</v>
      </c>
      <c r="H58" s="21"/>
      <c r="I58" s="23"/>
      <c r="J58" s="23"/>
      <c r="K58" s="21"/>
    </row>
    <row r="59" spans="3:11" ht="12.75">
      <c r="C59" s="21"/>
      <c r="D59" s="21"/>
      <c r="E59" s="18">
        <v>42556</v>
      </c>
      <c r="F59" s="33"/>
      <c r="G59" s="33">
        <v>-130480</v>
      </c>
      <c r="H59" s="21"/>
      <c r="I59" s="23"/>
      <c r="J59" s="23"/>
      <c r="K59" s="21"/>
    </row>
    <row r="60" spans="3:11" ht="12.75">
      <c r="C60" s="21"/>
      <c r="D60" s="21"/>
      <c r="E60" s="18">
        <v>42605</v>
      </c>
      <c r="F60" s="33"/>
      <c r="G60" s="33">
        <v>-1252720</v>
      </c>
      <c r="H60" s="21"/>
      <c r="I60" s="23"/>
      <c r="J60" s="23"/>
      <c r="K60" s="21"/>
    </row>
    <row r="61" spans="3:11" ht="12.75">
      <c r="C61" s="21"/>
      <c r="D61" s="21"/>
      <c r="E61" s="18">
        <v>42661</v>
      </c>
      <c r="F61" s="33"/>
      <c r="G61" s="33">
        <v>-119280</v>
      </c>
      <c r="H61" s="21"/>
      <c r="I61" s="23"/>
      <c r="J61" s="23"/>
      <c r="K61" s="21"/>
    </row>
    <row r="62" spans="3:11" ht="12.75">
      <c r="C62" s="21" t="s">
        <v>14</v>
      </c>
      <c r="D62" s="21"/>
      <c r="E62" s="18">
        <v>42381</v>
      </c>
      <c r="F62" s="33"/>
      <c r="G62" s="33">
        <v>1368658.03</v>
      </c>
      <c r="H62" s="21"/>
      <c r="I62" s="23"/>
      <c r="J62" s="23"/>
      <c r="K62" s="21"/>
    </row>
    <row r="63" spans="3:11" ht="12.75">
      <c r="C63" s="21"/>
      <c r="D63" s="21"/>
      <c r="E63" s="18">
        <v>42549</v>
      </c>
      <c r="F63" s="33"/>
      <c r="G63" s="33">
        <v>182010.75</v>
      </c>
      <c r="H63" s="21"/>
      <c r="I63" s="23"/>
      <c r="J63" s="23"/>
      <c r="K63" s="21"/>
    </row>
    <row r="64" spans="3:11" ht="12.75">
      <c r="C64" s="21"/>
      <c r="D64" s="21"/>
      <c r="E64" s="18">
        <v>42640</v>
      </c>
      <c r="F64" s="33"/>
      <c r="G64" s="33">
        <v>267565.96</v>
      </c>
      <c r="H64" s="21"/>
      <c r="I64" s="23"/>
      <c r="J64" s="23"/>
      <c r="K64" s="21"/>
    </row>
    <row r="65" spans="3:12" ht="15.75">
      <c r="C65" s="21"/>
      <c r="D65" s="21"/>
      <c r="E65" s="18">
        <v>42654</v>
      </c>
      <c r="F65" s="33"/>
      <c r="G65" s="33">
        <v>109364.79</v>
      </c>
      <c r="H65" s="21"/>
      <c r="I65" s="23"/>
      <c r="J65" s="111"/>
      <c r="K65" s="112"/>
      <c r="L65" s="104"/>
    </row>
    <row r="66" spans="3:12" ht="12.75">
      <c r="C66" s="21" t="s">
        <v>15</v>
      </c>
      <c r="D66" s="21"/>
      <c r="E66" s="18">
        <v>42793</v>
      </c>
      <c r="F66" s="33"/>
      <c r="G66" s="33">
        <v>-118720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42870</v>
      </c>
      <c r="F67" s="33"/>
      <c r="G67" s="33">
        <v>-119840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42992</v>
      </c>
      <c r="F68" s="33"/>
      <c r="G68" s="33">
        <v>-113120</v>
      </c>
      <c r="H68" s="21"/>
      <c r="I68" s="23"/>
      <c r="J68" s="111"/>
      <c r="K68" s="112"/>
      <c r="L68" s="54"/>
    </row>
    <row r="69" spans="3:12" ht="12.75">
      <c r="C69" s="21"/>
      <c r="D69" s="21"/>
      <c r="E69" s="18">
        <v>43048</v>
      </c>
      <c r="F69" s="33"/>
      <c r="G69" s="33">
        <v>-217280</v>
      </c>
      <c r="H69" s="21"/>
      <c r="I69" s="23"/>
      <c r="J69" s="111"/>
      <c r="K69" s="112"/>
      <c r="L69" s="54"/>
    </row>
    <row r="70" spans="3:12" ht="12.75">
      <c r="C70" s="21" t="s">
        <v>16</v>
      </c>
      <c r="D70" s="21"/>
      <c r="E70" s="18">
        <v>42746</v>
      </c>
      <c r="F70" s="33"/>
      <c r="G70" s="33">
        <v>405584.79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42802</v>
      </c>
      <c r="F71" s="33"/>
      <c r="G71" s="33">
        <v>606119.09</v>
      </c>
      <c r="H71" s="21"/>
      <c r="I71" s="23"/>
      <c r="J71" s="111"/>
      <c r="K71" s="112"/>
      <c r="L71" s="113"/>
    </row>
    <row r="72" spans="3:12" ht="12.75">
      <c r="C72" s="21"/>
      <c r="D72" s="21"/>
      <c r="E72" s="18">
        <v>42885</v>
      </c>
      <c r="F72" s="33"/>
      <c r="G72" s="33">
        <v>224558.85</v>
      </c>
      <c r="H72" s="21"/>
      <c r="I72" s="23"/>
      <c r="J72" s="111"/>
      <c r="K72" s="112"/>
      <c r="L72" s="113"/>
    </row>
    <row r="73" spans="3:11" ht="12.75">
      <c r="C73" s="21"/>
      <c r="D73" s="21"/>
      <c r="E73" s="18">
        <v>42913</v>
      </c>
      <c r="F73" s="33"/>
      <c r="G73" s="33">
        <v>5827248.31</v>
      </c>
      <c r="H73" s="21"/>
      <c r="I73" s="23"/>
      <c r="J73" s="23"/>
      <c r="K73" s="21"/>
    </row>
    <row r="74" spans="3:11" ht="12.75">
      <c r="C74" s="21"/>
      <c r="D74" s="21"/>
      <c r="E74" s="18">
        <v>42999</v>
      </c>
      <c r="F74" s="33"/>
      <c r="G74" s="33">
        <v>397158.17</v>
      </c>
      <c r="H74" s="21"/>
      <c r="I74" s="23"/>
      <c r="J74" s="23"/>
      <c r="K74" s="21"/>
    </row>
    <row r="75" spans="3:11" ht="12.75">
      <c r="C75" s="21" t="s">
        <v>17</v>
      </c>
      <c r="D75" s="21"/>
      <c r="E75" s="18">
        <v>43132</v>
      </c>
      <c r="F75" s="33"/>
      <c r="G75" s="33">
        <v>-150080</v>
      </c>
      <c r="H75" s="21"/>
      <c r="I75" s="23"/>
      <c r="J75" s="23"/>
      <c r="K75" s="21"/>
    </row>
    <row r="76" spans="3:11" ht="12.75">
      <c r="C76" s="21"/>
      <c r="D76" s="21"/>
      <c r="E76" s="18">
        <v>43147</v>
      </c>
      <c r="F76" s="33"/>
      <c r="G76" s="33">
        <v>-330400</v>
      </c>
      <c r="H76" s="21"/>
      <c r="I76" s="23"/>
      <c r="J76" s="23"/>
      <c r="K76" s="21"/>
    </row>
    <row r="77" spans="3:11" ht="12.75">
      <c r="C77" s="21"/>
      <c r="D77" s="21"/>
      <c r="E77" s="18">
        <v>43370</v>
      </c>
      <c r="F77" s="33"/>
      <c r="G77" s="33">
        <v>-106400</v>
      </c>
      <c r="H77" s="21"/>
      <c r="I77" s="23"/>
      <c r="J77" s="23"/>
      <c r="K77" s="21"/>
    </row>
    <row r="78" spans="3:11" ht="12.75">
      <c r="C78" s="21" t="s">
        <v>18</v>
      </c>
      <c r="D78" s="21"/>
      <c r="E78" s="18">
        <v>43122</v>
      </c>
      <c r="F78" s="33"/>
      <c r="G78" s="33">
        <v>1706867.46</v>
      </c>
      <c r="H78" s="21"/>
      <c r="I78" s="23"/>
      <c r="J78" s="23"/>
      <c r="K78" s="21"/>
    </row>
    <row r="79" spans="3:11" ht="12.75">
      <c r="C79" s="21"/>
      <c r="D79" s="21"/>
      <c r="E79" s="18">
        <v>43300</v>
      </c>
      <c r="F79" s="33"/>
      <c r="G79" s="33">
        <v>423504.53</v>
      </c>
      <c r="H79" s="21"/>
      <c r="I79" s="23"/>
      <c r="J79" s="23"/>
      <c r="K79" s="21"/>
    </row>
    <row r="80" spans="3:11" ht="12.75">
      <c r="C80" s="21" t="s">
        <v>19</v>
      </c>
      <c r="D80" s="21"/>
      <c r="E80" s="18">
        <v>43490</v>
      </c>
      <c r="F80" s="33"/>
      <c r="G80" s="33">
        <v>-146720</v>
      </c>
      <c r="H80" s="21"/>
      <c r="I80" s="23"/>
      <c r="J80" s="23"/>
      <c r="K80" s="21"/>
    </row>
    <row r="81" spans="3:11" ht="12.75">
      <c r="C81" s="21"/>
      <c r="D81" s="21"/>
      <c r="E81" s="18">
        <v>43517</v>
      </c>
      <c r="F81" s="33"/>
      <c r="G81" s="33">
        <v>-166320</v>
      </c>
      <c r="H81" s="21"/>
      <c r="I81" s="23"/>
      <c r="J81" s="23"/>
      <c r="K81" s="21"/>
    </row>
    <row r="82" spans="3:11" ht="12.75">
      <c r="C82" s="21"/>
      <c r="D82" s="21"/>
      <c r="E82" s="18">
        <v>43560</v>
      </c>
      <c r="F82" s="33"/>
      <c r="G82" s="33">
        <v>-454160</v>
      </c>
      <c r="H82" s="21"/>
      <c r="I82" s="23"/>
      <c r="J82" s="23"/>
      <c r="K82" s="21"/>
    </row>
    <row r="83" spans="3:11" ht="12.75">
      <c r="C83" s="21"/>
      <c r="D83" s="21"/>
      <c r="E83" s="18">
        <v>43623</v>
      </c>
      <c r="F83" s="33"/>
      <c r="G83" s="33">
        <v>-117600</v>
      </c>
      <c r="H83" s="21"/>
      <c r="I83" s="23"/>
      <c r="J83" s="23"/>
      <c r="K83" s="21"/>
    </row>
    <row r="84" spans="3:11" ht="12.75">
      <c r="C84" s="21"/>
      <c r="D84" s="21"/>
      <c r="E84" s="18">
        <v>43733</v>
      </c>
      <c r="F84" s="33"/>
      <c r="G84" s="33">
        <v>-111440</v>
      </c>
      <c r="H84" s="21"/>
      <c r="I84" s="23"/>
      <c r="J84" s="23"/>
      <c r="K84" s="21"/>
    </row>
    <row r="85" spans="3:11" ht="12.75">
      <c r="C85" s="21"/>
      <c r="D85" s="21"/>
      <c r="E85" s="18">
        <v>43825</v>
      </c>
      <c r="F85" s="33"/>
      <c r="G85" s="33">
        <v>-66080</v>
      </c>
      <c r="H85" s="21"/>
      <c r="I85" s="23"/>
      <c r="J85" s="23"/>
      <c r="K85" s="21"/>
    </row>
    <row r="86" spans="3:11" ht="12.75">
      <c r="C86" s="21" t="s">
        <v>20</v>
      </c>
      <c r="D86" s="21"/>
      <c r="E86" s="18">
        <v>43545</v>
      </c>
      <c r="F86" s="33"/>
      <c r="G86" s="33">
        <v>177644.72</v>
      </c>
      <c r="H86" s="21"/>
      <c r="I86" s="23"/>
      <c r="J86" s="23"/>
      <c r="K86" s="21"/>
    </row>
    <row r="87" spans="3:11" ht="12.75">
      <c r="C87" s="21" t="s">
        <v>21</v>
      </c>
      <c r="D87" s="21"/>
      <c r="E87" s="18">
        <v>43950</v>
      </c>
      <c r="F87" s="33"/>
      <c r="G87" s="33">
        <v>-90160</v>
      </c>
      <c r="H87" s="21"/>
      <c r="I87" s="23"/>
      <c r="J87" s="23"/>
      <c r="K87" s="21"/>
    </row>
    <row r="88" spans="3:11" ht="12.75">
      <c r="C88" s="21" t="s">
        <v>22</v>
      </c>
      <c r="D88" s="21"/>
      <c r="E88" s="18">
        <v>44084</v>
      </c>
      <c r="F88" s="33"/>
      <c r="G88" s="33">
        <v>98641.36</v>
      </c>
      <c r="H88" s="21"/>
      <c r="I88" s="23"/>
      <c r="J88" s="23"/>
      <c r="K88" s="21"/>
    </row>
    <row r="89" spans="3:12" ht="15.75">
      <c r="C89" s="21"/>
      <c r="D89" s="21"/>
      <c r="E89" s="18">
        <v>44158</v>
      </c>
      <c r="F89" s="33"/>
      <c r="G89" s="33">
        <v>456197.97</v>
      </c>
      <c r="H89" s="21"/>
      <c r="I89" s="23"/>
      <c r="J89" s="23"/>
      <c r="K89" s="21"/>
      <c r="L89" s="50"/>
    </row>
    <row r="90" spans="3:12" ht="15.75">
      <c r="C90" s="21" t="s">
        <v>24</v>
      </c>
      <c r="D90" s="21"/>
      <c r="E90" s="18">
        <v>44203</v>
      </c>
      <c r="F90" s="33"/>
      <c r="G90" s="33">
        <v>-56000</v>
      </c>
      <c r="H90" s="21"/>
      <c r="I90" s="23"/>
      <c r="J90" s="23"/>
      <c r="K90" s="21"/>
      <c r="L90" s="50"/>
    </row>
    <row r="91" spans="3:12" ht="15.75">
      <c r="C91" s="21" t="s">
        <v>23</v>
      </c>
      <c r="D91" s="21"/>
      <c r="E91" s="18">
        <v>44284</v>
      </c>
      <c r="F91" s="33"/>
      <c r="G91" s="33">
        <v>52464.24</v>
      </c>
      <c r="H91" s="21"/>
      <c r="I91" s="23"/>
      <c r="J91" s="23"/>
      <c r="K91" s="21"/>
      <c r="L91" s="50"/>
    </row>
    <row r="92" spans="3:12" ht="15.75">
      <c r="C92" s="21"/>
      <c r="D92" s="21"/>
      <c r="E92" s="18">
        <v>44546</v>
      </c>
      <c r="F92" s="33"/>
      <c r="G92" s="33">
        <v>86158.79</v>
      </c>
      <c r="H92" s="21"/>
      <c r="I92" s="23"/>
      <c r="J92" s="23"/>
      <c r="K92" s="21"/>
      <c r="L92" s="50"/>
    </row>
    <row r="93" spans="3:12" ht="15.75">
      <c r="C93" s="21" t="s">
        <v>25</v>
      </c>
      <c r="D93" s="21"/>
      <c r="E93" s="18">
        <v>44624</v>
      </c>
      <c r="F93" s="33"/>
      <c r="G93" s="33">
        <v>753227.11</v>
      </c>
      <c r="H93" s="21"/>
      <c r="I93" s="23"/>
      <c r="J93" s="23"/>
      <c r="K93" s="21"/>
      <c r="L93" s="50"/>
    </row>
    <row r="94" spans="3:12" ht="15.75">
      <c r="C94" s="21" t="s">
        <v>26</v>
      </c>
      <c r="D94" s="21"/>
      <c r="E94" s="18">
        <v>45078</v>
      </c>
      <c r="F94" s="33"/>
      <c r="G94" s="33">
        <v>93829.53</v>
      </c>
      <c r="H94" s="21"/>
      <c r="I94" s="23"/>
      <c r="J94" s="23"/>
      <c r="K94" s="21"/>
      <c r="L94" s="50"/>
    </row>
    <row r="95" spans="3:12" ht="15.75">
      <c r="C95" s="21"/>
      <c r="D95" s="21"/>
      <c r="E95" s="18">
        <v>45175</v>
      </c>
      <c r="F95" s="33"/>
      <c r="G95" s="33">
        <v>96650.84</v>
      </c>
      <c r="H95" s="21"/>
      <c r="I95" s="23"/>
      <c r="J95" s="23"/>
      <c r="K95" s="21"/>
      <c r="L95" s="50"/>
    </row>
    <row r="96" spans="3:10" ht="4.5" customHeight="1">
      <c r="C96" s="21"/>
      <c r="D96" s="21"/>
      <c r="E96" s="18"/>
      <c r="F96" s="21"/>
      <c r="G96" s="33"/>
      <c r="H96" s="21"/>
      <c r="I96" s="23"/>
      <c r="J96" s="23"/>
    </row>
    <row r="97" spans="3:12" ht="12.75">
      <c r="C97" s="21" t="s">
        <v>1</v>
      </c>
      <c r="D97" s="21"/>
      <c r="E97" s="18">
        <f>+E8</f>
        <v>45199</v>
      </c>
      <c r="F97" s="21"/>
      <c r="G97" s="49">
        <f>L97/0.98*C22</f>
        <v>964040.7371428569</v>
      </c>
      <c r="H97" s="21"/>
      <c r="I97" s="18"/>
      <c r="K97" s="48"/>
      <c r="L97" s="54">
        <v>1.6870712899999997E8</v>
      </c>
    </row>
    <row r="98" spans="3:14" ht="12.75">
      <c r="C98" s="21"/>
      <c r="D98" s="21"/>
      <c r="E98" s="21"/>
      <c r="F98" s="21"/>
      <c r="G98" s="21"/>
      <c r="H98" s="21"/>
      <c r="J98" s="23"/>
      <c r="N98" s="41"/>
    </row>
    <row r="99" spans="3:14" ht="12.75">
      <c r="C99" s="20" t="s">
        <v>0</v>
      </c>
      <c r="G99" s="47">
        <f>+XIRR(G23:G97,E23:E97,0.1)</f>
        <v>0.2592014968395233</v>
      </c>
      <c r="H99" s="21"/>
      <c r="J99" s="33">
        <f>+SUMIF($G$23:$G$96,"&lt;0",$G$23:$G$96)</f>
        <v>-9491399.99</v>
      </c>
      <c r="K99" s="21" t="s">
        <v>11</v>
      </c>
      <c r="N99" s="41"/>
    </row>
    <row r="100" spans="3:14" ht="12.75">
      <c r="C100" s="21"/>
      <c r="D100" s="21"/>
      <c r="E100" s="21"/>
      <c r="F100" s="21"/>
      <c r="G100" s="21"/>
      <c r="H100" s="21"/>
      <c r="J100" s="33">
        <f>+SUMIF($G$23:$G$96,"&gt;0",$G$23:$G$96)</f>
        <v>1.4450729309999997E7</v>
      </c>
      <c r="K100" s="21" t="s">
        <v>12</v>
      </c>
      <c r="N100" s="41"/>
    </row>
    <row r="101" spans="3:8" ht="12.75">
      <c r="C101" s="21"/>
      <c r="D101" s="21"/>
      <c r="E101" s="21"/>
      <c r="F101" s="21"/>
      <c r="G101" s="21"/>
      <c r="H101" s="21"/>
    </row>
    <row r="102" spans="3:8" ht="12.75">
      <c r="C102" s="21"/>
      <c r="D102" s="21"/>
      <c r="E102" s="34"/>
      <c r="F102" s="21"/>
      <c r="G102" s="34"/>
      <c r="H102" s="21"/>
    </row>
    <row r="103" spans="3:8" ht="12.75">
      <c r="C103" s="26"/>
      <c r="D103" s="26"/>
      <c r="E103" s="34"/>
      <c r="F103" s="26"/>
      <c r="G103" s="34"/>
      <c r="H103" s="21"/>
    </row>
    <row r="104" spans="3:8" ht="12.75">
      <c r="C104" s="26"/>
      <c r="D104" s="26"/>
      <c r="E104" s="34"/>
      <c r="F104" s="26"/>
      <c r="G104" s="34"/>
      <c r="H104" s="21"/>
    </row>
    <row r="105" spans="3:8" ht="12.75">
      <c r="C105" s="26"/>
      <c r="D105" s="26"/>
      <c r="E105" s="26"/>
      <c r="F105" s="26"/>
      <c r="G105" s="26"/>
      <c r="H105" s="20"/>
    </row>
    <row r="106" spans="3:8" ht="12.75">
      <c r="C106" s="26"/>
      <c r="D106" s="26"/>
      <c r="E106" s="34"/>
      <c r="F106" s="34"/>
      <c r="G106" s="34"/>
      <c r="H106" s="20"/>
    </row>
    <row r="107" spans="3:8" ht="12.75">
      <c r="C107" s="26"/>
      <c r="D107" s="26"/>
      <c r="E107" s="26"/>
      <c r="F107" s="26"/>
      <c r="G107" s="26"/>
      <c r="H107" s="20"/>
    </row>
    <row r="108" spans="3:8" ht="12.75">
      <c r="C108" s="114"/>
      <c r="D108" s="114"/>
      <c r="E108" s="115"/>
      <c r="F108" s="46"/>
      <c r="G108" s="45"/>
      <c r="H108" s="20"/>
    </row>
    <row r="109" spans="3:8" ht="12.75">
      <c r="C109" s="114"/>
      <c r="D109" s="114"/>
      <c r="E109" s="46"/>
      <c r="F109" s="46"/>
      <c r="G109" s="46"/>
      <c r="H109" s="20"/>
    </row>
    <row r="110" spans="3:8" ht="12.75">
      <c r="C110" s="114"/>
      <c r="D110" s="114"/>
      <c r="E110" s="46"/>
      <c r="F110" s="46"/>
      <c r="G110" s="46"/>
      <c r="H110" s="20"/>
    </row>
    <row r="111" spans="3:8" ht="12.75">
      <c r="C111" s="116"/>
      <c r="D111" s="114"/>
      <c r="E111" s="46"/>
      <c r="F111" s="46"/>
      <c r="G111" s="46"/>
      <c r="H111" s="20"/>
    </row>
    <row r="112" spans="3:8" ht="12.75">
      <c r="C112" s="116"/>
      <c r="D112" s="114"/>
      <c r="E112" s="46"/>
      <c r="F112" s="46"/>
      <c r="G112" s="46"/>
      <c r="H112" s="20"/>
    </row>
    <row r="113" spans="3:8" ht="12.75">
      <c r="C113" s="117"/>
      <c r="D113" s="114"/>
      <c r="E113" s="46"/>
      <c r="F113" s="46"/>
      <c r="G113" s="46"/>
      <c r="H113" s="20"/>
    </row>
    <row r="114" spans="3:8" ht="12.75">
      <c r="C114" s="114"/>
      <c r="D114" s="114"/>
      <c r="E114" s="46"/>
      <c r="F114" s="46"/>
      <c r="G114" s="46"/>
      <c r="H114" s="20"/>
    </row>
    <row r="115" spans="3:8" ht="12.75">
      <c r="C115" s="114"/>
      <c r="D115" s="114"/>
      <c r="E115" s="46"/>
      <c r="F115" s="46"/>
      <c r="G115" s="46"/>
      <c r="H115" s="20"/>
    </row>
    <row r="116" spans="3:8" ht="12.75">
      <c r="C116" s="114"/>
      <c r="D116" s="114"/>
      <c r="E116" s="46"/>
      <c r="F116" s="46"/>
      <c r="G116" s="46"/>
      <c r="H116" s="20"/>
    </row>
    <row r="117" spans="3:8" ht="12.75">
      <c r="C117" s="114"/>
      <c r="D117" s="114"/>
      <c r="E117" s="46"/>
      <c r="F117" s="46"/>
      <c r="G117" s="46"/>
      <c r="H117" s="20"/>
    </row>
    <row r="118" spans="3:8" ht="12.75">
      <c r="C118" s="114"/>
      <c r="D118" s="114"/>
      <c r="E118" s="46"/>
      <c r="F118" s="46"/>
      <c r="G118" s="46"/>
      <c r="H118" s="20"/>
    </row>
    <row r="119" spans="3:8" ht="12.75">
      <c r="C119" s="114"/>
      <c r="D119" s="114"/>
      <c r="E119" s="46"/>
      <c r="F119" s="46"/>
      <c r="G119" s="46"/>
      <c r="H119" s="20"/>
    </row>
    <row r="120" spans="3:8" ht="5.1" customHeight="1">
      <c r="C120" s="20"/>
      <c r="D120" s="20"/>
      <c r="E120" s="37"/>
      <c r="F120" s="37"/>
      <c r="G120" s="37"/>
      <c r="H120" s="20"/>
    </row>
    <row r="121" spans="3:8" ht="12.75">
      <c r="C121" s="20"/>
      <c r="D121" s="20"/>
      <c r="E121" s="43"/>
      <c r="F121" s="43"/>
      <c r="G121" s="43"/>
      <c r="H121" s="20"/>
    </row>
    <row r="123" spans="3:10" ht="12.75">
      <c r="C123" s="26"/>
      <c r="D123" s="26"/>
      <c r="E123" s="51"/>
      <c r="F123" s="51"/>
      <c r="G123" s="51"/>
      <c r="H123" s="20"/>
      <c r="J123" s="44"/>
    </row>
    <row r="124" spans="3:8" ht="12.75">
      <c r="C124" s="26"/>
      <c r="D124" s="26"/>
      <c r="E124" s="34"/>
      <c r="F124" s="34"/>
      <c r="G124" s="34"/>
      <c r="H124" s="20"/>
    </row>
    <row r="125" spans="3:8" ht="12.75">
      <c r="C125" s="26"/>
      <c r="D125" s="26"/>
      <c r="E125" s="26"/>
      <c r="F125" s="26"/>
      <c r="G125" s="26"/>
      <c r="H125" s="20"/>
    </row>
    <row r="126" spans="3:8" ht="12.75">
      <c r="C126" s="26"/>
      <c r="D126" s="26"/>
      <c r="E126" s="45"/>
      <c r="F126" s="46"/>
      <c r="G126" s="45"/>
      <c r="H126" s="20"/>
    </row>
    <row r="127" spans="3:8" ht="12.75">
      <c r="C127" s="26"/>
      <c r="D127" s="26"/>
      <c r="E127" s="46"/>
      <c r="F127" s="46"/>
      <c r="G127" s="46"/>
      <c r="H127" s="20"/>
    </row>
    <row r="128" spans="3:8" ht="12.75">
      <c r="C128" s="26"/>
      <c r="D128" s="26"/>
      <c r="E128" s="46"/>
      <c r="F128" s="46"/>
      <c r="G128" s="46"/>
      <c r="H128" s="20"/>
    </row>
    <row r="129" spans="3:8" ht="12.75">
      <c r="C129" s="26"/>
      <c r="D129" s="26"/>
      <c r="E129" s="46"/>
      <c r="F129" s="46"/>
      <c r="G129" s="46"/>
      <c r="H129" s="20"/>
    </row>
    <row r="130" spans="3:8" ht="12.75">
      <c r="C130" s="26"/>
      <c r="D130" s="26"/>
      <c r="E130" s="46"/>
      <c r="F130" s="46"/>
      <c r="G130" s="46"/>
      <c r="H130" s="20"/>
    </row>
    <row r="131" spans="3:8" ht="12.75">
      <c r="C131" s="26"/>
      <c r="D131" s="26"/>
      <c r="E131" s="46"/>
      <c r="F131" s="46"/>
      <c r="G131" s="46"/>
      <c r="H131" s="20"/>
    </row>
    <row r="132" spans="3:8" ht="12.75">
      <c r="C132" s="26"/>
      <c r="D132" s="26"/>
      <c r="E132" s="46"/>
      <c r="F132" s="46"/>
      <c r="G132" s="46"/>
      <c r="H132" s="20"/>
    </row>
    <row r="133" spans="3:8" ht="12.75">
      <c r="C133" s="26"/>
      <c r="D133" s="26"/>
      <c r="E133" s="46"/>
      <c r="F133" s="46"/>
      <c r="G133" s="46"/>
      <c r="H133" s="20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L12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G99</f>
        <v>0.20875452160835267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-(G97+J100)/(J99)</f>
        <v>1.5231915156269658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0.01538501</v>
      </c>
      <c r="D22" s="21"/>
      <c r="E22" s="21"/>
      <c r="F22" s="21"/>
      <c r="G22" s="27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3"/>
      <c r="G23" s="19">
        <v>-22500</v>
      </c>
      <c r="H23" s="21"/>
      <c r="I23" s="23"/>
      <c r="J23" s="23"/>
    </row>
    <row r="24" spans="3:10" ht="12.75">
      <c r="C24" s="21"/>
      <c r="D24" s="21"/>
      <c r="E24" s="18">
        <v>41166</v>
      </c>
      <c r="F24" s="33"/>
      <c r="G24" s="19">
        <v>-28224</v>
      </c>
      <c r="H24" s="21"/>
      <c r="I24" s="23"/>
      <c r="J24" s="23"/>
    </row>
    <row r="25" spans="3:10" ht="12.75">
      <c r="C25" s="21"/>
      <c r="D25" s="21"/>
      <c r="E25" s="18">
        <v>41270</v>
      </c>
      <c r="F25" s="33"/>
      <c r="G25" s="19">
        <v>-81984</v>
      </c>
      <c r="H25" s="21"/>
      <c r="I25" s="23"/>
      <c r="J25" s="23"/>
    </row>
    <row r="26" spans="3:10" ht="12.75">
      <c r="C26" s="21" t="s">
        <v>5</v>
      </c>
      <c r="D26" s="21"/>
      <c r="E26" s="18">
        <v>41311</v>
      </c>
      <c r="F26" s="33"/>
      <c r="G26" s="19">
        <v>-29232</v>
      </c>
      <c r="H26" s="21"/>
      <c r="I26" s="23"/>
      <c r="J26" s="23"/>
    </row>
    <row r="27" spans="3:10" ht="12.75">
      <c r="C27" s="21"/>
      <c r="D27" s="21"/>
      <c r="E27" s="18">
        <v>41341</v>
      </c>
      <c r="F27" s="33"/>
      <c r="G27" s="19">
        <v>-42000</v>
      </c>
      <c r="H27" s="21"/>
      <c r="I27" s="23"/>
      <c r="J27" s="23"/>
    </row>
    <row r="28" spans="3:10" ht="12.75">
      <c r="C28" s="21"/>
      <c r="D28" s="21"/>
      <c r="E28" s="18">
        <v>41361</v>
      </c>
      <c r="F28" s="33"/>
      <c r="G28" s="19">
        <v>-18816</v>
      </c>
      <c r="H28" s="21"/>
      <c r="I28" s="23"/>
      <c r="J28" s="23"/>
    </row>
    <row r="29" spans="3:10" ht="12.75">
      <c r="C29" s="21"/>
      <c r="D29" s="21"/>
      <c r="E29" s="18">
        <v>41387</v>
      </c>
      <c r="F29" s="33"/>
      <c r="G29" s="19">
        <v>-40992</v>
      </c>
      <c r="H29" s="21"/>
      <c r="I29" s="23"/>
      <c r="J29" s="23"/>
    </row>
    <row r="30" spans="3:10" ht="12.75">
      <c r="C30" s="21"/>
      <c r="D30" s="21"/>
      <c r="E30" s="18">
        <v>41408</v>
      </c>
      <c r="F30" s="33"/>
      <c r="G30" s="19">
        <v>-17640</v>
      </c>
      <c r="H30" s="21"/>
      <c r="I30" s="23"/>
      <c r="J30" s="23"/>
    </row>
    <row r="31" spans="3:10" ht="12.75">
      <c r="C31" s="21"/>
      <c r="D31" s="21"/>
      <c r="E31" s="18">
        <v>41439</v>
      </c>
      <c r="F31" s="33"/>
      <c r="G31" s="19">
        <v>-40824</v>
      </c>
      <c r="H31" s="21"/>
      <c r="I31" s="23"/>
      <c r="J31" s="23"/>
    </row>
    <row r="32" spans="3:9" ht="12.75">
      <c r="C32" s="21"/>
      <c r="D32" s="21"/>
      <c r="E32" s="18">
        <v>41479</v>
      </c>
      <c r="F32" s="33"/>
      <c r="G32" s="19">
        <v>-45192</v>
      </c>
      <c r="H32" s="21"/>
      <c r="I32" s="23"/>
    </row>
    <row r="33" spans="3:9" ht="12.75">
      <c r="C33" s="21"/>
      <c r="D33" s="21"/>
      <c r="E33" s="18">
        <v>41515</v>
      </c>
      <c r="F33" s="33"/>
      <c r="G33" s="19">
        <v>-28392</v>
      </c>
      <c r="H33" s="21"/>
      <c r="I33" s="23"/>
    </row>
    <row r="34" spans="3:9" ht="12.75">
      <c r="C34" s="21"/>
      <c r="D34" s="21"/>
      <c r="E34" s="18">
        <v>41543</v>
      </c>
      <c r="F34" s="33"/>
      <c r="G34" s="19">
        <v>-105840</v>
      </c>
      <c r="H34" s="21"/>
      <c r="I34" s="23"/>
    </row>
    <row r="35" spans="3:9" ht="12.75">
      <c r="C35" s="21"/>
      <c r="D35" s="21"/>
      <c r="E35" s="18">
        <v>41605</v>
      </c>
      <c r="F35" s="33"/>
      <c r="G35" s="19">
        <v>-25032</v>
      </c>
      <c r="H35" s="21"/>
      <c r="I35" s="23"/>
    </row>
    <row r="36" spans="3:9" ht="12.75">
      <c r="C36" s="21"/>
      <c r="D36" s="21"/>
      <c r="E36" s="18">
        <v>41638</v>
      </c>
      <c r="F36" s="33"/>
      <c r="G36" s="19">
        <v>-17976</v>
      </c>
      <c r="H36" s="21"/>
      <c r="I36" s="23"/>
    </row>
    <row r="37" spans="3:11" ht="12.75">
      <c r="C37" s="21" t="s">
        <v>7</v>
      </c>
      <c r="D37" s="21"/>
      <c r="E37" s="18">
        <v>41683</v>
      </c>
      <c r="F37" s="33"/>
      <c r="G37" s="33">
        <v>-18480</v>
      </c>
      <c r="H37" s="21"/>
      <c r="I37" s="23"/>
      <c r="J37" s="39"/>
      <c r="K37" s="40"/>
    </row>
    <row r="38" spans="3:11" ht="12.75">
      <c r="C38" s="35"/>
      <c r="D38" s="21"/>
      <c r="E38" s="18">
        <v>41701</v>
      </c>
      <c r="F38" s="33"/>
      <c r="G38" s="33">
        <v>-26880</v>
      </c>
      <c r="H38" s="21"/>
      <c r="I38" s="23"/>
      <c r="J38" s="39"/>
      <c r="K38" s="40"/>
    </row>
    <row r="39" spans="3:11" ht="12.75">
      <c r="C39" s="21"/>
      <c r="D39" s="21"/>
      <c r="E39" s="18">
        <v>41729</v>
      </c>
      <c r="F39" s="33"/>
      <c r="G39" s="33">
        <v>-34608</v>
      </c>
      <c r="H39" s="21"/>
      <c r="I39" s="23"/>
      <c r="J39" s="39"/>
      <c r="K39" s="40"/>
    </row>
    <row r="40" spans="3:11" ht="12.75">
      <c r="C40" s="21"/>
      <c r="D40" s="21"/>
      <c r="E40" s="18">
        <v>41751</v>
      </c>
      <c r="F40" s="33"/>
      <c r="G40" s="33">
        <v>-24360</v>
      </c>
      <c r="H40" s="21"/>
      <c r="I40" s="23"/>
      <c r="J40" s="39"/>
      <c r="K40" s="40"/>
    </row>
    <row r="41" spans="3:11" ht="12.75">
      <c r="C41" s="21"/>
      <c r="D41" s="21"/>
      <c r="E41" s="18">
        <v>41782</v>
      </c>
      <c r="F41" s="33"/>
      <c r="G41" s="33">
        <v>-41496</v>
      </c>
      <c r="H41" s="21"/>
      <c r="I41" s="23"/>
      <c r="J41" s="39"/>
      <c r="K41" s="40"/>
    </row>
    <row r="42" spans="3:11" ht="12.75">
      <c r="C42" s="21"/>
      <c r="D42" s="21"/>
      <c r="E42" s="18">
        <v>41808</v>
      </c>
      <c r="F42" s="33"/>
      <c r="G42" s="33">
        <v>-99624</v>
      </c>
      <c r="H42" s="21"/>
      <c r="I42" s="23"/>
      <c r="J42" s="39"/>
      <c r="K42" s="40"/>
    </row>
    <row r="43" spans="3:11" ht="12.75">
      <c r="C43" s="21"/>
      <c r="D43" s="21"/>
      <c r="E43" s="18">
        <v>41894</v>
      </c>
      <c r="F43" s="33"/>
      <c r="G43" s="33">
        <v>-20832</v>
      </c>
      <c r="H43" s="21"/>
      <c r="I43" s="23"/>
      <c r="J43" s="39"/>
      <c r="K43" s="40"/>
    </row>
    <row r="44" spans="3:11" ht="12.75">
      <c r="C44" s="21"/>
      <c r="D44" s="21"/>
      <c r="E44" s="18">
        <v>41942</v>
      </c>
      <c r="F44" s="33"/>
      <c r="G44" s="33">
        <v>-29568</v>
      </c>
      <c r="H44" s="21"/>
      <c r="I44" s="23"/>
      <c r="J44" s="39"/>
      <c r="K44" s="40"/>
    </row>
    <row r="45" spans="3:11" ht="12.75">
      <c r="C45" s="21"/>
      <c r="D45" s="21"/>
      <c r="E45" s="18">
        <v>41962</v>
      </c>
      <c r="F45" s="33"/>
      <c r="G45" s="33">
        <v>-65688</v>
      </c>
      <c r="H45" s="21"/>
      <c r="I45" s="23"/>
      <c r="J45" s="39"/>
      <c r="K45" s="40"/>
    </row>
    <row r="46" spans="3:11" ht="12.75">
      <c r="C46" s="21"/>
      <c r="D46" s="21"/>
      <c r="E46" s="18">
        <v>41975</v>
      </c>
      <c r="F46" s="33"/>
      <c r="G46" s="33">
        <v>-77280</v>
      </c>
      <c r="H46" s="21"/>
      <c r="I46" s="23"/>
      <c r="J46" s="39"/>
      <c r="K46" s="40"/>
    </row>
    <row r="47" spans="3:9" ht="12.75">
      <c r="C47" s="21" t="s">
        <v>8</v>
      </c>
      <c r="D47" s="21"/>
      <c r="E47" s="18">
        <v>41969</v>
      </c>
      <c r="F47" s="33"/>
      <c r="G47" s="33">
        <v>273860.4</v>
      </c>
      <c r="H47" s="21"/>
      <c r="I47" s="23"/>
    </row>
    <row r="48" spans="3:9" ht="12.75">
      <c r="C48" s="21" t="s">
        <v>9</v>
      </c>
      <c r="D48" s="21"/>
      <c r="E48" s="18">
        <v>42037</v>
      </c>
      <c r="F48" s="33"/>
      <c r="G48" s="33">
        <v>-65016.01</v>
      </c>
      <c r="H48" s="21"/>
      <c r="I48" s="23"/>
    </row>
    <row r="49" spans="3:9" ht="12.75">
      <c r="C49" s="21"/>
      <c r="D49" s="21"/>
      <c r="E49" s="18">
        <v>42094</v>
      </c>
      <c r="F49" s="33"/>
      <c r="G49" s="33">
        <v>-56448</v>
      </c>
      <c r="H49" s="21"/>
      <c r="I49" s="23"/>
    </row>
    <row r="50" spans="3:9" ht="12.75">
      <c r="C50" s="21"/>
      <c r="D50" s="21"/>
      <c r="E50" s="18">
        <v>42110</v>
      </c>
      <c r="F50" s="33"/>
      <c r="G50" s="33">
        <v>-47208</v>
      </c>
      <c r="H50" s="21"/>
      <c r="I50" s="23"/>
    </row>
    <row r="51" spans="3:9" ht="12.75">
      <c r="C51" s="21"/>
      <c r="D51" s="21"/>
      <c r="E51" s="18">
        <v>42145</v>
      </c>
      <c r="F51" s="33"/>
      <c r="G51" s="33">
        <v>-58968</v>
      </c>
      <c r="H51" s="21"/>
      <c r="I51" s="23"/>
    </row>
    <row r="52" spans="3:11" ht="12.75">
      <c r="C52" s="21"/>
      <c r="D52" s="21"/>
      <c r="E52" s="18">
        <v>42158</v>
      </c>
      <c r="F52" s="33"/>
      <c r="G52" s="33">
        <v>-169008</v>
      </c>
      <c r="H52" s="21"/>
      <c r="I52" s="23"/>
      <c r="J52" s="23"/>
      <c r="K52" s="21"/>
    </row>
    <row r="53" spans="3:11" ht="12.75">
      <c r="C53" s="21"/>
      <c r="D53" s="21"/>
      <c r="E53" s="18">
        <v>42261</v>
      </c>
      <c r="F53" s="33"/>
      <c r="G53" s="33">
        <v>-127176</v>
      </c>
      <c r="H53" s="21"/>
      <c r="I53" s="23"/>
      <c r="J53" s="23"/>
      <c r="K53" s="21"/>
    </row>
    <row r="54" spans="3:11" ht="12.75">
      <c r="C54" s="21"/>
      <c r="D54" s="21"/>
      <c r="E54" s="18">
        <v>42366</v>
      </c>
      <c r="F54" s="33"/>
      <c r="G54" s="33">
        <v>-31752</v>
      </c>
      <c r="H54" s="21"/>
      <c r="I54" s="23"/>
      <c r="J54" s="23"/>
      <c r="K54" s="21"/>
    </row>
    <row r="55" spans="3:11" ht="12.75">
      <c r="C55" s="21" t="s">
        <v>10</v>
      </c>
      <c r="D55" s="21"/>
      <c r="E55" s="18">
        <v>42341</v>
      </c>
      <c r="F55" s="33"/>
      <c r="G55" s="33">
        <v>48606.68</v>
      </c>
      <c r="H55" s="21"/>
      <c r="I55" s="23"/>
      <c r="J55" s="23"/>
      <c r="K55" s="21"/>
    </row>
    <row r="56" spans="3:11" ht="12.75">
      <c r="C56" s="21" t="s">
        <v>13</v>
      </c>
      <c r="D56" s="21"/>
      <c r="E56" s="18">
        <v>42397</v>
      </c>
      <c r="F56" s="33"/>
      <c r="G56" s="33">
        <v>-45864</v>
      </c>
      <c r="H56" s="21"/>
      <c r="I56" s="23"/>
      <c r="J56" s="23"/>
      <c r="K56" s="21"/>
    </row>
    <row r="57" spans="3:11" ht="12.75">
      <c r="C57" s="21"/>
      <c r="D57" s="21"/>
      <c r="E57" s="18">
        <v>42447</v>
      </c>
      <c r="F57" s="33"/>
      <c r="G57" s="33">
        <v>-57623.99</v>
      </c>
      <c r="H57" s="21"/>
      <c r="I57" s="23"/>
      <c r="J57" s="23"/>
      <c r="K57" s="21"/>
    </row>
    <row r="58" spans="3:11" ht="12.75">
      <c r="C58" s="21"/>
      <c r="D58" s="21"/>
      <c r="E58" s="18">
        <v>42494</v>
      </c>
      <c r="F58" s="33"/>
      <c r="G58" s="33">
        <v>-44855.99</v>
      </c>
      <c r="H58" s="21"/>
      <c r="I58" s="23"/>
      <c r="J58" s="23"/>
      <c r="K58" s="21"/>
    </row>
    <row r="59" spans="3:11" ht="12.75">
      <c r="C59" s="21"/>
      <c r="D59" s="21"/>
      <c r="E59" s="18">
        <v>42556</v>
      </c>
      <c r="F59" s="33"/>
      <c r="G59" s="33">
        <v>-39144</v>
      </c>
      <c r="H59" s="21"/>
      <c r="I59" s="23"/>
      <c r="J59" s="23"/>
      <c r="K59" s="21"/>
    </row>
    <row r="60" spans="3:11" ht="12.75">
      <c r="C60" s="21"/>
      <c r="D60" s="21"/>
      <c r="E60" s="18">
        <v>42605</v>
      </c>
      <c r="F60" s="33"/>
      <c r="G60" s="33">
        <v>-375816</v>
      </c>
      <c r="H60" s="21"/>
      <c r="I60" s="23"/>
      <c r="J60" s="23"/>
      <c r="K60" s="21"/>
    </row>
    <row r="61" spans="3:11" ht="12.75">
      <c r="C61" s="21"/>
      <c r="D61" s="21"/>
      <c r="E61" s="18">
        <v>42661</v>
      </c>
      <c r="F61" s="33"/>
      <c r="G61" s="33">
        <v>-35784</v>
      </c>
      <c r="H61" s="21"/>
      <c r="I61" s="23"/>
      <c r="J61" s="23"/>
      <c r="K61" s="21"/>
    </row>
    <row r="62" spans="3:11" ht="12.75">
      <c r="C62" s="21" t="s">
        <v>14</v>
      </c>
      <c r="D62" s="21"/>
      <c r="E62" s="18">
        <v>42381</v>
      </c>
      <c r="F62" s="33"/>
      <c r="G62" s="33">
        <v>379609.17</v>
      </c>
      <c r="H62" s="21"/>
      <c r="I62" s="23"/>
      <c r="J62" s="23"/>
      <c r="K62" s="21"/>
    </row>
    <row r="63" spans="3:11" ht="12.75">
      <c r="C63" s="21"/>
      <c r="D63" s="21"/>
      <c r="E63" s="18">
        <v>42549</v>
      </c>
      <c r="F63" s="33"/>
      <c r="G63" s="33">
        <v>53637.61</v>
      </c>
      <c r="H63" s="21"/>
      <c r="I63" s="23"/>
      <c r="J63" s="23"/>
      <c r="K63" s="21"/>
    </row>
    <row r="64" spans="3:12" ht="15.75">
      <c r="C64" s="21"/>
      <c r="D64" s="21"/>
      <c r="E64" s="18">
        <v>42640</v>
      </c>
      <c r="F64" s="33"/>
      <c r="G64" s="33">
        <v>79938.61</v>
      </c>
      <c r="H64" s="21"/>
      <c r="I64" s="23"/>
      <c r="J64" s="111"/>
      <c r="K64" s="112"/>
      <c r="L64" s="104"/>
    </row>
    <row r="65" spans="3:12" ht="12.75">
      <c r="C65" s="21"/>
      <c r="D65" s="21"/>
      <c r="E65" s="18">
        <v>42654</v>
      </c>
      <c r="F65" s="33"/>
      <c r="G65" s="33">
        <v>32809.44</v>
      </c>
      <c r="H65" s="21"/>
      <c r="I65" s="23"/>
      <c r="J65" s="111"/>
      <c r="K65" s="112"/>
      <c r="L65" s="54"/>
    </row>
    <row r="66" spans="3:12" ht="12.75">
      <c r="C66" s="21" t="s">
        <v>15</v>
      </c>
      <c r="D66" s="21"/>
      <c r="E66" s="18">
        <v>42793</v>
      </c>
      <c r="F66" s="33"/>
      <c r="G66" s="33">
        <v>-35616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42870</v>
      </c>
      <c r="F67" s="33"/>
      <c r="G67" s="33">
        <v>-35952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42992</v>
      </c>
      <c r="F68" s="33"/>
      <c r="G68" s="33">
        <v>-33936</v>
      </c>
      <c r="H68" s="21"/>
      <c r="I68" s="23"/>
      <c r="J68" s="111"/>
      <c r="K68" s="112"/>
      <c r="L68" s="54"/>
    </row>
    <row r="69" spans="3:12" ht="12.75">
      <c r="C69" s="21"/>
      <c r="D69" s="21"/>
      <c r="E69" s="18">
        <v>43048</v>
      </c>
      <c r="F69" s="33"/>
      <c r="G69" s="33">
        <v>-65184</v>
      </c>
      <c r="H69" s="21"/>
      <c r="I69" s="23"/>
      <c r="J69" s="111"/>
      <c r="K69" s="112"/>
      <c r="L69" s="113"/>
    </row>
    <row r="70" spans="3:12" ht="12.75">
      <c r="C70" s="21" t="s">
        <v>16</v>
      </c>
      <c r="D70" s="21"/>
      <c r="E70" s="18">
        <v>42746</v>
      </c>
      <c r="F70" s="33"/>
      <c r="G70" s="33">
        <v>121675.44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42802</v>
      </c>
      <c r="F71" s="33"/>
      <c r="G71" s="33">
        <v>180369.63</v>
      </c>
      <c r="H71" s="21"/>
      <c r="I71" s="23"/>
      <c r="J71" s="111"/>
      <c r="K71" s="112"/>
      <c r="L71" s="113"/>
    </row>
    <row r="72" spans="3:11" ht="12.75">
      <c r="C72" s="21"/>
      <c r="D72" s="21"/>
      <c r="E72" s="18">
        <v>42885</v>
      </c>
      <c r="F72" s="33"/>
      <c r="G72" s="33">
        <v>66707.12</v>
      </c>
      <c r="H72" s="21"/>
      <c r="I72" s="23"/>
      <c r="J72" s="23"/>
      <c r="K72" s="21"/>
    </row>
    <row r="73" spans="3:11" ht="12.75">
      <c r="C73" s="21"/>
      <c r="D73" s="21"/>
      <c r="E73" s="18">
        <v>42913</v>
      </c>
      <c r="F73" s="33"/>
      <c r="G73" s="33">
        <v>1393927.34</v>
      </c>
      <c r="H73" s="21"/>
      <c r="I73" s="23"/>
      <c r="J73" s="23"/>
      <c r="K73" s="21"/>
    </row>
    <row r="74" spans="3:11" ht="12.75">
      <c r="C74" s="21"/>
      <c r="D74" s="21"/>
      <c r="E74" s="18">
        <v>42999</v>
      </c>
      <c r="F74" s="33"/>
      <c r="G74" s="33">
        <v>146090.75</v>
      </c>
      <c r="H74" s="21"/>
      <c r="I74" s="23"/>
      <c r="J74" s="23"/>
      <c r="K74" s="21"/>
    </row>
    <row r="75" spans="3:11" ht="12.75">
      <c r="C75" s="21" t="s">
        <v>17</v>
      </c>
      <c r="D75" s="21"/>
      <c r="E75" s="18">
        <v>43132</v>
      </c>
      <c r="F75" s="33"/>
      <c r="G75" s="33">
        <v>-45024</v>
      </c>
      <c r="H75" s="21"/>
      <c r="I75" s="23"/>
      <c r="J75" s="23"/>
      <c r="K75" s="21"/>
    </row>
    <row r="76" spans="3:11" ht="12.75">
      <c r="C76" s="21"/>
      <c r="D76" s="21"/>
      <c r="E76" s="18">
        <v>43147</v>
      </c>
      <c r="F76" s="33"/>
      <c r="G76" s="33">
        <v>-99120</v>
      </c>
      <c r="H76" s="21"/>
      <c r="I76" s="23"/>
      <c r="J76" s="23"/>
      <c r="K76" s="21"/>
    </row>
    <row r="77" spans="3:11" ht="12.75">
      <c r="C77" s="21"/>
      <c r="D77" s="21"/>
      <c r="E77" s="18">
        <v>43370</v>
      </c>
      <c r="F77" s="33"/>
      <c r="G77" s="33">
        <v>-31920</v>
      </c>
      <c r="H77" s="21"/>
      <c r="I77" s="23"/>
      <c r="J77" s="23"/>
      <c r="K77" s="21"/>
    </row>
    <row r="78" spans="3:11" ht="12.75">
      <c r="C78" s="21" t="s">
        <v>18</v>
      </c>
      <c r="D78" s="21"/>
      <c r="E78" s="18">
        <v>43122</v>
      </c>
      <c r="F78" s="33"/>
      <c r="G78" s="33">
        <v>373197.71</v>
      </c>
      <c r="H78" s="21"/>
      <c r="I78" s="23"/>
      <c r="J78" s="23"/>
      <c r="K78" s="21"/>
    </row>
    <row r="79" spans="3:11" ht="12.75">
      <c r="C79" s="21"/>
      <c r="D79" s="21"/>
      <c r="E79" s="18">
        <v>43300</v>
      </c>
      <c r="F79" s="33"/>
      <c r="G79" s="33">
        <v>155647.92</v>
      </c>
      <c r="H79" s="21"/>
      <c r="I79" s="23"/>
      <c r="J79" s="23"/>
      <c r="K79" s="21"/>
    </row>
    <row r="80" spans="3:11" ht="12.75">
      <c r="C80" s="21" t="s">
        <v>19</v>
      </c>
      <c r="D80" s="21"/>
      <c r="E80" s="18">
        <v>43490</v>
      </c>
      <c r="F80" s="33"/>
      <c r="G80" s="33">
        <v>-44016</v>
      </c>
      <c r="H80" s="21"/>
      <c r="I80" s="23"/>
      <c r="J80" s="23"/>
      <c r="K80" s="21"/>
    </row>
    <row r="81" spans="3:11" ht="12.75">
      <c r="C81" s="21"/>
      <c r="D81" s="21"/>
      <c r="E81" s="18">
        <v>43517</v>
      </c>
      <c r="F81" s="33"/>
      <c r="G81" s="33">
        <v>-49896</v>
      </c>
      <c r="H81" s="21"/>
      <c r="I81" s="23"/>
      <c r="J81" s="23"/>
      <c r="K81" s="21"/>
    </row>
    <row r="82" spans="3:11" ht="12.75">
      <c r="C82" s="21"/>
      <c r="D82" s="21"/>
      <c r="E82" s="18">
        <v>43560</v>
      </c>
      <c r="F82" s="33"/>
      <c r="G82" s="33">
        <v>-136248</v>
      </c>
      <c r="H82" s="21"/>
      <c r="I82" s="23"/>
      <c r="J82" s="23"/>
      <c r="K82" s="21"/>
    </row>
    <row r="83" spans="3:11" ht="12.75">
      <c r="C83" s="21"/>
      <c r="D83" s="21"/>
      <c r="E83" s="18">
        <v>43623</v>
      </c>
      <c r="F83" s="33"/>
      <c r="G83" s="33">
        <v>-35280</v>
      </c>
      <c r="H83" s="21"/>
      <c r="I83" s="23"/>
      <c r="J83" s="23"/>
      <c r="K83" s="21"/>
    </row>
    <row r="84" spans="3:11" ht="12.75">
      <c r="C84" s="21"/>
      <c r="D84" s="21"/>
      <c r="E84" s="18">
        <v>43733</v>
      </c>
      <c r="F84" s="33"/>
      <c r="G84" s="33">
        <v>-33432</v>
      </c>
      <c r="H84" s="21"/>
      <c r="I84" s="23"/>
      <c r="J84" s="23"/>
      <c r="K84" s="21"/>
    </row>
    <row r="85" spans="3:11" ht="12.75">
      <c r="C85" s="21"/>
      <c r="D85" s="21"/>
      <c r="E85" s="18">
        <v>43825</v>
      </c>
      <c r="F85" s="33"/>
      <c r="G85" s="33">
        <v>-19824</v>
      </c>
      <c r="H85" s="21"/>
      <c r="I85" s="23"/>
      <c r="J85" s="23"/>
      <c r="K85" s="21"/>
    </row>
    <row r="86" spans="3:11" ht="12.75">
      <c r="C86" s="21" t="s">
        <v>20</v>
      </c>
      <c r="D86" s="21"/>
      <c r="E86" s="18">
        <v>43545</v>
      </c>
      <c r="F86" s="33"/>
      <c r="G86" s="33">
        <v>174846.10</v>
      </c>
      <c r="H86" s="21"/>
      <c r="I86" s="23"/>
      <c r="J86" s="23"/>
      <c r="K86" s="21"/>
    </row>
    <row r="87" spans="3:11" ht="12.75">
      <c r="C87" s="21" t="s">
        <v>21</v>
      </c>
      <c r="D87" s="21"/>
      <c r="E87" s="18">
        <v>43950</v>
      </c>
      <c r="F87" s="33"/>
      <c r="G87" s="33">
        <f>-27048</f>
        <v>-27048</v>
      </c>
      <c r="H87" s="21"/>
      <c r="I87" s="23"/>
      <c r="J87" s="23"/>
      <c r="K87" s="21"/>
    </row>
    <row r="88" spans="3:12" ht="15.75">
      <c r="C88" s="21" t="s">
        <v>22</v>
      </c>
      <c r="D88" s="21"/>
      <c r="E88" s="18">
        <v>44084</v>
      </c>
      <c r="F88" s="33"/>
      <c r="G88" s="33">
        <v>44977.42</v>
      </c>
      <c r="H88" s="21"/>
      <c r="I88" s="23"/>
      <c r="J88" s="23"/>
      <c r="K88" s="21"/>
      <c r="L88" s="50"/>
    </row>
    <row r="89" spans="3:11" ht="12.75">
      <c r="C89" s="21"/>
      <c r="D89" s="21"/>
      <c r="E89" s="18">
        <v>44158</v>
      </c>
      <c r="F89" s="33"/>
      <c r="G89" s="33">
        <v>218496.06</v>
      </c>
      <c r="H89" s="21"/>
      <c r="I89" s="23"/>
      <c r="J89" s="23"/>
      <c r="K89" s="21"/>
    </row>
    <row r="90" spans="3:12" ht="15.75">
      <c r="C90" s="21" t="s">
        <v>24</v>
      </c>
      <c r="D90" s="21"/>
      <c r="E90" s="18">
        <v>44203</v>
      </c>
      <c r="F90" s="33"/>
      <c r="G90" s="33">
        <v>-16800</v>
      </c>
      <c r="H90" s="21"/>
      <c r="I90" s="23"/>
      <c r="J90" s="23"/>
      <c r="K90" s="21"/>
      <c r="L90" s="50"/>
    </row>
    <row r="91" spans="3:12" ht="15.75">
      <c r="C91" s="21" t="s">
        <v>23</v>
      </c>
      <c r="D91" s="21"/>
      <c r="E91" s="18">
        <v>44284</v>
      </c>
      <c r="F91" s="33"/>
      <c r="G91" s="33">
        <v>7755.01</v>
      </c>
      <c r="H91" s="21"/>
      <c r="I91" s="23"/>
      <c r="J91" s="23"/>
      <c r="K91" s="21"/>
      <c r="L91" s="50"/>
    </row>
    <row r="92" spans="3:12" ht="15.75">
      <c r="C92" s="21"/>
      <c r="D92" s="21"/>
      <c r="E92" s="18">
        <v>44546</v>
      </c>
      <c r="F92" s="33"/>
      <c r="G92" s="33">
        <v>31787.79</v>
      </c>
      <c r="H92" s="21"/>
      <c r="I92" s="23"/>
      <c r="J92" s="23"/>
      <c r="K92" s="21"/>
      <c r="L92" s="50"/>
    </row>
    <row r="93" spans="3:12" ht="15.75">
      <c r="C93" s="21" t="s">
        <v>25</v>
      </c>
      <c r="D93" s="21"/>
      <c r="E93" s="18">
        <v>44624</v>
      </c>
      <c r="F93" s="33"/>
      <c r="G93" s="33">
        <v>190113.52</v>
      </c>
      <c r="H93" s="21"/>
      <c r="I93" s="23"/>
      <c r="J93" s="23"/>
      <c r="K93" s="21"/>
      <c r="L93" s="50"/>
    </row>
    <row r="94" spans="3:12" ht="15.75">
      <c r="C94" s="21" t="s">
        <v>26</v>
      </c>
      <c r="D94" s="21"/>
      <c r="E94" s="18">
        <v>45078</v>
      </c>
      <c r="F94" s="33"/>
      <c r="G94" s="33">
        <v>25955.93</v>
      </c>
      <c r="H94" s="21"/>
      <c r="I94" s="23"/>
      <c r="J94" s="23"/>
      <c r="K94" s="21"/>
      <c r="L94" s="50"/>
    </row>
    <row r="95" spans="3:12" ht="15.75">
      <c r="C95" s="21"/>
      <c r="D95" s="21"/>
      <c r="E95" s="18">
        <v>45175</v>
      </c>
      <c r="F95" s="33"/>
      <c r="G95" s="33">
        <v>25879.69</v>
      </c>
      <c r="H95" s="21"/>
      <c r="I95" s="23"/>
      <c r="J95" s="23"/>
      <c r="K95" s="21"/>
      <c r="L95" s="50"/>
    </row>
    <row r="96" spans="3:10" ht="4.5" customHeight="1">
      <c r="C96" s="21"/>
      <c r="D96" s="21"/>
      <c r="E96" s="18"/>
      <c r="F96" s="21"/>
      <c r="G96" s="33"/>
      <c r="H96" s="21"/>
      <c r="I96" s="23"/>
      <c r="J96" s="23"/>
    </row>
    <row r="97" spans="3:12" ht="12.75">
      <c r="C97" s="21" t="s">
        <v>1</v>
      </c>
      <c r="D97" s="21"/>
      <c r="E97" s="18">
        <f>+E8</f>
        <v>45199</v>
      </c>
      <c r="F97" s="21"/>
      <c r="G97" s="49">
        <f>L97*C22</f>
        <v>311276.63019462</v>
      </c>
      <c r="H97" s="21"/>
      <c r="I97" s="18"/>
      <c r="L97" s="54">
        <v>20232462</v>
      </c>
    </row>
    <row r="98" spans="3:8" ht="12.75">
      <c r="C98" s="21"/>
      <c r="D98" s="21"/>
      <c r="E98" s="21"/>
      <c r="F98" s="21"/>
      <c r="G98" s="21"/>
      <c r="H98" s="21"/>
    </row>
    <row r="99" spans="3:11" ht="12.75">
      <c r="C99" s="20" t="s">
        <v>0</v>
      </c>
      <c r="G99" s="24">
        <f>+XIRR(G23:G97,E23:E97)</f>
        <v>0.20875452160835267</v>
      </c>
      <c r="H99" s="21"/>
      <c r="J99" s="33">
        <f>+SUMIF($G$23:$G$96,"&lt;0",$G$23:$G$96)</f>
        <v>-2847419.99</v>
      </c>
      <c r="K99" s="21" t="s">
        <v>11</v>
      </c>
    </row>
    <row r="100" spans="3:11" ht="12.75">
      <c r="C100" s="21"/>
      <c r="D100" s="21"/>
      <c r="E100" s="21"/>
      <c r="F100" s="21"/>
      <c r="G100" s="21"/>
      <c r="H100" s="21"/>
      <c r="J100" s="33">
        <f>+SUMIF($G$23:$G$96,"&gt;0",$G$23:$G$96)</f>
        <v>4025889.3400000003</v>
      </c>
      <c r="K100" s="21" t="s">
        <v>12</v>
      </c>
    </row>
    <row r="101" spans="3:8" ht="12.75">
      <c r="C101" s="21"/>
      <c r="D101" s="21"/>
      <c r="E101" s="21"/>
      <c r="F101" s="21"/>
      <c r="G101" s="21"/>
      <c r="H101" s="21"/>
    </row>
    <row r="102" spans="3:8" ht="12.75">
      <c r="C102" s="26"/>
      <c r="D102" s="26"/>
      <c r="E102" s="34"/>
      <c r="F102" s="21"/>
      <c r="G102" s="34"/>
      <c r="H102" s="21"/>
    </row>
    <row r="103" spans="3:8" ht="12.75">
      <c r="C103" s="26"/>
      <c r="D103" s="26"/>
      <c r="E103" s="34"/>
      <c r="F103" s="26"/>
      <c r="G103" s="34"/>
      <c r="H103" s="21"/>
    </row>
    <row r="104" spans="3:8" ht="12.75">
      <c r="C104" s="26"/>
      <c r="D104" s="26"/>
      <c r="E104" s="34"/>
      <c r="F104" s="26"/>
      <c r="G104" s="34"/>
      <c r="H104" s="21"/>
    </row>
    <row r="105" spans="3:8" ht="12.75">
      <c r="C105" s="26"/>
      <c r="D105" s="26"/>
      <c r="E105" s="26"/>
      <c r="F105" s="26"/>
      <c r="G105" s="26"/>
      <c r="H105" s="20"/>
    </row>
    <row r="106" spans="3:8" ht="12.75">
      <c r="C106" s="26"/>
      <c r="D106" s="26"/>
      <c r="E106" s="34"/>
      <c r="F106" s="34"/>
      <c r="G106" s="34"/>
      <c r="H106" s="20"/>
    </row>
    <row r="107" spans="3:8" ht="12.75">
      <c r="C107" s="26"/>
      <c r="D107" s="26"/>
      <c r="E107" s="26"/>
      <c r="F107" s="26"/>
      <c r="G107" s="26"/>
      <c r="H107" s="20"/>
    </row>
    <row r="108" spans="3:8" ht="12.75">
      <c r="C108" s="114"/>
      <c r="D108" s="114"/>
      <c r="E108" s="115"/>
      <c r="F108" s="46"/>
      <c r="G108" s="45"/>
      <c r="H108" s="21"/>
    </row>
    <row r="109" spans="3:8" ht="12.75">
      <c r="C109" s="114"/>
      <c r="D109" s="114"/>
      <c r="E109" s="46"/>
      <c r="F109" s="46"/>
      <c r="G109" s="46"/>
      <c r="H109" s="21"/>
    </row>
    <row r="110" spans="3:8" ht="12.75">
      <c r="C110" s="114"/>
      <c r="D110" s="114"/>
      <c r="E110" s="46"/>
      <c r="F110" s="46"/>
      <c r="G110" s="46"/>
      <c r="H110" s="21"/>
    </row>
    <row r="111" spans="3:8" ht="12.75">
      <c r="C111" s="116"/>
      <c r="D111" s="114"/>
      <c r="E111" s="46"/>
      <c r="F111" s="46"/>
      <c r="G111" s="46"/>
      <c r="H111" s="21"/>
    </row>
    <row r="112" spans="3:8" ht="12.75">
      <c r="C112" s="116"/>
      <c r="D112" s="114"/>
      <c r="E112" s="46"/>
      <c r="F112" s="46"/>
      <c r="G112" s="46"/>
      <c r="H112" s="21"/>
    </row>
    <row r="113" spans="3:8" ht="12.75">
      <c r="C113" s="117"/>
      <c r="D113" s="114"/>
      <c r="E113" s="46"/>
      <c r="F113" s="46"/>
      <c r="G113" s="46"/>
      <c r="H113" s="21"/>
    </row>
    <row r="114" spans="3:8" ht="12.75">
      <c r="C114" s="114"/>
      <c r="D114" s="114"/>
      <c r="E114" s="46"/>
      <c r="F114" s="46"/>
      <c r="G114" s="46"/>
      <c r="H114" s="21"/>
    </row>
    <row r="115" spans="3:8" ht="12.75">
      <c r="C115" s="114"/>
      <c r="D115" s="114"/>
      <c r="E115" s="46"/>
      <c r="F115" s="46"/>
      <c r="G115" s="46"/>
      <c r="H115" s="21"/>
    </row>
    <row r="116" spans="3:8" ht="12.75">
      <c r="C116" s="114"/>
      <c r="D116" s="114"/>
      <c r="E116" s="46"/>
      <c r="F116" s="46"/>
      <c r="G116" s="46"/>
      <c r="H116" s="21"/>
    </row>
    <row r="117" spans="3:8" ht="12.75">
      <c r="C117" s="114"/>
      <c r="D117" s="114"/>
      <c r="E117" s="46"/>
      <c r="F117" s="46"/>
      <c r="G117" s="46"/>
      <c r="H117" s="21"/>
    </row>
    <row r="118" spans="3:8" ht="12.75">
      <c r="C118" s="114"/>
      <c r="D118" s="114"/>
      <c r="E118" s="46"/>
      <c r="F118" s="46"/>
      <c r="G118" s="46"/>
      <c r="H118" s="21"/>
    </row>
    <row r="119" spans="3:8" ht="12.75">
      <c r="C119" s="114"/>
      <c r="D119" s="114"/>
      <c r="E119" s="46"/>
      <c r="F119" s="46"/>
      <c r="G119" s="46"/>
      <c r="H119" s="21"/>
    </row>
    <row r="120" spans="3:8" ht="4.9" customHeight="1">
      <c r="C120" s="20"/>
      <c r="D120" s="20"/>
      <c r="E120" s="37"/>
      <c r="F120" s="37"/>
      <c r="G120" s="37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O12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G99</f>
        <v>0.25649510025978084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-(G97+J100)/(J99)</f>
        <v>1.616300446508112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9">
        <v>0.012345679</v>
      </c>
      <c r="D22" s="21"/>
      <c r="E22" s="21"/>
      <c r="F22" s="21"/>
      <c r="G22" s="27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3"/>
      <c r="G23" s="19">
        <v>-7500</v>
      </c>
      <c r="H23" s="21"/>
      <c r="I23" s="23"/>
      <c r="J23" s="23"/>
    </row>
    <row r="24" spans="3:10" ht="12.75">
      <c r="C24" s="21"/>
      <c r="D24" s="21"/>
      <c r="E24" s="18">
        <v>41166</v>
      </c>
      <c r="F24" s="33"/>
      <c r="G24" s="19">
        <v>-9408</v>
      </c>
      <c r="H24" s="21"/>
      <c r="I24" s="23"/>
      <c r="J24" s="23"/>
    </row>
    <row r="25" spans="3:10" ht="12.75">
      <c r="C25" s="21"/>
      <c r="D25" s="21"/>
      <c r="E25" s="18">
        <v>41270</v>
      </c>
      <c r="F25" s="33"/>
      <c r="G25" s="19">
        <v>-27328</v>
      </c>
      <c r="H25" s="21"/>
      <c r="I25" s="23"/>
      <c r="J25" s="23"/>
    </row>
    <row r="26" spans="3:10" ht="12.75">
      <c r="C26" s="21" t="s">
        <v>5</v>
      </c>
      <c r="D26" s="21"/>
      <c r="E26" s="18">
        <v>41311</v>
      </c>
      <c r="F26" s="33"/>
      <c r="G26" s="19">
        <v>-9744</v>
      </c>
      <c r="H26" s="21"/>
      <c r="I26" s="23"/>
      <c r="J26" s="23"/>
    </row>
    <row r="27" spans="3:10" ht="12.75">
      <c r="C27" s="21"/>
      <c r="D27" s="21"/>
      <c r="E27" s="18">
        <v>41341</v>
      </c>
      <c r="F27" s="33"/>
      <c r="G27" s="19">
        <v>-14000</v>
      </c>
      <c r="H27" s="21"/>
      <c r="I27" s="23"/>
      <c r="J27" s="23"/>
    </row>
    <row r="28" spans="3:10" ht="12.75">
      <c r="C28" s="21"/>
      <c r="D28" s="21"/>
      <c r="E28" s="18">
        <v>41361</v>
      </c>
      <c r="F28" s="33"/>
      <c r="G28" s="19">
        <v>-6272</v>
      </c>
      <c r="H28" s="21"/>
      <c r="I28" s="23"/>
      <c r="J28" s="23"/>
    </row>
    <row r="29" spans="3:10" ht="12.75">
      <c r="C29" s="21"/>
      <c r="D29" s="21"/>
      <c r="E29" s="18">
        <v>41387</v>
      </c>
      <c r="F29" s="33"/>
      <c r="G29" s="19">
        <v>-13664</v>
      </c>
      <c r="H29" s="21"/>
      <c r="I29" s="23"/>
      <c r="J29" s="23"/>
    </row>
    <row r="30" spans="3:10" ht="12.75">
      <c r="C30" s="21"/>
      <c r="D30" s="21"/>
      <c r="E30" s="18">
        <v>41408</v>
      </c>
      <c r="F30" s="33"/>
      <c r="G30" s="19">
        <v>-5880</v>
      </c>
      <c r="H30" s="21"/>
      <c r="I30" s="23"/>
      <c r="J30" s="23"/>
    </row>
    <row r="31" spans="3:10" ht="12.75">
      <c r="C31" s="21"/>
      <c r="D31" s="21"/>
      <c r="E31" s="18">
        <v>41439</v>
      </c>
      <c r="F31" s="33"/>
      <c r="G31" s="19">
        <v>-13608</v>
      </c>
      <c r="H31" s="21"/>
      <c r="I31" s="23"/>
      <c r="J31" s="23"/>
    </row>
    <row r="32" spans="3:9" ht="12.75">
      <c r="C32" s="21"/>
      <c r="D32" s="21"/>
      <c r="E32" s="18">
        <v>41479</v>
      </c>
      <c r="F32" s="33"/>
      <c r="G32" s="19">
        <v>-15064</v>
      </c>
      <c r="H32" s="21"/>
      <c r="I32" s="23"/>
    </row>
    <row r="33" spans="3:9" ht="12.75">
      <c r="C33" s="21"/>
      <c r="D33" s="21"/>
      <c r="E33" s="18">
        <v>41515</v>
      </c>
      <c r="F33" s="33"/>
      <c r="G33" s="19">
        <v>-9464</v>
      </c>
      <c r="H33" s="21"/>
      <c r="I33" s="23"/>
    </row>
    <row r="34" spans="3:9" ht="12.75">
      <c r="C34" s="21"/>
      <c r="D34" s="21"/>
      <c r="E34" s="18">
        <v>41543</v>
      </c>
      <c r="F34" s="33"/>
      <c r="G34" s="19">
        <v>-35280</v>
      </c>
      <c r="H34" s="21"/>
      <c r="I34" s="23"/>
    </row>
    <row r="35" spans="3:9" ht="12.75">
      <c r="C35" s="21"/>
      <c r="D35" s="21"/>
      <c r="E35" s="18">
        <v>41605</v>
      </c>
      <c r="F35" s="33"/>
      <c r="G35" s="19">
        <v>-8344</v>
      </c>
      <c r="H35" s="21"/>
      <c r="I35" s="23"/>
    </row>
    <row r="36" spans="3:9" ht="12.75">
      <c r="C36" s="21"/>
      <c r="D36" s="21"/>
      <c r="E36" s="18">
        <v>41638</v>
      </c>
      <c r="F36" s="33"/>
      <c r="G36" s="19">
        <v>-5992</v>
      </c>
      <c r="H36" s="21"/>
      <c r="I36" s="23"/>
    </row>
    <row r="37" spans="3:11" ht="12.75">
      <c r="C37" s="21" t="s">
        <v>7</v>
      </c>
      <c r="D37" s="21"/>
      <c r="E37" s="18">
        <v>41683</v>
      </c>
      <c r="F37" s="33"/>
      <c r="G37" s="33">
        <v>-6160</v>
      </c>
      <c r="H37" s="21"/>
      <c r="I37" s="23"/>
      <c r="J37" s="39"/>
      <c r="K37" s="40"/>
    </row>
    <row r="38" spans="3:11" ht="12.75">
      <c r="C38" s="35"/>
      <c r="D38" s="21"/>
      <c r="E38" s="18">
        <v>41701</v>
      </c>
      <c r="F38" s="33"/>
      <c r="G38" s="33">
        <v>-8960</v>
      </c>
      <c r="H38" s="21"/>
      <c r="I38" s="23"/>
      <c r="J38" s="39"/>
      <c r="K38" s="40"/>
    </row>
    <row r="39" spans="3:11" ht="12.75">
      <c r="C39" s="21"/>
      <c r="D39" s="21"/>
      <c r="E39" s="18">
        <v>41729</v>
      </c>
      <c r="F39" s="33"/>
      <c r="G39" s="33">
        <v>-11536</v>
      </c>
      <c r="H39" s="21"/>
      <c r="I39" s="23"/>
      <c r="J39" s="39"/>
      <c r="K39" s="40"/>
    </row>
    <row r="40" spans="3:11" ht="12.75">
      <c r="C40" s="21"/>
      <c r="D40" s="21"/>
      <c r="E40" s="18">
        <v>41751</v>
      </c>
      <c r="F40" s="33"/>
      <c r="G40" s="33">
        <v>-8120</v>
      </c>
      <c r="H40" s="21"/>
      <c r="I40" s="23"/>
      <c r="J40" s="39"/>
      <c r="K40" s="40"/>
    </row>
    <row r="41" spans="3:11" ht="12.75">
      <c r="C41" s="21"/>
      <c r="D41" s="21"/>
      <c r="E41" s="18">
        <v>41782</v>
      </c>
      <c r="F41" s="33"/>
      <c r="G41" s="33">
        <v>-13832</v>
      </c>
      <c r="H41" s="21"/>
      <c r="I41" s="23"/>
      <c r="J41" s="39"/>
      <c r="K41" s="40"/>
    </row>
    <row r="42" spans="3:11" ht="12.75">
      <c r="C42" s="21"/>
      <c r="D42" s="21"/>
      <c r="E42" s="18">
        <v>41808</v>
      </c>
      <c r="F42" s="33"/>
      <c r="G42" s="33">
        <v>-33208</v>
      </c>
      <c r="H42" s="21"/>
      <c r="I42" s="23"/>
      <c r="J42" s="39"/>
      <c r="K42" s="40"/>
    </row>
    <row r="43" spans="3:11" ht="12.75">
      <c r="C43" s="21"/>
      <c r="D43" s="21"/>
      <c r="E43" s="18">
        <v>41894</v>
      </c>
      <c r="F43" s="33"/>
      <c r="G43" s="33">
        <v>-6944</v>
      </c>
      <c r="H43" s="21"/>
      <c r="I43" s="23"/>
      <c r="J43" s="39"/>
      <c r="K43" s="40"/>
    </row>
    <row r="44" spans="3:11" ht="12.75">
      <c r="C44" s="21"/>
      <c r="D44" s="21"/>
      <c r="E44" s="18">
        <v>41942</v>
      </c>
      <c r="F44" s="33"/>
      <c r="G44" s="33">
        <v>-9856</v>
      </c>
      <c r="H44" s="21"/>
      <c r="I44" s="23"/>
      <c r="J44" s="39"/>
      <c r="K44" s="40"/>
    </row>
    <row r="45" spans="3:11" ht="12.75">
      <c r="C45" s="21"/>
      <c r="D45" s="21"/>
      <c r="E45" s="18">
        <v>41962</v>
      </c>
      <c r="F45" s="33"/>
      <c r="G45" s="33">
        <v>-21896</v>
      </c>
      <c r="H45" s="21"/>
      <c r="I45" s="23"/>
      <c r="J45" s="39"/>
      <c r="K45" s="40"/>
    </row>
    <row r="46" spans="3:11" ht="12.75">
      <c r="C46" s="21"/>
      <c r="D46" s="21"/>
      <c r="E46" s="18">
        <v>41975</v>
      </c>
      <c r="F46" s="33"/>
      <c r="G46" s="33">
        <v>-25760</v>
      </c>
      <c r="H46" s="21"/>
      <c r="I46" s="23"/>
      <c r="J46" s="39"/>
      <c r="K46" s="40"/>
    </row>
    <row r="47" spans="3:9" ht="12.75">
      <c r="C47" s="21" t="s">
        <v>8</v>
      </c>
      <c r="D47" s="21"/>
      <c r="E47" s="18">
        <v>41969</v>
      </c>
      <c r="F47" s="33"/>
      <c r="G47" s="33">
        <v>93993.46</v>
      </c>
      <c r="H47" s="21"/>
      <c r="I47" s="23"/>
    </row>
    <row r="48" spans="3:9" ht="12.75">
      <c r="C48" s="21" t="s">
        <v>9</v>
      </c>
      <c r="D48" s="21"/>
      <c r="E48" s="18">
        <v>42037</v>
      </c>
      <c r="F48" s="33"/>
      <c r="G48" s="33">
        <v>-21672</v>
      </c>
      <c r="H48" s="21"/>
      <c r="I48" s="23"/>
    </row>
    <row r="49" spans="3:9" ht="12.75">
      <c r="C49" s="21"/>
      <c r="D49" s="21"/>
      <c r="E49" s="18">
        <v>42094</v>
      </c>
      <c r="F49" s="33"/>
      <c r="G49" s="33">
        <v>-18816</v>
      </c>
      <c r="H49" s="21"/>
      <c r="I49" s="23"/>
    </row>
    <row r="50" spans="3:9" ht="12.75">
      <c r="C50" s="21"/>
      <c r="D50" s="21"/>
      <c r="E50" s="18">
        <v>42110</v>
      </c>
      <c r="F50" s="33"/>
      <c r="G50" s="33">
        <v>-15736</v>
      </c>
      <c r="H50" s="21"/>
      <c r="I50" s="23"/>
    </row>
    <row r="51" spans="3:9" ht="12.75">
      <c r="C51" s="21"/>
      <c r="D51" s="21"/>
      <c r="E51" s="18">
        <v>42145</v>
      </c>
      <c r="F51" s="33"/>
      <c r="G51" s="33">
        <v>-19656</v>
      </c>
      <c r="H51" s="21"/>
      <c r="I51" s="23"/>
    </row>
    <row r="52" spans="3:9" ht="12.75">
      <c r="C52" s="21"/>
      <c r="D52" s="21"/>
      <c r="E52" s="18">
        <v>42158</v>
      </c>
      <c r="F52" s="33"/>
      <c r="G52" s="33">
        <v>-56336</v>
      </c>
      <c r="H52" s="21"/>
      <c r="I52" s="23"/>
    </row>
    <row r="53" spans="3:9" ht="12.75">
      <c r="C53" s="21"/>
      <c r="D53" s="21"/>
      <c r="E53" s="18">
        <v>42261</v>
      </c>
      <c r="F53" s="33"/>
      <c r="G53" s="33">
        <v>-42391.99</v>
      </c>
      <c r="H53" s="21"/>
      <c r="I53" s="23"/>
    </row>
    <row r="54" spans="3:11" ht="12.75">
      <c r="C54" s="21"/>
      <c r="D54" s="21"/>
      <c r="E54" s="18">
        <v>42366</v>
      </c>
      <c r="F54" s="33"/>
      <c r="G54" s="33">
        <v>-10584</v>
      </c>
      <c r="H54" s="21"/>
      <c r="I54" s="23"/>
      <c r="J54" s="23"/>
      <c r="K54" s="21"/>
    </row>
    <row r="55" spans="3:11" ht="12.75">
      <c r="C55" s="21" t="s">
        <v>10</v>
      </c>
      <c r="D55" s="21"/>
      <c r="E55" s="18">
        <v>42341</v>
      </c>
      <c r="F55" s="33"/>
      <c r="G55" s="33">
        <v>15844.88</v>
      </c>
      <c r="H55" s="21"/>
      <c r="I55" s="23"/>
      <c r="J55" s="23"/>
      <c r="K55" s="21"/>
    </row>
    <row r="56" spans="3:11" ht="12.75">
      <c r="C56" s="21" t="s">
        <v>13</v>
      </c>
      <c r="D56" s="21"/>
      <c r="E56" s="18">
        <v>42397</v>
      </c>
      <c r="F56" s="33"/>
      <c r="G56" s="33">
        <v>-15288</v>
      </c>
      <c r="H56" s="21"/>
      <c r="I56" s="23"/>
      <c r="J56" s="23"/>
      <c r="K56" s="21"/>
    </row>
    <row r="57" spans="3:11" ht="12.75">
      <c r="C57" s="21"/>
      <c r="D57" s="21"/>
      <c r="E57" s="18">
        <v>42447</v>
      </c>
      <c r="F57" s="33"/>
      <c r="G57" s="33">
        <v>-19207.99</v>
      </c>
      <c r="H57" s="21"/>
      <c r="I57" s="23"/>
      <c r="J57" s="23"/>
      <c r="K57" s="21"/>
    </row>
    <row r="58" spans="3:11" ht="12.75">
      <c r="C58" s="21"/>
      <c r="D58" s="21"/>
      <c r="E58" s="18">
        <v>42494</v>
      </c>
      <c r="F58" s="33"/>
      <c r="G58" s="33">
        <v>-14952</v>
      </c>
      <c r="H58" s="21"/>
      <c r="I58" s="23"/>
      <c r="J58" s="23"/>
      <c r="K58" s="21"/>
    </row>
    <row r="59" spans="3:11" ht="12.75">
      <c r="C59" s="21"/>
      <c r="D59" s="21"/>
      <c r="E59" s="18">
        <v>42556</v>
      </c>
      <c r="F59" s="33"/>
      <c r="G59" s="33">
        <v>-13048</v>
      </c>
      <c r="H59" s="21"/>
      <c r="I59" s="23"/>
      <c r="J59" s="23"/>
      <c r="K59" s="21"/>
    </row>
    <row r="60" spans="3:11" ht="12.75">
      <c r="C60" s="21"/>
      <c r="D60" s="21"/>
      <c r="E60" s="18">
        <v>42605</v>
      </c>
      <c r="F60" s="33"/>
      <c r="G60" s="33">
        <v>-125272</v>
      </c>
      <c r="H60" s="21"/>
      <c r="I60" s="23"/>
      <c r="J60" s="23"/>
      <c r="K60" s="21"/>
    </row>
    <row r="61" spans="3:11" ht="12.75">
      <c r="C61" s="21"/>
      <c r="D61" s="21"/>
      <c r="E61" s="18">
        <v>42661</v>
      </c>
      <c r="F61" s="33"/>
      <c r="G61" s="33">
        <v>-11928</v>
      </c>
      <c r="H61" s="21"/>
      <c r="I61" s="23"/>
      <c r="J61" s="23"/>
      <c r="K61" s="21"/>
    </row>
    <row r="62" spans="3:11" ht="12.75">
      <c r="C62" s="21" t="s">
        <v>14</v>
      </c>
      <c r="D62" s="21"/>
      <c r="E62" s="18">
        <v>42381</v>
      </c>
      <c r="F62" s="33"/>
      <c r="G62" s="33">
        <v>136789.24</v>
      </c>
      <c r="H62" s="21"/>
      <c r="I62" s="23"/>
      <c r="J62" s="23"/>
      <c r="K62" s="21"/>
    </row>
    <row r="63" spans="3:12" ht="15.75">
      <c r="C63" s="21"/>
      <c r="D63" s="21"/>
      <c r="E63" s="18">
        <v>42549</v>
      </c>
      <c r="F63" s="33"/>
      <c r="G63" s="33">
        <v>17692.82</v>
      </c>
      <c r="H63" s="21"/>
      <c r="I63" s="23"/>
      <c r="J63" s="111"/>
      <c r="K63" s="112"/>
      <c r="L63" s="104"/>
    </row>
    <row r="64" spans="3:12" ht="12.75">
      <c r="C64" s="21"/>
      <c r="D64" s="21"/>
      <c r="E64" s="18">
        <v>42640</v>
      </c>
      <c r="F64" s="33"/>
      <c r="G64" s="33">
        <v>26680.06</v>
      </c>
      <c r="H64" s="21"/>
      <c r="I64" s="23"/>
      <c r="J64" s="111"/>
      <c r="K64" s="112"/>
      <c r="L64" s="54"/>
    </row>
    <row r="65" spans="3:12" ht="12.75">
      <c r="C65" s="21"/>
      <c r="D65" s="21"/>
      <c r="E65" s="18">
        <v>42654</v>
      </c>
      <c r="F65" s="33"/>
      <c r="G65" s="33">
        <v>10936.48</v>
      </c>
      <c r="H65" s="21"/>
      <c r="I65" s="23"/>
      <c r="J65" s="111"/>
      <c r="K65" s="112"/>
      <c r="L65" s="54"/>
    </row>
    <row r="66" spans="3:12" ht="12.75">
      <c r="C66" s="21" t="s">
        <v>15</v>
      </c>
      <c r="D66" s="21"/>
      <c r="E66" s="18">
        <v>42793</v>
      </c>
      <c r="F66" s="33"/>
      <c r="G66" s="33">
        <v>-11872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42870</v>
      </c>
      <c r="F67" s="33"/>
      <c r="G67" s="33">
        <v>-11983.99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42992</v>
      </c>
      <c r="F68" s="33"/>
      <c r="G68" s="33">
        <v>-11312</v>
      </c>
      <c r="H68" s="21"/>
      <c r="I68" s="23"/>
      <c r="J68" s="111"/>
      <c r="K68" s="112"/>
      <c r="L68" s="113"/>
    </row>
    <row r="69" spans="3:12" ht="12.75">
      <c r="C69" s="21"/>
      <c r="D69" s="21"/>
      <c r="E69" s="18">
        <v>43048</v>
      </c>
      <c r="F69" s="33"/>
      <c r="G69" s="33">
        <v>-21728</v>
      </c>
      <c r="H69" s="21"/>
      <c r="I69" s="23"/>
      <c r="J69" s="111"/>
      <c r="K69" s="112"/>
      <c r="L69" s="113"/>
    </row>
    <row r="70" spans="3:12" ht="12.75">
      <c r="C70" s="21" t="s">
        <v>16</v>
      </c>
      <c r="D70" s="21"/>
      <c r="E70" s="18">
        <v>42746</v>
      </c>
      <c r="F70" s="33"/>
      <c r="G70" s="33">
        <v>40558.48</v>
      </c>
      <c r="H70" s="21"/>
      <c r="I70" s="23"/>
      <c r="J70" s="111"/>
      <c r="K70" s="112"/>
      <c r="L70" s="113"/>
    </row>
    <row r="71" spans="3:11" ht="12.75">
      <c r="C71" s="21"/>
      <c r="D71" s="21"/>
      <c r="E71" s="18">
        <v>42802</v>
      </c>
      <c r="F71" s="33"/>
      <c r="G71" s="33">
        <v>60485.01</v>
      </c>
      <c r="H71" s="21"/>
      <c r="I71" s="23"/>
      <c r="J71" s="23"/>
      <c r="K71" s="21"/>
    </row>
    <row r="72" spans="3:11" ht="12.75">
      <c r="C72" s="21"/>
      <c r="D72" s="21"/>
      <c r="E72" s="18">
        <v>42885</v>
      </c>
      <c r="F72" s="33"/>
      <c r="G72" s="33">
        <v>22259.21</v>
      </c>
      <c r="H72" s="21"/>
      <c r="I72" s="23"/>
      <c r="J72" s="23"/>
      <c r="K72" s="21"/>
    </row>
    <row r="73" spans="3:11" ht="12.75">
      <c r="C73" s="21"/>
      <c r="D73" s="21"/>
      <c r="E73" s="18">
        <v>42913</v>
      </c>
      <c r="F73" s="33"/>
      <c r="G73" s="33">
        <v>582576.68</v>
      </c>
      <c r="H73" s="21"/>
      <c r="I73" s="23"/>
      <c r="J73" s="23"/>
      <c r="K73" s="21"/>
    </row>
    <row r="74" spans="3:11" ht="12.75">
      <c r="C74" s="21"/>
      <c r="D74" s="21"/>
      <c r="E74" s="18">
        <v>42999</v>
      </c>
      <c r="F74" s="33"/>
      <c r="G74" s="33">
        <v>39339.92</v>
      </c>
      <c r="H74" s="21"/>
      <c r="I74" s="23"/>
      <c r="J74" s="23"/>
      <c r="K74" s="21"/>
    </row>
    <row r="75" spans="3:11" ht="12.75">
      <c r="C75" s="21" t="s">
        <v>17</v>
      </c>
      <c r="D75" s="21"/>
      <c r="E75" s="18">
        <v>43132</v>
      </c>
      <c r="F75" s="33"/>
      <c r="G75" s="33">
        <v>-15008</v>
      </c>
      <c r="H75" s="21"/>
      <c r="I75" s="23"/>
      <c r="J75" s="23"/>
      <c r="K75" s="21"/>
    </row>
    <row r="76" spans="3:11" ht="12.75">
      <c r="C76" s="21"/>
      <c r="D76" s="21"/>
      <c r="E76" s="18">
        <v>43147</v>
      </c>
      <c r="F76" s="33"/>
      <c r="G76" s="33">
        <v>-33040</v>
      </c>
      <c r="H76" s="21"/>
      <c r="I76" s="23"/>
      <c r="J76" s="23"/>
      <c r="K76" s="21"/>
    </row>
    <row r="77" spans="3:11" ht="12.75">
      <c r="C77" s="21"/>
      <c r="D77" s="21"/>
      <c r="E77" s="18">
        <v>43370</v>
      </c>
      <c r="F77" s="33"/>
      <c r="G77" s="33">
        <v>-10640</v>
      </c>
      <c r="H77" s="21"/>
      <c r="I77" s="23"/>
      <c r="J77" s="23"/>
      <c r="K77" s="21"/>
    </row>
    <row r="78" spans="3:11" ht="12.75">
      <c r="C78" s="21" t="s">
        <v>18</v>
      </c>
      <c r="D78" s="21"/>
      <c r="E78" s="18">
        <v>43122</v>
      </c>
      <c r="F78" s="33"/>
      <c r="G78" s="33">
        <v>170614.91</v>
      </c>
      <c r="H78" s="21"/>
      <c r="I78" s="23"/>
      <c r="J78" s="23"/>
      <c r="K78" s="21"/>
    </row>
    <row r="79" spans="3:11" ht="12.75">
      <c r="C79" s="21"/>
      <c r="D79" s="21"/>
      <c r="E79" s="18">
        <v>43300</v>
      </c>
      <c r="F79" s="33"/>
      <c r="G79" s="33">
        <v>41585.63</v>
      </c>
      <c r="H79" s="21"/>
      <c r="I79" s="23"/>
      <c r="J79" s="23"/>
      <c r="K79" s="21"/>
    </row>
    <row r="80" spans="3:11" ht="12.75">
      <c r="C80" s="21" t="s">
        <v>19</v>
      </c>
      <c r="D80" s="21"/>
      <c r="E80" s="18">
        <v>43490</v>
      </c>
      <c r="F80" s="33"/>
      <c r="G80" s="33">
        <v>-14672</v>
      </c>
      <c r="H80" s="21"/>
      <c r="I80" s="23"/>
      <c r="J80" s="23"/>
      <c r="K80" s="21"/>
    </row>
    <row r="81" spans="3:11" ht="12.75">
      <c r="C81" s="21"/>
      <c r="D81" s="21"/>
      <c r="E81" s="18">
        <v>43517</v>
      </c>
      <c r="F81" s="33"/>
      <c r="G81" s="33">
        <v>-16632</v>
      </c>
      <c r="H81" s="21"/>
      <c r="I81" s="23"/>
      <c r="J81" s="23"/>
      <c r="K81" s="21"/>
    </row>
    <row r="82" spans="3:11" ht="12.75">
      <c r="C82" s="21"/>
      <c r="D82" s="21"/>
      <c r="E82" s="18">
        <v>43560</v>
      </c>
      <c r="F82" s="33"/>
      <c r="G82" s="33">
        <v>-45416</v>
      </c>
      <c r="H82" s="21"/>
      <c r="I82" s="23"/>
      <c r="J82" s="23"/>
      <c r="K82" s="21"/>
    </row>
    <row r="83" spans="3:11" ht="12.75">
      <c r="C83" s="21"/>
      <c r="D83" s="21"/>
      <c r="E83" s="18">
        <v>43623</v>
      </c>
      <c r="F83" s="33"/>
      <c r="G83" s="33">
        <v>-11760</v>
      </c>
      <c r="H83" s="21"/>
      <c r="I83" s="23"/>
      <c r="J83" s="23"/>
      <c r="K83" s="21"/>
    </row>
    <row r="84" spans="3:11" ht="12.75">
      <c r="C84" s="21"/>
      <c r="D84" s="21"/>
      <c r="E84" s="18">
        <v>43733</v>
      </c>
      <c r="F84" s="33"/>
      <c r="G84" s="33">
        <v>-11144</v>
      </c>
      <c r="H84" s="21"/>
      <c r="I84" s="23"/>
      <c r="J84" s="23"/>
      <c r="K84" s="21"/>
    </row>
    <row r="85" spans="3:11" ht="12.75">
      <c r="C85" s="21"/>
      <c r="D85" s="21"/>
      <c r="E85" s="18">
        <v>43825</v>
      </c>
      <c r="F85" s="33"/>
      <c r="G85" s="33">
        <v>-6608</v>
      </c>
      <c r="H85" s="21"/>
      <c r="I85" s="23"/>
      <c r="J85" s="23"/>
      <c r="K85" s="21"/>
    </row>
    <row r="86" spans="3:11" ht="12.75">
      <c r="C86" s="21" t="s">
        <v>20</v>
      </c>
      <c r="D86" s="21"/>
      <c r="E86" s="18">
        <v>43545</v>
      </c>
      <c r="F86" s="33"/>
      <c r="G86" s="33">
        <v>17572.34</v>
      </c>
      <c r="H86" s="21"/>
      <c r="I86" s="23"/>
      <c r="J86" s="23"/>
      <c r="K86" s="21"/>
    </row>
    <row r="87" spans="3:11" ht="12.75">
      <c r="C87" s="21" t="s">
        <v>21</v>
      </c>
      <c r="D87" s="21"/>
      <c r="E87" s="18">
        <v>43950</v>
      </c>
      <c r="F87" s="33"/>
      <c r="G87" s="33">
        <v>-9016</v>
      </c>
      <c r="H87" s="21"/>
      <c r="I87" s="23"/>
      <c r="J87" s="23"/>
      <c r="K87" s="21"/>
    </row>
    <row r="88" spans="3:12" ht="15.75">
      <c r="C88" s="21" t="s">
        <v>22</v>
      </c>
      <c r="D88" s="21"/>
      <c r="E88" s="18">
        <v>44084</v>
      </c>
      <c r="F88" s="33"/>
      <c r="G88" s="33">
        <v>8234.01</v>
      </c>
      <c r="H88" s="21"/>
      <c r="I88" s="23"/>
      <c r="J88" s="23"/>
      <c r="K88" s="21"/>
      <c r="L88" s="50"/>
    </row>
    <row r="89" spans="3:11" ht="12.75">
      <c r="C89" s="21"/>
      <c r="D89" s="21"/>
      <c r="E89" s="18">
        <v>44158</v>
      </c>
      <c r="F89" s="33"/>
      <c r="G89" s="33">
        <v>45614.54</v>
      </c>
      <c r="H89" s="21"/>
      <c r="I89" s="23"/>
      <c r="J89" s="23"/>
      <c r="K89" s="21"/>
    </row>
    <row r="90" spans="3:12" ht="15.75">
      <c r="C90" s="21" t="s">
        <v>24</v>
      </c>
      <c r="D90" s="21"/>
      <c r="E90" s="18">
        <v>44203</v>
      </c>
      <c r="F90" s="33"/>
      <c r="G90" s="33">
        <v>-5600</v>
      </c>
      <c r="H90" s="21"/>
      <c r="I90" s="23"/>
      <c r="J90" s="23"/>
      <c r="K90" s="21"/>
      <c r="L90" s="50"/>
    </row>
    <row r="91" spans="3:12" ht="15.75">
      <c r="C91" s="21" t="s">
        <v>23</v>
      </c>
      <c r="D91" s="21"/>
      <c r="E91" s="18">
        <v>44284</v>
      </c>
      <c r="F91" s="33"/>
      <c r="G91" s="33">
        <v>5074.89</v>
      </c>
      <c r="H91" s="21"/>
      <c r="I91" s="23"/>
      <c r="J91" s="23"/>
      <c r="K91" s="21"/>
      <c r="L91" s="50"/>
    </row>
    <row r="92" spans="3:12" ht="15.75">
      <c r="C92" s="21"/>
      <c r="D92" s="21"/>
      <c r="E92" s="18">
        <v>44546</v>
      </c>
      <c r="F92" s="33"/>
      <c r="G92" s="33">
        <v>8151.91</v>
      </c>
      <c r="H92" s="21"/>
      <c r="I92" s="23"/>
      <c r="J92" s="23"/>
      <c r="K92" s="21"/>
      <c r="L92" s="50"/>
    </row>
    <row r="93" spans="3:12" ht="15.75">
      <c r="C93" s="21" t="s">
        <v>25</v>
      </c>
      <c r="D93" s="21"/>
      <c r="E93" s="18">
        <v>44624</v>
      </c>
      <c r="F93" s="33"/>
      <c r="G93" s="33">
        <v>75156.74</v>
      </c>
      <c r="H93" s="21"/>
      <c r="I93" s="23"/>
      <c r="J93" s="23"/>
      <c r="K93" s="21"/>
      <c r="L93" s="50"/>
    </row>
    <row r="94" spans="3:12" ht="15.75">
      <c r="C94" s="21" t="s">
        <v>26</v>
      </c>
      <c r="D94" s="21"/>
      <c r="E94" s="18">
        <v>45078</v>
      </c>
      <c r="F94" s="33"/>
      <c r="G94" s="33">
        <v>9041.13</v>
      </c>
      <c r="H94" s="21"/>
      <c r="I94" s="23"/>
      <c r="J94" s="23"/>
      <c r="K94" s="21"/>
      <c r="L94" s="50"/>
    </row>
    <row r="95" spans="3:12" ht="15.75">
      <c r="C95" s="21"/>
      <c r="D95" s="21"/>
      <c r="E95" s="18">
        <v>45175</v>
      </c>
      <c r="F95" s="33"/>
      <c r="G95" s="33">
        <v>8181.61</v>
      </c>
      <c r="H95" s="21"/>
      <c r="I95" s="23"/>
      <c r="J95" s="23"/>
      <c r="K95" s="21"/>
      <c r="L95" s="50"/>
    </row>
    <row r="96" spans="3:10" ht="4.5" customHeight="1">
      <c r="C96" s="21"/>
      <c r="D96" s="21"/>
      <c r="E96" s="18"/>
      <c r="F96" s="21"/>
      <c r="G96" s="33"/>
      <c r="H96" s="21"/>
      <c r="I96" s="23"/>
      <c r="J96" s="23"/>
    </row>
    <row r="97" spans="3:15" ht="12.75">
      <c r="C97" s="21" t="s">
        <v>1</v>
      </c>
      <c r="D97" s="21"/>
      <c r="E97" s="18">
        <f>+E8</f>
        <v>45199</v>
      </c>
      <c r="F97" s="21"/>
      <c r="G97" s="49">
        <f>L97*C22</f>
        <v>97711.407309696</v>
      </c>
      <c r="H97" s="21"/>
      <c r="I97" s="18"/>
      <c r="L97" s="54">
        <v>7914624</v>
      </c>
      <c r="O97" s="42"/>
    </row>
    <row r="98" spans="3:8" ht="12.75">
      <c r="C98" s="21"/>
      <c r="D98" s="21"/>
      <c r="E98" s="21"/>
      <c r="F98" s="21"/>
      <c r="G98" s="21"/>
      <c r="H98" s="21"/>
    </row>
    <row r="99" spans="3:11" ht="12.75">
      <c r="C99" s="20" t="s">
        <v>0</v>
      </c>
      <c r="G99" s="24">
        <f>+XIRR(G23:G97,E23:E97)</f>
        <v>0.25649510025978084</v>
      </c>
      <c r="H99" s="21"/>
      <c r="J99" s="33">
        <f>+SUMIF($G$23:$G$96,"&lt;0",$G$23:$G$96)</f>
        <v>-949139.97</v>
      </c>
      <c r="K99" s="21" t="s">
        <v>11</v>
      </c>
    </row>
    <row r="100" spans="3:11" ht="12.75">
      <c r="C100" s="21"/>
      <c r="D100" s="21"/>
      <c r="E100" s="21"/>
      <c r="F100" s="21"/>
      <c r="G100" s="21"/>
      <c r="H100" s="21"/>
      <c r="J100" s="33">
        <f>+SUMIF($G$23:$G$96,"&gt;0",$G$23:$G$96)</f>
        <v>1436383.95</v>
      </c>
      <c r="K100" s="21" t="s">
        <v>12</v>
      </c>
    </row>
    <row r="101" spans="3:8" ht="12.75">
      <c r="C101" s="21"/>
      <c r="D101" s="21"/>
      <c r="E101" s="21"/>
      <c r="F101" s="21"/>
      <c r="G101" s="21"/>
      <c r="H101" s="21"/>
    </row>
    <row r="102" spans="3:8" ht="12.75">
      <c r="C102" s="26"/>
      <c r="D102" s="26"/>
      <c r="E102" s="34"/>
      <c r="F102" s="21"/>
      <c r="G102" s="34"/>
      <c r="H102" s="21"/>
    </row>
    <row r="103" spans="3:8" ht="12.75">
      <c r="C103" s="26"/>
      <c r="D103" s="26"/>
      <c r="E103" s="34"/>
      <c r="F103" s="26"/>
      <c r="G103" s="34"/>
      <c r="H103" s="21"/>
    </row>
    <row r="104" spans="3:8" ht="12.75">
      <c r="C104" s="26"/>
      <c r="D104" s="26"/>
      <c r="E104" s="34"/>
      <c r="F104" s="26"/>
      <c r="G104" s="34"/>
      <c r="H104" s="21"/>
    </row>
    <row r="105" spans="3:8" ht="12.75">
      <c r="C105" s="26"/>
      <c r="D105" s="26"/>
      <c r="E105" s="34"/>
      <c r="F105" s="34"/>
      <c r="G105" s="34"/>
      <c r="H105" s="20"/>
    </row>
    <row r="106" spans="3:8" ht="12.75">
      <c r="C106" s="26"/>
      <c r="D106" s="26"/>
      <c r="E106" s="34"/>
      <c r="F106" s="34"/>
      <c r="G106" s="34"/>
      <c r="H106" s="20"/>
    </row>
    <row r="107" spans="3:8" ht="12.75">
      <c r="C107" s="26"/>
      <c r="D107" s="26"/>
      <c r="E107" s="26"/>
      <c r="F107" s="26"/>
      <c r="G107" s="26"/>
      <c r="H107" s="20"/>
    </row>
    <row r="108" spans="3:8" ht="12.75">
      <c r="C108" s="114"/>
      <c r="D108" s="114"/>
      <c r="E108" s="115"/>
      <c r="F108" s="46"/>
      <c r="G108" s="45"/>
      <c r="H108" s="21"/>
    </row>
    <row r="109" spans="3:8" ht="12.75">
      <c r="C109" s="114"/>
      <c r="D109" s="114"/>
      <c r="E109" s="46"/>
      <c r="F109" s="46"/>
      <c r="G109" s="46"/>
      <c r="H109" s="21"/>
    </row>
    <row r="110" spans="3:8" ht="12.75">
      <c r="C110" s="114"/>
      <c r="D110" s="114"/>
      <c r="E110" s="46"/>
      <c r="F110" s="46"/>
      <c r="G110" s="46"/>
      <c r="H110" s="21"/>
    </row>
    <row r="111" spans="3:8" ht="12.75">
      <c r="C111" s="116"/>
      <c r="D111" s="114"/>
      <c r="E111" s="46"/>
      <c r="F111" s="46"/>
      <c r="G111" s="46"/>
      <c r="H111" s="21"/>
    </row>
    <row r="112" spans="3:8" ht="12.75">
      <c r="C112" s="116"/>
      <c r="D112" s="114"/>
      <c r="E112" s="46"/>
      <c r="F112" s="46"/>
      <c r="G112" s="46"/>
      <c r="H112" s="21"/>
    </row>
    <row r="113" spans="3:8" ht="12.75">
      <c r="C113" s="117"/>
      <c r="D113" s="114"/>
      <c r="E113" s="46"/>
      <c r="F113" s="46"/>
      <c r="G113" s="46"/>
      <c r="H113" s="21"/>
    </row>
    <row r="114" spans="3:8" ht="12.75">
      <c r="C114" s="114"/>
      <c r="D114" s="114"/>
      <c r="E114" s="46"/>
      <c r="F114" s="46"/>
      <c r="G114" s="46"/>
      <c r="H114" s="21"/>
    </row>
    <row r="115" spans="3:8" ht="12.75">
      <c r="C115" s="114"/>
      <c r="D115" s="114"/>
      <c r="E115" s="46"/>
      <c r="F115" s="46"/>
      <c r="G115" s="46"/>
      <c r="H115" s="21"/>
    </row>
    <row r="116" spans="3:8" ht="12.75">
      <c r="C116" s="114"/>
      <c r="D116" s="114"/>
      <c r="E116" s="46"/>
      <c r="F116" s="46"/>
      <c r="G116" s="46"/>
      <c r="H116" s="21"/>
    </row>
    <row r="117" spans="3:8" ht="12.75">
      <c r="C117" s="114"/>
      <c r="D117" s="114"/>
      <c r="E117" s="46"/>
      <c r="F117" s="46"/>
      <c r="G117" s="46"/>
      <c r="H117" s="21"/>
    </row>
    <row r="118" spans="3:8" ht="12.75">
      <c r="C118" s="114"/>
      <c r="D118" s="114"/>
      <c r="E118" s="46"/>
      <c r="F118" s="46"/>
      <c r="G118" s="46"/>
      <c r="H118" s="21"/>
    </row>
    <row r="119" spans="3:8" ht="12.75">
      <c r="C119" s="114"/>
      <c r="D119" s="114"/>
      <c r="E119" s="46"/>
      <c r="F119" s="46"/>
      <c r="G119" s="46"/>
      <c r="H119" s="21"/>
    </row>
    <row r="120" spans="3:8" ht="4.9" customHeight="1">
      <c r="C120" s="21"/>
      <c r="D120" s="21"/>
      <c r="E120" s="21"/>
      <c r="F120" s="21"/>
      <c r="G120" s="21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5338C4-EB94-4878-BBE4-906695F573B5}">
  <sheetPr>
    <pageSetUpPr fitToPage="1"/>
  </sheetPr>
  <dimension ref="B4:O154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5" ht="12.75">
      <c r="C10" s="105"/>
      <c r="D10" s="105"/>
      <c r="E10" s="106"/>
      <c r="F10" s="105"/>
      <c r="G10" s="54"/>
      <c r="H10" s="8"/>
      <c r="I10" s="16"/>
      <c r="O10" s="31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15" ht="12.75">
      <c r="C13" s="105"/>
      <c r="D13" s="105"/>
      <c r="E13" s="109"/>
      <c r="F13" s="105"/>
      <c r="G13" s="54"/>
      <c r="H13" s="9"/>
      <c r="I13" s="16"/>
      <c r="O13" s="31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0.10213751196861268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-(G121+I122)/I121</f>
        <v>1.3931666010784125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0.0049</v>
      </c>
      <c r="D22" s="21"/>
      <c r="E22" s="21"/>
      <c r="F22" s="21"/>
      <c r="G22" s="27"/>
      <c r="H22" s="21"/>
      <c r="I22" s="21"/>
      <c r="J22" s="21"/>
    </row>
    <row r="23" spans="3:10" ht="12.75">
      <c r="C23" s="21"/>
      <c r="D23" s="21"/>
      <c r="E23" s="18"/>
      <c r="F23" s="33"/>
      <c r="G23" s="33"/>
      <c r="H23" s="21"/>
      <c r="I23" s="23"/>
      <c r="J23" s="23"/>
    </row>
    <row r="24" spans="3:9" ht="12.75">
      <c r="C24" s="21" t="s">
        <v>7</v>
      </c>
      <c r="D24" s="21"/>
      <c r="E24" s="18">
        <v>41829</v>
      </c>
      <c r="F24" s="33"/>
      <c r="G24" s="33">
        <v>-169050</v>
      </c>
      <c r="H24" s="21"/>
      <c r="I24" s="23"/>
    </row>
    <row r="25" spans="3:9" ht="12.75">
      <c r="C25" s="21"/>
      <c r="D25" s="21"/>
      <c r="E25" s="18">
        <v>41894</v>
      </c>
      <c r="F25" s="33"/>
      <c r="G25" s="33">
        <v>-87710</v>
      </c>
      <c r="H25" s="21"/>
      <c r="I25" s="23"/>
    </row>
    <row r="26" spans="3:9" ht="12.75">
      <c r="C26" s="21"/>
      <c r="D26" s="21"/>
      <c r="E26" s="18">
        <v>41942</v>
      </c>
      <c r="F26" s="33"/>
      <c r="G26" s="33">
        <v>-46060</v>
      </c>
      <c r="H26" s="21"/>
      <c r="I26" s="23"/>
    </row>
    <row r="27" spans="3:9" ht="12.75">
      <c r="C27" s="21"/>
      <c r="D27" s="21"/>
      <c r="E27" s="18">
        <v>41999</v>
      </c>
      <c r="F27" s="33"/>
      <c r="G27" s="33">
        <v>-65660</v>
      </c>
      <c r="H27" s="21"/>
      <c r="I27" s="23"/>
    </row>
    <row r="28" spans="3:9" ht="12.75">
      <c r="C28" s="21" t="s">
        <v>9</v>
      </c>
      <c r="D28" s="21"/>
      <c r="E28" s="18">
        <v>42037</v>
      </c>
      <c r="F28" s="33"/>
      <c r="G28" s="33">
        <v>-64680</v>
      </c>
      <c r="H28" s="21"/>
      <c r="I28" s="23"/>
    </row>
    <row r="29" spans="3:9" ht="12.75">
      <c r="C29" s="21"/>
      <c r="D29" s="21"/>
      <c r="E29" s="18">
        <v>42093</v>
      </c>
      <c r="F29" s="33"/>
      <c r="G29" s="33">
        <v>-83790</v>
      </c>
      <c r="H29" s="21"/>
      <c r="I29" s="23"/>
    </row>
    <row r="30" spans="3:9" ht="12.75">
      <c r="C30" s="21"/>
      <c r="D30" s="21"/>
      <c r="E30" s="18">
        <v>42109</v>
      </c>
      <c r="F30" s="33"/>
      <c r="G30" s="33">
        <v>-62720</v>
      </c>
      <c r="H30" s="21"/>
      <c r="I30" s="23"/>
    </row>
    <row r="31" spans="3:11" ht="12.75">
      <c r="C31" s="21"/>
      <c r="D31" s="21"/>
      <c r="E31" s="18">
        <v>42144</v>
      </c>
      <c r="F31" s="33"/>
      <c r="G31" s="33">
        <v>-36750</v>
      </c>
      <c r="H31" s="21"/>
      <c r="I31" s="23"/>
      <c r="J31" s="23"/>
      <c r="K31" s="21"/>
    </row>
    <row r="32" spans="3:11" ht="12.75">
      <c r="C32" s="21"/>
      <c r="D32" s="21"/>
      <c r="E32" s="18">
        <v>42184</v>
      </c>
      <c r="F32" s="33"/>
      <c r="G32" s="33">
        <v>-56350</v>
      </c>
      <c r="H32" s="21"/>
      <c r="I32" s="23"/>
      <c r="J32" s="23"/>
      <c r="K32" s="21"/>
    </row>
    <row r="33" spans="3:15" ht="12.75">
      <c r="C33" s="21"/>
      <c r="D33" s="21"/>
      <c r="E33" s="18">
        <v>42227</v>
      </c>
      <c r="F33" s="33"/>
      <c r="G33" s="33">
        <v>-74970</v>
      </c>
      <c r="H33" s="21"/>
      <c r="I33" s="23"/>
      <c r="J33" s="23"/>
      <c r="K33" s="21"/>
      <c r="N33" s="100"/>
      <c r="O33" s="65"/>
    </row>
    <row r="34" spans="3:15" ht="12.75">
      <c r="C34" s="21"/>
      <c r="D34" s="21"/>
      <c r="E34" s="18">
        <v>42261</v>
      </c>
      <c r="F34" s="33"/>
      <c r="G34" s="33">
        <v>-98980</v>
      </c>
      <c r="H34" s="21"/>
      <c r="I34" s="23"/>
      <c r="J34" s="23"/>
      <c r="K34" s="21"/>
      <c r="N34" s="100"/>
      <c r="O34" s="65"/>
    </row>
    <row r="35" spans="3:15" ht="12.75">
      <c r="C35" s="21"/>
      <c r="D35" s="21"/>
      <c r="E35" s="18">
        <v>42368</v>
      </c>
      <c r="F35" s="33"/>
      <c r="G35" s="33">
        <v>-80850</v>
      </c>
      <c r="H35" s="21"/>
      <c r="I35" s="23"/>
      <c r="J35" s="23"/>
      <c r="K35" s="21"/>
      <c r="N35" s="100"/>
      <c r="O35" s="65"/>
    </row>
    <row r="36" spans="3:15" ht="12.75">
      <c r="C36" s="21" t="s">
        <v>13</v>
      </c>
      <c r="D36" s="21"/>
      <c r="E36" s="18">
        <v>42396</v>
      </c>
      <c r="F36" s="33"/>
      <c r="G36" s="33">
        <v>-1416590</v>
      </c>
      <c r="H36" s="21"/>
      <c r="I36" s="23"/>
      <c r="J36" s="23"/>
      <c r="K36" s="21"/>
      <c r="N36" s="100"/>
      <c r="O36" s="65"/>
    </row>
    <row r="37" spans="3:15" ht="12.75">
      <c r="C37" s="21"/>
      <c r="D37" s="21"/>
      <c r="E37" s="18">
        <v>42445</v>
      </c>
      <c r="F37" s="33"/>
      <c r="G37" s="33">
        <v>-120050</v>
      </c>
      <c r="H37" s="21"/>
      <c r="I37" s="23"/>
      <c r="J37" s="23"/>
      <c r="K37" s="21"/>
      <c r="N37" s="100"/>
      <c r="O37" s="65"/>
    </row>
    <row r="38" spans="3:15" ht="12.75">
      <c r="C38" s="21"/>
      <c r="D38" s="21"/>
      <c r="E38" s="18">
        <v>42549</v>
      </c>
      <c r="F38" s="33"/>
      <c r="G38" s="33">
        <v>-194530</v>
      </c>
      <c r="H38" s="21"/>
      <c r="I38" s="23"/>
      <c r="J38" s="23"/>
      <c r="K38" s="21"/>
      <c r="N38" s="100"/>
      <c r="O38" s="65"/>
    </row>
    <row r="39" spans="3:15" ht="12.75">
      <c r="C39" s="21"/>
      <c r="D39" s="21"/>
      <c r="E39" s="18">
        <v>42586</v>
      </c>
      <c r="F39" s="33"/>
      <c r="G39" s="33">
        <v>-149450</v>
      </c>
      <c r="H39" s="21"/>
      <c r="I39" s="23"/>
      <c r="J39" s="23"/>
      <c r="K39" s="21"/>
      <c r="N39" s="100"/>
      <c r="O39" s="65"/>
    </row>
    <row r="40" spans="3:15" ht="12.75">
      <c r="C40" s="21"/>
      <c r="D40" s="21"/>
      <c r="E40" s="18">
        <v>42607</v>
      </c>
      <c r="F40" s="33"/>
      <c r="G40" s="33">
        <v>-113190</v>
      </c>
      <c r="H40" s="21"/>
      <c r="I40" s="23"/>
      <c r="J40" s="23"/>
      <c r="K40" s="21"/>
      <c r="N40" s="100"/>
      <c r="O40" s="65"/>
    </row>
    <row r="41" spans="3:15" ht="12.75">
      <c r="C41" s="21"/>
      <c r="D41" s="21"/>
      <c r="E41" s="18">
        <v>42613</v>
      </c>
      <c r="F41" s="33"/>
      <c r="G41" s="33">
        <v>-2398550</v>
      </c>
      <c r="H41" s="21"/>
      <c r="I41" s="23"/>
      <c r="J41" s="23"/>
      <c r="K41" s="21"/>
      <c r="N41" s="100"/>
      <c r="O41" s="65"/>
    </row>
    <row r="42" spans="3:15" ht="12.75">
      <c r="C42" s="21"/>
      <c r="D42" s="21"/>
      <c r="E42" s="18">
        <v>42640</v>
      </c>
      <c r="F42" s="33"/>
      <c r="G42" s="33">
        <v>-56350</v>
      </c>
      <c r="H42" s="21"/>
      <c r="I42" s="23"/>
      <c r="J42" s="23"/>
      <c r="K42" s="21"/>
      <c r="N42" s="100"/>
      <c r="O42" s="65"/>
    </row>
    <row r="43" spans="3:15" ht="12.75">
      <c r="C43" s="21"/>
      <c r="D43" s="21"/>
      <c r="E43" s="18">
        <v>42732</v>
      </c>
      <c r="F43" s="33"/>
      <c r="G43" s="33">
        <v>-78400</v>
      </c>
      <c r="H43" s="21"/>
      <c r="I43" s="23"/>
      <c r="J43" s="23"/>
      <c r="K43" s="21"/>
      <c r="N43" s="100"/>
      <c r="O43" s="65"/>
    </row>
    <row r="44" spans="3:15" ht="12.75">
      <c r="C44" s="21" t="s">
        <v>14</v>
      </c>
      <c r="D44" s="21"/>
      <c r="E44" s="18">
        <v>42377</v>
      </c>
      <c r="F44" s="33"/>
      <c r="G44" s="33">
        <v>711402.14</v>
      </c>
      <c r="H44" s="21"/>
      <c r="I44" s="23"/>
      <c r="J44" s="23"/>
      <c r="K44" s="21"/>
      <c r="N44" s="100"/>
      <c r="O44" s="65"/>
    </row>
    <row r="45" spans="3:15" ht="12.75">
      <c r="C45" s="21"/>
      <c r="D45" s="21"/>
      <c r="E45" s="18">
        <v>42551</v>
      </c>
      <c r="F45" s="33"/>
      <c r="G45" s="33">
        <v>75179.43</v>
      </c>
      <c r="H45" s="21"/>
      <c r="I45" s="23"/>
      <c r="J45" s="23"/>
      <c r="K45" s="21"/>
      <c r="N45" s="100"/>
      <c r="O45" s="65"/>
    </row>
    <row r="46" spans="3:15" ht="12.75">
      <c r="C46" s="21"/>
      <c r="D46" s="21"/>
      <c r="E46" s="18">
        <v>42642</v>
      </c>
      <c r="F46" s="33"/>
      <c r="G46" s="33">
        <v>140484.82</v>
      </c>
      <c r="H46" s="21"/>
      <c r="I46" s="23"/>
      <c r="J46" s="23"/>
      <c r="K46" s="21"/>
      <c r="N46" s="100"/>
      <c r="O46" s="65"/>
    </row>
    <row r="47" spans="3:15" ht="12.75">
      <c r="C47" s="21"/>
      <c r="D47" s="21"/>
      <c r="E47" s="18">
        <v>42655</v>
      </c>
      <c r="F47" s="33"/>
      <c r="G47" s="33">
        <v>57417.44</v>
      </c>
      <c r="H47" s="21"/>
      <c r="I47" s="23"/>
      <c r="J47" s="23"/>
      <c r="K47" s="21"/>
      <c r="N47" s="100"/>
      <c r="O47" s="65"/>
    </row>
    <row r="48" spans="3:15" ht="15.75">
      <c r="C48" s="21" t="s">
        <v>15</v>
      </c>
      <c r="D48" s="21"/>
      <c r="E48" s="18">
        <v>42765</v>
      </c>
      <c r="F48" s="33"/>
      <c r="G48" s="33">
        <v>-258720</v>
      </c>
      <c r="H48" s="21"/>
      <c r="I48" s="23"/>
      <c r="J48" s="111"/>
      <c r="K48" s="112"/>
      <c r="L48" s="104"/>
      <c r="N48" s="100"/>
      <c r="O48" s="65"/>
    </row>
    <row r="49" spans="3:15" ht="12.75">
      <c r="C49" s="21"/>
      <c r="D49" s="21"/>
      <c r="E49" s="18">
        <v>42822</v>
      </c>
      <c r="F49" s="33"/>
      <c r="G49" s="33">
        <v>-143570</v>
      </c>
      <c r="H49" s="21"/>
      <c r="I49" s="23"/>
      <c r="J49" s="111"/>
      <c r="K49" s="112"/>
      <c r="L49" s="54"/>
      <c r="N49" s="100"/>
      <c r="O49" s="65"/>
    </row>
    <row r="50" spans="3:15" ht="12.75">
      <c r="C50" s="21"/>
      <c r="D50" s="21"/>
      <c r="E50" s="18">
        <v>42852</v>
      </c>
      <c r="F50" s="33"/>
      <c r="G50" s="33">
        <v>-149940</v>
      </c>
      <c r="H50" s="21"/>
      <c r="I50" s="23"/>
      <c r="J50" s="111"/>
      <c r="K50" s="112"/>
      <c r="L50" s="54"/>
      <c r="N50" s="100"/>
      <c r="O50" s="65"/>
    </row>
    <row r="51" spans="3:15" ht="12.75">
      <c r="C51" s="21"/>
      <c r="D51" s="21"/>
      <c r="E51" s="18">
        <v>42913</v>
      </c>
      <c r="F51" s="33"/>
      <c r="G51" s="33">
        <v>-601720</v>
      </c>
      <c r="H51" s="21"/>
      <c r="I51" s="23"/>
      <c r="J51" s="111"/>
      <c r="K51" s="112"/>
      <c r="L51" s="54"/>
      <c r="N51" s="100"/>
      <c r="O51" s="65"/>
    </row>
    <row r="52" spans="3:15" ht="12.75">
      <c r="C52" s="21"/>
      <c r="D52" s="21"/>
      <c r="E52" s="18">
        <v>42991</v>
      </c>
      <c r="F52" s="33"/>
      <c r="G52" s="33">
        <v>-264600</v>
      </c>
      <c r="H52" s="21"/>
      <c r="I52" s="23"/>
      <c r="J52" s="111"/>
      <c r="K52" s="112"/>
      <c r="L52" s="54"/>
      <c r="N52" s="100"/>
      <c r="O52" s="65"/>
    </row>
    <row r="53" spans="3:15" ht="12.75">
      <c r="C53" s="21"/>
      <c r="D53" s="21"/>
      <c r="E53" s="18">
        <v>43006</v>
      </c>
      <c r="F53" s="33"/>
      <c r="G53" s="33">
        <v>-188650</v>
      </c>
      <c r="H53" s="21"/>
      <c r="I53" s="23"/>
      <c r="J53" s="111"/>
      <c r="K53" s="112"/>
      <c r="L53" s="113"/>
      <c r="N53" s="100"/>
      <c r="O53" s="65"/>
    </row>
    <row r="54" spans="3:15" ht="12.75">
      <c r="C54" s="21"/>
      <c r="D54" s="21"/>
      <c r="E54" s="18">
        <v>43080</v>
      </c>
      <c r="F54" s="33"/>
      <c r="G54" s="33">
        <v>-94080</v>
      </c>
      <c r="H54" s="21"/>
      <c r="I54" s="23"/>
      <c r="J54" s="111"/>
      <c r="K54" s="112"/>
      <c r="L54" s="113"/>
      <c r="N54" s="100"/>
      <c r="O54" s="65"/>
    </row>
    <row r="55" spans="3:15" ht="12.75">
      <c r="C55" s="21"/>
      <c r="D55" s="21"/>
      <c r="E55" s="18">
        <v>43095</v>
      </c>
      <c r="F55" s="33"/>
      <c r="G55" s="33">
        <v>-187180</v>
      </c>
      <c r="H55" s="21"/>
      <c r="I55" s="23"/>
      <c r="J55" s="111"/>
      <c r="K55" s="112"/>
      <c r="L55" s="113"/>
      <c r="N55" s="100"/>
      <c r="O55" s="65"/>
    </row>
    <row r="56" spans="3:15" ht="12.75">
      <c r="C56" s="21" t="s">
        <v>16</v>
      </c>
      <c r="D56" s="21"/>
      <c r="E56" s="18">
        <v>42747</v>
      </c>
      <c r="F56" s="33"/>
      <c r="G56" s="33">
        <v>212932.02</v>
      </c>
      <c r="H56" s="21"/>
      <c r="I56" s="23"/>
      <c r="J56" s="23"/>
      <c r="K56" s="21"/>
      <c r="N56" s="100"/>
      <c r="O56" s="65"/>
    </row>
    <row r="57" spans="3:15" ht="12.75">
      <c r="C57" s="21" t="s">
        <v>17</v>
      </c>
      <c r="D57" s="21"/>
      <c r="E57" s="18">
        <v>43130</v>
      </c>
      <c r="F57" s="33"/>
      <c r="G57" s="33">
        <v>-1817900</v>
      </c>
      <c r="H57" s="21"/>
      <c r="I57" s="23"/>
      <c r="J57" s="23"/>
      <c r="K57" s="21"/>
      <c r="N57" s="100"/>
      <c r="O57" s="65"/>
    </row>
    <row r="58" spans="3:15" ht="12.75">
      <c r="C58" s="21"/>
      <c r="D58" s="21"/>
      <c r="E58" s="18">
        <v>43143</v>
      </c>
      <c r="F58" s="33"/>
      <c r="G58" s="33">
        <v>503401.50</v>
      </c>
      <c r="H58" s="21"/>
      <c r="I58" s="23"/>
      <c r="J58" s="23"/>
      <c r="K58" s="21"/>
      <c r="N58" s="100"/>
      <c r="O58" s="65"/>
    </row>
    <row r="59" spans="3:15" ht="12.75">
      <c r="C59" s="21"/>
      <c r="D59" s="21"/>
      <c r="E59" s="18">
        <v>43173</v>
      </c>
      <c r="F59" s="33"/>
      <c r="G59" s="33">
        <v>-137200</v>
      </c>
      <c r="H59" s="21"/>
      <c r="I59" s="23"/>
      <c r="J59" s="23"/>
      <c r="K59" s="21"/>
      <c r="N59" s="100"/>
      <c r="O59" s="65"/>
    </row>
    <row r="60" spans="3:15" ht="12.75">
      <c r="C60" s="21"/>
      <c r="D60" s="21"/>
      <c r="E60" s="18">
        <v>43216</v>
      </c>
      <c r="F60" s="33"/>
      <c r="G60" s="33">
        <v>-245000</v>
      </c>
      <c r="H60" s="21"/>
      <c r="I60" s="23"/>
      <c r="J60" s="23"/>
      <c r="K60" s="21"/>
      <c r="N60" s="100"/>
      <c r="O60" s="65"/>
    </row>
    <row r="61" spans="3:15" ht="12.75">
      <c r="C61" s="21"/>
      <c r="D61" s="21"/>
      <c r="E61" s="18">
        <v>43265</v>
      </c>
      <c r="F61" s="33"/>
      <c r="G61" s="33">
        <v>-140139.99</v>
      </c>
      <c r="H61" s="21"/>
      <c r="I61" s="23"/>
      <c r="J61" s="23"/>
      <c r="K61" s="21"/>
      <c r="N61" s="100"/>
      <c r="O61" s="65"/>
    </row>
    <row r="62" spans="3:15" ht="12.75">
      <c r="C62" s="21"/>
      <c r="D62" s="21"/>
      <c r="E62" s="18">
        <v>43292</v>
      </c>
      <c r="F62" s="33"/>
      <c r="G62" s="33">
        <v>-245000</v>
      </c>
      <c r="H62" s="21"/>
      <c r="I62" s="23"/>
      <c r="J62" s="23"/>
      <c r="K62" s="21"/>
      <c r="N62" s="100"/>
      <c r="O62" s="65"/>
    </row>
    <row r="63" spans="3:15" ht="12.75">
      <c r="C63" s="21"/>
      <c r="D63" s="21"/>
      <c r="E63" s="18">
        <v>43328</v>
      </c>
      <c r="F63" s="33"/>
      <c r="G63" s="33">
        <v>-890819.99</v>
      </c>
      <c r="H63" s="21"/>
      <c r="I63" s="23"/>
      <c r="J63" s="23"/>
      <c r="K63" s="21"/>
      <c r="N63" s="100"/>
      <c r="O63" s="65"/>
    </row>
    <row r="64" spans="3:15" ht="12.75">
      <c r="C64" s="21"/>
      <c r="D64" s="21"/>
      <c r="E64" s="18">
        <v>43360</v>
      </c>
      <c r="F64" s="33"/>
      <c r="G64" s="33">
        <v>-135240</v>
      </c>
      <c r="H64" s="21"/>
      <c r="I64" s="23"/>
      <c r="J64" s="23"/>
      <c r="K64" s="21"/>
      <c r="N64" s="100"/>
      <c r="O64" s="65"/>
    </row>
    <row r="65" spans="3:15" ht="12.75">
      <c r="C65" s="21"/>
      <c r="D65" s="21"/>
      <c r="E65" s="18">
        <v>43369</v>
      </c>
      <c r="F65" s="33"/>
      <c r="G65" s="33">
        <v>-2935590</v>
      </c>
      <c r="H65" s="21"/>
      <c r="I65" s="23"/>
      <c r="J65" s="23"/>
      <c r="K65" s="21"/>
      <c r="N65" s="100"/>
      <c r="O65" s="65"/>
    </row>
    <row r="66" spans="3:15" ht="12.75">
      <c r="C66" s="21"/>
      <c r="D66" s="21"/>
      <c r="E66" s="18">
        <v>43389</v>
      </c>
      <c r="F66" s="33"/>
      <c r="G66" s="33">
        <v>196000.01</v>
      </c>
      <c r="H66" s="21"/>
      <c r="I66" s="23"/>
      <c r="J66" s="23"/>
      <c r="K66" s="21"/>
      <c r="N66" s="100"/>
      <c r="O66" s="65"/>
    </row>
    <row r="67" spans="3:15" ht="12.75">
      <c r="C67" s="21"/>
      <c r="D67" s="21"/>
      <c r="E67" s="18">
        <v>43445</v>
      </c>
      <c r="F67" s="33"/>
      <c r="G67" s="33">
        <v>-468930</v>
      </c>
      <c r="H67" s="21"/>
      <c r="I67" s="23"/>
      <c r="J67" s="23"/>
      <c r="K67" s="21"/>
      <c r="N67" s="100"/>
      <c r="O67" s="65"/>
    </row>
    <row r="68" spans="3:15" ht="12.75">
      <c r="C68" s="21" t="s">
        <v>18</v>
      </c>
      <c r="D68" s="21"/>
      <c r="E68" s="18">
        <v>43111</v>
      </c>
      <c r="F68" s="33"/>
      <c r="G68" s="33">
        <v>203913.13</v>
      </c>
      <c r="H68" s="21"/>
      <c r="I68" s="23"/>
      <c r="J68" s="23"/>
      <c r="K68" s="21"/>
      <c r="N68" s="100"/>
      <c r="O68" s="65"/>
    </row>
    <row r="69" spans="3:15" ht="12.75">
      <c r="C69" s="21"/>
      <c r="D69" s="21"/>
      <c r="E69" s="18">
        <v>43153</v>
      </c>
      <c r="F69" s="33"/>
      <c r="G69" s="33">
        <v>4714276.18</v>
      </c>
      <c r="H69" s="21"/>
      <c r="I69" s="23"/>
      <c r="J69" s="23"/>
      <c r="K69" s="21"/>
      <c r="N69" s="100"/>
      <c r="O69" s="65"/>
    </row>
    <row r="70" spans="3:15" ht="12.75">
      <c r="C70" s="21"/>
      <c r="D70" s="21"/>
      <c r="E70" s="18">
        <v>43446</v>
      </c>
      <c r="F70" s="33"/>
      <c r="G70" s="33">
        <v>225200.29</v>
      </c>
      <c r="H70" s="21"/>
      <c r="I70" s="23"/>
      <c r="J70" s="23"/>
      <c r="K70" s="21"/>
      <c r="N70" s="100"/>
      <c r="O70" s="65"/>
    </row>
    <row r="71" spans="3:15" ht="12.75">
      <c r="C71" s="21" t="s">
        <v>19</v>
      </c>
      <c r="D71" s="21"/>
      <c r="E71" s="18">
        <v>43522</v>
      </c>
      <c r="F71" s="33"/>
      <c r="G71" s="33">
        <v>-790860</v>
      </c>
      <c r="H71" s="21"/>
      <c r="I71" s="23"/>
      <c r="J71" s="23"/>
      <c r="K71" s="21"/>
      <c r="N71" s="100"/>
      <c r="O71" s="65"/>
    </row>
    <row r="72" spans="3:15" ht="12.75">
      <c r="C72" s="21"/>
      <c r="D72" s="21"/>
      <c r="E72" s="18">
        <v>43563</v>
      </c>
      <c r="F72" s="33"/>
      <c r="G72" s="33">
        <v>-397390</v>
      </c>
      <c r="H72" s="21"/>
      <c r="I72" s="23"/>
      <c r="J72" s="23"/>
      <c r="K72" s="21"/>
      <c r="N72" s="100"/>
      <c r="O72" s="65"/>
    </row>
    <row r="73" spans="3:15" ht="12.75">
      <c r="C73" s="21"/>
      <c r="D73" s="21"/>
      <c r="E73" s="18">
        <v>43600</v>
      </c>
      <c r="F73" s="33"/>
      <c r="G73" s="33">
        <v>-242550</v>
      </c>
      <c r="H73" s="21"/>
      <c r="I73" s="23"/>
      <c r="J73" s="23"/>
      <c r="K73" s="21"/>
      <c r="N73" s="100"/>
      <c r="O73" s="65"/>
    </row>
    <row r="74" spans="3:15" ht="12.75">
      <c r="C74" s="21"/>
      <c r="D74" s="21"/>
      <c r="E74" s="18">
        <v>43643</v>
      </c>
      <c r="F74" s="33"/>
      <c r="G74" s="33">
        <v>-137690</v>
      </c>
      <c r="H74" s="21"/>
      <c r="I74" s="23"/>
      <c r="J74" s="23"/>
      <c r="K74" s="21"/>
      <c r="N74" s="100"/>
      <c r="O74" s="65"/>
    </row>
    <row r="75" spans="3:15" ht="12.75">
      <c r="C75" s="21"/>
      <c r="D75" s="21"/>
      <c r="E75" s="18">
        <v>43655</v>
      </c>
      <c r="F75" s="33"/>
      <c r="G75" s="33">
        <v>-215600</v>
      </c>
      <c r="H75" s="21"/>
      <c r="I75" s="23"/>
      <c r="J75" s="23"/>
      <c r="K75" s="21"/>
      <c r="N75" s="100"/>
      <c r="O75" s="65"/>
    </row>
    <row r="76" spans="3:15" ht="12.75">
      <c r="C76" s="21"/>
      <c r="D76" s="21"/>
      <c r="E76" s="18">
        <v>43685</v>
      </c>
      <c r="F76" s="33"/>
      <c r="G76" s="33">
        <v>-242060</v>
      </c>
      <c r="H76" s="21"/>
      <c r="I76" s="23"/>
      <c r="J76" s="23"/>
      <c r="K76" s="21"/>
      <c r="N76" s="100"/>
      <c r="O76" s="65"/>
    </row>
    <row r="77" spans="3:15" ht="12.75">
      <c r="C77" s="21"/>
      <c r="D77" s="21"/>
      <c r="E77" s="18">
        <v>43697</v>
      </c>
      <c r="F77" s="33"/>
      <c r="G77" s="33">
        <v>-72765</v>
      </c>
      <c r="H77" s="21"/>
      <c r="I77" s="23"/>
      <c r="J77" s="23"/>
      <c r="K77" s="21"/>
      <c r="N77" s="100"/>
      <c r="O77" s="65"/>
    </row>
    <row r="78" spans="3:15" ht="12.75">
      <c r="C78" s="21"/>
      <c r="D78" s="21"/>
      <c r="E78" s="18">
        <v>43727</v>
      </c>
      <c r="F78" s="33"/>
      <c r="G78" s="33">
        <v>-200900</v>
      </c>
      <c r="H78" s="21"/>
      <c r="I78" s="23"/>
      <c r="J78" s="23"/>
      <c r="K78" s="21"/>
      <c r="N78" s="100"/>
      <c r="O78" s="65"/>
    </row>
    <row r="79" spans="3:15" ht="12.75">
      <c r="C79" s="21"/>
      <c r="D79" s="21"/>
      <c r="E79" s="18">
        <v>43756</v>
      </c>
      <c r="F79" s="33"/>
      <c r="G79" s="33">
        <v>-108780</v>
      </c>
      <c r="H79" s="21"/>
      <c r="I79" s="23"/>
      <c r="J79" s="23"/>
      <c r="K79" s="21"/>
      <c r="N79" s="100"/>
      <c r="O79" s="65"/>
    </row>
    <row r="80" spans="3:15" ht="12.75">
      <c r="C80" s="21"/>
      <c r="D80" s="21"/>
      <c r="E80" s="18">
        <v>43783</v>
      </c>
      <c r="F80" s="33"/>
      <c r="G80" s="33">
        <v>-121275</v>
      </c>
      <c r="H80" s="21"/>
      <c r="I80" s="23"/>
      <c r="J80" s="23"/>
      <c r="K80" s="21"/>
      <c r="N80" s="100"/>
      <c r="O80" s="65"/>
    </row>
    <row r="81" spans="3:15" ht="12.75">
      <c r="C81" s="21"/>
      <c r="D81" s="21"/>
      <c r="E81" s="18">
        <v>43795</v>
      </c>
      <c r="F81" s="33"/>
      <c r="G81" s="33">
        <v>-297920</v>
      </c>
      <c r="H81" s="21"/>
      <c r="I81" s="23"/>
      <c r="J81" s="23"/>
      <c r="K81" s="21"/>
      <c r="N81" s="100"/>
      <c r="O81" s="65"/>
    </row>
    <row r="82" spans="3:15" ht="12.75">
      <c r="C82" s="21"/>
      <c r="D82" s="21"/>
      <c r="E82" s="18">
        <v>43830</v>
      </c>
      <c r="F82" s="33"/>
      <c r="G82" s="33">
        <v>-85260</v>
      </c>
      <c r="H82" s="21"/>
      <c r="I82" s="23"/>
      <c r="J82" s="23"/>
      <c r="K82" s="21"/>
      <c r="N82" s="100"/>
      <c r="O82" s="65"/>
    </row>
    <row r="83" spans="3:15" ht="12.75">
      <c r="C83" s="21" t="s">
        <v>20</v>
      </c>
      <c r="D83" s="21"/>
      <c r="E83" s="18">
        <v>43620</v>
      </c>
      <c r="F83" s="33"/>
      <c r="G83" s="33">
        <v>91335.19</v>
      </c>
      <c r="H83" s="21"/>
      <c r="I83" s="23"/>
      <c r="J83" s="23"/>
      <c r="K83" s="21"/>
      <c r="N83" s="100"/>
      <c r="O83" s="65"/>
    </row>
    <row r="84" spans="3:15" ht="12.75">
      <c r="C84" s="21"/>
      <c r="D84" s="21"/>
      <c r="E84" s="18">
        <v>43669</v>
      </c>
      <c r="F84" s="33"/>
      <c r="G84" s="33">
        <v>354698.98</v>
      </c>
      <c r="H84" s="21"/>
      <c r="I84" s="23"/>
      <c r="J84" s="23"/>
      <c r="K84" s="21"/>
      <c r="N84" s="100"/>
      <c r="O84" s="65"/>
    </row>
    <row r="85" spans="3:15" ht="12.75">
      <c r="C85" s="21"/>
      <c r="D85" s="21"/>
      <c r="E85" s="18">
        <v>43717</v>
      </c>
      <c r="F85" s="33"/>
      <c r="G85" s="33">
        <v>120815.60</v>
      </c>
      <c r="H85" s="21"/>
      <c r="I85" s="23"/>
      <c r="J85" s="23"/>
      <c r="K85" s="21"/>
      <c r="N85" s="100"/>
      <c r="O85" s="65"/>
    </row>
    <row r="86" spans="3:15" ht="12.75">
      <c r="C86" s="21" t="s">
        <v>21</v>
      </c>
      <c r="D86" s="21"/>
      <c r="E86" s="18">
        <v>43858</v>
      </c>
      <c r="F86" s="33"/>
      <c r="G86" s="33">
        <v>-129850</v>
      </c>
      <c r="H86" s="21"/>
      <c r="I86" s="23"/>
      <c r="J86" s="23"/>
      <c r="K86" s="21"/>
      <c r="N86" s="100"/>
      <c r="O86" s="65"/>
    </row>
    <row r="87" spans="3:15" ht="12.75">
      <c r="C87" s="21"/>
      <c r="D87" s="21"/>
      <c r="E87" s="18">
        <v>43860</v>
      </c>
      <c r="F87" s="33"/>
      <c r="G87" s="33">
        <v>-146020</v>
      </c>
      <c r="H87" s="21"/>
      <c r="I87" s="23"/>
      <c r="J87" s="23"/>
      <c r="K87" s="21"/>
      <c r="N87" s="100"/>
      <c r="O87" s="65"/>
    </row>
    <row r="88" spans="3:15" ht="12.75">
      <c r="C88" s="21"/>
      <c r="D88" s="21"/>
      <c r="E88" s="18">
        <v>43915</v>
      </c>
      <c r="F88" s="33"/>
      <c r="G88" s="33">
        <v>-138180</v>
      </c>
      <c r="H88" s="21"/>
      <c r="I88" s="23"/>
      <c r="J88" s="23"/>
      <c r="K88" s="21"/>
      <c r="N88" s="100"/>
      <c r="O88" s="65"/>
    </row>
    <row r="89" spans="3:15" ht="12.75">
      <c r="C89" s="21"/>
      <c r="D89" s="21"/>
      <c r="E89" s="18">
        <v>43917</v>
      </c>
      <c r="F89" s="33"/>
      <c r="G89" s="33">
        <v>-33957</v>
      </c>
      <c r="H89" s="21"/>
      <c r="I89" s="23"/>
      <c r="J89" s="23"/>
      <c r="K89" s="21"/>
      <c r="N89" s="100"/>
      <c r="O89" s="65"/>
    </row>
    <row r="90" spans="3:15" ht="12.75">
      <c r="C90" s="21"/>
      <c r="D90" s="21"/>
      <c r="E90" s="18">
        <v>43980</v>
      </c>
      <c r="F90" s="33"/>
      <c r="G90" s="33">
        <v>-143570</v>
      </c>
      <c r="H90" s="21"/>
      <c r="I90" s="23"/>
      <c r="J90" s="23"/>
      <c r="K90" s="21"/>
      <c r="N90" s="100"/>
      <c r="O90" s="65"/>
    </row>
    <row r="91" spans="3:15" ht="12.75">
      <c r="C91" s="21"/>
      <c r="D91" s="21"/>
      <c r="E91" s="18">
        <v>43999</v>
      </c>
      <c r="F91" s="33"/>
      <c r="G91" s="33">
        <v>-196000</v>
      </c>
      <c r="H91" s="21"/>
      <c r="I91" s="23"/>
      <c r="J91" s="23"/>
      <c r="K91" s="21"/>
      <c r="N91" s="100"/>
      <c r="O91" s="65"/>
    </row>
    <row r="92" spans="3:15" ht="12.75">
      <c r="C92" s="21"/>
      <c r="D92" s="21"/>
      <c r="E92" s="18">
        <v>44047</v>
      </c>
      <c r="F92" s="33"/>
      <c r="G92" s="33">
        <v>-15863.29</v>
      </c>
      <c r="H92" s="21"/>
      <c r="I92" s="23"/>
      <c r="J92" s="23"/>
      <c r="K92" s="21"/>
      <c r="N92" s="100"/>
      <c r="O92" s="65"/>
    </row>
    <row r="93" spans="3:15" ht="12.75">
      <c r="C93" s="21" t="s">
        <v>22</v>
      </c>
      <c r="D93" s="21"/>
      <c r="E93" s="18">
        <v>43888</v>
      </c>
      <c r="F93" s="33"/>
      <c r="G93" s="33">
        <v>455928.93</v>
      </c>
      <c r="H93" s="21"/>
      <c r="I93" s="23"/>
      <c r="J93" s="23"/>
      <c r="K93" s="21"/>
      <c r="N93" s="100"/>
      <c r="O93" s="65"/>
    </row>
    <row r="94" spans="3:15" ht="12.75" customHeight="1">
      <c r="C94" s="21"/>
      <c r="D94" s="21"/>
      <c r="E94" s="18">
        <v>44089</v>
      </c>
      <c r="F94" s="33"/>
      <c r="G94" s="33">
        <v>67815.69</v>
      </c>
      <c r="H94" s="21"/>
      <c r="I94" s="23"/>
      <c r="J94" s="23"/>
      <c r="K94" s="21"/>
      <c r="N94" s="100"/>
      <c r="O94" s="65"/>
    </row>
    <row r="95" spans="3:15" ht="12.75" customHeight="1">
      <c r="C95" s="21" t="s">
        <v>24</v>
      </c>
      <c r="D95" s="21"/>
      <c r="E95" s="18">
        <v>44202</v>
      </c>
      <c r="F95" s="33"/>
      <c r="G95" s="33">
        <v>-95550</v>
      </c>
      <c r="H95" s="21"/>
      <c r="I95" s="23"/>
      <c r="J95" s="23"/>
      <c r="K95" s="21"/>
      <c r="L95" s="50"/>
      <c r="N95" s="100"/>
      <c r="O95" s="65"/>
    </row>
    <row r="96" spans="3:15" ht="12.75" customHeight="1">
      <c r="C96" s="21"/>
      <c r="D96" s="21"/>
      <c r="E96" s="18">
        <v>44377</v>
      </c>
      <c r="F96" s="33"/>
      <c r="G96" s="33">
        <v>-46060</v>
      </c>
      <c r="H96" s="21"/>
      <c r="I96" s="23"/>
      <c r="J96" s="23"/>
      <c r="K96" s="21"/>
      <c r="L96" s="50"/>
      <c r="N96" s="100"/>
      <c r="O96" s="65"/>
    </row>
    <row r="97" spans="3:15" ht="12.75" customHeight="1">
      <c r="C97" s="21"/>
      <c r="D97" s="21"/>
      <c r="E97" s="18">
        <v>44469</v>
      </c>
      <c r="F97" s="33"/>
      <c r="G97" s="33">
        <v>-45570</v>
      </c>
      <c r="H97" s="21"/>
      <c r="I97" s="23"/>
      <c r="J97" s="23"/>
      <c r="K97" s="21"/>
      <c r="L97" s="50"/>
      <c r="N97" s="100"/>
      <c r="O97" s="65"/>
    </row>
    <row r="98" spans="3:15" ht="12.75" customHeight="1">
      <c r="C98" s="21"/>
      <c r="D98" s="21"/>
      <c r="E98" s="18">
        <v>44545</v>
      </c>
      <c r="F98" s="33"/>
      <c r="G98" s="33">
        <v>-45570</v>
      </c>
      <c r="H98" s="21"/>
      <c r="I98" s="23"/>
      <c r="J98" s="23"/>
      <c r="K98" s="21"/>
      <c r="L98" s="50"/>
      <c r="N98" s="100"/>
      <c r="O98" s="65"/>
    </row>
    <row r="99" spans="3:15" ht="12.75" customHeight="1">
      <c r="C99" s="21" t="s">
        <v>23</v>
      </c>
      <c r="D99" s="21"/>
      <c r="E99" s="18">
        <v>44265</v>
      </c>
      <c r="F99" s="33"/>
      <c r="G99" s="33">
        <v>226087.04</v>
      </c>
      <c r="H99" s="21"/>
      <c r="I99" s="23"/>
      <c r="J99" s="23"/>
      <c r="K99" s="21"/>
      <c r="L99" s="50"/>
      <c r="N99" s="100"/>
      <c r="O99" s="65"/>
    </row>
    <row r="100" spans="3:15" ht="12.75" customHeight="1">
      <c r="C100" s="21"/>
      <c r="D100" s="21"/>
      <c r="E100" s="18">
        <v>44376</v>
      </c>
      <c r="F100" s="33"/>
      <c r="G100" s="33">
        <v>116286.97</v>
      </c>
      <c r="H100" s="21"/>
      <c r="I100" s="23"/>
      <c r="J100" s="23"/>
      <c r="K100" s="21"/>
      <c r="L100" s="50"/>
      <c r="N100" s="100"/>
      <c r="O100" s="65"/>
    </row>
    <row r="101" spans="3:15" ht="12.75" customHeight="1">
      <c r="C101" s="21"/>
      <c r="D101" s="21"/>
      <c r="E101" s="18">
        <v>44449</v>
      </c>
      <c r="F101" s="33"/>
      <c r="G101" s="33">
        <v>200808.29</v>
      </c>
      <c r="H101" s="21"/>
      <c r="I101" s="23"/>
      <c r="J101" s="23"/>
      <c r="K101" s="21"/>
      <c r="L101" s="50"/>
      <c r="N101" s="100"/>
      <c r="O101" s="65"/>
    </row>
    <row r="102" spans="3:15" ht="12.75" customHeight="1">
      <c r="C102" s="21"/>
      <c r="D102" s="21"/>
      <c r="E102" s="18">
        <v>44488</v>
      </c>
      <c r="F102" s="33"/>
      <c r="G102" s="33">
        <v>2852325.78</v>
      </c>
      <c r="H102" s="21"/>
      <c r="I102" s="23"/>
      <c r="J102" s="23"/>
      <c r="K102" s="21"/>
      <c r="L102" s="50"/>
      <c r="N102" s="100"/>
      <c r="O102" s="65"/>
    </row>
    <row r="103" spans="3:15" ht="12.75" customHeight="1">
      <c r="C103" s="21"/>
      <c r="D103" s="21"/>
      <c r="E103" s="18">
        <v>44540</v>
      </c>
      <c r="F103" s="33"/>
      <c r="G103" s="33">
        <v>267815.6</v>
      </c>
      <c r="H103" s="21"/>
      <c r="I103" s="23"/>
      <c r="J103" s="23"/>
      <c r="K103" s="21"/>
      <c r="L103" s="50"/>
      <c r="N103" s="100"/>
      <c r="O103" s="65"/>
    </row>
    <row r="104" spans="3:15" ht="12.75" customHeight="1">
      <c r="C104" s="21" t="s">
        <v>27</v>
      </c>
      <c r="D104" s="21"/>
      <c r="E104" s="18">
        <v>44650</v>
      </c>
      <c r="F104" s="33"/>
      <c r="G104" s="33">
        <v>-40180</v>
      </c>
      <c r="H104" s="21"/>
      <c r="I104" s="23"/>
      <c r="J104" s="23"/>
      <c r="K104" s="21"/>
      <c r="L104" s="50"/>
      <c r="N104" s="100"/>
      <c r="O104" s="65"/>
    </row>
    <row r="105" spans="3:15" ht="12.75" customHeight="1">
      <c r="C105" s="21"/>
      <c r="D105" s="21"/>
      <c r="E105" s="18">
        <v>44742</v>
      </c>
      <c r="F105" s="33"/>
      <c r="G105" s="33">
        <v>-36260</v>
      </c>
      <c r="H105" s="21"/>
      <c r="I105" s="23"/>
      <c r="J105" s="23"/>
      <c r="K105" s="21"/>
      <c r="L105" s="50"/>
      <c r="N105" s="100"/>
      <c r="O105" s="65"/>
    </row>
    <row r="106" spans="3:15" ht="12.75" customHeight="1">
      <c r="C106" s="21"/>
      <c r="D106" s="21"/>
      <c r="E106" s="18">
        <v>44827</v>
      </c>
      <c r="F106" s="33"/>
      <c r="G106" s="33">
        <v>-36260</v>
      </c>
      <c r="H106" s="21"/>
      <c r="I106" s="23"/>
      <c r="J106" s="23"/>
      <c r="K106" s="21"/>
      <c r="L106" s="50"/>
      <c r="N106" s="100"/>
      <c r="O106" s="65"/>
    </row>
    <row r="107" spans="3:15" ht="12.75" customHeight="1">
      <c r="C107" s="21"/>
      <c r="D107" s="21"/>
      <c r="E107" s="18">
        <v>44925</v>
      </c>
      <c r="F107" s="33"/>
      <c r="G107" s="33">
        <v>-35770</v>
      </c>
      <c r="H107" s="21"/>
      <c r="I107" s="23"/>
      <c r="J107" s="23"/>
      <c r="K107" s="21"/>
      <c r="L107" s="50"/>
      <c r="N107" s="100"/>
      <c r="O107" s="65"/>
    </row>
    <row r="108" spans="3:15" ht="12.75" customHeight="1">
      <c r="C108" s="21" t="s">
        <v>25</v>
      </c>
      <c r="D108" s="21"/>
      <c r="E108" s="18">
        <v>44645</v>
      </c>
      <c r="F108" s="33"/>
      <c r="G108" s="33">
        <v>253427.30</v>
      </c>
      <c r="H108" s="21"/>
      <c r="I108" s="23"/>
      <c r="J108" s="23"/>
      <c r="K108" s="21"/>
      <c r="L108" s="50"/>
      <c r="N108" s="100"/>
      <c r="O108" s="65"/>
    </row>
    <row r="109" spans="3:15" ht="12.75" customHeight="1">
      <c r="C109" s="21"/>
      <c r="D109" s="21"/>
      <c r="E109" s="18">
        <v>44721</v>
      </c>
      <c r="F109" s="33"/>
      <c r="G109" s="33">
        <v>125159.36</v>
      </c>
      <c r="H109" s="21"/>
      <c r="I109" s="23"/>
      <c r="J109" s="23"/>
      <c r="K109" s="21"/>
      <c r="L109" s="50"/>
      <c r="N109" s="100"/>
      <c r="O109" s="65"/>
    </row>
    <row r="110" spans="3:15" ht="12.75" customHeight="1">
      <c r="C110" s="21"/>
      <c r="D110" s="21"/>
      <c r="E110" s="18">
        <v>44791</v>
      </c>
      <c r="F110" s="33"/>
      <c r="G110" s="33">
        <v>531625.45</v>
      </c>
      <c r="H110" s="21"/>
      <c r="I110" s="23"/>
      <c r="J110" s="23"/>
      <c r="K110" s="21"/>
      <c r="L110" s="50"/>
      <c r="N110" s="100"/>
      <c r="O110" s="65"/>
    </row>
    <row r="111" spans="3:15" ht="12.75" customHeight="1">
      <c r="C111" s="21"/>
      <c r="D111" s="21"/>
      <c r="E111" s="18">
        <v>44888</v>
      </c>
      <c r="F111" s="33"/>
      <c r="G111" s="33">
        <v>113135.23</v>
      </c>
      <c r="H111" s="21"/>
      <c r="I111" s="23"/>
      <c r="J111" s="23"/>
      <c r="K111" s="21"/>
      <c r="L111" s="50"/>
      <c r="N111" s="100"/>
      <c r="O111" s="65"/>
    </row>
    <row r="112" spans="3:15" ht="12.75" customHeight="1">
      <c r="C112" s="21" t="s">
        <v>28</v>
      </c>
      <c r="D112" s="21"/>
      <c r="E112" s="18">
        <v>45009</v>
      </c>
      <c r="F112" s="33"/>
      <c r="G112" s="33">
        <v>-35770</v>
      </c>
      <c r="H112" s="21"/>
      <c r="I112" s="23"/>
      <c r="J112" s="23"/>
      <c r="K112" s="21"/>
      <c r="L112" s="50"/>
      <c r="N112" s="100"/>
      <c r="O112" s="65"/>
    </row>
    <row r="113" spans="3:15" ht="12.75" customHeight="1">
      <c r="C113" s="21"/>
      <c r="D113" s="21"/>
      <c r="E113" s="18">
        <v>45112</v>
      </c>
      <c r="F113" s="33"/>
      <c r="G113" s="33">
        <v>-28910</v>
      </c>
      <c r="H113" s="21"/>
      <c r="I113" s="23"/>
      <c r="J113" s="23"/>
      <c r="K113" s="21"/>
      <c r="L113" s="50"/>
      <c r="N113" s="100"/>
      <c r="O113" s="65"/>
    </row>
    <row r="114" spans="3:15" ht="12.75" customHeight="1">
      <c r="C114" s="21"/>
      <c r="D114" s="21"/>
      <c r="E114" s="18">
        <v>45196</v>
      </c>
      <c r="F114" s="33"/>
      <c r="G114" s="33">
        <v>-28910</v>
      </c>
      <c r="H114" s="21"/>
      <c r="I114" s="23"/>
      <c r="J114" s="23"/>
      <c r="K114" s="21"/>
      <c r="L114" s="50"/>
      <c r="N114" s="100"/>
      <c r="O114" s="65"/>
    </row>
    <row r="115" spans="3:15" ht="12.75" customHeight="1">
      <c r="C115" s="21" t="s">
        <v>26</v>
      </c>
      <c r="D115" s="21"/>
      <c r="E115" s="18">
        <v>45001</v>
      </c>
      <c r="F115" s="33"/>
      <c r="G115" s="33">
        <v>615405.61</v>
      </c>
      <c r="H115" s="21"/>
      <c r="I115" s="23"/>
      <c r="J115" s="23"/>
      <c r="K115" s="21"/>
      <c r="L115" s="50"/>
      <c r="N115" s="100"/>
      <c r="O115" s="65"/>
    </row>
    <row r="116" spans="3:15" ht="12.75" customHeight="1">
      <c r="C116" s="21"/>
      <c r="D116" s="21"/>
      <c r="E116" s="18">
        <v>45050</v>
      </c>
      <c r="F116" s="33"/>
      <c r="G116" s="33">
        <v>1802114.36</v>
      </c>
      <c r="H116" s="21"/>
      <c r="I116" s="23"/>
      <c r="J116" s="23"/>
      <c r="K116" s="21"/>
      <c r="L116" s="50"/>
      <c r="N116" s="100"/>
      <c r="O116" s="65"/>
    </row>
    <row r="117" spans="3:15" ht="12.75" customHeight="1">
      <c r="C117" s="21"/>
      <c r="D117" s="21"/>
      <c r="E117" s="18">
        <v>45134</v>
      </c>
      <c r="F117" s="33"/>
      <c r="G117" s="33">
        <v>646365.74</v>
      </c>
      <c r="H117" s="21"/>
      <c r="I117" s="23"/>
      <c r="J117" s="23"/>
      <c r="K117" s="21"/>
      <c r="L117" s="50"/>
      <c r="N117" s="100"/>
      <c r="O117" s="65"/>
    </row>
    <row r="118" spans="3:15" ht="12.75" customHeight="1">
      <c r="C118" s="21"/>
      <c r="D118" s="21"/>
      <c r="E118" s="18">
        <v>45161</v>
      </c>
      <c r="F118" s="33"/>
      <c r="G118" s="33">
        <v>551292.55</v>
      </c>
      <c r="H118" s="21"/>
      <c r="I118" s="23"/>
      <c r="J118" s="23"/>
      <c r="K118" s="21"/>
      <c r="L118" s="50"/>
      <c r="N118" s="100"/>
      <c r="O118" s="65"/>
    </row>
    <row r="119" spans="3:15" ht="12.75" customHeight="1">
      <c r="C119" s="21"/>
      <c r="D119" s="21"/>
      <c r="E119" s="18">
        <v>45183</v>
      </c>
      <c r="F119" s="33"/>
      <c r="G119" s="33">
        <v>157557.38</v>
      </c>
      <c r="H119" s="21"/>
      <c r="I119" s="23"/>
      <c r="J119" s="23"/>
      <c r="K119" s="21"/>
      <c r="L119" s="50"/>
      <c r="N119" s="100"/>
      <c r="O119" s="65"/>
    </row>
    <row r="120" spans="3:15" ht="4.5" customHeight="1">
      <c r="C120" s="21"/>
      <c r="D120" s="21"/>
      <c r="E120" s="18"/>
      <c r="F120" s="21"/>
      <c r="G120" s="33"/>
      <c r="H120" s="21"/>
      <c r="I120" s="23"/>
      <c r="J120" s="23"/>
      <c r="O120" s="65"/>
    </row>
    <row r="121" spans="3:13" ht="12.75">
      <c r="C121" s="21" t="s">
        <v>1</v>
      </c>
      <c r="D121" s="21"/>
      <c r="E121" s="18">
        <f>+E8</f>
        <v>45199</v>
      </c>
      <c r="F121" s="21"/>
      <c r="G121" s="49">
        <f>L121/0.98*C22</f>
        <v>8978413.725</v>
      </c>
      <c r="H121" s="21"/>
      <c r="I121" s="33">
        <f>+SUMIF($G$24:$G$120,"&lt;0",$G$24:$G$120)+G58+G66</f>
        <v>-1.7850858759999998E7</v>
      </c>
      <c r="J121" s="21" t="s">
        <v>11</v>
      </c>
      <c r="L121" s="54">
        <v>1.795682745E9</v>
      </c>
      <c r="M121" s="65"/>
    </row>
    <row r="122" spans="3:13" ht="12.75">
      <c r="C122" s="21"/>
      <c r="D122" s="21"/>
      <c r="E122" s="21"/>
      <c r="F122" s="21"/>
      <c r="G122" s="21"/>
      <c r="H122" s="21"/>
      <c r="I122" s="33">
        <f>+SUMIF($G$24:$G$120,"&gt;0",$G$24:$G$120)-G58-G66</f>
        <v>1.58908065E7</v>
      </c>
      <c r="J122" s="21" t="s">
        <v>12</v>
      </c>
      <c r="M122" s="65"/>
    </row>
    <row r="123" spans="3:13" ht="12.75">
      <c r="C123" s="20" t="s">
        <v>0</v>
      </c>
      <c r="G123" s="47">
        <f>+XIRR(G24:G121,E24:E121,0.1)</f>
        <v>0.10213751196861268</v>
      </c>
      <c r="H123" s="21"/>
      <c r="M123" s="53"/>
    </row>
    <row r="124" spans="3:8" ht="12.75">
      <c r="C124" s="21"/>
      <c r="D124" s="21"/>
      <c r="E124" s="21"/>
      <c r="F124" s="21"/>
      <c r="G124" s="21"/>
      <c r="H124" s="21"/>
    </row>
    <row r="125" spans="3:13" ht="12.75">
      <c r="C125" s="21"/>
      <c r="D125" s="21"/>
      <c r="E125" s="21"/>
      <c r="F125" s="21"/>
      <c r="G125" s="21"/>
      <c r="H125" s="21"/>
      <c r="M125" s="53"/>
    </row>
    <row r="126" spans="3:8" ht="12.75">
      <c r="C126" s="26"/>
      <c r="D126" s="26"/>
      <c r="E126" s="26"/>
      <c r="F126" s="26"/>
      <c r="G126" s="26"/>
      <c r="H126" s="20"/>
    </row>
    <row r="127" spans="3:8" ht="12.75">
      <c r="C127" s="26"/>
      <c r="D127" s="26"/>
      <c r="E127" s="34"/>
      <c r="F127" s="34"/>
      <c r="G127" s="34"/>
      <c r="H127" s="20"/>
    </row>
    <row r="128" spans="3:8" ht="12.75">
      <c r="C128" s="26"/>
      <c r="D128" s="26"/>
      <c r="E128" s="26"/>
      <c r="F128" s="26"/>
      <c r="G128" s="26"/>
      <c r="H128" s="20"/>
    </row>
    <row r="129" spans="3:8" ht="12.75">
      <c r="C129" s="114"/>
      <c r="D129" s="114"/>
      <c r="E129" s="115"/>
      <c r="F129" s="71"/>
      <c r="G129" s="45"/>
      <c r="H129" s="20"/>
    </row>
    <row r="130" spans="3:8" ht="12.75">
      <c r="C130" s="114"/>
      <c r="D130" s="114"/>
      <c r="E130" s="46"/>
      <c r="F130" s="71"/>
      <c r="G130" s="46"/>
      <c r="H130" s="20"/>
    </row>
    <row r="131" spans="3:8" ht="12.75">
      <c r="C131" s="114"/>
      <c r="D131" s="114"/>
      <c r="E131" s="46"/>
      <c r="F131" s="71"/>
      <c r="G131" s="46"/>
      <c r="H131" s="20"/>
    </row>
    <row r="132" spans="3:9" ht="12.75">
      <c r="C132" s="116"/>
      <c r="D132" s="114"/>
      <c r="E132" s="46"/>
      <c r="F132" s="71"/>
      <c r="G132" s="46"/>
      <c r="H132" s="20"/>
      <c r="I132" s="101"/>
    </row>
    <row r="133" spans="3:9" ht="12.75">
      <c r="C133" s="116"/>
      <c r="D133" s="114"/>
      <c r="E133" s="46"/>
      <c r="F133" s="71"/>
      <c r="G133" s="46"/>
      <c r="H133" s="20"/>
      <c r="I133" s="101"/>
    </row>
    <row r="134" spans="3:8" ht="12.75">
      <c r="C134" s="117"/>
      <c r="D134" s="114"/>
      <c r="E134" s="46"/>
      <c r="F134" s="71"/>
      <c r="G134" s="46"/>
      <c r="H134" s="20"/>
    </row>
    <row r="135" spans="3:8" ht="12.75">
      <c r="C135" s="114"/>
      <c r="D135" s="114"/>
      <c r="E135" s="46"/>
      <c r="F135" s="71"/>
      <c r="G135" s="46"/>
      <c r="H135" s="20"/>
    </row>
    <row r="136" spans="3:8" ht="12.75">
      <c r="C136" s="114"/>
      <c r="D136" s="114"/>
      <c r="E136" s="46"/>
      <c r="F136" s="71"/>
      <c r="G136" s="46"/>
      <c r="H136" s="20"/>
    </row>
    <row r="137" spans="3:8" ht="12.75">
      <c r="C137" s="114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5.1" customHeight="1">
      <c r="C141" s="20"/>
      <c r="D141" s="20"/>
      <c r="E141" s="37"/>
      <c r="F141" s="37"/>
      <c r="G141" s="37"/>
      <c r="H141" s="20"/>
    </row>
    <row r="142" spans="3:8" ht="12.75">
      <c r="C142" s="20"/>
      <c r="D142" s="20"/>
      <c r="E142" s="43"/>
      <c r="F142" s="43"/>
      <c r="G142" s="43"/>
      <c r="H142" s="20"/>
    </row>
    <row r="144" spans="3:9" ht="12.75">
      <c r="C144" s="26"/>
      <c r="D144" s="26"/>
      <c r="E144" s="51"/>
      <c r="F144" s="51"/>
      <c r="G144" s="51"/>
      <c r="H144" s="20"/>
      <c r="I144" s="102"/>
    </row>
    <row r="145" spans="3:8" ht="12.75">
      <c r="C145" s="26"/>
      <c r="D145" s="26"/>
      <c r="E145" s="34"/>
      <c r="F145" s="34"/>
      <c r="G145" s="34"/>
      <c r="H145" s="20"/>
    </row>
    <row r="146" spans="3:8" ht="12.75">
      <c r="C146" s="26"/>
      <c r="D146" s="26"/>
      <c r="E146" s="26"/>
      <c r="F146" s="26"/>
      <c r="G146" s="26"/>
      <c r="H146" s="20"/>
    </row>
    <row r="147" spans="3:8" ht="12.75">
      <c r="C147" s="26"/>
      <c r="D147" s="26"/>
      <c r="E147" s="45"/>
      <c r="F147" s="46"/>
      <c r="G147" s="45"/>
      <c r="H147" s="20"/>
    </row>
    <row r="148" spans="3:8" ht="12.75">
      <c r="C148" s="26"/>
      <c r="D148" s="26"/>
      <c r="E148" s="46"/>
      <c r="F148" s="46"/>
      <c r="G148" s="46"/>
      <c r="H148" s="20"/>
    </row>
    <row r="149" spans="3:8" ht="12.75">
      <c r="C149" s="26"/>
      <c r="D149" s="26"/>
      <c r="E149" s="46"/>
      <c r="F149" s="46"/>
      <c r="G149" s="46"/>
      <c r="H149" s="20"/>
    </row>
    <row r="150" spans="3:8" ht="12.75">
      <c r="C150" s="26"/>
      <c r="D150" s="26"/>
      <c r="E150" s="46"/>
      <c r="F150" s="46"/>
      <c r="G150" s="46"/>
      <c r="H150" s="20"/>
    </row>
    <row r="151" spans="3:8" ht="12.75">
      <c r="C151" s="26"/>
      <c r="D151" s="26"/>
      <c r="E151" s="46"/>
      <c r="F151" s="46"/>
      <c r="G151" s="46"/>
      <c r="H151" s="20"/>
    </row>
    <row r="152" spans="3:8" ht="12.75">
      <c r="C152" s="26"/>
      <c r="D152" s="26"/>
      <c r="E152" s="46"/>
      <c r="F152" s="46"/>
      <c r="G152" s="46"/>
      <c r="H152" s="20"/>
    </row>
    <row r="153" spans="3:8" ht="12.75">
      <c r="C153" s="26"/>
      <c r="D153" s="26"/>
      <c r="E153" s="46"/>
      <c r="F153" s="46"/>
      <c r="G153" s="46"/>
      <c r="H153" s="20"/>
    </row>
    <row r="154" spans="3:8" ht="12.75">
      <c r="C154" s="26"/>
      <c r="D154" s="26"/>
      <c r="E154" s="46"/>
      <c r="F154" s="46"/>
      <c r="G154" s="46"/>
      <c r="H154" s="20"/>
    </row>
  </sheetData>
  <mergeCells count="1">
    <mergeCell ref="E144:G144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054241-8E94-47E3-9FEF-94485A347AC6}">
  <sheetPr>
    <pageSetUpPr fitToPage="1"/>
  </sheetPr>
  <dimension ref="B4:O14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0.09905018210411073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-(G121+I122)/I121</f>
        <v>1.3863105034405128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0.017131137</v>
      </c>
      <c r="D22" s="21"/>
      <c r="E22" s="21"/>
      <c r="F22" s="21"/>
      <c r="G22" s="27"/>
      <c r="H22" s="21"/>
      <c r="I22" s="21"/>
      <c r="J22" s="21"/>
    </row>
    <row r="23" spans="3:9" ht="12.75">
      <c r="C23" s="21"/>
      <c r="D23" s="21"/>
      <c r="E23" s="18"/>
      <c r="F23" s="33"/>
      <c r="G23" s="33"/>
      <c r="H23" s="21"/>
      <c r="I23" s="23"/>
    </row>
    <row r="24" spans="3:9" ht="12.75">
      <c r="C24" s="21" t="s">
        <v>7</v>
      </c>
      <c r="D24" s="21"/>
      <c r="E24" s="18">
        <v>41829</v>
      </c>
      <c r="F24" s="33"/>
      <c r="G24" s="33">
        <v>-84525</v>
      </c>
      <c r="H24" s="21"/>
      <c r="I24" s="23"/>
    </row>
    <row r="25" spans="3:9" ht="12.75">
      <c r="C25" s="35"/>
      <c r="D25" s="21"/>
      <c r="E25" s="18">
        <v>41894</v>
      </c>
      <c r="F25" s="33"/>
      <c r="G25" s="33">
        <v>-43855</v>
      </c>
      <c r="H25" s="21"/>
      <c r="I25" s="23"/>
    </row>
    <row r="26" spans="3:9" ht="12.75">
      <c r="C26" s="21"/>
      <c r="D26" s="21"/>
      <c r="E26" s="18">
        <v>41942</v>
      </c>
      <c r="F26" s="33"/>
      <c r="G26" s="33">
        <v>-23030</v>
      </c>
      <c r="H26" s="21"/>
      <c r="I26" s="23"/>
    </row>
    <row r="27" spans="3:9" ht="12.75">
      <c r="C27" s="21"/>
      <c r="D27" s="21"/>
      <c r="E27" s="18">
        <v>41999</v>
      </c>
      <c r="F27" s="33"/>
      <c r="G27" s="33">
        <v>-32830</v>
      </c>
      <c r="H27" s="21"/>
      <c r="I27" s="23"/>
    </row>
    <row r="28" spans="3:9" ht="12.75">
      <c r="C28" s="21" t="s">
        <v>9</v>
      </c>
      <c r="E28" s="18">
        <v>42037</v>
      </c>
      <c r="G28" s="33">
        <v>-32340</v>
      </c>
      <c r="H28" s="21"/>
      <c r="I28" s="23"/>
    </row>
    <row r="29" spans="5:9" ht="12.75">
      <c r="E29" s="18">
        <v>42093</v>
      </c>
      <c r="G29" s="33">
        <v>-41895</v>
      </c>
      <c r="H29" s="21"/>
      <c r="I29" s="23"/>
    </row>
    <row r="30" spans="5:9" ht="12.75">
      <c r="E30" s="18">
        <v>42109</v>
      </c>
      <c r="G30" s="33">
        <v>-31360</v>
      </c>
      <c r="H30" s="21"/>
      <c r="I30" s="23"/>
    </row>
    <row r="31" spans="5:11" ht="12.75">
      <c r="E31" s="18">
        <v>42144</v>
      </c>
      <c r="G31" s="33">
        <v>-18375</v>
      </c>
      <c r="H31" s="21"/>
      <c r="I31" s="23"/>
      <c r="J31" s="23"/>
      <c r="K31" s="21"/>
    </row>
    <row r="32" spans="5:11" ht="12.75">
      <c r="E32" s="18">
        <v>42184</v>
      </c>
      <c r="G32" s="33">
        <v>-28175</v>
      </c>
      <c r="H32" s="21"/>
      <c r="I32" s="23"/>
      <c r="J32" s="23"/>
      <c r="K32" s="21"/>
    </row>
    <row r="33" spans="5:11" ht="12.75">
      <c r="E33" s="18">
        <v>42227</v>
      </c>
      <c r="G33" s="33">
        <v>-37485</v>
      </c>
      <c r="H33" s="21"/>
      <c r="I33" s="23"/>
      <c r="J33" s="23"/>
      <c r="K33" s="21"/>
    </row>
    <row r="34" spans="5:11" ht="12.75">
      <c r="E34" s="18">
        <v>42261</v>
      </c>
      <c r="G34" s="33">
        <v>-49489.99</v>
      </c>
      <c r="H34" s="21"/>
      <c r="I34" s="23"/>
      <c r="J34" s="23"/>
      <c r="K34" s="21"/>
    </row>
    <row r="35" spans="5:11" ht="12.75">
      <c r="E35" s="18">
        <v>42368</v>
      </c>
      <c r="G35" s="33">
        <v>-40425</v>
      </c>
      <c r="H35" s="21"/>
      <c r="I35" s="23"/>
      <c r="J35" s="23"/>
      <c r="K35" s="21"/>
    </row>
    <row r="36" spans="3:11" ht="12.75">
      <c r="C36" s="21" t="s">
        <v>13</v>
      </c>
      <c r="D36" s="21"/>
      <c r="E36" s="18">
        <v>42396</v>
      </c>
      <c r="G36" s="33">
        <v>-708295</v>
      </c>
      <c r="H36" s="21"/>
      <c r="I36" s="23"/>
      <c r="J36" s="23"/>
      <c r="K36" s="21"/>
    </row>
    <row r="37" spans="3:11" ht="12.75">
      <c r="C37" s="21"/>
      <c r="D37" s="21"/>
      <c r="E37" s="18">
        <v>42445</v>
      </c>
      <c r="G37" s="33">
        <v>-60024.99</v>
      </c>
      <c r="H37" s="21"/>
      <c r="I37" s="23"/>
      <c r="J37" s="23"/>
      <c r="K37" s="21"/>
    </row>
    <row r="38" spans="3:11" ht="12.75">
      <c r="C38" s="21"/>
      <c r="D38" s="21"/>
      <c r="E38" s="18">
        <v>42549</v>
      </c>
      <c r="G38" s="33">
        <v>-97265.01</v>
      </c>
      <c r="H38" s="21"/>
      <c r="I38" s="23"/>
      <c r="J38" s="23"/>
      <c r="K38" s="21"/>
    </row>
    <row r="39" spans="3:11" ht="12.75">
      <c r="C39" s="21"/>
      <c r="D39" s="21"/>
      <c r="E39" s="18">
        <v>42586</v>
      </c>
      <c r="G39" s="33">
        <v>-74725</v>
      </c>
      <c r="H39" s="21"/>
      <c r="I39" s="23"/>
      <c r="J39" s="23"/>
      <c r="K39" s="21"/>
    </row>
    <row r="40" spans="3:11" ht="12.75">
      <c r="C40" s="21"/>
      <c r="D40" s="21"/>
      <c r="E40" s="18">
        <v>42607</v>
      </c>
      <c r="G40" s="33">
        <v>-56595.01</v>
      </c>
      <c r="H40" s="21"/>
      <c r="I40" s="23"/>
      <c r="J40" s="23"/>
      <c r="K40" s="21"/>
    </row>
    <row r="41" spans="3:11" ht="12.75">
      <c r="C41" s="21"/>
      <c r="D41" s="21"/>
      <c r="E41" s="18">
        <v>42613</v>
      </c>
      <c r="G41" s="33">
        <v>-1199275</v>
      </c>
      <c r="H41" s="21"/>
      <c r="I41" s="23"/>
      <c r="J41" s="23"/>
      <c r="K41" s="21"/>
    </row>
    <row r="42" spans="3:11" ht="12.75">
      <c r="C42" s="21"/>
      <c r="D42" s="21"/>
      <c r="E42" s="18">
        <v>42640</v>
      </c>
      <c r="G42" s="33">
        <v>-28175</v>
      </c>
      <c r="H42" s="21"/>
      <c r="I42" s="23"/>
      <c r="J42" s="23"/>
      <c r="K42" s="21"/>
    </row>
    <row r="43" spans="3:11" ht="12.75">
      <c r="C43" s="21"/>
      <c r="D43" s="21"/>
      <c r="E43" s="18">
        <v>42732</v>
      </c>
      <c r="G43" s="33">
        <v>-39200</v>
      </c>
      <c r="H43" s="21"/>
      <c r="I43" s="23"/>
      <c r="J43" s="23"/>
      <c r="K43" s="21"/>
    </row>
    <row r="44" spans="3:11" ht="12.75">
      <c r="C44" s="21" t="s">
        <v>14</v>
      </c>
      <c r="D44" s="21"/>
      <c r="E44" s="18">
        <v>42377</v>
      </c>
      <c r="G44" s="33">
        <v>259838.31</v>
      </c>
      <c r="H44" s="21"/>
      <c r="I44" s="23"/>
      <c r="J44" s="23"/>
      <c r="K44" s="21"/>
    </row>
    <row r="45" spans="3:11" ht="12.75">
      <c r="C45" s="21"/>
      <c r="D45" s="21"/>
      <c r="E45" s="18">
        <v>42551</v>
      </c>
      <c r="G45" s="33">
        <v>74232.03</v>
      </c>
      <c r="H45" s="21"/>
      <c r="I45" s="23"/>
      <c r="J45" s="23"/>
      <c r="K45" s="21"/>
    </row>
    <row r="46" spans="3:12" ht="15.75">
      <c r="C46" s="21"/>
      <c r="D46" s="21"/>
      <c r="E46" s="18">
        <v>42642</v>
      </c>
      <c r="G46" s="33">
        <v>70073.67</v>
      </c>
      <c r="H46" s="21"/>
      <c r="I46" s="23"/>
      <c r="J46" s="111"/>
      <c r="K46" s="112"/>
      <c r="L46" s="104"/>
    </row>
    <row r="47" spans="3:12" ht="12.75">
      <c r="C47" s="21"/>
      <c r="D47" s="21"/>
      <c r="E47" s="18">
        <v>42655</v>
      </c>
      <c r="G47" s="33">
        <v>28437.88</v>
      </c>
      <c r="H47" s="21"/>
      <c r="I47" s="23"/>
      <c r="J47" s="111"/>
      <c r="K47" s="112"/>
      <c r="L47" s="54"/>
    </row>
    <row r="48" spans="3:12" ht="12.75">
      <c r="C48" s="21" t="s">
        <v>15</v>
      </c>
      <c r="D48" s="21"/>
      <c r="E48" s="18">
        <v>42765</v>
      </c>
      <c r="G48" s="33">
        <v>-129360</v>
      </c>
      <c r="H48" s="21"/>
      <c r="I48" s="23"/>
      <c r="J48" s="111"/>
      <c r="K48" s="112"/>
      <c r="L48" s="54"/>
    </row>
    <row r="49" spans="3:12" ht="12.75">
      <c r="C49" s="21"/>
      <c r="D49" s="21"/>
      <c r="E49" s="18">
        <v>42822</v>
      </c>
      <c r="G49" s="33">
        <v>-71785</v>
      </c>
      <c r="H49" s="21"/>
      <c r="I49" s="23"/>
      <c r="J49" s="111"/>
      <c r="K49" s="112"/>
      <c r="L49" s="54"/>
    </row>
    <row r="50" spans="3:12" ht="12.75">
      <c r="C50" s="21"/>
      <c r="D50" s="21"/>
      <c r="E50" s="18">
        <v>42852</v>
      </c>
      <c r="G50" s="33">
        <v>-74970</v>
      </c>
      <c r="H50" s="21"/>
      <c r="I50" s="23"/>
      <c r="J50" s="111"/>
      <c r="K50" s="112"/>
      <c r="L50" s="54"/>
    </row>
    <row r="51" spans="3:12" ht="12.75">
      <c r="C51" s="21"/>
      <c r="D51" s="21"/>
      <c r="E51" s="18">
        <v>42913</v>
      </c>
      <c r="G51" s="33">
        <v>-300860.01</v>
      </c>
      <c r="H51" s="21"/>
      <c r="I51" s="23"/>
      <c r="J51" s="111"/>
      <c r="K51" s="112"/>
      <c r="L51" s="113"/>
    </row>
    <row r="52" spans="3:12" ht="12.75">
      <c r="C52" s="21"/>
      <c r="D52" s="21"/>
      <c r="E52" s="18">
        <v>42991</v>
      </c>
      <c r="G52" s="33">
        <v>-132300</v>
      </c>
      <c r="H52" s="21"/>
      <c r="I52" s="23"/>
      <c r="J52" s="111"/>
      <c r="K52" s="112"/>
      <c r="L52" s="113"/>
    </row>
    <row r="53" spans="3:12" ht="12.75">
      <c r="C53" s="21"/>
      <c r="D53" s="21"/>
      <c r="E53" s="18">
        <v>43006</v>
      </c>
      <c r="G53" s="33">
        <v>-94325</v>
      </c>
      <c r="H53" s="21"/>
      <c r="I53" s="23"/>
      <c r="J53" s="111"/>
      <c r="K53" s="112"/>
      <c r="L53" s="113"/>
    </row>
    <row r="54" spans="3:11" ht="12.75">
      <c r="C54" s="21"/>
      <c r="D54" s="21"/>
      <c r="E54" s="18">
        <v>43080</v>
      </c>
      <c r="F54" s="33"/>
      <c r="G54" s="33">
        <v>-47040</v>
      </c>
      <c r="H54" s="21"/>
      <c r="I54" s="23"/>
      <c r="J54" s="23"/>
      <c r="K54" s="21"/>
    </row>
    <row r="55" spans="3:11" ht="12.75">
      <c r="C55" s="21"/>
      <c r="D55" s="21"/>
      <c r="E55" s="18">
        <v>43095</v>
      </c>
      <c r="F55" s="33"/>
      <c r="G55" s="33">
        <v>-93590</v>
      </c>
      <c r="H55" s="21"/>
      <c r="I55" s="23"/>
      <c r="J55" s="23"/>
      <c r="K55" s="21"/>
    </row>
    <row r="56" spans="3:11" ht="12.75">
      <c r="C56" s="21" t="s">
        <v>16</v>
      </c>
      <c r="D56" s="21"/>
      <c r="E56" s="18">
        <v>42747</v>
      </c>
      <c r="G56" s="33">
        <v>106466.01</v>
      </c>
      <c r="H56" s="21"/>
      <c r="I56" s="23"/>
      <c r="J56" s="23"/>
      <c r="K56" s="21"/>
    </row>
    <row r="57" spans="3:11" ht="12.75">
      <c r="C57" s="21" t="s">
        <v>17</v>
      </c>
      <c r="D57" s="21"/>
      <c r="E57" s="18">
        <v>43130</v>
      </c>
      <c r="G57" s="33">
        <v>-908950</v>
      </c>
      <c r="H57" s="21"/>
      <c r="I57" s="23"/>
      <c r="J57" s="23"/>
      <c r="K57" s="21"/>
    </row>
    <row r="58" spans="3:11" ht="12.75">
      <c r="C58" s="21"/>
      <c r="D58" s="21"/>
      <c r="E58" s="18">
        <v>43143</v>
      </c>
      <c r="G58" s="33">
        <v>251700.75</v>
      </c>
      <c r="H58" s="21"/>
      <c r="I58" s="23"/>
      <c r="J58" s="23"/>
      <c r="K58" s="21"/>
    </row>
    <row r="59" spans="3:11" ht="12.75">
      <c r="C59" s="21"/>
      <c r="D59" s="21"/>
      <c r="E59" s="18">
        <v>43173</v>
      </c>
      <c r="G59" s="33">
        <v>-68600.01</v>
      </c>
      <c r="H59" s="21"/>
      <c r="I59" s="23"/>
      <c r="J59" s="23"/>
      <c r="K59" s="21"/>
    </row>
    <row r="60" spans="3:11" ht="12.75">
      <c r="C60" s="21"/>
      <c r="D60" s="21"/>
      <c r="E60" s="18">
        <v>43216</v>
      </c>
      <c r="G60" s="33">
        <v>-122500</v>
      </c>
      <c r="H60" s="21"/>
      <c r="I60" s="23"/>
      <c r="J60" s="23"/>
      <c r="K60" s="21"/>
    </row>
    <row r="61" spans="3:11" ht="12.75">
      <c r="C61" s="21"/>
      <c r="D61" s="21"/>
      <c r="E61" s="18">
        <v>43265</v>
      </c>
      <c r="G61" s="33">
        <v>-70070</v>
      </c>
      <c r="H61" s="21"/>
      <c r="I61" s="23"/>
      <c r="J61" s="23"/>
      <c r="K61" s="21"/>
    </row>
    <row r="62" spans="3:11" ht="12.75">
      <c r="C62" s="21"/>
      <c r="D62" s="21"/>
      <c r="E62" s="18">
        <v>43292</v>
      </c>
      <c r="G62" s="33">
        <v>-122500.01</v>
      </c>
      <c r="H62" s="21"/>
      <c r="I62" s="23"/>
      <c r="J62" s="23"/>
      <c r="K62" s="21"/>
    </row>
    <row r="63" spans="3:11" ht="12.75">
      <c r="C63" s="21"/>
      <c r="D63" s="21"/>
      <c r="E63" s="18">
        <v>43328</v>
      </c>
      <c r="G63" s="33">
        <v>-445410</v>
      </c>
      <c r="H63" s="21"/>
      <c r="I63" s="23"/>
      <c r="J63" s="23"/>
      <c r="K63" s="21"/>
    </row>
    <row r="64" spans="3:11" ht="12.75">
      <c r="C64" s="21"/>
      <c r="D64" s="21"/>
      <c r="E64" s="18">
        <v>43360</v>
      </c>
      <c r="G64" s="33">
        <v>-67620</v>
      </c>
      <c r="H64" s="21"/>
      <c r="I64" s="23"/>
      <c r="J64" s="23"/>
      <c r="K64" s="21"/>
    </row>
    <row r="65" spans="3:11" ht="12.75">
      <c r="C65" s="21"/>
      <c r="D65" s="21"/>
      <c r="E65" s="18">
        <v>43369</v>
      </c>
      <c r="G65" s="33">
        <v>-1467795.01</v>
      </c>
      <c r="H65" s="21"/>
      <c r="I65" s="23"/>
      <c r="J65" s="23"/>
      <c r="K65" s="21"/>
    </row>
    <row r="66" spans="3:11" ht="12.75">
      <c r="C66" s="21"/>
      <c r="D66" s="21"/>
      <c r="E66" s="18">
        <v>43389</v>
      </c>
      <c r="G66" s="33">
        <v>98000</v>
      </c>
      <c r="H66" s="21"/>
      <c r="I66" s="23"/>
      <c r="J66" s="23"/>
      <c r="K66" s="21"/>
    </row>
    <row r="67" spans="3:11" ht="12.75">
      <c r="C67" s="21"/>
      <c r="D67" s="21"/>
      <c r="E67" s="18">
        <v>43445</v>
      </c>
      <c r="G67" s="33">
        <v>-234465.01</v>
      </c>
      <c r="H67" s="21"/>
      <c r="I67" s="23"/>
      <c r="J67" s="23"/>
      <c r="K67" s="21"/>
    </row>
    <row r="68" spans="3:11" ht="12.75">
      <c r="C68" s="21" t="s">
        <v>18</v>
      </c>
      <c r="D68" s="21"/>
      <c r="E68" s="18">
        <v>43111</v>
      </c>
      <c r="G68" s="33">
        <v>96449.74</v>
      </c>
      <c r="H68" s="21"/>
      <c r="I68" s="23"/>
      <c r="J68" s="23"/>
      <c r="K68" s="21"/>
    </row>
    <row r="69" spans="3:11" ht="12.75">
      <c r="C69" s="21"/>
      <c r="D69" s="21"/>
      <c r="E69" s="18">
        <v>43153</v>
      </c>
      <c r="G69" s="33">
        <v>2225110.82</v>
      </c>
      <c r="H69" s="21"/>
      <c r="I69" s="23"/>
      <c r="J69" s="23"/>
      <c r="K69" s="21"/>
    </row>
    <row r="70" spans="3:11" ht="12.75">
      <c r="C70" s="21"/>
      <c r="D70" s="21"/>
      <c r="E70" s="18">
        <v>43446</v>
      </c>
      <c r="G70" s="33">
        <v>229234.64</v>
      </c>
      <c r="H70" s="21"/>
      <c r="I70" s="23"/>
      <c r="J70" s="23"/>
      <c r="K70" s="21"/>
    </row>
    <row r="71" spans="3:11" ht="12.75">
      <c r="C71" s="21" t="s">
        <v>19</v>
      </c>
      <c r="D71" s="21"/>
      <c r="E71" s="18">
        <v>43522</v>
      </c>
      <c r="G71" s="33">
        <v>-395430.01</v>
      </c>
      <c r="H71" s="21"/>
      <c r="I71" s="23"/>
      <c r="J71" s="23"/>
      <c r="K71" s="21"/>
    </row>
    <row r="72" spans="3:11" ht="12.75">
      <c r="C72" s="21"/>
      <c r="D72" s="21"/>
      <c r="E72" s="18">
        <v>43563</v>
      </c>
      <c r="G72" s="33">
        <v>-198695</v>
      </c>
      <c r="H72" s="21"/>
      <c r="I72" s="23"/>
      <c r="J72" s="23"/>
      <c r="K72" s="21"/>
    </row>
    <row r="73" spans="3:11" ht="12.75">
      <c r="C73" s="21"/>
      <c r="D73" s="21"/>
      <c r="E73" s="18">
        <v>43600</v>
      </c>
      <c r="G73" s="33">
        <v>-121275</v>
      </c>
      <c r="H73" s="21"/>
      <c r="I73" s="23"/>
      <c r="J73" s="23"/>
      <c r="K73" s="21"/>
    </row>
    <row r="74" spans="3:11" ht="12.75">
      <c r="C74" s="21"/>
      <c r="D74" s="21"/>
      <c r="E74" s="18">
        <v>43643</v>
      </c>
      <c r="G74" s="33">
        <v>-68845</v>
      </c>
      <c r="H74" s="21"/>
      <c r="I74" s="23"/>
      <c r="J74" s="23"/>
      <c r="K74" s="21"/>
    </row>
    <row r="75" spans="3:11" ht="12.75">
      <c r="C75" s="21"/>
      <c r="D75" s="21"/>
      <c r="E75" s="18">
        <v>43655</v>
      </c>
      <c r="G75" s="33">
        <v>-107800</v>
      </c>
      <c r="H75" s="21"/>
      <c r="I75" s="23"/>
      <c r="J75" s="23"/>
      <c r="K75" s="21"/>
    </row>
    <row r="76" spans="3:11" ht="12.75">
      <c r="C76" s="21"/>
      <c r="D76" s="21"/>
      <c r="E76" s="18">
        <v>43685</v>
      </c>
      <c r="G76" s="33">
        <v>-121029.99</v>
      </c>
      <c r="H76" s="21"/>
      <c r="I76" s="23"/>
      <c r="J76" s="23"/>
      <c r="K76" s="21"/>
    </row>
    <row r="77" spans="3:11" ht="12.75">
      <c r="C77" s="21"/>
      <c r="D77" s="21"/>
      <c r="E77" s="18">
        <v>43697</v>
      </c>
      <c r="G77" s="33">
        <v>-36382.50</v>
      </c>
      <c r="H77" s="21"/>
      <c r="I77" s="23"/>
      <c r="J77" s="23"/>
      <c r="K77" s="21"/>
    </row>
    <row r="78" spans="3:11" ht="12.75">
      <c r="C78" s="21"/>
      <c r="D78" s="21"/>
      <c r="E78" s="18">
        <v>43727</v>
      </c>
      <c r="G78" s="33">
        <v>-100450</v>
      </c>
      <c r="H78" s="21"/>
      <c r="I78" s="23"/>
      <c r="J78" s="23"/>
      <c r="K78" s="21"/>
    </row>
    <row r="79" spans="3:11" ht="12.75">
      <c r="C79" s="21"/>
      <c r="D79" s="21"/>
      <c r="E79" s="18">
        <v>43756</v>
      </c>
      <c r="G79" s="33">
        <v>-54390</v>
      </c>
      <c r="H79" s="21"/>
      <c r="I79" s="23"/>
      <c r="J79" s="23"/>
      <c r="K79" s="21"/>
    </row>
    <row r="80" spans="3:11" ht="12.75">
      <c r="C80" s="21"/>
      <c r="D80" s="21"/>
      <c r="E80" s="18">
        <v>43783</v>
      </c>
      <c r="G80" s="33">
        <v>-60637.50</v>
      </c>
      <c r="H80" s="21"/>
      <c r="I80" s="23"/>
      <c r="J80" s="23"/>
      <c r="K80" s="21"/>
    </row>
    <row r="81" spans="3:11" ht="12.75">
      <c r="C81" s="21"/>
      <c r="D81" s="21"/>
      <c r="E81" s="18">
        <v>43795</v>
      </c>
      <c r="G81" s="33">
        <v>-148960</v>
      </c>
      <c r="H81" s="21"/>
      <c r="I81" s="23"/>
      <c r="J81" s="23"/>
      <c r="K81" s="21"/>
    </row>
    <row r="82" spans="3:11" ht="12.75">
      <c r="C82" s="21"/>
      <c r="D82" s="21"/>
      <c r="E82" s="18">
        <v>43830</v>
      </c>
      <c r="G82" s="33">
        <v>-42630</v>
      </c>
      <c r="H82" s="21"/>
      <c r="I82" s="23"/>
      <c r="J82" s="23"/>
      <c r="K82" s="21"/>
    </row>
    <row r="83" spans="3:11" ht="12.75">
      <c r="C83" s="21" t="s">
        <v>20</v>
      </c>
      <c r="D83" s="21"/>
      <c r="E83" s="18">
        <v>43620</v>
      </c>
      <c r="G83" s="33">
        <v>56403.62</v>
      </c>
      <c r="H83" s="21"/>
      <c r="I83" s="23"/>
      <c r="J83" s="23"/>
      <c r="K83" s="21"/>
    </row>
    <row r="84" spans="3:11" ht="12.75">
      <c r="C84" s="21"/>
      <c r="D84" s="21"/>
      <c r="E84" s="18">
        <v>43669</v>
      </c>
      <c r="G84" s="33">
        <v>177349.49</v>
      </c>
      <c r="H84" s="21"/>
      <c r="I84" s="23"/>
      <c r="J84" s="23"/>
      <c r="K84" s="21"/>
    </row>
    <row r="85" spans="3:11" ht="12.75">
      <c r="C85" s="21"/>
      <c r="D85" s="21"/>
      <c r="E85" s="18">
        <v>43717</v>
      </c>
      <c r="G85" s="33">
        <v>60087.89</v>
      </c>
      <c r="H85" s="21"/>
      <c r="I85" s="23"/>
      <c r="J85" s="23"/>
      <c r="K85" s="21"/>
    </row>
    <row r="86" spans="3:11" ht="12.75">
      <c r="C86" s="21" t="s">
        <v>21</v>
      </c>
      <c r="D86" s="21"/>
      <c r="E86" s="18">
        <v>43858</v>
      </c>
      <c r="G86" s="33">
        <v>-64925</v>
      </c>
      <c r="H86" s="21"/>
      <c r="I86" s="23"/>
      <c r="J86" s="23"/>
      <c r="K86" s="21"/>
    </row>
    <row r="87" spans="3:11" ht="12.75">
      <c r="C87" s="21"/>
      <c r="D87" s="21"/>
      <c r="E87" s="18">
        <v>43860</v>
      </c>
      <c r="G87" s="33">
        <v>-73010</v>
      </c>
      <c r="H87" s="21"/>
      <c r="I87" s="23"/>
      <c r="J87" s="23"/>
      <c r="K87" s="21"/>
    </row>
    <row r="88" spans="3:11" ht="12.75">
      <c r="C88" s="21"/>
      <c r="D88" s="21"/>
      <c r="E88" s="18">
        <v>43915</v>
      </c>
      <c r="G88" s="33">
        <v>-69090</v>
      </c>
      <c r="H88" s="21"/>
      <c r="I88" s="23"/>
      <c r="J88" s="23"/>
      <c r="K88" s="21"/>
    </row>
    <row r="89" spans="3:11" ht="12.75">
      <c r="C89" s="21"/>
      <c r="D89" s="21"/>
      <c r="E89" s="18">
        <v>43917</v>
      </c>
      <c r="G89" s="33">
        <v>-16978.50</v>
      </c>
      <c r="H89" s="21"/>
      <c r="I89" s="23"/>
      <c r="J89" s="23"/>
      <c r="K89" s="21"/>
    </row>
    <row r="90" spans="3:11" ht="12.75">
      <c r="C90" s="21"/>
      <c r="D90" s="21"/>
      <c r="E90" s="18">
        <v>43980</v>
      </c>
      <c r="G90" s="33">
        <v>-71785.01</v>
      </c>
      <c r="H90" s="21"/>
      <c r="I90" s="23"/>
      <c r="J90" s="23"/>
      <c r="K90" s="21"/>
    </row>
    <row r="91" spans="3:11" ht="12.75">
      <c r="C91" s="21"/>
      <c r="D91" s="21"/>
      <c r="E91" s="18">
        <v>43999</v>
      </c>
      <c r="G91" s="33">
        <v>-98000</v>
      </c>
      <c r="H91" s="21"/>
      <c r="I91" s="23"/>
      <c r="J91" s="23"/>
      <c r="K91" s="21"/>
    </row>
    <row r="92" spans="3:11" ht="12.75">
      <c r="C92" s="21"/>
      <c r="D92" s="21"/>
      <c r="E92" s="18">
        <v>44047</v>
      </c>
      <c r="G92" s="33">
        <v>-7931.65</v>
      </c>
      <c r="H92" s="21"/>
      <c r="I92" s="23"/>
      <c r="J92" s="23"/>
      <c r="K92" s="21"/>
    </row>
    <row r="93" spans="3:11" ht="12.75">
      <c r="C93" s="21" t="s">
        <v>22</v>
      </c>
      <c r="D93" s="21"/>
      <c r="E93" s="18">
        <v>43888</v>
      </c>
      <c r="G93" s="33">
        <v>260950.61</v>
      </c>
      <c r="H93" s="21"/>
      <c r="I93" s="23"/>
      <c r="J93" s="23"/>
      <c r="K93" s="21"/>
    </row>
    <row r="94" spans="3:11" ht="12.75">
      <c r="C94" s="21"/>
      <c r="D94" s="21"/>
      <c r="E94" s="18">
        <v>44089</v>
      </c>
      <c r="G94" s="33">
        <v>42773.60</v>
      </c>
      <c r="H94" s="21"/>
      <c r="I94" s="23"/>
      <c r="J94" s="23"/>
      <c r="K94" s="21"/>
    </row>
    <row r="95" spans="3:12" ht="15.75">
      <c r="C95" s="21" t="s">
        <v>24</v>
      </c>
      <c r="D95" s="21"/>
      <c r="E95" s="18">
        <v>44202</v>
      </c>
      <c r="G95" s="33">
        <v>-47775</v>
      </c>
      <c r="H95" s="21"/>
      <c r="I95" s="23"/>
      <c r="J95" s="23"/>
      <c r="K95" s="21"/>
      <c r="L95" s="50"/>
    </row>
    <row r="96" spans="3:12" ht="15.75">
      <c r="C96" s="21"/>
      <c r="D96" s="21"/>
      <c r="E96" s="18">
        <v>44377</v>
      </c>
      <c r="G96" s="33">
        <v>-23030</v>
      </c>
      <c r="H96" s="21"/>
      <c r="I96" s="23"/>
      <c r="J96" s="23"/>
      <c r="K96" s="21"/>
      <c r="L96" s="50"/>
    </row>
    <row r="97" spans="3:12" ht="15.75">
      <c r="C97" s="21"/>
      <c r="D97" s="21"/>
      <c r="E97" s="18">
        <v>44469</v>
      </c>
      <c r="G97" s="33">
        <v>-22785</v>
      </c>
      <c r="H97" s="21"/>
      <c r="I97" s="23"/>
      <c r="J97" s="23"/>
      <c r="K97" s="21"/>
      <c r="L97" s="50"/>
    </row>
    <row r="98" spans="3:12" ht="15.75">
      <c r="C98" s="21"/>
      <c r="D98" s="21"/>
      <c r="E98" s="18">
        <v>44545</v>
      </c>
      <c r="G98" s="33">
        <v>-22785</v>
      </c>
      <c r="H98" s="21"/>
      <c r="I98" s="23"/>
      <c r="J98" s="23"/>
      <c r="K98" s="21"/>
      <c r="L98" s="50"/>
    </row>
    <row r="99" spans="3:12" ht="15.75">
      <c r="C99" s="21" t="s">
        <v>23</v>
      </c>
      <c r="D99" s="21"/>
      <c r="E99" s="18">
        <v>44265</v>
      </c>
      <c r="G99" s="33">
        <v>112223.84</v>
      </c>
      <c r="H99" s="21"/>
      <c r="I99" s="23"/>
      <c r="J99" s="23"/>
      <c r="K99" s="21"/>
      <c r="L99" s="50"/>
    </row>
    <row r="100" spans="3:12" ht="15.75">
      <c r="C100" s="21"/>
      <c r="D100" s="21"/>
      <c r="E100" s="18">
        <v>44376</v>
      </c>
      <c r="G100" s="33">
        <v>67089.93</v>
      </c>
      <c r="H100" s="21"/>
      <c r="I100" s="23"/>
      <c r="J100" s="23"/>
      <c r="K100" s="21"/>
      <c r="L100" s="50"/>
    </row>
    <row r="101" spans="3:12" ht="15.75">
      <c r="C101" s="21"/>
      <c r="D101" s="21"/>
      <c r="E101" s="18">
        <v>44449</v>
      </c>
      <c r="G101" s="33">
        <v>100059.73</v>
      </c>
      <c r="H101" s="21"/>
      <c r="I101" s="23"/>
      <c r="J101" s="23"/>
      <c r="K101" s="21"/>
      <c r="L101" s="50"/>
    </row>
    <row r="102" spans="3:12" ht="15.75">
      <c r="C102" s="21"/>
      <c r="D102" s="21"/>
      <c r="E102" s="18">
        <v>44488</v>
      </c>
      <c r="G102" s="33">
        <v>1401819.49</v>
      </c>
      <c r="H102" s="21"/>
      <c r="I102" s="23"/>
      <c r="J102" s="23"/>
      <c r="K102" s="21"/>
      <c r="L102" s="50"/>
    </row>
    <row r="103" spans="3:12" ht="15.75">
      <c r="C103" s="21"/>
      <c r="D103" s="21"/>
      <c r="E103" s="18">
        <v>44540</v>
      </c>
      <c r="G103" s="33">
        <v>133540.19</v>
      </c>
      <c r="H103" s="21"/>
      <c r="I103" s="23"/>
      <c r="J103" s="23"/>
      <c r="K103" s="21"/>
      <c r="L103" s="50"/>
    </row>
    <row r="104" spans="3:12" ht="15.75">
      <c r="C104" s="21" t="s">
        <v>27</v>
      </c>
      <c r="D104" s="21"/>
      <c r="E104" s="18">
        <v>44650</v>
      </c>
      <c r="G104" s="33">
        <v>-20090</v>
      </c>
      <c r="H104" s="21"/>
      <c r="I104" s="23"/>
      <c r="J104" s="23"/>
      <c r="K104" s="21"/>
      <c r="L104" s="50"/>
    </row>
    <row r="105" spans="3:12" ht="15.75">
      <c r="C105" s="21"/>
      <c r="D105" s="21"/>
      <c r="E105" s="18">
        <v>44742</v>
      </c>
      <c r="G105" s="33">
        <v>-18130</v>
      </c>
      <c r="H105" s="21"/>
      <c r="I105" s="23"/>
      <c r="J105" s="23"/>
      <c r="K105" s="21"/>
      <c r="L105" s="50"/>
    </row>
    <row r="106" spans="3:12" ht="15.75">
      <c r="C106" s="21"/>
      <c r="D106" s="21"/>
      <c r="E106" s="18">
        <v>44827</v>
      </c>
      <c r="G106" s="33">
        <v>-18130</v>
      </c>
      <c r="H106" s="21"/>
      <c r="I106" s="23"/>
      <c r="J106" s="23"/>
      <c r="K106" s="21"/>
      <c r="L106" s="50"/>
    </row>
    <row r="107" spans="3:12" ht="15.75">
      <c r="C107" s="21"/>
      <c r="D107" s="21"/>
      <c r="E107" s="18">
        <v>44925</v>
      </c>
      <c r="G107" s="33">
        <v>-17885</v>
      </c>
      <c r="H107" s="21"/>
      <c r="I107" s="23"/>
      <c r="J107" s="23"/>
      <c r="K107" s="21"/>
      <c r="L107" s="50"/>
    </row>
    <row r="108" spans="3:12" ht="15.75">
      <c r="C108" s="21" t="s">
        <v>25</v>
      </c>
      <c r="D108" s="21"/>
      <c r="E108" s="18">
        <v>44645</v>
      </c>
      <c r="G108" s="33">
        <v>126154.99</v>
      </c>
      <c r="H108" s="21"/>
      <c r="I108" s="23"/>
      <c r="J108" s="23"/>
      <c r="K108" s="21"/>
      <c r="L108" s="50"/>
    </row>
    <row r="109" spans="3:12" ht="15.75">
      <c r="C109" s="21"/>
      <c r="D109" s="21"/>
      <c r="E109" s="18">
        <v>44721</v>
      </c>
      <c r="G109" s="33">
        <v>78975.38</v>
      </c>
      <c r="H109" s="21"/>
      <c r="I109" s="23"/>
      <c r="J109" s="23"/>
      <c r="K109" s="21"/>
      <c r="L109" s="50"/>
    </row>
    <row r="110" spans="3:12" ht="15.75">
      <c r="C110" s="21"/>
      <c r="D110" s="21"/>
      <c r="E110" s="18">
        <v>44791</v>
      </c>
      <c r="G110" s="33">
        <v>265374.57</v>
      </c>
      <c r="H110" s="21"/>
      <c r="I110" s="23"/>
      <c r="J110" s="23"/>
      <c r="K110" s="21"/>
      <c r="L110" s="50"/>
    </row>
    <row r="111" spans="3:12" ht="17.25" customHeight="1">
      <c r="C111" s="21"/>
      <c r="D111" s="21"/>
      <c r="E111" s="18">
        <v>44888</v>
      </c>
      <c r="G111" s="33">
        <v>55715.46</v>
      </c>
      <c r="H111" s="21"/>
      <c r="I111" s="23"/>
      <c r="J111" s="23"/>
      <c r="K111" s="21"/>
      <c r="L111" s="50"/>
    </row>
    <row r="112" spans="3:12" ht="17.25" customHeight="1">
      <c r="C112" s="21" t="s">
        <v>28</v>
      </c>
      <c r="D112" s="21"/>
      <c r="E112" s="18">
        <v>45009</v>
      </c>
      <c r="G112" s="33">
        <v>-17885</v>
      </c>
      <c r="H112" s="21"/>
      <c r="I112" s="23"/>
      <c r="J112" s="23"/>
      <c r="K112" s="21"/>
      <c r="L112" s="50"/>
    </row>
    <row r="113" spans="3:12" ht="17.25" customHeight="1">
      <c r="C113" s="21"/>
      <c r="D113" s="21"/>
      <c r="E113" s="18">
        <v>45112</v>
      </c>
      <c r="G113" s="33">
        <v>-14455</v>
      </c>
      <c r="H113" s="21"/>
      <c r="I113" s="23"/>
      <c r="J113" s="23"/>
      <c r="K113" s="21"/>
      <c r="L113" s="50"/>
    </row>
    <row r="114" spans="3:12" ht="17.25" customHeight="1">
      <c r="C114" s="21"/>
      <c r="D114" s="21"/>
      <c r="E114" s="18">
        <v>45196</v>
      </c>
      <c r="G114" s="33">
        <v>-14455</v>
      </c>
      <c r="H114" s="21"/>
      <c r="I114" s="23"/>
      <c r="J114" s="23"/>
      <c r="K114" s="21"/>
      <c r="L114" s="50"/>
    </row>
    <row r="115" spans="3:12" ht="17.25" customHeight="1">
      <c r="C115" s="21" t="s">
        <v>26</v>
      </c>
      <c r="D115" s="21"/>
      <c r="E115" s="18">
        <v>45001</v>
      </c>
      <c r="G115" s="33">
        <v>307461.81</v>
      </c>
      <c r="H115" s="21"/>
      <c r="I115" s="23"/>
      <c r="J115" s="23"/>
      <c r="K115" s="21"/>
      <c r="L115" s="50"/>
    </row>
    <row r="116" spans="3:12" ht="17.25" customHeight="1">
      <c r="C116" s="21"/>
      <c r="D116" s="21"/>
      <c r="E116" s="18">
        <v>45050</v>
      </c>
      <c r="G116" s="33">
        <v>866555.89</v>
      </c>
      <c r="H116" s="21"/>
      <c r="I116" s="23"/>
      <c r="J116" s="23"/>
      <c r="K116" s="21"/>
      <c r="L116" s="50"/>
    </row>
    <row r="117" spans="3:12" ht="17.25" customHeight="1">
      <c r="C117" s="21"/>
      <c r="D117" s="21"/>
      <c r="E117" s="18">
        <v>45134</v>
      </c>
      <c r="G117" s="33">
        <v>322636.03</v>
      </c>
      <c r="H117" s="21"/>
      <c r="I117" s="23"/>
      <c r="J117" s="23"/>
      <c r="K117" s="21"/>
      <c r="L117" s="50"/>
    </row>
    <row r="118" spans="3:12" ht="17.25" customHeight="1">
      <c r="C118" s="21"/>
      <c r="D118" s="21"/>
      <c r="E118" s="18">
        <v>45161</v>
      </c>
      <c r="G118" s="33">
        <v>274365.01</v>
      </c>
      <c r="H118" s="21"/>
      <c r="I118" s="23"/>
      <c r="J118" s="23"/>
      <c r="K118" s="21"/>
      <c r="L118" s="50"/>
    </row>
    <row r="119" spans="3:12" ht="17.25" customHeight="1">
      <c r="C119" s="21"/>
      <c r="D119" s="21"/>
      <c r="E119" s="18">
        <v>45183</v>
      </c>
      <c r="G119" s="33">
        <v>78778.69</v>
      </c>
      <c r="H119" s="21"/>
      <c r="I119" s="23"/>
      <c r="J119" s="23"/>
      <c r="K119" s="21"/>
      <c r="L119" s="50"/>
    </row>
    <row r="120" spans="3:15" ht="4.5" customHeight="1">
      <c r="C120" s="21"/>
      <c r="D120" s="21"/>
      <c r="E120" s="18"/>
      <c r="F120" s="21"/>
      <c r="G120" s="33"/>
      <c r="H120" s="21"/>
      <c r="I120" s="23"/>
      <c r="J120" s="23"/>
      <c r="O120" s="65"/>
    </row>
    <row r="121" spans="3:13" ht="12.75">
      <c r="C121" s="21" t="s">
        <v>1</v>
      </c>
      <c r="D121" s="21"/>
      <c r="E121" s="18">
        <f>+E8</f>
        <v>45199</v>
      </c>
      <c r="F121" s="21"/>
      <c r="G121" s="49">
        <f>L121*C22</f>
        <v>4495257.28811538</v>
      </c>
      <c r="H121" s="21"/>
      <c r="I121" s="33">
        <f>+SUMIF($G$24:$G$120,"&lt;0",$G$24:$G$120)+G58+G66</f>
        <v>-8925429.459999999</v>
      </c>
      <c r="J121" s="21" t="s">
        <v>11</v>
      </c>
      <c r="L121" s="54">
        <v>262402740</v>
      </c>
      <c r="M121" s="42"/>
    </row>
    <row r="122" spans="3:10" ht="12.75">
      <c r="C122" s="21"/>
      <c r="D122" s="21"/>
      <c r="E122" s="21"/>
      <c r="F122" s="21"/>
      <c r="G122" s="21"/>
      <c r="H122" s="21"/>
      <c r="I122" s="33">
        <f>+SUMIF($G$24:$G$120,"&gt;0",$G$24:$G$120)-G58-G66</f>
        <v>7878159.320000001</v>
      </c>
      <c r="J122" s="21" t="s">
        <v>12</v>
      </c>
    </row>
    <row r="123" spans="3:8" ht="12.75">
      <c r="C123" s="20" t="s">
        <v>0</v>
      </c>
      <c r="G123" s="47">
        <f>+XIRR(G24:G121,E24:E121)</f>
        <v>0.09905018210411073</v>
      </c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  <row r="126" spans="3:8" ht="12.75">
      <c r="C126" s="26"/>
      <c r="D126" s="26"/>
      <c r="E126" s="34"/>
      <c r="F126" s="21"/>
      <c r="G126" s="34"/>
      <c r="H126" s="21"/>
    </row>
    <row r="127" spans="3:8" ht="12.75">
      <c r="C127" s="26"/>
      <c r="D127" s="26"/>
      <c r="E127" s="34"/>
      <c r="F127" s="26"/>
      <c r="G127" s="34"/>
      <c r="H127" s="21"/>
    </row>
    <row r="128" spans="3:8" ht="12.75">
      <c r="C128" s="26"/>
      <c r="D128" s="26"/>
      <c r="E128" s="21"/>
      <c r="F128" s="21"/>
      <c r="G128" s="21"/>
      <c r="H128" s="21"/>
    </row>
    <row r="129" spans="3:8" ht="12.75">
      <c r="C129" s="26"/>
      <c r="D129" s="26"/>
      <c r="E129" s="51"/>
      <c r="F129" s="51"/>
      <c r="G129" s="51"/>
      <c r="H129" s="20"/>
    </row>
    <row r="130" spans="3:8" ht="12.75">
      <c r="C130" s="26"/>
      <c r="D130" s="26"/>
      <c r="E130" s="34"/>
      <c r="F130" s="34"/>
      <c r="G130" s="34"/>
      <c r="H130" s="20"/>
    </row>
    <row r="131" spans="3:8" ht="12.75">
      <c r="C131" s="26"/>
      <c r="D131" s="26"/>
      <c r="E131" s="26"/>
      <c r="F131" s="26"/>
      <c r="G131" s="26"/>
      <c r="H131" s="20"/>
    </row>
    <row r="132" spans="3:8" ht="12.75">
      <c r="C132" s="114"/>
      <c r="D132" s="114"/>
      <c r="E132" s="115"/>
      <c r="F132" s="46"/>
      <c r="G132" s="45"/>
      <c r="H132" s="21"/>
    </row>
    <row r="133" spans="3:8" ht="12.75">
      <c r="C133" s="114"/>
      <c r="D133" s="114"/>
      <c r="E133" s="46"/>
      <c r="F133" s="46"/>
      <c r="G133" s="46"/>
      <c r="H133" s="21"/>
    </row>
    <row r="134" spans="3:8" ht="12.75">
      <c r="C134" s="114"/>
      <c r="D134" s="114"/>
      <c r="E134" s="46"/>
      <c r="F134" s="46"/>
      <c r="G134" s="46"/>
      <c r="H134" s="21"/>
    </row>
    <row r="135" spans="3:8" ht="12.75">
      <c r="C135" s="116"/>
      <c r="D135" s="114"/>
      <c r="E135" s="46"/>
      <c r="F135" s="46"/>
      <c r="G135" s="46"/>
      <c r="H135" s="21"/>
    </row>
    <row r="136" spans="3:8" ht="12.75">
      <c r="C136" s="116"/>
      <c r="D136" s="114"/>
      <c r="E136" s="46"/>
      <c r="F136" s="46"/>
      <c r="G136" s="46"/>
      <c r="H136" s="21"/>
    </row>
    <row r="137" spans="3:8" ht="12.75">
      <c r="C137" s="117"/>
      <c r="D137" s="114"/>
      <c r="E137" s="46"/>
      <c r="F137" s="46"/>
      <c r="G137" s="46"/>
      <c r="H137" s="21"/>
    </row>
    <row r="138" spans="3:8" ht="12.75">
      <c r="C138" s="114"/>
      <c r="D138" s="114"/>
      <c r="E138" s="46"/>
      <c r="F138" s="46"/>
      <c r="G138" s="46"/>
      <c r="H138" s="21"/>
    </row>
    <row r="139" spans="3:8" ht="12.75">
      <c r="C139" s="114"/>
      <c r="D139" s="114"/>
      <c r="E139" s="46"/>
      <c r="F139" s="46"/>
      <c r="G139" s="46"/>
      <c r="H139" s="21"/>
    </row>
    <row r="140" spans="3:8" ht="12.75">
      <c r="C140" s="114"/>
      <c r="D140" s="114"/>
      <c r="E140" s="46"/>
      <c r="F140" s="46"/>
      <c r="G140" s="46"/>
      <c r="H140" s="21"/>
    </row>
    <row r="141" spans="3:8" ht="12.75">
      <c r="C141" s="114"/>
      <c r="D141" s="114"/>
      <c r="E141" s="46"/>
      <c r="F141" s="46"/>
      <c r="G141" s="46"/>
      <c r="H141" s="21"/>
    </row>
    <row r="142" spans="3:8" ht="12.75">
      <c r="C142" s="114"/>
      <c r="D142" s="114"/>
      <c r="E142" s="46"/>
      <c r="F142" s="46"/>
      <c r="G142" s="46"/>
      <c r="H142" s="21"/>
    </row>
    <row r="143" spans="3:8" ht="12.75">
      <c r="C143" s="114"/>
      <c r="D143" s="114"/>
      <c r="E143" s="46"/>
      <c r="F143" s="46"/>
      <c r="G143" s="46"/>
      <c r="H143" s="21"/>
    </row>
    <row r="144" spans="3:8" ht="4.9" customHeight="1">
      <c r="C144" s="20"/>
      <c r="D144" s="20"/>
      <c r="E144" s="37"/>
      <c r="F144" s="37"/>
      <c r="G144" s="37"/>
      <c r="H144" s="21"/>
    </row>
    <row r="145" spans="3:8" ht="12.75">
      <c r="C145" s="21"/>
      <c r="D145" s="21"/>
      <c r="E145" s="21"/>
      <c r="F145" s="21"/>
      <c r="G145" s="21"/>
      <c r="H145" s="21"/>
    </row>
    <row r="146" spans="3:8" ht="12.75">
      <c r="C146" s="21"/>
      <c r="D146" s="21"/>
      <c r="E146" s="21"/>
      <c r="F146" s="21"/>
      <c r="G146" s="21"/>
      <c r="H146" s="21"/>
    </row>
    <row r="147" spans="3:8" ht="12.75">
      <c r="C147" s="21"/>
      <c r="D147" s="21"/>
      <c r="E147" s="21"/>
      <c r="F147" s="21"/>
      <c r="G147" s="21"/>
      <c r="H147" s="21"/>
    </row>
    <row r="148" spans="3:8" ht="12.75">
      <c r="C148" s="21"/>
      <c r="D148" s="21"/>
      <c r="E148" s="21"/>
      <c r="F148" s="21"/>
      <c r="G148" s="21"/>
      <c r="H148" s="21"/>
    </row>
    <row r="149" spans="3:8" ht="12.75">
      <c r="C149" s="21"/>
      <c r="D149" s="21"/>
      <c r="E149" s="21"/>
      <c r="F149" s="21"/>
      <c r="G149" s="21"/>
      <c r="H149" s="21"/>
    </row>
  </sheetData>
  <mergeCells count="1">
    <mergeCell ref="E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68964C-4444-4C60-8D16-BC75820CCF1D}">
  <sheetPr>
    <pageSetUpPr fitToPage="1"/>
  </sheetPr>
  <dimension ref="B4:N143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0.10136941075325012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-(G121+I122)/(I121)</f>
        <v>1.390885316598778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9">
        <v>0.005037783</v>
      </c>
      <c r="D22" s="21"/>
      <c r="E22" s="21"/>
      <c r="F22" s="21"/>
      <c r="G22" s="27"/>
      <c r="H22" s="21"/>
      <c r="I22" s="21"/>
      <c r="J22" s="21"/>
    </row>
    <row r="23" spans="3:9" ht="12.75">
      <c r="C23" s="21"/>
      <c r="D23" s="21"/>
      <c r="E23" s="18"/>
      <c r="F23" s="33"/>
      <c r="G23" s="33"/>
      <c r="H23" s="21"/>
      <c r="I23" s="23"/>
    </row>
    <row r="24" spans="3:9" ht="12.75">
      <c r="C24" s="21" t="s">
        <v>7</v>
      </c>
      <c r="D24" s="21"/>
      <c r="E24" s="18">
        <v>41829</v>
      </c>
      <c r="F24" s="33"/>
      <c r="G24" s="33">
        <v>-11269.99</v>
      </c>
      <c r="H24" s="21"/>
      <c r="I24" s="23"/>
    </row>
    <row r="25" spans="3:9" ht="12.75">
      <c r="C25" s="35"/>
      <c r="D25" s="21"/>
      <c r="E25" s="18">
        <v>41894</v>
      </c>
      <c r="F25" s="33"/>
      <c r="G25" s="33">
        <v>-5847.33</v>
      </c>
      <c r="H25" s="21"/>
      <c r="I25" s="23"/>
    </row>
    <row r="26" spans="3:9" ht="12.75">
      <c r="C26" s="21"/>
      <c r="D26" s="21"/>
      <c r="E26" s="18">
        <v>41942</v>
      </c>
      <c r="F26" s="33"/>
      <c r="G26" s="33">
        <v>-3070.67</v>
      </c>
      <c r="H26" s="21"/>
      <c r="I26" s="23"/>
    </row>
    <row r="27" spans="3:9" ht="12.75">
      <c r="C27" s="21"/>
      <c r="D27" s="21"/>
      <c r="E27" s="18">
        <v>41999</v>
      </c>
      <c r="F27" s="33"/>
      <c r="G27" s="33">
        <v>-4377.33</v>
      </c>
      <c r="H27" s="21"/>
      <c r="I27" s="23"/>
    </row>
    <row r="28" spans="3:9" ht="12.75">
      <c r="C28" s="21" t="s">
        <v>9</v>
      </c>
      <c r="E28" s="18">
        <v>42037</v>
      </c>
      <c r="G28" s="33">
        <v>-4312</v>
      </c>
      <c r="H28" s="21"/>
      <c r="I28" s="23"/>
    </row>
    <row r="29" spans="5:9" ht="12.75">
      <c r="E29" s="18">
        <v>42093</v>
      </c>
      <c r="G29" s="33">
        <v>-5586</v>
      </c>
      <c r="H29" s="21"/>
      <c r="I29" s="23"/>
    </row>
    <row r="30" spans="5:9" ht="12.75">
      <c r="E30" s="18">
        <v>42109</v>
      </c>
      <c r="G30" s="33">
        <v>-4181.33</v>
      </c>
      <c r="H30" s="21"/>
      <c r="I30" s="23"/>
    </row>
    <row r="31" spans="5:9" ht="12.75">
      <c r="E31" s="18">
        <v>42144</v>
      </c>
      <c r="G31" s="33">
        <v>-2450</v>
      </c>
      <c r="H31" s="21"/>
      <c r="I31" s="23"/>
    </row>
    <row r="32" spans="5:14" ht="12.75">
      <c r="E32" s="18">
        <v>42184</v>
      </c>
      <c r="G32" s="33">
        <v>-3756.67</v>
      </c>
      <c r="H32" s="21"/>
      <c r="I32" s="23"/>
      <c r="J32" s="23"/>
      <c r="K32" s="21"/>
      <c r="M32" s="100"/>
      <c r="N32" s="65"/>
    </row>
    <row r="33" spans="5:14" ht="12.75">
      <c r="E33" s="18">
        <v>42227</v>
      </c>
      <c r="G33" s="33">
        <v>-4998</v>
      </c>
      <c r="H33" s="21"/>
      <c r="I33" s="23"/>
      <c r="J33" s="23"/>
      <c r="K33" s="21"/>
      <c r="M33" s="100"/>
      <c r="N33" s="65"/>
    </row>
    <row r="34" spans="5:14" ht="12.75">
      <c r="E34" s="18">
        <v>42261</v>
      </c>
      <c r="G34" s="33">
        <v>-6598.67</v>
      </c>
      <c r="H34" s="21"/>
      <c r="I34" s="23"/>
      <c r="J34" s="23"/>
      <c r="K34" s="21"/>
      <c r="M34" s="100"/>
      <c r="N34" s="65"/>
    </row>
    <row r="35" spans="5:14" ht="12.75">
      <c r="E35" s="18">
        <v>42368</v>
      </c>
      <c r="G35" s="33">
        <v>-5390</v>
      </c>
      <c r="H35" s="21"/>
      <c r="I35" s="23"/>
      <c r="J35" s="23"/>
      <c r="K35" s="21"/>
      <c r="M35" s="100"/>
      <c r="N35" s="65"/>
    </row>
    <row r="36" spans="3:14" ht="12.75">
      <c r="C36" s="21" t="s">
        <v>13</v>
      </c>
      <c r="D36" s="21"/>
      <c r="E36" s="18">
        <v>42396</v>
      </c>
      <c r="G36" s="33">
        <v>-94439.34</v>
      </c>
      <c r="H36" s="21"/>
      <c r="I36" s="23"/>
      <c r="J36" s="23"/>
      <c r="K36" s="21"/>
      <c r="M36" s="100"/>
      <c r="N36" s="65"/>
    </row>
    <row r="37" spans="3:14" ht="12.75">
      <c r="C37" s="21"/>
      <c r="D37" s="21"/>
      <c r="E37" s="18">
        <v>42445</v>
      </c>
      <c r="G37" s="33">
        <v>-8003.34</v>
      </c>
      <c r="H37" s="21"/>
      <c r="I37" s="23"/>
      <c r="J37" s="23"/>
      <c r="K37" s="21"/>
      <c r="M37" s="100"/>
      <c r="N37" s="65"/>
    </row>
    <row r="38" spans="3:14" ht="12.75">
      <c r="C38" s="21"/>
      <c r="D38" s="21"/>
      <c r="E38" s="18">
        <v>42549</v>
      </c>
      <c r="G38" s="33">
        <v>-12968.67</v>
      </c>
      <c r="H38" s="21"/>
      <c r="I38" s="23"/>
      <c r="J38" s="23"/>
      <c r="K38" s="21"/>
      <c r="M38" s="100"/>
      <c r="N38" s="65"/>
    </row>
    <row r="39" spans="3:14" ht="12.75">
      <c r="C39" s="21"/>
      <c r="D39" s="21"/>
      <c r="E39" s="18">
        <v>42586</v>
      </c>
      <c r="G39" s="33">
        <v>-9963.33</v>
      </c>
      <c r="H39" s="21"/>
      <c r="I39" s="23"/>
      <c r="J39" s="23"/>
      <c r="K39" s="21"/>
      <c r="M39" s="100"/>
      <c r="N39" s="65"/>
    </row>
    <row r="40" spans="3:14" ht="12.75">
      <c r="C40" s="21"/>
      <c r="D40" s="21"/>
      <c r="E40" s="18">
        <v>42607</v>
      </c>
      <c r="G40" s="33">
        <v>-7546</v>
      </c>
      <c r="H40" s="21"/>
      <c r="I40" s="23"/>
      <c r="J40" s="23"/>
      <c r="K40" s="21"/>
      <c r="M40" s="100"/>
      <c r="N40" s="65"/>
    </row>
    <row r="41" spans="3:14" ht="12.75">
      <c r="C41" s="21"/>
      <c r="D41" s="21"/>
      <c r="E41" s="18">
        <v>42613</v>
      </c>
      <c r="G41" s="33">
        <v>-159903.33</v>
      </c>
      <c r="H41" s="21"/>
      <c r="I41" s="23"/>
      <c r="J41" s="23"/>
      <c r="K41" s="21"/>
      <c r="M41" s="100"/>
      <c r="N41" s="65"/>
    </row>
    <row r="42" spans="3:14" ht="12.75">
      <c r="C42" s="21"/>
      <c r="D42" s="21"/>
      <c r="E42" s="18">
        <v>42640</v>
      </c>
      <c r="G42" s="33">
        <v>-3756.67</v>
      </c>
      <c r="H42" s="21"/>
      <c r="I42" s="23"/>
      <c r="J42" s="23"/>
      <c r="K42" s="21"/>
      <c r="M42" s="100"/>
      <c r="N42" s="65"/>
    </row>
    <row r="43" spans="3:14" ht="12.75">
      <c r="C43" s="21"/>
      <c r="D43" s="21"/>
      <c r="E43" s="18">
        <v>42732</v>
      </c>
      <c r="G43" s="33">
        <v>-5226.67</v>
      </c>
      <c r="H43" s="21"/>
      <c r="I43" s="23"/>
      <c r="J43" s="23"/>
      <c r="K43" s="21"/>
      <c r="M43" s="100"/>
      <c r="N43" s="65"/>
    </row>
    <row r="44" spans="3:14" ht="12.75">
      <c r="C44" s="21" t="s">
        <v>14</v>
      </c>
      <c r="D44" s="21"/>
      <c r="E44" s="18">
        <v>42377</v>
      </c>
      <c r="G44" s="33">
        <v>47121.98</v>
      </c>
      <c r="H44" s="21"/>
      <c r="I44" s="23"/>
      <c r="J44" s="23"/>
      <c r="K44" s="21"/>
      <c r="M44" s="100"/>
      <c r="N44" s="65"/>
    </row>
    <row r="45" spans="3:14" ht="12.75">
      <c r="C45" s="21"/>
      <c r="D45" s="21"/>
      <c r="E45" s="18">
        <v>42551</v>
      </c>
      <c r="G45" s="33">
        <v>4861.16</v>
      </c>
      <c r="H45" s="21"/>
      <c r="I45" s="23"/>
      <c r="J45" s="23"/>
      <c r="K45" s="21"/>
      <c r="M45" s="100"/>
      <c r="N45" s="65"/>
    </row>
    <row r="46" spans="3:14" ht="12.75">
      <c r="C46" s="21"/>
      <c r="D46" s="21"/>
      <c r="E46" s="18">
        <v>42642</v>
      </c>
      <c r="G46" s="33">
        <v>9354.83</v>
      </c>
      <c r="H46" s="21"/>
      <c r="I46" s="23"/>
      <c r="J46" s="23"/>
      <c r="K46" s="21"/>
      <c r="M46" s="100"/>
      <c r="N46" s="65"/>
    </row>
    <row r="47" spans="3:14" ht="15.75">
      <c r="C47" s="21"/>
      <c r="D47" s="21"/>
      <c r="E47" s="18">
        <v>42655</v>
      </c>
      <c r="G47" s="33">
        <v>3825.81</v>
      </c>
      <c r="H47" s="21"/>
      <c r="I47" s="23"/>
      <c r="J47" s="111"/>
      <c r="K47" s="112"/>
      <c r="L47" s="104"/>
      <c r="M47" s="100"/>
      <c r="N47" s="65"/>
    </row>
    <row r="48" spans="3:14" ht="12.75">
      <c r="C48" s="21" t="s">
        <v>15</v>
      </c>
      <c r="D48" s="21"/>
      <c r="E48" s="18">
        <v>42765</v>
      </c>
      <c r="G48" s="33">
        <v>-17248</v>
      </c>
      <c r="H48" s="21"/>
      <c r="I48" s="23"/>
      <c r="J48" s="111"/>
      <c r="K48" s="112"/>
      <c r="L48" s="54"/>
      <c r="M48" s="100"/>
      <c r="N48" s="65"/>
    </row>
    <row r="49" spans="3:14" ht="12.75">
      <c r="C49" s="21"/>
      <c r="D49" s="21"/>
      <c r="E49" s="18">
        <v>42822</v>
      </c>
      <c r="G49" s="33">
        <v>-9571.33</v>
      </c>
      <c r="H49" s="21"/>
      <c r="I49" s="23"/>
      <c r="J49" s="111"/>
      <c r="K49" s="112"/>
      <c r="L49" s="54"/>
      <c r="M49" s="100"/>
      <c r="N49" s="65"/>
    </row>
    <row r="50" spans="3:14" ht="12.75">
      <c r="C50" s="21"/>
      <c r="D50" s="21"/>
      <c r="E50" s="18">
        <v>42852</v>
      </c>
      <c r="G50" s="33">
        <v>-9996</v>
      </c>
      <c r="H50" s="21"/>
      <c r="I50" s="23"/>
      <c r="J50" s="111"/>
      <c r="K50" s="112"/>
      <c r="L50" s="54"/>
      <c r="M50" s="100"/>
      <c r="N50" s="65"/>
    </row>
    <row r="51" spans="3:14" ht="12.75">
      <c r="C51" s="21"/>
      <c r="D51" s="21"/>
      <c r="E51" s="18">
        <v>42913</v>
      </c>
      <c r="G51" s="33">
        <v>-40114.67</v>
      </c>
      <c r="H51" s="21"/>
      <c r="I51" s="23"/>
      <c r="J51" s="111"/>
      <c r="K51" s="112"/>
      <c r="L51" s="54"/>
      <c r="M51" s="100"/>
      <c r="N51" s="65"/>
    </row>
    <row r="52" spans="3:14" ht="12.75">
      <c r="C52" s="21"/>
      <c r="D52" s="21"/>
      <c r="E52" s="18">
        <v>42991</v>
      </c>
      <c r="G52" s="33">
        <v>-17640</v>
      </c>
      <c r="H52" s="21"/>
      <c r="I52" s="23"/>
      <c r="J52" s="111"/>
      <c r="K52" s="112"/>
      <c r="L52" s="113"/>
      <c r="M52" s="100"/>
      <c r="N52" s="65"/>
    </row>
    <row r="53" spans="3:14" ht="12.75">
      <c r="C53" s="21"/>
      <c r="D53" s="21"/>
      <c r="E53" s="18">
        <v>43006</v>
      </c>
      <c r="G53" s="33">
        <v>-12576.67</v>
      </c>
      <c r="H53" s="21"/>
      <c r="I53" s="23"/>
      <c r="J53" s="111"/>
      <c r="K53" s="112"/>
      <c r="L53" s="113"/>
      <c r="M53" s="100"/>
      <c r="N53" s="65"/>
    </row>
    <row r="54" spans="3:14" ht="12.75">
      <c r="C54" s="21"/>
      <c r="D54" s="21"/>
      <c r="E54" s="18">
        <v>43080</v>
      </c>
      <c r="F54" s="33"/>
      <c r="G54" s="33">
        <v>-6272</v>
      </c>
      <c r="H54" s="21"/>
      <c r="I54" s="23"/>
      <c r="J54" s="111"/>
      <c r="K54" s="112"/>
      <c r="L54" s="113"/>
      <c r="M54" s="100"/>
      <c r="N54" s="65"/>
    </row>
    <row r="55" spans="3:14" ht="12.75">
      <c r="C55" s="21"/>
      <c r="D55" s="21"/>
      <c r="E55" s="18">
        <v>43095</v>
      </c>
      <c r="F55" s="33"/>
      <c r="G55" s="33">
        <v>-12478.67</v>
      </c>
      <c r="H55" s="21"/>
      <c r="I55" s="23"/>
      <c r="J55" s="23"/>
      <c r="K55" s="21"/>
      <c r="M55" s="100"/>
      <c r="N55" s="65"/>
    </row>
    <row r="56" spans="3:14" ht="12.75">
      <c r="C56" s="21" t="s">
        <v>16</v>
      </c>
      <c r="D56" s="21"/>
      <c r="E56" s="18">
        <v>42747</v>
      </c>
      <c r="G56" s="33">
        <v>14195.47</v>
      </c>
      <c r="H56" s="21"/>
      <c r="I56" s="23"/>
      <c r="J56" s="23"/>
      <c r="K56" s="21"/>
      <c r="M56" s="100"/>
      <c r="N56" s="65"/>
    </row>
    <row r="57" spans="3:14" ht="12.75">
      <c r="C57" s="21" t="s">
        <v>17</v>
      </c>
      <c r="D57" s="21"/>
      <c r="E57" s="18">
        <v>43130</v>
      </c>
      <c r="G57" s="33">
        <v>-121193.33</v>
      </c>
      <c r="H57" s="21"/>
      <c r="I57" s="23"/>
      <c r="J57" s="23"/>
      <c r="K57" s="21"/>
      <c r="M57" s="100"/>
      <c r="N57" s="65"/>
    </row>
    <row r="58" spans="3:14" ht="12.75">
      <c r="C58" s="21"/>
      <c r="D58" s="21"/>
      <c r="E58" s="18">
        <v>43143</v>
      </c>
      <c r="G58" s="33">
        <v>33560.10</v>
      </c>
      <c r="H58" s="21"/>
      <c r="I58" s="23"/>
      <c r="J58" s="23"/>
      <c r="K58" s="21"/>
      <c r="M58" s="100"/>
      <c r="N58" s="65"/>
    </row>
    <row r="59" spans="3:14" ht="12.75">
      <c r="C59" s="21"/>
      <c r="D59" s="21"/>
      <c r="E59" s="18">
        <v>43173</v>
      </c>
      <c r="G59" s="33">
        <v>-9146.66</v>
      </c>
      <c r="H59" s="21"/>
      <c r="I59" s="23"/>
      <c r="J59" s="23"/>
      <c r="K59" s="21"/>
      <c r="M59" s="100"/>
      <c r="N59" s="65"/>
    </row>
    <row r="60" spans="3:14" ht="12.75">
      <c r="C60" s="21"/>
      <c r="D60" s="21"/>
      <c r="E60" s="18">
        <v>43216</v>
      </c>
      <c r="G60" s="33">
        <v>-16333.33</v>
      </c>
      <c r="H60" s="21"/>
      <c r="I60" s="23"/>
      <c r="J60" s="23"/>
      <c r="K60" s="21"/>
      <c r="M60" s="100"/>
      <c r="N60" s="65"/>
    </row>
    <row r="61" spans="3:14" ht="12.75">
      <c r="C61" s="21"/>
      <c r="D61" s="21"/>
      <c r="E61" s="18">
        <v>43265</v>
      </c>
      <c r="G61" s="33">
        <v>-9342.67</v>
      </c>
      <c r="H61" s="21"/>
      <c r="I61" s="23"/>
      <c r="J61" s="23"/>
      <c r="K61" s="21"/>
      <c r="M61" s="100"/>
      <c r="N61" s="65"/>
    </row>
    <row r="62" spans="3:14" ht="12.75">
      <c r="C62" s="21"/>
      <c r="D62" s="21"/>
      <c r="E62" s="18">
        <v>43292</v>
      </c>
      <c r="G62" s="33">
        <v>-16333.33</v>
      </c>
      <c r="H62" s="21"/>
      <c r="I62" s="23"/>
      <c r="J62" s="23"/>
      <c r="K62" s="21"/>
      <c r="M62" s="100"/>
      <c r="N62" s="65"/>
    </row>
    <row r="63" spans="3:14" ht="12.75">
      <c r="C63" s="21"/>
      <c r="D63" s="21"/>
      <c r="E63" s="18">
        <v>43328</v>
      </c>
      <c r="G63" s="33">
        <v>-59388</v>
      </c>
      <c r="H63" s="21"/>
      <c r="I63" s="23"/>
      <c r="J63" s="23"/>
      <c r="K63" s="21"/>
      <c r="M63" s="100"/>
      <c r="N63" s="65"/>
    </row>
    <row r="64" spans="3:14" ht="12.75">
      <c r="C64" s="21"/>
      <c r="D64" s="21"/>
      <c r="E64" s="18">
        <v>43360</v>
      </c>
      <c r="G64" s="33">
        <v>-9015.99</v>
      </c>
      <c r="H64" s="21"/>
      <c r="I64" s="23"/>
      <c r="J64" s="23"/>
      <c r="K64" s="21"/>
      <c r="M64" s="100"/>
      <c r="N64" s="65"/>
    </row>
    <row r="65" spans="3:14" ht="12.75">
      <c r="C65" s="21"/>
      <c r="D65" s="21"/>
      <c r="E65" s="18">
        <v>43369</v>
      </c>
      <c r="G65" s="33">
        <v>-195706</v>
      </c>
      <c r="H65" s="21"/>
      <c r="I65" s="23"/>
      <c r="J65" s="23"/>
      <c r="K65" s="21"/>
      <c r="M65" s="100"/>
      <c r="N65" s="65"/>
    </row>
    <row r="66" spans="3:14" ht="12.75">
      <c r="C66" s="21"/>
      <c r="D66" s="21"/>
      <c r="E66" s="18">
        <v>43389</v>
      </c>
      <c r="G66" s="33">
        <v>13066.66</v>
      </c>
      <c r="H66" s="21"/>
      <c r="I66" s="23"/>
      <c r="J66" s="23"/>
      <c r="K66" s="21"/>
      <c r="M66" s="100"/>
      <c r="N66" s="65"/>
    </row>
    <row r="67" spans="3:14" ht="12.75">
      <c r="C67" s="21"/>
      <c r="D67" s="21"/>
      <c r="E67" s="18">
        <v>43445</v>
      </c>
      <c r="G67" s="33">
        <v>-31261.99</v>
      </c>
      <c r="H67" s="21"/>
      <c r="I67" s="23"/>
      <c r="J67" s="23"/>
      <c r="K67" s="21"/>
      <c r="M67" s="100"/>
      <c r="N67" s="65"/>
    </row>
    <row r="68" spans="3:14" ht="12.75">
      <c r="C68" s="21" t="s">
        <v>18</v>
      </c>
      <c r="D68" s="21"/>
      <c r="E68" s="18">
        <v>43111</v>
      </c>
      <c r="G68" s="33">
        <v>12442.59</v>
      </c>
      <c r="H68" s="21"/>
      <c r="I68" s="23"/>
      <c r="J68" s="23"/>
      <c r="K68" s="21"/>
      <c r="M68" s="100"/>
      <c r="N68" s="65"/>
    </row>
    <row r="69" spans="3:14" ht="12.75">
      <c r="C69" s="21"/>
      <c r="D69" s="21"/>
      <c r="E69" s="18">
        <v>43153</v>
      </c>
      <c r="G69" s="33">
        <v>314282.78</v>
      </c>
      <c r="H69" s="21"/>
      <c r="I69" s="23"/>
      <c r="J69" s="23"/>
      <c r="K69" s="21"/>
      <c r="M69" s="100"/>
      <c r="N69" s="65"/>
    </row>
    <row r="70" spans="3:14" ht="12.75">
      <c r="C70" s="21"/>
      <c r="D70" s="21"/>
      <c r="E70" s="18">
        <v>43446</v>
      </c>
      <c r="G70" s="33">
        <v>14771.51</v>
      </c>
      <c r="H70" s="21"/>
      <c r="I70" s="23"/>
      <c r="J70" s="23"/>
      <c r="K70" s="21"/>
      <c r="M70" s="100"/>
      <c r="N70" s="65"/>
    </row>
    <row r="71" spans="3:14" ht="12.75">
      <c r="C71" s="21" t="s">
        <v>19</v>
      </c>
      <c r="D71" s="21"/>
      <c r="E71" s="18">
        <v>43522</v>
      </c>
      <c r="G71" s="33">
        <v>-52724</v>
      </c>
      <c r="H71" s="21"/>
      <c r="I71" s="23"/>
      <c r="J71" s="23"/>
      <c r="K71" s="21"/>
      <c r="M71" s="100"/>
      <c r="N71" s="65"/>
    </row>
    <row r="72" spans="3:14" ht="12.75">
      <c r="C72" s="21"/>
      <c r="D72" s="21"/>
      <c r="E72" s="18">
        <v>43563</v>
      </c>
      <c r="G72" s="33">
        <v>-26492.67</v>
      </c>
      <c r="H72" s="21"/>
      <c r="I72" s="23"/>
      <c r="J72" s="23"/>
      <c r="K72" s="21"/>
      <c r="M72" s="100"/>
      <c r="N72" s="65"/>
    </row>
    <row r="73" spans="3:14" ht="12.75">
      <c r="C73" s="21"/>
      <c r="D73" s="21"/>
      <c r="E73" s="18">
        <v>43600</v>
      </c>
      <c r="G73" s="33">
        <v>-16170.01</v>
      </c>
      <c r="H73" s="21"/>
      <c r="I73" s="23"/>
      <c r="J73" s="23"/>
      <c r="K73" s="21"/>
      <c r="M73" s="100"/>
      <c r="N73" s="65"/>
    </row>
    <row r="74" spans="3:14" ht="12.75">
      <c r="C74" s="21"/>
      <c r="D74" s="21"/>
      <c r="E74" s="18">
        <v>43643</v>
      </c>
      <c r="G74" s="33">
        <v>-9179.34</v>
      </c>
      <c r="H74" s="21"/>
      <c r="I74" s="23"/>
      <c r="J74" s="23"/>
      <c r="K74" s="21"/>
      <c r="M74" s="100"/>
      <c r="N74" s="65"/>
    </row>
    <row r="75" spans="3:14" ht="12.75">
      <c r="C75" s="21"/>
      <c r="D75" s="21"/>
      <c r="E75" s="18">
        <v>43655</v>
      </c>
      <c r="G75" s="33">
        <v>-14373.34</v>
      </c>
      <c r="H75" s="21"/>
      <c r="I75" s="23"/>
      <c r="J75" s="23"/>
      <c r="K75" s="21"/>
      <c r="M75" s="100"/>
      <c r="N75" s="65"/>
    </row>
    <row r="76" spans="3:14" ht="12.75">
      <c r="C76" s="21"/>
      <c r="D76" s="21"/>
      <c r="E76" s="18">
        <v>43685</v>
      </c>
      <c r="G76" s="33">
        <v>-16137.34</v>
      </c>
      <c r="H76" s="21"/>
      <c r="I76" s="23"/>
      <c r="J76" s="23"/>
      <c r="K76" s="21"/>
      <c r="M76" s="100"/>
      <c r="N76" s="65"/>
    </row>
    <row r="77" spans="3:14" ht="12.75">
      <c r="C77" s="21"/>
      <c r="D77" s="21"/>
      <c r="E77" s="18">
        <v>43697</v>
      </c>
      <c r="G77" s="33">
        <v>-4851</v>
      </c>
      <c r="H77" s="21"/>
      <c r="I77" s="23"/>
      <c r="J77" s="23"/>
      <c r="K77" s="21"/>
      <c r="M77" s="100"/>
      <c r="N77" s="65"/>
    </row>
    <row r="78" spans="3:14" ht="12.75">
      <c r="C78" s="21"/>
      <c r="D78" s="21"/>
      <c r="E78" s="18">
        <v>43727</v>
      </c>
      <c r="G78" s="33">
        <v>-13393.33</v>
      </c>
      <c r="H78" s="21"/>
      <c r="I78" s="23"/>
      <c r="J78" s="23"/>
      <c r="K78" s="21"/>
      <c r="M78" s="100"/>
      <c r="N78" s="65"/>
    </row>
    <row r="79" spans="3:14" ht="12.75">
      <c r="C79" s="21"/>
      <c r="D79" s="21"/>
      <c r="E79" s="18">
        <v>43756</v>
      </c>
      <c r="G79" s="33">
        <v>-7252</v>
      </c>
      <c r="H79" s="21"/>
      <c r="I79" s="23"/>
      <c r="J79" s="23"/>
      <c r="K79" s="21"/>
      <c r="M79" s="100"/>
      <c r="N79" s="65"/>
    </row>
    <row r="80" spans="3:14" ht="12.75">
      <c r="C80" s="21"/>
      <c r="D80" s="21"/>
      <c r="E80" s="18">
        <v>43783</v>
      </c>
      <c r="G80" s="33">
        <v>-8085</v>
      </c>
      <c r="H80" s="21"/>
      <c r="I80" s="23"/>
      <c r="J80" s="23"/>
      <c r="K80" s="21"/>
      <c r="M80" s="100"/>
      <c r="N80" s="65"/>
    </row>
    <row r="81" spans="3:14" ht="12.75">
      <c r="C81" s="21"/>
      <c r="D81" s="21"/>
      <c r="E81" s="18">
        <v>43795</v>
      </c>
      <c r="G81" s="33">
        <v>-19861.33</v>
      </c>
      <c r="H81" s="21"/>
      <c r="I81" s="23"/>
      <c r="J81" s="23"/>
      <c r="K81" s="21"/>
      <c r="M81" s="100"/>
      <c r="N81" s="65"/>
    </row>
    <row r="82" spans="3:14" ht="12.75">
      <c r="C82" s="21"/>
      <c r="D82" s="21"/>
      <c r="E82" s="18">
        <v>43830</v>
      </c>
      <c r="G82" s="33">
        <v>-5684</v>
      </c>
      <c r="H82" s="21"/>
      <c r="I82" s="23"/>
      <c r="J82" s="23"/>
      <c r="K82" s="21"/>
      <c r="M82" s="100"/>
      <c r="N82" s="65"/>
    </row>
    <row r="83" spans="3:14" ht="12.75">
      <c r="C83" s="21" t="s">
        <v>20</v>
      </c>
      <c r="D83" s="21"/>
      <c r="E83" s="18">
        <v>43620</v>
      </c>
      <c r="G83" s="33">
        <v>5990.27</v>
      </c>
      <c r="H83" s="21"/>
      <c r="I83" s="23"/>
      <c r="J83" s="23"/>
      <c r="K83" s="21"/>
      <c r="M83" s="100"/>
      <c r="N83" s="65"/>
    </row>
    <row r="84" spans="3:14" ht="12.75">
      <c r="C84" s="21"/>
      <c r="D84" s="21"/>
      <c r="E84" s="18">
        <v>43669</v>
      </c>
      <c r="G84" s="33">
        <v>23646.60</v>
      </c>
      <c r="H84" s="21"/>
      <c r="I84" s="23"/>
      <c r="J84" s="23"/>
      <c r="K84" s="21"/>
      <c r="M84" s="100"/>
      <c r="N84" s="65"/>
    </row>
    <row r="85" spans="3:14" ht="12.75">
      <c r="C85" s="21"/>
      <c r="D85" s="21"/>
      <c r="E85" s="18">
        <v>43717</v>
      </c>
      <c r="G85" s="33">
        <v>8039.89</v>
      </c>
      <c r="H85" s="21"/>
      <c r="I85" s="23"/>
      <c r="J85" s="23"/>
      <c r="K85" s="21"/>
      <c r="M85" s="100"/>
      <c r="N85" s="65"/>
    </row>
    <row r="86" spans="3:14" ht="12.75">
      <c r="C86" s="21" t="s">
        <v>21</v>
      </c>
      <c r="D86" s="21"/>
      <c r="E86" s="18">
        <v>43858</v>
      </c>
      <c r="G86" s="33">
        <v>-8656.67</v>
      </c>
      <c r="H86" s="21"/>
      <c r="I86" s="23"/>
      <c r="J86" s="23"/>
      <c r="K86" s="21"/>
      <c r="M86" s="100"/>
      <c r="N86" s="65"/>
    </row>
    <row r="87" spans="3:14" ht="12.75">
      <c r="C87" s="21"/>
      <c r="D87" s="21"/>
      <c r="E87" s="18">
        <v>43860</v>
      </c>
      <c r="G87" s="33">
        <v>-9734.67</v>
      </c>
      <c r="H87" s="21"/>
      <c r="I87" s="23"/>
      <c r="J87" s="23"/>
      <c r="K87" s="21"/>
      <c r="M87" s="100"/>
      <c r="N87" s="65"/>
    </row>
    <row r="88" spans="3:14" ht="12.75">
      <c r="C88" s="21"/>
      <c r="D88" s="21"/>
      <c r="E88" s="18">
        <v>43915</v>
      </c>
      <c r="G88" s="33">
        <v>-9211.99</v>
      </c>
      <c r="H88" s="21"/>
      <c r="I88" s="23"/>
      <c r="J88" s="23"/>
      <c r="K88" s="21"/>
      <c r="M88" s="100"/>
      <c r="N88" s="65"/>
    </row>
    <row r="89" spans="3:14" ht="12.75">
      <c r="C89" s="21"/>
      <c r="D89" s="21"/>
      <c r="E89" s="18">
        <v>43917</v>
      </c>
      <c r="G89" s="33">
        <v>-2263.8</v>
      </c>
      <c r="H89" s="21"/>
      <c r="I89" s="23"/>
      <c r="J89" s="23"/>
      <c r="K89" s="21"/>
      <c r="M89" s="100"/>
      <c r="N89" s="65"/>
    </row>
    <row r="90" spans="3:14" ht="12.75">
      <c r="C90" s="21"/>
      <c r="D90" s="21"/>
      <c r="E90" s="18">
        <v>43980</v>
      </c>
      <c r="G90" s="33">
        <v>-9571.33</v>
      </c>
      <c r="H90" s="21"/>
      <c r="I90" s="23"/>
      <c r="J90" s="23"/>
      <c r="K90" s="21"/>
      <c r="M90" s="100"/>
      <c r="N90" s="65"/>
    </row>
    <row r="91" spans="3:14" ht="12.75">
      <c r="C91" s="21"/>
      <c r="D91" s="21"/>
      <c r="E91" s="18">
        <v>43999</v>
      </c>
      <c r="G91" s="33">
        <v>-13066.67</v>
      </c>
      <c r="H91" s="21"/>
      <c r="I91" s="23"/>
      <c r="J91" s="23"/>
      <c r="K91" s="21"/>
      <c r="M91" s="100"/>
      <c r="N91" s="65"/>
    </row>
    <row r="92" spans="3:14" ht="12.75">
      <c r="C92" s="21"/>
      <c r="D92" s="21"/>
      <c r="E92" s="18">
        <v>44047</v>
      </c>
      <c r="G92" s="33">
        <v>-1057.55</v>
      </c>
      <c r="H92" s="21"/>
      <c r="I92" s="23"/>
      <c r="J92" s="23"/>
      <c r="K92" s="21"/>
      <c r="M92" s="100"/>
      <c r="N92" s="65"/>
    </row>
    <row r="93" spans="3:14" ht="12.75">
      <c r="C93" s="21" t="s">
        <v>22</v>
      </c>
      <c r="D93" s="21"/>
      <c r="E93" s="18">
        <v>43888</v>
      </c>
      <c r="G93" s="33">
        <v>30158.41</v>
      </c>
      <c r="H93" s="21"/>
      <c r="I93" s="23"/>
      <c r="J93" s="23"/>
      <c r="K93" s="21"/>
      <c r="M93" s="100"/>
      <c r="N93" s="65"/>
    </row>
    <row r="94" spans="3:14" ht="12.75">
      <c r="C94" s="21"/>
      <c r="D94" s="21"/>
      <c r="E94" s="18">
        <v>44089</v>
      </c>
      <c r="G94" s="33">
        <v>4248.9</v>
      </c>
      <c r="H94" s="21"/>
      <c r="I94" s="23"/>
      <c r="J94" s="23"/>
      <c r="K94" s="21"/>
      <c r="M94" s="100"/>
      <c r="N94" s="65"/>
    </row>
    <row r="95" spans="3:14" ht="15.75">
      <c r="C95" s="21" t="s">
        <v>24</v>
      </c>
      <c r="D95" s="21"/>
      <c r="E95" s="18">
        <v>44202</v>
      </c>
      <c r="G95" s="33">
        <v>-6370</v>
      </c>
      <c r="H95" s="21"/>
      <c r="I95" s="23"/>
      <c r="J95" s="23"/>
      <c r="K95" s="21"/>
      <c r="L95" s="50"/>
      <c r="M95" s="100"/>
      <c r="N95" s="65"/>
    </row>
    <row r="96" spans="3:14" ht="15.75">
      <c r="C96" s="21"/>
      <c r="D96" s="21"/>
      <c r="E96" s="18">
        <v>44377</v>
      </c>
      <c r="G96" s="33">
        <v>-3070.67</v>
      </c>
      <c r="H96" s="21"/>
      <c r="I96" s="23"/>
      <c r="J96" s="23"/>
      <c r="K96" s="21"/>
      <c r="L96" s="50"/>
      <c r="M96" s="100"/>
      <c r="N96" s="65"/>
    </row>
    <row r="97" spans="3:14" ht="15.75">
      <c r="C97" s="21"/>
      <c r="D97" s="21"/>
      <c r="E97" s="18">
        <v>44469</v>
      </c>
      <c r="G97" s="33">
        <v>-3038</v>
      </c>
      <c r="H97" s="21"/>
      <c r="I97" s="23"/>
      <c r="J97" s="23"/>
      <c r="K97" s="21"/>
      <c r="L97" s="50"/>
      <c r="M97" s="100"/>
      <c r="N97" s="65"/>
    </row>
    <row r="98" spans="3:14" ht="15.75">
      <c r="C98" s="21"/>
      <c r="D98" s="21"/>
      <c r="E98" s="18">
        <v>44545</v>
      </c>
      <c r="G98" s="33">
        <v>-3038</v>
      </c>
      <c r="H98" s="21"/>
      <c r="I98" s="23"/>
      <c r="J98" s="23"/>
      <c r="K98" s="21"/>
      <c r="L98" s="50"/>
      <c r="M98" s="100"/>
      <c r="N98" s="65"/>
    </row>
    <row r="99" spans="3:14" ht="15.75">
      <c r="C99" s="21" t="s">
        <v>23</v>
      </c>
      <c r="D99" s="21"/>
      <c r="E99" s="18">
        <v>44265</v>
      </c>
      <c r="G99" s="33">
        <v>15001.02</v>
      </c>
      <c r="H99" s="21"/>
      <c r="I99" s="23"/>
      <c r="J99" s="23"/>
      <c r="K99" s="21"/>
      <c r="L99" s="50"/>
      <c r="M99" s="100"/>
      <c r="N99" s="65"/>
    </row>
    <row r="100" spans="3:14" ht="15.75">
      <c r="C100" s="21"/>
      <c r="D100" s="21"/>
      <c r="E100" s="18">
        <v>44376</v>
      </c>
      <c r="G100" s="33">
        <v>7531.51</v>
      </c>
      <c r="H100" s="21"/>
      <c r="I100" s="23"/>
      <c r="J100" s="23"/>
      <c r="K100" s="21"/>
      <c r="L100" s="50"/>
      <c r="M100" s="100"/>
      <c r="N100" s="65"/>
    </row>
    <row r="101" spans="3:14" ht="15.75">
      <c r="C101" s="21"/>
      <c r="D101" s="21"/>
      <c r="E101" s="18">
        <v>44449</v>
      </c>
      <c r="G101" s="33">
        <v>13342.52</v>
      </c>
      <c r="H101" s="21"/>
      <c r="I101" s="23"/>
      <c r="J101" s="23"/>
      <c r="K101" s="21"/>
      <c r="L101" s="50"/>
      <c r="M101" s="100"/>
      <c r="N101" s="65"/>
    </row>
    <row r="102" spans="3:14" ht="15.75">
      <c r="C102" s="21"/>
      <c r="D102" s="21"/>
      <c r="E102" s="18">
        <v>44488</v>
      </c>
      <c r="G102" s="33">
        <v>190071.21</v>
      </c>
      <c r="H102" s="21"/>
      <c r="I102" s="23"/>
      <c r="J102" s="23"/>
      <c r="K102" s="21"/>
      <c r="L102" s="50"/>
      <c r="M102" s="100"/>
      <c r="N102" s="65"/>
    </row>
    <row r="103" spans="3:14" ht="15.75">
      <c r="C103" s="21"/>
      <c r="D103" s="21"/>
      <c r="E103" s="18">
        <v>44540</v>
      </c>
      <c r="G103" s="33">
        <v>17853.65</v>
      </c>
      <c r="H103" s="21"/>
      <c r="I103" s="23"/>
      <c r="J103" s="23"/>
      <c r="K103" s="21"/>
      <c r="L103" s="50"/>
      <c r="M103" s="100"/>
      <c r="N103" s="65"/>
    </row>
    <row r="104" spans="3:14" ht="15.75">
      <c r="C104" s="21" t="s">
        <v>27</v>
      </c>
      <c r="D104" s="21"/>
      <c r="E104" s="18">
        <v>44650</v>
      </c>
      <c r="G104" s="33">
        <v>-2678.67</v>
      </c>
      <c r="H104" s="21"/>
      <c r="I104" s="23"/>
      <c r="J104" s="23"/>
      <c r="K104" s="21"/>
      <c r="L104" s="50"/>
      <c r="M104" s="100"/>
      <c r="N104" s="65"/>
    </row>
    <row r="105" spans="3:14" ht="15.75">
      <c r="C105" s="21"/>
      <c r="D105" s="21"/>
      <c r="E105" s="18">
        <v>44742</v>
      </c>
      <c r="G105" s="33">
        <v>-2417.33</v>
      </c>
      <c r="H105" s="21"/>
      <c r="I105" s="23"/>
      <c r="J105" s="23"/>
      <c r="K105" s="21"/>
      <c r="L105" s="50"/>
      <c r="M105" s="100"/>
      <c r="N105" s="65"/>
    </row>
    <row r="106" spans="3:14" ht="15.75">
      <c r="C106" s="21"/>
      <c r="D106" s="21"/>
      <c r="E106" s="18">
        <v>44827</v>
      </c>
      <c r="G106" s="33">
        <v>-2417.33</v>
      </c>
      <c r="H106" s="21"/>
      <c r="I106" s="23"/>
      <c r="J106" s="23"/>
      <c r="K106" s="21"/>
      <c r="L106" s="50"/>
      <c r="M106" s="100"/>
      <c r="N106" s="65"/>
    </row>
    <row r="107" spans="3:14" ht="15.75">
      <c r="C107" s="21"/>
      <c r="D107" s="21"/>
      <c r="E107" s="18">
        <v>44925</v>
      </c>
      <c r="G107" s="33">
        <v>-2384.66</v>
      </c>
      <c r="H107" s="21"/>
      <c r="I107" s="23"/>
      <c r="J107" s="23"/>
      <c r="K107" s="21"/>
      <c r="L107" s="50"/>
      <c r="M107" s="100"/>
      <c r="N107" s="65"/>
    </row>
    <row r="108" spans="3:14" ht="15.75">
      <c r="C108" s="21" t="s">
        <v>25</v>
      </c>
      <c r="D108" s="21"/>
      <c r="E108" s="18">
        <v>44645</v>
      </c>
      <c r="G108" s="33">
        <v>16817.66</v>
      </c>
      <c r="H108" s="21"/>
      <c r="I108" s="23"/>
      <c r="J108" s="23"/>
      <c r="K108" s="21"/>
      <c r="L108" s="50"/>
      <c r="M108" s="100"/>
      <c r="N108" s="65"/>
    </row>
    <row r="109" spans="3:14" ht="15.75">
      <c r="C109" s="21"/>
      <c r="D109" s="21"/>
      <c r="E109" s="18">
        <v>44721</v>
      </c>
      <c r="G109" s="33">
        <v>8138.11</v>
      </c>
      <c r="H109" s="21"/>
      <c r="I109" s="23"/>
      <c r="J109" s="23"/>
      <c r="K109" s="21"/>
      <c r="L109" s="50"/>
      <c r="M109" s="100"/>
      <c r="N109" s="65"/>
    </row>
    <row r="110" spans="3:14" ht="15.75">
      <c r="C110" s="21"/>
      <c r="D110" s="21"/>
      <c r="E110" s="18">
        <v>44791</v>
      </c>
      <c r="G110" s="33">
        <v>35303.34</v>
      </c>
      <c r="H110" s="21"/>
      <c r="I110" s="23"/>
      <c r="J110" s="23"/>
      <c r="K110" s="21"/>
      <c r="L110" s="50"/>
      <c r="M110" s="100"/>
      <c r="N110" s="65"/>
    </row>
    <row r="111" spans="3:14" ht="15.75">
      <c r="C111" s="21"/>
      <c r="D111" s="21"/>
      <c r="E111" s="18">
        <v>44888</v>
      </c>
      <c r="G111" s="33">
        <v>7447.47</v>
      </c>
      <c r="H111" s="21"/>
      <c r="I111" s="23"/>
      <c r="J111" s="23"/>
      <c r="K111" s="21"/>
      <c r="L111" s="50"/>
      <c r="M111" s="100"/>
      <c r="N111" s="65"/>
    </row>
    <row r="112" spans="3:14" ht="15.75">
      <c r="C112" s="21" t="s">
        <v>28</v>
      </c>
      <c r="D112" s="21"/>
      <c r="E112" s="18">
        <v>45009</v>
      </c>
      <c r="G112" s="33">
        <v>-2384.67</v>
      </c>
      <c r="H112" s="21"/>
      <c r="I112" s="23"/>
      <c r="J112" s="23"/>
      <c r="K112" s="21"/>
      <c r="L112" s="50"/>
      <c r="M112" s="100"/>
      <c r="N112" s="65"/>
    </row>
    <row r="113" spans="3:14" ht="15.75">
      <c r="C113" s="21"/>
      <c r="D113" s="21"/>
      <c r="E113" s="18">
        <v>45112</v>
      </c>
      <c r="G113" s="33">
        <v>-1927.33</v>
      </c>
      <c r="H113" s="21"/>
      <c r="I113" s="23"/>
      <c r="J113" s="23"/>
      <c r="K113" s="21"/>
      <c r="L113" s="50"/>
      <c r="M113" s="100"/>
      <c r="N113" s="65"/>
    </row>
    <row r="114" spans="3:14" ht="15.75">
      <c r="C114" s="21"/>
      <c r="D114" s="21"/>
      <c r="E114" s="18">
        <v>45196</v>
      </c>
      <c r="G114" s="33">
        <v>-1927.33</v>
      </c>
      <c r="H114" s="21"/>
      <c r="I114" s="23"/>
      <c r="J114" s="23"/>
      <c r="K114" s="21"/>
      <c r="L114" s="50"/>
      <c r="M114" s="100"/>
      <c r="N114" s="65"/>
    </row>
    <row r="115" spans="3:14" ht="15.75">
      <c r="C115" s="21" t="s">
        <v>26</v>
      </c>
      <c r="D115" s="21"/>
      <c r="E115" s="18">
        <v>45001</v>
      </c>
      <c r="G115" s="33">
        <v>40983.09</v>
      </c>
      <c r="H115" s="21"/>
      <c r="I115" s="23"/>
      <c r="J115" s="23"/>
      <c r="K115" s="21"/>
      <c r="L115" s="50"/>
      <c r="M115" s="100"/>
      <c r="N115" s="65"/>
    </row>
    <row r="116" spans="3:14" ht="15.75">
      <c r="C116" s="21"/>
      <c r="D116" s="21"/>
      <c r="E116" s="18">
        <v>45050</v>
      </c>
      <c r="G116" s="33">
        <v>120100.42</v>
      </c>
      <c r="H116" s="21"/>
      <c r="I116" s="23"/>
      <c r="J116" s="23"/>
      <c r="K116" s="21"/>
      <c r="L116" s="50"/>
      <c r="M116" s="100"/>
      <c r="N116" s="65"/>
    </row>
    <row r="117" spans="3:14" ht="15.75">
      <c r="C117" s="21"/>
      <c r="D117" s="21"/>
      <c r="E117" s="18">
        <v>45134</v>
      </c>
      <c r="G117" s="33">
        <v>42957.42</v>
      </c>
      <c r="H117" s="21"/>
      <c r="I117" s="23"/>
      <c r="J117" s="23"/>
      <c r="K117" s="21"/>
      <c r="L117" s="50"/>
      <c r="M117" s="100"/>
      <c r="N117" s="65"/>
    </row>
    <row r="118" spans="3:14" ht="15.75">
      <c r="C118" s="21"/>
      <c r="D118" s="21"/>
      <c r="E118" s="18">
        <v>45161</v>
      </c>
      <c r="G118" s="33">
        <v>36439.8</v>
      </c>
      <c r="H118" s="21"/>
      <c r="I118" s="23"/>
      <c r="J118" s="23"/>
      <c r="K118" s="21"/>
      <c r="L118" s="50"/>
      <c r="M118" s="100"/>
      <c r="N118" s="65"/>
    </row>
    <row r="119" spans="3:14" ht="15.75">
      <c r="C119" s="21"/>
      <c r="D119" s="21"/>
      <c r="E119" s="18">
        <v>45183</v>
      </c>
      <c r="G119" s="33">
        <v>10503.83</v>
      </c>
      <c r="H119" s="21"/>
      <c r="I119" s="23"/>
      <c r="J119" s="23"/>
      <c r="K119" s="21"/>
      <c r="L119" s="50"/>
      <c r="M119" s="100"/>
      <c r="N119" s="65"/>
    </row>
    <row r="120" spans="3:10" ht="4.5" customHeight="1">
      <c r="C120" s="21"/>
      <c r="D120" s="21"/>
      <c r="E120" s="18"/>
      <c r="F120" s="21"/>
      <c r="G120" s="33"/>
      <c r="H120" s="21"/>
      <c r="I120" s="23"/>
      <c r="J120" s="23"/>
    </row>
    <row r="121" spans="3:13" ht="12.75">
      <c r="C121" s="21" t="s">
        <v>1</v>
      </c>
      <c r="D121" s="21"/>
      <c r="E121" s="18">
        <f>+E8</f>
        <v>45199</v>
      </c>
      <c r="F121" s="21"/>
      <c r="G121" s="49">
        <f>L121*C22</f>
        <v>599801.904936921</v>
      </c>
      <c r="H121" s="21"/>
      <c r="I121" s="33">
        <f>+SUMIF($G$24:$G$120,"&lt;0",$G$24:$G$120)+G58+G66</f>
        <v>-1190057.2500000002</v>
      </c>
      <c r="J121" s="21" t="s">
        <v>11</v>
      </c>
      <c r="L121" s="54">
        <v>119060687</v>
      </c>
      <c r="M121" s="42"/>
    </row>
    <row r="122" spans="3:10" ht="12.75">
      <c r="C122" s="21"/>
      <c r="D122" s="21"/>
      <c r="E122" s="21"/>
      <c r="F122" s="21"/>
      <c r="G122" s="21"/>
      <c r="H122" s="21"/>
      <c r="I122" s="33">
        <f>+SUMIF($G$24:$G$120,"&gt;0",$G$24:$G$120)-G58-G66</f>
        <v>1055431.2500000002</v>
      </c>
      <c r="J122" s="21" t="s">
        <v>12</v>
      </c>
    </row>
    <row r="123" spans="3:8" ht="12.75">
      <c r="C123" s="20" t="s">
        <v>0</v>
      </c>
      <c r="G123" s="47">
        <f>+XIRR(G24:G121,E24:E121)</f>
        <v>0.10136941075325012</v>
      </c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  <row r="126" spans="3:8" ht="12.75">
      <c r="C126" s="26"/>
      <c r="D126" s="26"/>
      <c r="E126" s="21"/>
      <c r="F126" s="21"/>
      <c r="G126" s="21"/>
      <c r="H126" s="21"/>
    </row>
    <row r="127" spans="3:8" ht="12.75">
      <c r="C127" s="26"/>
      <c r="D127" s="26"/>
      <c r="E127" s="51"/>
      <c r="F127" s="51"/>
      <c r="G127" s="51"/>
      <c r="H127" s="20"/>
    </row>
    <row r="128" spans="3:8" ht="12.75">
      <c r="C128" s="26"/>
      <c r="D128" s="26"/>
      <c r="E128" s="34"/>
      <c r="F128" s="34"/>
      <c r="G128" s="34"/>
      <c r="H128" s="20"/>
    </row>
    <row r="129" spans="3:8" ht="12.75">
      <c r="C129" s="26"/>
      <c r="D129" s="26"/>
      <c r="E129" s="26"/>
      <c r="F129" s="26"/>
      <c r="G129" s="26"/>
      <c r="H129" s="20"/>
    </row>
    <row r="130" spans="3:8" ht="12.75">
      <c r="C130" s="114"/>
      <c r="D130" s="114"/>
      <c r="E130" s="115"/>
      <c r="F130" s="46"/>
      <c r="G130" s="45"/>
      <c r="H130" s="21"/>
    </row>
    <row r="131" spans="3:8" ht="12.75">
      <c r="C131" s="114"/>
      <c r="D131" s="114"/>
      <c r="E131" s="46"/>
      <c r="F131" s="46"/>
      <c r="G131" s="46"/>
      <c r="H131" s="21"/>
    </row>
    <row r="132" spans="3:8" ht="12.75">
      <c r="C132" s="114"/>
      <c r="D132" s="114"/>
      <c r="E132" s="46"/>
      <c r="F132" s="46"/>
      <c r="G132" s="46"/>
      <c r="H132" s="21"/>
    </row>
    <row r="133" spans="3:8" ht="12.75">
      <c r="C133" s="116"/>
      <c r="D133" s="114"/>
      <c r="E133" s="46"/>
      <c r="F133" s="46"/>
      <c r="G133" s="46"/>
      <c r="H133" s="21"/>
    </row>
    <row r="134" spans="3:8" ht="12.75">
      <c r="C134" s="116"/>
      <c r="D134" s="114"/>
      <c r="E134" s="46"/>
      <c r="F134" s="46"/>
      <c r="G134" s="46"/>
      <c r="H134" s="21"/>
    </row>
    <row r="135" spans="3:8" ht="12.75">
      <c r="C135" s="117"/>
      <c r="D135" s="114"/>
      <c r="E135" s="46"/>
      <c r="F135" s="46"/>
      <c r="G135" s="46"/>
      <c r="H135" s="21"/>
    </row>
    <row r="136" spans="3:8" ht="12.75">
      <c r="C136" s="114"/>
      <c r="D136" s="114"/>
      <c r="E136" s="46"/>
      <c r="F136" s="46"/>
      <c r="G136" s="46"/>
      <c r="H136" s="21"/>
    </row>
    <row r="137" spans="3:8" ht="12.75">
      <c r="C137" s="114"/>
      <c r="D137" s="114"/>
      <c r="E137" s="46"/>
      <c r="F137" s="46"/>
      <c r="G137" s="46"/>
      <c r="H137" s="21"/>
    </row>
    <row r="138" spans="3:8" ht="12.75">
      <c r="C138" s="114"/>
      <c r="D138" s="114"/>
      <c r="E138" s="46"/>
      <c r="F138" s="46"/>
      <c r="G138" s="46"/>
      <c r="H138" s="21"/>
    </row>
    <row r="139" spans="3:8" ht="12.75">
      <c r="C139" s="114"/>
      <c r="D139" s="114"/>
      <c r="E139" s="46"/>
      <c r="F139" s="46"/>
      <c r="G139" s="46"/>
      <c r="H139" s="21"/>
    </row>
    <row r="140" spans="3:8" ht="12.75">
      <c r="C140" s="114"/>
      <c r="D140" s="114"/>
      <c r="E140" s="46"/>
      <c r="F140" s="46"/>
      <c r="G140" s="46"/>
      <c r="H140" s="21"/>
    </row>
    <row r="141" spans="3:8" ht="12.75">
      <c r="C141" s="114"/>
      <c r="D141" s="114"/>
      <c r="E141" s="46"/>
      <c r="F141" s="46"/>
      <c r="G141" s="46"/>
      <c r="H141" s="21"/>
    </row>
    <row r="142" spans="3:8" ht="4.9" customHeight="1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</sheetData>
  <mergeCells count="1">
    <mergeCell ref="E127:G12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E272AE-1982-40AC-B813-DB237564CF60}">
  <sheetPr>
    <pageSetUpPr fitToPage="1"/>
  </sheetPr>
  <dimension ref="B4:Q92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5" ht="12.75">
      <c r="C10" s="105"/>
      <c r="D10" s="105"/>
      <c r="E10" s="106"/>
      <c r="F10" s="105"/>
      <c r="G10" s="54"/>
      <c r="H10" s="8"/>
      <c r="I10" s="16"/>
      <c r="O10" s="31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15" ht="12.75">
      <c r="C13" s="105"/>
      <c r="D13" s="105"/>
      <c r="E13" s="109"/>
      <c r="F13" s="105"/>
      <c r="G13" s="54"/>
      <c r="H13" s="9"/>
      <c r="I13" s="16"/>
      <c r="O13" s="31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14" ht="15.75">
      <c r="C17" s="12" t="s">
        <v>2</v>
      </c>
      <c r="D17" s="12"/>
      <c r="E17" s="14"/>
      <c r="F17" s="12"/>
      <c r="G17" s="14"/>
      <c r="H17" s="5"/>
      <c r="I17" s="55"/>
      <c r="J17" s="58"/>
      <c r="K17" s="58"/>
      <c r="L17" s="58"/>
      <c r="M17" s="58"/>
      <c r="N17" s="58"/>
    </row>
    <row r="18" spans="3:14" ht="12.75" customHeight="1">
      <c r="C18" s="7" t="s">
        <v>3</v>
      </c>
      <c r="D18" s="7"/>
      <c r="E18" s="9">
        <f>G70</f>
        <v>0.07717512547969818</v>
      </c>
      <c r="F18" s="7"/>
      <c r="G18" s="15"/>
      <c r="H18" s="9"/>
      <c r="I18" s="55"/>
      <c r="J18" s="59"/>
      <c r="K18" s="58"/>
      <c r="L18" s="60"/>
      <c r="M18" s="61"/>
      <c r="N18" s="58"/>
    </row>
    <row r="19" spans="3:14" ht="12.75">
      <c r="C19" s="7" t="s">
        <v>6</v>
      </c>
      <c r="D19" s="7"/>
      <c r="E19" s="38">
        <f>-(G68+I69)/I68</f>
        <v>1.1966682358373077</v>
      </c>
      <c r="F19" s="7"/>
      <c r="G19" s="13"/>
      <c r="H19" s="8"/>
      <c r="J19" s="59"/>
      <c r="K19" s="58"/>
      <c r="L19" s="60"/>
      <c r="M19" s="61"/>
      <c r="N19" s="62"/>
    </row>
    <row r="20" spans="3:14" ht="12.75">
      <c r="C20" s="7"/>
      <c r="D20" s="7"/>
      <c r="E20" s="7"/>
      <c r="F20" s="7"/>
      <c r="G20" s="8"/>
      <c r="J20" s="59"/>
      <c r="K20" s="58"/>
      <c r="L20" s="60"/>
      <c r="M20" s="61"/>
      <c r="N20" s="58"/>
    </row>
    <row r="21" spans="3:14" ht="15.75">
      <c r="C21" s="22" t="s">
        <v>33</v>
      </c>
      <c r="D21" s="11"/>
      <c r="E21" s="11"/>
      <c r="F21" s="11"/>
      <c r="I21" s="18"/>
      <c r="J21" s="59"/>
      <c r="K21" s="58"/>
      <c r="L21" s="60"/>
      <c r="M21" s="61"/>
      <c r="N21" s="62"/>
    </row>
    <row r="22" spans="3:14" ht="12.75">
      <c r="C22" s="28">
        <v>7.53846E-4</v>
      </c>
      <c r="D22" s="21"/>
      <c r="E22" s="21"/>
      <c r="F22" s="21"/>
      <c r="G22" s="27"/>
      <c r="H22" s="21"/>
      <c r="I22" s="21"/>
      <c r="J22" s="59"/>
      <c r="K22" s="58"/>
      <c r="L22" s="60"/>
      <c r="M22" s="61"/>
      <c r="N22" s="58"/>
    </row>
    <row r="23" spans="3:14" ht="15.75">
      <c r="C23" s="21"/>
      <c r="D23" s="21"/>
      <c r="E23" s="18"/>
      <c r="F23" s="33"/>
      <c r="G23" s="33"/>
      <c r="H23" s="21"/>
      <c r="I23" s="23"/>
      <c r="J23" s="49"/>
      <c r="K23" s="113"/>
      <c r="L23" s="104"/>
      <c r="M23" s="61"/>
      <c r="N23" s="58"/>
    </row>
    <row r="24" spans="3:15" ht="12.75">
      <c r="C24" s="21" t="s">
        <v>17</v>
      </c>
      <c r="D24" s="21"/>
      <c r="E24" s="18">
        <v>43136</v>
      </c>
      <c r="F24" s="33"/>
      <c r="G24" s="33">
        <v>-100336.92</v>
      </c>
      <c r="H24" s="21"/>
      <c r="I24" s="23"/>
      <c r="J24" s="49"/>
      <c r="K24" s="112"/>
      <c r="L24" s="54"/>
      <c r="M24" s="61"/>
      <c r="N24" s="58"/>
      <c r="O24" s="23"/>
    </row>
    <row r="25" spans="3:15" ht="12.75">
      <c r="C25" s="21"/>
      <c r="D25" s="21"/>
      <c r="E25" s="18">
        <v>43193</v>
      </c>
      <c r="F25" s="33"/>
      <c r="G25" s="33">
        <v>-10327.69</v>
      </c>
      <c r="H25" s="21"/>
      <c r="I25" s="23"/>
      <c r="J25" s="49"/>
      <c r="K25" s="137"/>
      <c r="L25" s="54"/>
      <c r="M25" s="61"/>
      <c r="N25" s="58"/>
      <c r="O25" s="23"/>
    </row>
    <row r="26" spans="3:15" ht="12.75">
      <c r="C26" s="21"/>
      <c r="D26" s="21"/>
      <c r="E26" s="18">
        <v>43286</v>
      </c>
      <c r="F26" s="33"/>
      <c r="G26" s="33">
        <v>-9423.08</v>
      </c>
      <c r="H26" s="21"/>
      <c r="I26" s="23"/>
      <c r="J26" s="49"/>
      <c r="K26" s="137"/>
      <c r="L26" s="54"/>
      <c r="M26" s="61"/>
      <c r="N26" s="58"/>
      <c r="O26" s="23"/>
    </row>
    <row r="27" spans="3:15" ht="12.75">
      <c r="C27" s="21"/>
      <c r="D27" s="21"/>
      <c r="E27" s="18">
        <v>43328</v>
      </c>
      <c r="F27" s="33"/>
      <c r="G27" s="33">
        <v>-35355.39</v>
      </c>
      <c r="H27" s="21"/>
      <c r="I27" s="23"/>
      <c r="J27" s="49"/>
      <c r="K27" s="137"/>
      <c r="L27" s="54"/>
      <c r="M27" s="61"/>
      <c r="N27" s="58"/>
      <c r="O27" s="23"/>
    </row>
    <row r="28" spans="3:14" ht="12.75">
      <c r="C28" s="21"/>
      <c r="D28" s="21"/>
      <c r="E28" s="18">
        <v>43369</v>
      </c>
      <c r="F28" s="33"/>
      <c r="G28" s="33">
        <v>-734246.17</v>
      </c>
      <c r="H28" s="21"/>
      <c r="I28" s="23"/>
      <c r="J28" s="49"/>
      <c r="K28" s="137"/>
      <c r="L28" s="138"/>
      <c r="M28" s="61"/>
      <c r="N28" s="58"/>
    </row>
    <row r="29" spans="3:14" ht="12.75">
      <c r="C29" s="21"/>
      <c r="D29" s="21"/>
      <c r="E29" s="18">
        <v>43391</v>
      </c>
      <c r="F29" s="33"/>
      <c r="G29" s="33">
        <v>196000</v>
      </c>
      <c r="H29" s="21"/>
      <c r="I29" s="23"/>
      <c r="J29" s="111"/>
      <c r="K29" s="112"/>
      <c r="L29" s="113"/>
      <c r="M29" s="58"/>
      <c r="N29" s="58"/>
    </row>
    <row r="30" spans="3:14" ht="12.75">
      <c r="C30" s="21"/>
      <c r="D30" s="21"/>
      <c r="E30" s="18">
        <v>43461</v>
      </c>
      <c r="F30" s="33"/>
      <c r="G30" s="33">
        <v>-12740.01</v>
      </c>
      <c r="H30" s="21"/>
      <c r="I30" s="23"/>
      <c r="J30" s="111"/>
      <c r="K30" s="112"/>
      <c r="L30" s="113"/>
      <c r="M30" s="58"/>
      <c r="N30" s="58"/>
    </row>
    <row r="31" spans="3:15" ht="12.75">
      <c r="C31" s="21" t="s">
        <v>19</v>
      </c>
      <c r="D31" s="21"/>
      <c r="E31" s="18">
        <v>43494</v>
      </c>
      <c r="F31" s="33"/>
      <c r="G31" s="33">
        <v>-19675.39</v>
      </c>
      <c r="H31" s="21"/>
      <c r="I31" s="23"/>
      <c r="J31" s="23"/>
      <c r="K31" s="21"/>
      <c r="N31" s="100"/>
      <c r="O31" s="65"/>
    </row>
    <row r="32" spans="3:15" ht="12.75">
      <c r="C32" s="21"/>
      <c r="D32" s="21"/>
      <c r="E32" s="18">
        <v>43622</v>
      </c>
      <c r="F32" s="33"/>
      <c r="G32" s="33">
        <v>-13116.92</v>
      </c>
      <c r="H32" s="21"/>
      <c r="I32" s="23"/>
      <c r="J32" s="23"/>
      <c r="K32" s="21"/>
      <c r="N32" s="100"/>
      <c r="O32" s="65"/>
    </row>
    <row r="33" spans="3:15" ht="12.75">
      <c r="C33" s="21"/>
      <c r="D33" s="21"/>
      <c r="E33" s="18">
        <v>43670</v>
      </c>
      <c r="F33" s="33"/>
      <c r="G33" s="33">
        <v>-19750.78</v>
      </c>
      <c r="H33" s="21"/>
      <c r="I33" s="23"/>
      <c r="J33" s="23"/>
      <c r="K33" s="21"/>
      <c r="N33" s="100"/>
      <c r="O33" s="65"/>
    </row>
    <row r="34" spans="3:15" ht="12.75">
      <c r="C34" s="21"/>
      <c r="D34" s="21"/>
      <c r="E34" s="18">
        <v>43742</v>
      </c>
      <c r="F34" s="33"/>
      <c r="G34" s="33">
        <v>-14323.08</v>
      </c>
      <c r="H34" s="21"/>
      <c r="I34" s="23"/>
      <c r="J34" s="23"/>
      <c r="K34" s="21"/>
      <c r="N34" s="100"/>
      <c r="O34" s="65"/>
    </row>
    <row r="35" spans="3:15" ht="12.75">
      <c r="C35" s="21"/>
      <c r="D35" s="21"/>
      <c r="E35" s="18">
        <v>43794</v>
      </c>
      <c r="F35" s="33"/>
      <c r="G35" s="33">
        <v>-35053.83</v>
      </c>
      <c r="H35" s="21"/>
      <c r="I35" s="23"/>
      <c r="J35" s="23"/>
      <c r="K35" s="21"/>
      <c r="N35" s="100"/>
      <c r="O35" s="65"/>
    </row>
    <row r="36" spans="3:15" ht="12.75">
      <c r="C36" s="21"/>
      <c r="D36" s="21"/>
      <c r="E36" s="18">
        <v>43801</v>
      </c>
      <c r="F36" s="33"/>
      <c r="G36" s="33">
        <v>-67167.69</v>
      </c>
      <c r="H36" s="21"/>
      <c r="I36" s="23"/>
      <c r="J36" s="23"/>
      <c r="K36" s="21"/>
      <c r="N36" s="100"/>
      <c r="O36" s="65"/>
    </row>
    <row r="37" spans="3:15" ht="12.75">
      <c r="C37" s="21" t="s">
        <v>20</v>
      </c>
      <c r="D37" s="21"/>
      <c r="E37" s="18">
        <v>43671</v>
      </c>
      <c r="F37" s="33"/>
      <c r="G37" s="33">
        <v>65298.04</v>
      </c>
      <c r="H37" s="21"/>
      <c r="I37" s="23"/>
      <c r="J37" s="23"/>
      <c r="K37" s="21"/>
      <c r="N37" s="100"/>
      <c r="O37" s="65"/>
    </row>
    <row r="38" spans="3:15" ht="13.5" customHeight="1">
      <c r="C38" s="21" t="s">
        <v>21</v>
      </c>
      <c r="D38" s="21"/>
      <c r="E38" s="18">
        <v>43859</v>
      </c>
      <c r="F38" s="33"/>
      <c r="G38" s="33">
        <v>-18996.92</v>
      </c>
      <c r="H38" s="21"/>
      <c r="I38" s="23"/>
      <c r="J38" s="23"/>
      <c r="K38" s="21"/>
      <c r="N38" s="100"/>
      <c r="O38" s="65"/>
    </row>
    <row r="39" spans="3:15" ht="13.5" customHeight="1">
      <c r="C39" s="21"/>
      <c r="D39" s="21"/>
      <c r="E39" s="18">
        <v>43916</v>
      </c>
      <c r="F39" s="33"/>
      <c r="G39" s="33">
        <v>-18619.99</v>
      </c>
      <c r="H39" s="21"/>
      <c r="I39" s="23"/>
      <c r="J39" s="23"/>
      <c r="K39" s="21"/>
      <c r="N39" s="100"/>
      <c r="O39" s="65"/>
    </row>
    <row r="40" spans="3:15" ht="13.5" customHeight="1">
      <c r="C40" s="21"/>
      <c r="D40" s="21"/>
      <c r="E40" s="18">
        <v>44103</v>
      </c>
      <c r="F40" s="33"/>
      <c r="G40" s="33">
        <v>-24047.70</v>
      </c>
      <c r="H40" s="21"/>
      <c r="I40" s="23"/>
      <c r="J40" s="23"/>
      <c r="K40" s="21"/>
      <c r="N40" s="100"/>
      <c r="O40" s="65"/>
    </row>
    <row r="41" spans="3:15" ht="13.5" customHeight="1">
      <c r="C41" s="21"/>
      <c r="D41" s="21"/>
      <c r="E41" s="18">
        <v>44126</v>
      </c>
      <c r="F41" s="33"/>
      <c r="G41" s="33">
        <v>-80661.55</v>
      </c>
      <c r="H41" s="21"/>
      <c r="I41" s="23"/>
      <c r="J41" s="23"/>
      <c r="K41" s="21"/>
      <c r="L41" s="50"/>
      <c r="N41" s="100"/>
      <c r="O41" s="65"/>
    </row>
    <row r="42" spans="3:16" ht="13.5" customHeight="1">
      <c r="C42" s="21" t="s">
        <v>24</v>
      </c>
      <c r="D42" s="21"/>
      <c r="E42" s="18">
        <v>44200</v>
      </c>
      <c r="F42" s="33"/>
      <c r="G42" s="33">
        <v>-13267.70</v>
      </c>
      <c r="H42" s="21"/>
      <c r="I42" s="23"/>
      <c r="J42" s="23"/>
      <c r="K42" s="21"/>
      <c r="L42" s="50"/>
      <c r="N42" s="100"/>
      <c r="O42" s="65"/>
      <c r="P42" s="41"/>
    </row>
    <row r="43" spans="3:15" ht="13.5" customHeight="1">
      <c r="C43" s="21"/>
      <c r="D43" s="21"/>
      <c r="E43" s="18">
        <v>44376</v>
      </c>
      <c r="F43" s="33"/>
      <c r="G43" s="33">
        <v>-14323.07</v>
      </c>
      <c r="H43" s="21"/>
      <c r="I43" s="23"/>
      <c r="J43" s="23"/>
      <c r="K43" s="21"/>
      <c r="L43" s="50"/>
      <c r="N43" s="100"/>
      <c r="O43" s="65"/>
    </row>
    <row r="44" spans="3:15" ht="13.5" customHeight="1">
      <c r="C44" s="21"/>
      <c r="D44" s="21"/>
      <c r="E44" s="18">
        <v>44466</v>
      </c>
      <c r="F44" s="33"/>
      <c r="G44" s="33">
        <v>-9423.08</v>
      </c>
      <c r="H44" s="21"/>
      <c r="I44" s="23"/>
      <c r="J44" s="23"/>
      <c r="K44" s="21"/>
      <c r="L44" s="50"/>
      <c r="N44" s="100"/>
      <c r="O44" s="65"/>
    </row>
    <row r="45" spans="3:15" ht="13.5" customHeight="1">
      <c r="C45" s="21"/>
      <c r="D45" s="21"/>
      <c r="E45" s="18">
        <v>44530</v>
      </c>
      <c r="F45" s="33"/>
      <c r="G45" s="33">
        <v>-18619.99</v>
      </c>
      <c r="H45" s="21"/>
      <c r="I45" s="23"/>
      <c r="J45" s="23"/>
      <c r="K45" s="21"/>
      <c r="L45" s="50"/>
      <c r="N45" s="100"/>
      <c r="O45" s="65"/>
    </row>
    <row r="46" spans="3:15" ht="13.5" customHeight="1">
      <c r="C46" s="21" t="s">
        <v>23</v>
      </c>
      <c r="D46" s="21"/>
      <c r="E46" s="18">
        <v>44463</v>
      </c>
      <c r="F46" s="33"/>
      <c r="G46" s="33">
        <v>12662.99</v>
      </c>
      <c r="H46" s="21"/>
      <c r="I46" s="23"/>
      <c r="J46" s="23"/>
      <c r="K46" s="21"/>
      <c r="L46" s="50"/>
      <c r="N46" s="100"/>
      <c r="O46" s="65"/>
    </row>
    <row r="47" spans="3:15" ht="13.5" customHeight="1">
      <c r="C47" s="21"/>
      <c r="D47" s="21"/>
      <c r="E47" s="18">
        <v>44484</v>
      </c>
      <c r="F47" s="33"/>
      <c r="G47" s="33">
        <v>484615.55</v>
      </c>
      <c r="H47" s="21"/>
      <c r="I47" s="23"/>
      <c r="J47" s="23"/>
      <c r="K47" s="21"/>
      <c r="L47" s="50"/>
      <c r="N47" s="100"/>
      <c r="O47" s="65"/>
    </row>
    <row r="48" spans="3:15" ht="13.5" customHeight="1">
      <c r="C48" s="21"/>
      <c r="D48" s="21"/>
      <c r="E48" s="18">
        <v>44539</v>
      </c>
      <c r="F48" s="33"/>
      <c r="G48" s="33">
        <v>39200</v>
      </c>
      <c r="H48" s="21"/>
      <c r="I48" s="23"/>
      <c r="J48" s="23"/>
      <c r="K48" s="21"/>
      <c r="L48" s="50"/>
      <c r="N48" s="100"/>
      <c r="O48" s="65"/>
    </row>
    <row r="49" spans="3:15" ht="13.5" customHeight="1">
      <c r="C49" s="21" t="s">
        <v>27</v>
      </c>
      <c r="D49" s="21"/>
      <c r="E49" s="18">
        <v>44606</v>
      </c>
      <c r="F49" s="33"/>
      <c r="G49" s="33">
        <v>-237386.15</v>
      </c>
      <c r="H49" s="21"/>
      <c r="I49" s="23"/>
      <c r="J49" s="23"/>
      <c r="K49" s="21"/>
      <c r="L49" s="50"/>
      <c r="N49" s="100"/>
      <c r="O49" s="65"/>
    </row>
    <row r="50" spans="3:15" ht="13.5" customHeight="1">
      <c r="C50" s="21"/>
      <c r="D50" s="21"/>
      <c r="E50" s="18">
        <v>44649</v>
      </c>
      <c r="F50" s="33"/>
      <c r="G50" s="33">
        <v>-9423.08</v>
      </c>
      <c r="H50" s="21"/>
      <c r="I50" s="23"/>
      <c r="J50" s="23"/>
      <c r="K50" s="21"/>
      <c r="L50" s="50"/>
      <c r="N50" s="100"/>
      <c r="O50" s="65"/>
    </row>
    <row r="51" spans="3:15" ht="13.5" customHeight="1">
      <c r="C51" s="21"/>
      <c r="D51" s="21"/>
      <c r="E51" s="18">
        <v>44672</v>
      </c>
      <c r="F51" s="33"/>
      <c r="G51" s="33">
        <v>-3844.61</v>
      </c>
      <c r="H51" s="21"/>
      <c r="I51" s="23"/>
      <c r="J51" s="23"/>
      <c r="K51" s="21"/>
      <c r="L51" s="50"/>
      <c r="N51" s="100"/>
      <c r="O51" s="65"/>
    </row>
    <row r="52" spans="3:15" ht="13.5" customHeight="1">
      <c r="C52" s="21"/>
      <c r="D52" s="21"/>
      <c r="E52" s="18">
        <v>44736</v>
      </c>
      <c r="F52" s="33"/>
      <c r="G52" s="33">
        <v>-30983.07</v>
      </c>
      <c r="H52" s="21"/>
      <c r="I52" s="23"/>
      <c r="J52" s="23"/>
      <c r="K52" s="21"/>
      <c r="L52" s="50"/>
      <c r="N52" s="100"/>
      <c r="O52" s="65"/>
    </row>
    <row r="53" spans="3:15" ht="13.5" customHeight="1">
      <c r="C53" s="21"/>
      <c r="D53" s="21"/>
      <c r="E53" s="18">
        <v>44764</v>
      </c>
      <c r="F53" s="33"/>
      <c r="G53" s="33">
        <v>-150090.78</v>
      </c>
      <c r="H53" s="21"/>
      <c r="I53" s="23"/>
      <c r="J53" s="23"/>
      <c r="K53" s="21"/>
      <c r="L53" s="50"/>
      <c r="N53" s="100"/>
      <c r="O53" s="65"/>
    </row>
    <row r="54" spans="3:15" ht="13.5" customHeight="1">
      <c r="C54" s="21"/>
      <c r="D54" s="21"/>
      <c r="E54" s="18">
        <v>44819</v>
      </c>
      <c r="F54" s="33"/>
      <c r="G54" s="33">
        <v>-340587.69</v>
      </c>
      <c r="H54" s="21"/>
      <c r="I54" s="23"/>
      <c r="J54" s="23"/>
      <c r="K54" s="21"/>
      <c r="L54" s="50"/>
      <c r="N54" s="100"/>
      <c r="O54" s="65"/>
    </row>
    <row r="55" spans="3:15" ht="13.5" customHeight="1">
      <c r="C55" s="21"/>
      <c r="D55" s="21"/>
      <c r="E55" s="18">
        <v>44875</v>
      </c>
      <c r="F55" s="33"/>
      <c r="G55" s="33">
        <v>-16810.77</v>
      </c>
      <c r="H55" s="21"/>
      <c r="I55" s="23"/>
      <c r="J55" s="23"/>
      <c r="K55" s="21"/>
      <c r="L55" s="50"/>
      <c r="N55" s="100"/>
      <c r="O55" s="65"/>
    </row>
    <row r="56" spans="3:15" ht="13.5" customHeight="1">
      <c r="C56" s="21"/>
      <c r="D56" s="21"/>
      <c r="E56" s="18">
        <v>44915</v>
      </c>
      <c r="F56" s="33"/>
      <c r="G56" s="33">
        <v>-152880.01</v>
      </c>
      <c r="H56" s="21"/>
      <c r="I56" s="23"/>
      <c r="J56" s="23"/>
      <c r="K56" s="21"/>
      <c r="L56" s="50"/>
      <c r="N56" s="100"/>
      <c r="O56" s="65"/>
    </row>
    <row r="57" spans="3:15" ht="13.5" customHeight="1">
      <c r="C57" s="21" t="s">
        <v>25</v>
      </c>
      <c r="D57" s="21"/>
      <c r="E57" s="18">
        <v>44615</v>
      </c>
      <c r="F57" s="33"/>
      <c r="G57" s="33">
        <v>8403.74</v>
      </c>
      <c r="H57" s="21"/>
      <c r="I57" s="23"/>
      <c r="J57" s="23"/>
      <c r="K57" s="21"/>
      <c r="L57" s="50"/>
      <c r="N57" s="100"/>
      <c r="O57" s="65"/>
    </row>
    <row r="58" spans="3:15" ht="13.5" customHeight="1">
      <c r="C58" s="21"/>
      <c r="D58" s="21"/>
      <c r="E58" s="18">
        <v>44785</v>
      </c>
      <c r="F58" s="33"/>
      <c r="G58" s="33">
        <v>27814.57</v>
      </c>
      <c r="H58" s="21"/>
      <c r="I58" s="23"/>
      <c r="J58" s="23"/>
      <c r="K58" s="21"/>
      <c r="L58" s="50"/>
      <c r="N58" s="100"/>
      <c r="O58" s="65"/>
    </row>
    <row r="59" spans="3:15" ht="13.5" customHeight="1">
      <c r="C59" s="21"/>
      <c r="D59" s="21"/>
      <c r="E59" s="18">
        <v>44895</v>
      </c>
      <c r="F59" s="33"/>
      <c r="G59" s="33">
        <v>13016.39</v>
      </c>
      <c r="H59" s="21"/>
      <c r="I59" s="23"/>
      <c r="J59" s="23"/>
      <c r="K59" s="21"/>
      <c r="L59" s="50"/>
      <c r="N59" s="100"/>
      <c r="O59" s="65"/>
    </row>
    <row r="60" spans="3:15" ht="13.5" customHeight="1">
      <c r="C60" s="21" t="s">
        <v>28</v>
      </c>
      <c r="D60" s="21"/>
      <c r="E60" s="18">
        <v>44931</v>
      </c>
      <c r="F60" s="33"/>
      <c r="G60" s="33">
        <v>-16283.08</v>
      </c>
      <c r="H60" s="21"/>
      <c r="I60" s="23"/>
      <c r="J60" s="23"/>
      <c r="K60" s="21"/>
      <c r="L60" s="50"/>
      <c r="N60" s="100"/>
      <c r="O60" s="65"/>
    </row>
    <row r="61" spans="3:15" ht="13.5" customHeight="1">
      <c r="C61" s="21"/>
      <c r="D61" s="21"/>
      <c r="E61" s="18">
        <v>45107</v>
      </c>
      <c r="F61" s="33"/>
      <c r="G61" s="33">
        <v>-6483.08</v>
      </c>
      <c r="H61" s="21"/>
      <c r="I61" s="23"/>
      <c r="J61" s="23"/>
      <c r="K61" s="21"/>
      <c r="L61" s="50"/>
      <c r="N61" s="100"/>
      <c r="O61" s="65"/>
    </row>
    <row r="62" spans="3:15" ht="13.5" customHeight="1">
      <c r="C62" s="21"/>
      <c r="D62" s="21"/>
      <c r="E62" s="18">
        <v>45117</v>
      </c>
      <c r="F62" s="33"/>
      <c r="G62" s="33">
        <v>-9649.23</v>
      </c>
      <c r="H62" s="21"/>
      <c r="I62" s="23"/>
      <c r="J62" s="23"/>
      <c r="K62" s="21"/>
      <c r="L62" s="50"/>
      <c r="N62" s="100"/>
      <c r="O62" s="65"/>
    </row>
    <row r="63" spans="3:15" ht="13.5" customHeight="1">
      <c r="C63" s="21" t="s">
        <v>26</v>
      </c>
      <c r="D63" s="21"/>
      <c r="E63" s="18">
        <v>45051</v>
      </c>
      <c r="F63" s="33"/>
      <c r="G63" s="33">
        <v>203518.33</v>
      </c>
      <c r="H63" s="21"/>
      <c r="I63" s="23"/>
      <c r="J63" s="23"/>
      <c r="K63" s="21"/>
      <c r="L63" s="50"/>
      <c r="N63" s="100"/>
      <c r="O63" s="65"/>
    </row>
    <row r="64" spans="3:15" ht="13.5" customHeight="1">
      <c r="C64" s="21"/>
      <c r="D64" s="21"/>
      <c r="E64" s="18">
        <v>45132</v>
      </c>
      <c r="F64" s="33"/>
      <c r="G64" s="33">
        <v>51513.61</v>
      </c>
      <c r="H64" s="21"/>
      <c r="I64" s="23"/>
      <c r="J64" s="23"/>
      <c r="K64" s="21"/>
      <c r="L64" s="50"/>
      <c r="N64" s="100"/>
      <c r="O64" s="65"/>
    </row>
    <row r="65" spans="3:15" ht="13.5" customHeight="1">
      <c r="C65" s="21"/>
      <c r="D65" s="21"/>
      <c r="E65" s="18">
        <v>45162</v>
      </c>
      <c r="F65" s="33"/>
      <c r="G65" s="33">
        <v>88757.32</v>
      </c>
      <c r="H65" s="21"/>
      <c r="I65" s="23"/>
      <c r="J65" s="23"/>
      <c r="K65" s="21"/>
      <c r="L65" s="50"/>
      <c r="N65" s="100"/>
      <c r="O65" s="65"/>
    </row>
    <row r="66" spans="3:15" ht="13.5" customHeight="1">
      <c r="C66" s="21"/>
      <c r="D66" s="21"/>
      <c r="E66" s="18">
        <v>45184</v>
      </c>
      <c r="F66" s="33"/>
      <c r="G66" s="33">
        <v>26259.22</v>
      </c>
      <c r="H66" s="21"/>
      <c r="I66" s="23"/>
      <c r="J66" s="23"/>
      <c r="K66" s="21"/>
      <c r="L66" s="50"/>
      <c r="N66" s="100"/>
      <c r="O66" s="65"/>
    </row>
    <row r="67" spans="3:15" ht="4.5" customHeight="1">
      <c r="C67" s="21"/>
      <c r="D67" s="21"/>
      <c r="E67" s="18"/>
      <c r="F67" s="21"/>
      <c r="G67" s="33"/>
      <c r="H67" s="21"/>
      <c r="I67" s="23"/>
      <c r="J67" s="23"/>
      <c r="O67" s="65"/>
    </row>
    <row r="68" spans="3:13" ht="12.75">
      <c r="C68" s="21" t="s">
        <v>1</v>
      </c>
      <c r="D68" s="21"/>
      <c r="E68" s="18">
        <f>+E8</f>
        <v>45199</v>
      </c>
      <c r="F68" s="21"/>
      <c r="G68" s="49">
        <f>L68/0.98*C22</f>
        <v>1429595.3251688692</v>
      </c>
      <c r="H68" s="21"/>
      <c r="I68" s="33">
        <f>+SUMIF($G$24:$G$67,"&lt;0",$G$24:$G$67)+G29</f>
        <v>-2047898.5000000005</v>
      </c>
      <c r="J68" s="21" t="s">
        <v>11</v>
      </c>
      <c r="L68" s="54">
        <v>1.858474302E9</v>
      </c>
      <c r="M68" s="65"/>
    </row>
    <row r="69" spans="3:13" ht="12.75">
      <c r="C69" s="21"/>
      <c r="D69" s="21"/>
      <c r="E69" s="21"/>
      <c r="F69" s="21"/>
      <c r="G69" s="21"/>
      <c r="H69" s="21"/>
      <c r="I69" s="33">
        <f>+SUMIF($G$24:$G$67,"&gt;0",$G$24:$G$67)-G29</f>
        <v>1021059.7600000002</v>
      </c>
      <c r="J69" s="21" t="s">
        <v>12</v>
      </c>
      <c r="M69" s="65"/>
    </row>
    <row r="70" spans="3:13" ht="12.75">
      <c r="C70" s="20" t="s">
        <v>0</v>
      </c>
      <c r="G70" s="47">
        <f>+XIRR(G24:G68,E24:E68,0.1)</f>
        <v>0.07717512547969818</v>
      </c>
      <c r="H70" s="21"/>
      <c r="M70" s="53"/>
    </row>
    <row r="71" spans="3:8" ht="12.75">
      <c r="C71" s="21"/>
      <c r="D71" s="21"/>
      <c r="E71" s="21"/>
      <c r="F71" s="21"/>
      <c r="G71" s="21"/>
      <c r="H71" s="21"/>
    </row>
    <row r="72" spans="3:13" ht="12.75">
      <c r="C72" s="21"/>
      <c r="D72" s="21"/>
      <c r="E72" s="21"/>
      <c r="F72" s="21"/>
      <c r="G72" s="21"/>
      <c r="H72" s="21"/>
      <c r="M72" s="53"/>
    </row>
    <row r="73" spans="3:13" ht="12.75">
      <c r="C73" s="26"/>
      <c r="D73" s="26"/>
      <c r="E73" s="34"/>
      <c r="F73" s="26"/>
      <c r="G73" s="34"/>
      <c r="H73" s="21"/>
      <c r="M73" s="53"/>
    </row>
    <row r="74" spans="3:13" ht="12.75">
      <c r="C74" s="26"/>
      <c r="D74" s="26"/>
      <c r="E74" s="34"/>
      <c r="F74" s="26"/>
      <c r="G74" s="34"/>
      <c r="H74" s="21"/>
      <c r="M74" s="53"/>
    </row>
    <row r="75" spans="3:13" ht="12.75">
      <c r="C75" s="26"/>
      <c r="D75" s="26"/>
      <c r="E75" s="34"/>
      <c r="F75" s="26"/>
      <c r="G75" s="34"/>
      <c r="H75" s="21"/>
      <c r="M75" s="53"/>
    </row>
    <row r="76" spans="3:8" ht="12.75">
      <c r="C76" s="26"/>
      <c r="D76" s="26"/>
      <c r="E76" s="26"/>
      <c r="F76" s="26"/>
      <c r="G76" s="26"/>
      <c r="H76" s="20"/>
    </row>
    <row r="77" spans="3:8" ht="12.75">
      <c r="C77" s="26"/>
      <c r="D77" s="26"/>
      <c r="E77" s="34"/>
      <c r="F77" s="34"/>
      <c r="G77" s="34"/>
      <c r="H77" s="20"/>
    </row>
    <row r="78" spans="3:17" ht="12.75">
      <c r="C78" s="26"/>
      <c r="D78" s="26"/>
      <c r="E78" s="26"/>
      <c r="F78" s="26"/>
      <c r="G78" s="26"/>
      <c r="H78" s="20"/>
      <c r="Q78" s="66"/>
    </row>
    <row r="79" spans="3:17" ht="12.75">
      <c r="C79" s="114"/>
      <c r="D79" s="114"/>
      <c r="E79" s="115"/>
      <c r="F79" s="71"/>
      <c r="G79" s="45"/>
      <c r="H79" s="20"/>
      <c r="Q79" s="66"/>
    </row>
    <row r="80" spans="3:17" ht="12.75">
      <c r="C80" s="114"/>
      <c r="D80" s="114"/>
      <c r="E80" s="46"/>
      <c r="F80" s="71"/>
      <c r="G80" s="46"/>
      <c r="H80" s="20"/>
      <c r="Q80" s="66"/>
    </row>
    <row r="81" spans="3:17" ht="12.75">
      <c r="C81" s="114"/>
      <c r="D81" s="114"/>
      <c r="E81" s="46"/>
      <c r="F81" s="71"/>
      <c r="G81" s="46"/>
      <c r="H81" s="20"/>
      <c r="Q81" s="66"/>
    </row>
    <row r="82" spans="3:17" ht="12.75">
      <c r="C82" s="116"/>
      <c r="D82" s="114"/>
      <c r="E82" s="46"/>
      <c r="F82" s="71"/>
      <c r="G82" s="46"/>
      <c r="H82" s="20"/>
      <c r="Q82" s="66"/>
    </row>
    <row r="83" spans="3:17" ht="12.75">
      <c r="C83" s="116"/>
      <c r="D83" s="114"/>
      <c r="E83" s="46"/>
      <c r="F83" s="71"/>
      <c r="G83" s="46"/>
      <c r="H83" s="20"/>
      <c r="Q83" s="66"/>
    </row>
    <row r="84" spans="3:17" ht="12.75">
      <c r="C84" s="117"/>
      <c r="D84" s="114"/>
      <c r="E84" s="46"/>
      <c r="F84" s="71"/>
      <c r="G84" s="46"/>
      <c r="H84" s="20"/>
      <c r="Q84" s="66"/>
    </row>
    <row r="85" spans="3:17" ht="12.75">
      <c r="C85" s="114"/>
      <c r="D85" s="114"/>
      <c r="E85" s="46"/>
      <c r="F85" s="71"/>
      <c r="G85" s="46"/>
      <c r="H85" s="20"/>
      <c r="Q85" s="66"/>
    </row>
    <row r="86" spans="3:8" ht="12.75">
      <c r="C86" s="114"/>
      <c r="D86" s="114"/>
      <c r="E86" s="46"/>
      <c r="F86" s="71"/>
      <c r="G86" s="46"/>
      <c r="H86" s="20"/>
    </row>
    <row r="87" spans="3:8" ht="12.75">
      <c r="C87" s="114"/>
      <c r="D87" s="114"/>
      <c r="E87" s="46"/>
      <c r="F87" s="71"/>
      <c r="G87" s="46"/>
      <c r="H87" s="20"/>
    </row>
    <row r="88" spans="3:8" ht="12.75">
      <c r="C88" s="114"/>
      <c r="D88" s="114"/>
      <c r="E88" s="46"/>
      <c r="F88" s="71"/>
      <c r="G88" s="46"/>
      <c r="H88" s="20"/>
    </row>
    <row r="89" spans="3:8" ht="12.75">
      <c r="C89" s="114"/>
      <c r="D89" s="114"/>
      <c r="E89" s="46"/>
      <c r="F89" s="71"/>
      <c r="G89" s="46"/>
      <c r="H89" s="20"/>
    </row>
    <row r="90" spans="3:8" ht="12.75">
      <c r="C90" s="114"/>
      <c r="D90" s="114"/>
      <c r="E90" s="46"/>
      <c r="F90" s="71"/>
      <c r="G90" s="46"/>
      <c r="H90" s="20"/>
    </row>
    <row r="91" spans="3:8" ht="5.1" customHeight="1">
      <c r="C91" s="69"/>
      <c r="D91" s="20"/>
      <c r="E91" s="37"/>
      <c r="F91" s="37"/>
      <c r="G91" s="37"/>
      <c r="H91" s="20"/>
    </row>
    <row r="92" spans="3:8" ht="12.75">
      <c r="C92" s="69"/>
      <c r="D92" s="20"/>
      <c r="E92" s="43"/>
      <c r="F92" s="43"/>
      <c r="G92" s="43"/>
      <c r="H92" s="20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FBE446-E265-4DDA-8F55-8C7730CCC484}">
  <sheetPr>
    <pageSetUpPr fitToPage="1"/>
  </sheetPr>
  <dimension ref="B4:O97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IV'!E8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13" ht="12.75" customHeight="1">
      <c r="C18" s="7" t="s">
        <v>3</v>
      </c>
      <c r="D18" s="7"/>
      <c r="E18" s="9">
        <f>G71</f>
        <v>0.06993803679943084</v>
      </c>
      <c r="F18" s="7"/>
      <c r="G18" s="15"/>
      <c r="H18" s="9"/>
      <c r="I18" s="55"/>
      <c r="J18" s="49"/>
      <c r="L18" s="25"/>
      <c r="M18" s="53"/>
    </row>
    <row r="19" spans="3:14" ht="12.75">
      <c r="C19" s="7" t="s">
        <v>6</v>
      </c>
      <c r="D19" s="7"/>
      <c r="E19" s="38">
        <f>-(G69+I70)/I69</f>
        <v>1.1768950235307638</v>
      </c>
      <c r="F19" s="7"/>
      <c r="G19" s="13"/>
      <c r="H19" s="8"/>
      <c r="J19" s="49"/>
      <c r="L19" s="25"/>
      <c r="M19" s="53"/>
      <c r="N19" s="41"/>
    </row>
    <row r="20" spans="3:13" ht="12.75">
      <c r="C20" s="7"/>
      <c r="D20" s="7"/>
      <c r="E20" s="7"/>
      <c r="F20" s="7"/>
      <c r="G20" s="8"/>
      <c r="J20" s="49"/>
      <c r="L20" s="25"/>
      <c r="M20" s="53"/>
    </row>
    <row r="21" spans="3:14" ht="15.75">
      <c r="C21" s="22" t="s">
        <v>33</v>
      </c>
      <c r="D21" s="11"/>
      <c r="E21" s="11"/>
      <c r="F21" s="11"/>
      <c r="I21" s="18"/>
      <c r="J21" s="49"/>
      <c r="L21" s="25"/>
      <c r="M21" s="53"/>
      <c r="N21" s="41"/>
    </row>
    <row r="22" spans="3:13" ht="12.75">
      <c r="C22" s="28">
        <v>0.003167063</v>
      </c>
      <c r="D22" s="21"/>
      <c r="E22" s="21"/>
      <c r="F22" s="21"/>
      <c r="G22" s="27"/>
      <c r="H22" s="21"/>
      <c r="I22" s="21"/>
      <c r="J22" s="49"/>
      <c r="L22" s="25"/>
      <c r="M22" s="53"/>
    </row>
    <row r="23" spans="3:13" ht="15.75">
      <c r="C23" s="21"/>
      <c r="D23" s="21"/>
      <c r="E23" s="18"/>
      <c r="F23" s="33"/>
      <c r="G23" s="33"/>
      <c r="H23" s="21"/>
      <c r="I23" s="23"/>
      <c r="J23" s="49"/>
      <c r="K23" s="113"/>
      <c r="L23" s="104"/>
      <c r="M23" s="53"/>
    </row>
    <row r="24" spans="3:13" ht="12.75">
      <c r="C24" s="21" t="s">
        <v>17</v>
      </c>
      <c r="D24" s="21"/>
      <c r="E24" s="18">
        <v>43136</v>
      </c>
      <c r="F24" s="33"/>
      <c r="G24" s="33">
        <v>-40134.77</v>
      </c>
      <c r="H24" s="21"/>
      <c r="I24" s="23"/>
      <c r="J24" s="49"/>
      <c r="K24" s="112"/>
      <c r="L24" s="54"/>
      <c r="M24" s="53"/>
    </row>
    <row r="25" spans="3:13" ht="12.75">
      <c r="C25" s="21"/>
      <c r="D25" s="21"/>
      <c r="E25" s="18">
        <v>43193</v>
      </c>
      <c r="F25" s="33"/>
      <c r="G25" s="33">
        <v>-4131.08</v>
      </c>
      <c r="H25" s="21"/>
      <c r="I25" s="23"/>
      <c r="J25" s="49"/>
      <c r="K25" s="137"/>
      <c r="L25" s="54"/>
      <c r="M25" s="53"/>
    </row>
    <row r="26" spans="3:13" ht="12.75">
      <c r="C26" s="21"/>
      <c r="D26" s="21"/>
      <c r="E26" s="18">
        <v>43286</v>
      </c>
      <c r="F26" s="33"/>
      <c r="G26" s="33">
        <v>-3769.23</v>
      </c>
      <c r="H26" s="21"/>
      <c r="I26" s="23"/>
      <c r="J26" s="49"/>
      <c r="K26" s="137"/>
      <c r="L26" s="54"/>
      <c r="M26" s="53"/>
    </row>
    <row r="27" spans="3:13" ht="12.75">
      <c r="C27" s="21"/>
      <c r="D27" s="21"/>
      <c r="E27" s="18">
        <v>43328</v>
      </c>
      <c r="F27" s="33"/>
      <c r="G27" s="33">
        <v>-14142.15</v>
      </c>
      <c r="H27" s="21"/>
      <c r="I27" s="23"/>
      <c r="J27" s="49"/>
      <c r="K27" s="137"/>
      <c r="L27" s="54"/>
      <c r="M27" s="53"/>
    </row>
    <row r="28" spans="3:15" ht="12.75">
      <c r="C28" s="21"/>
      <c r="E28" s="18">
        <v>43369</v>
      </c>
      <c r="G28" s="33">
        <v>-293698.46</v>
      </c>
      <c r="H28" s="21"/>
      <c r="I28" s="23"/>
      <c r="J28" s="49"/>
      <c r="K28" s="137"/>
      <c r="L28" s="138"/>
      <c r="M28" s="53"/>
      <c r="O28" s="53"/>
    </row>
    <row r="29" spans="5:12" ht="12.75">
      <c r="E29" s="18">
        <v>43391</v>
      </c>
      <c r="G29" s="33">
        <v>78400</v>
      </c>
      <c r="H29" s="21"/>
      <c r="I29" s="23"/>
      <c r="J29" s="111"/>
      <c r="K29" s="112"/>
      <c r="L29" s="113"/>
    </row>
    <row r="30" spans="5:12" ht="12.75">
      <c r="E30" s="18">
        <v>43461</v>
      </c>
      <c r="G30" s="33">
        <v>-5096.01</v>
      </c>
      <c r="H30" s="21"/>
      <c r="I30" s="23"/>
      <c r="J30" s="111"/>
      <c r="K30" s="112"/>
      <c r="L30" s="113"/>
    </row>
    <row r="31" spans="3:11" ht="12.75">
      <c r="C31" s="21" t="s">
        <v>19</v>
      </c>
      <c r="D31" s="21"/>
      <c r="E31" s="18">
        <v>43494</v>
      </c>
      <c r="G31" s="33">
        <v>-7870.16</v>
      </c>
      <c r="H31" s="21"/>
      <c r="I31" s="23"/>
      <c r="J31" s="23"/>
      <c r="K31" s="21"/>
    </row>
    <row r="32" spans="3:11" ht="12.75">
      <c r="C32" s="21"/>
      <c r="D32" s="21"/>
      <c r="E32" s="18">
        <v>43622</v>
      </c>
      <c r="G32" s="33">
        <v>-5246.77</v>
      </c>
      <c r="H32" s="21"/>
      <c r="I32" s="23"/>
      <c r="J32" s="23"/>
      <c r="K32" s="21"/>
    </row>
    <row r="33" spans="3:11" ht="12.75">
      <c r="C33" s="21"/>
      <c r="D33" s="21"/>
      <c r="E33" s="18">
        <v>43670</v>
      </c>
      <c r="F33" s="33"/>
      <c r="G33" s="33">
        <v>-7900.31</v>
      </c>
      <c r="H33" s="21"/>
      <c r="I33" s="23"/>
      <c r="J33" s="23"/>
      <c r="K33" s="21"/>
    </row>
    <row r="34" spans="3:11" ht="12.75">
      <c r="C34" s="21"/>
      <c r="D34" s="21"/>
      <c r="E34" s="18">
        <v>43742</v>
      </c>
      <c r="F34" s="33"/>
      <c r="G34" s="33">
        <v>-5729.23</v>
      </c>
      <c r="H34" s="21"/>
      <c r="I34" s="23"/>
      <c r="J34" s="23"/>
      <c r="K34" s="21"/>
    </row>
    <row r="35" spans="3:11" ht="12.75">
      <c r="C35" s="21"/>
      <c r="D35" s="21"/>
      <c r="E35" s="18">
        <v>43794</v>
      </c>
      <c r="F35" s="33"/>
      <c r="G35" s="33">
        <v>-14021.53</v>
      </c>
      <c r="H35" s="21"/>
      <c r="I35" s="23"/>
      <c r="J35" s="23"/>
      <c r="K35" s="21"/>
    </row>
    <row r="36" spans="3:11" ht="12.75">
      <c r="C36" s="21"/>
      <c r="D36" s="21"/>
      <c r="E36" s="18">
        <v>43801</v>
      </c>
      <c r="F36" s="33"/>
      <c r="G36" s="33">
        <v>-26867.08</v>
      </c>
      <c r="H36" s="21"/>
      <c r="I36" s="23"/>
      <c r="J36" s="23"/>
      <c r="K36" s="21"/>
    </row>
    <row r="37" spans="3:11" ht="12.75">
      <c r="C37" s="21" t="s">
        <v>20</v>
      </c>
      <c r="D37" s="21"/>
      <c r="E37" s="18">
        <v>43671</v>
      </c>
      <c r="F37" s="33"/>
      <c r="G37" s="33">
        <v>25873.43</v>
      </c>
      <c r="H37" s="21"/>
      <c r="I37" s="23"/>
      <c r="J37" s="23"/>
      <c r="K37" s="21"/>
    </row>
    <row r="38" spans="3:11" ht="12.75">
      <c r="C38" s="21" t="s">
        <v>21</v>
      </c>
      <c r="D38" s="21"/>
      <c r="E38" s="18">
        <v>43859</v>
      </c>
      <c r="F38" s="33"/>
      <c r="G38" s="33">
        <v>-7598.78</v>
      </c>
      <c r="H38" s="21"/>
      <c r="I38" s="23"/>
      <c r="J38" s="23"/>
      <c r="K38" s="21"/>
    </row>
    <row r="39" spans="3:11" ht="12.75">
      <c r="C39" s="21"/>
      <c r="D39" s="21"/>
      <c r="E39" s="18">
        <v>43916</v>
      </c>
      <c r="F39" s="33"/>
      <c r="G39" s="33">
        <v>-7447.99</v>
      </c>
      <c r="H39" s="21"/>
      <c r="I39" s="23"/>
      <c r="J39" s="23"/>
      <c r="K39" s="21"/>
    </row>
    <row r="40" spans="3:11" ht="12.75">
      <c r="C40" s="21"/>
      <c r="D40" s="21"/>
      <c r="E40" s="18">
        <v>44103</v>
      </c>
      <c r="F40" s="33"/>
      <c r="G40" s="33">
        <v>-9619.08</v>
      </c>
      <c r="H40" s="21"/>
      <c r="I40" s="23"/>
      <c r="J40" s="23"/>
      <c r="K40" s="21"/>
    </row>
    <row r="41" spans="3:11" ht="12.75">
      <c r="C41" s="21"/>
      <c r="D41" s="21"/>
      <c r="E41" s="18">
        <v>44126</v>
      </c>
      <c r="F41" s="33"/>
      <c r="G41" s="33">
        <v>-32264.62</v>
      </c>
      <c r="H41" s="21"/>
      <c r="I41" s="23"/>
      <c r="J41" s="23"/>
      <c r="K41" s="21"/>
    </row>
    <row r="42" spans="3:11" ht="12.75">
      <c r="C42" s="21" t="s">
        <v>24</v>
      </c>
      <c r="D42" s="21"/>
      <c r="E42" s="18">
        <v>44200</v>
      </c>
      <c r="F42" s="33"/>
      <c r="G42" s="33">
        <v>-5307.07</v>
      </c>
      <c r="H42" s="21"/>
      <c r="I42" s="23"/>
      <c r="J42" s="23"/>
      <c r="K42" s="21"/>
    </row>
    <row r="43" spans="3:11" ht="12.75">
      <c r="C43" s="21"/>
      <c r="D43" s="21"/>
      <c r="E43" s="18">
        <v>44376</v>
      </c>
      <c r="F43" s="33"/>
      <c r="G43" s="33">
        <v>-5729.22</v>
      </c>
      <c r="H43" s="21"/>
      <c r="I43" s="23"/>
      <c r="J43" s="23"/>
      <c r="K43" s="21"/>
    </row>
    <row r="44" spans="3:11" ht="12.75">
      <c r="C44" s="21"/>
      <c r="D44" s="21"/>
      <c r="E44" s="18">
        <v>44466</v>
      </c>
      <c r="F44" s="33"/>
      <c r="G44" s="33">
        <v>-3769.23</v>
      </c>
      <c r="H44" s="21"/>
      <c r="I44" s="23"/>
      <c r="J44" s="23"/>
      <c r="K44" s="21"/>
    </row>
    <row r="45" spans="3:11" ht="12.75">
      <c r="C45" s="21"/>
      <c r="D45" s="21"/>
      <c r="E45" s="18">
        <v>44530</v>
      </c>
      <c r="F45" s="33"/>
      <c r="G45" s="33">
        <v>-7448.01</v>
      </c>
      <c r="H45" s="21"/>
      <c r="I45" s="23"/>
      <c r="J45" s="23"/>
      <c r="K45" s="21"/>
    </row>
    <row r="46" spans="3:11" ht="12.75">
      <c r="C46" s="21" t="s">
        <v>23</v>
      </c>
      <c r="D46" s="21"/>
      <c r="E46" s="18">
        <v>44463</v>
      </c>
      <c r="F46" s="33"/>
      <c r="G46" s="33">
        <v>4310.1</v>
      </c>
      <c r="H46" s="21"/>
      <c r="I46" s="23"/>
      <c r="J46" s="23"/>
      <c r="K46" s="21"/>
    </row>
    <row r="47" spans="3:11" ht="12.75">
      <c r="C47" s="21"/>
      <c r="D47" s="21"/>
      <c r="E47" s="18">
        <v>44484</v>
      </c>
      <c r="F47" s="33"/>
      <c r="G47" s="33">
        <v>190670.31</v>
      </c>
      <c r="H47" s="21"/>
      <c r="I47" s="23"/>
      <c r="J47" s="23"/>
      <c r="K47" s="21"/>
    </row>
    <row r="48" spans="3:11" ht="12.75">
      <c r="C48" s="21"/>
      <c r="D48" s="21"/>
      <c r="E48" s="18">
        <v>44539</v>
      </c>
      <c r="F48" s="33"/>
      <c r="G48" s="33">
        <v>15666.13</v>
      </c>
      <c r="H48" s="21"/>
      <c r="I48" s="23"/>
      <c r="J48" s="23"/>
      <c r="K48" s="21"/>
    </row>
    <row r="49" spans="3:11" ht="12.75">
      <c r="C49" s="21" t="s">
        <v>27</v>
      </c>
      <c r="D49" s="21"/>
      <c r="E49" s="18">
        <v>44606</v>
      </c>
      <c r="F49" s="33"/>
      <c r="G49" s="33">
        <v>-94954.46</v>
      </c>
      <c r="H49" s="21"/>
      <c r="I49" s="23"/>
      <c r="J49" s="23"/>
      <c r="K49" s="21"/>
    </row>
    <row r="50" spans="3:11" ht="12.75">
      <c r="C50" s="21"/>
      <c r="D50" s="21"/>
      <c r="E50" s="18">
        <v>44649</v>
      </c>
      <c r="F50" s="33"/>
      <c r="G50" s="33">
        <v>-3769.23</v>
      </c>
      <c r="H50" s="21"/>
      <c r="I50" s="23"/>
      <c r="J50" s="23"/>
      <c r="K50" s="21"/>
    </row>
    <row r="51" spans="3:11" ht="12.75">
      <c r="C51" s="21"/>
      <c r="D51" s="21"/>
      <c r="E51" s="18">
        <v>44672</v>
      </c>
      <c r="F51" s="33"/>
      <c r="G51" s="33">
        <v>-1537.85</v>
      </c>
      <c r="H51" s="21"/>
      <c r="I51" s="23"/>
      <c r="J51" s="23"/>
      <c r="K51" s="21"/>
    </row>
    <row r="52" spans="3:11" ht="12.75">
      <c r="C52" s="21"/>
      <c r="D52" s="21"/>
      <c r="E52" s="18">
        <v>44736</v>
      </c>
      <c r="F52" s="33"/>
      <c r="G52" s="33">
        <v>-12393.23</v>
      </c>
      <c r="H52" s="21"/>
      <c r="I52" s="23"/>
      <c r="J52" s="23"/>
      <c r="K52" s="21"/>
    </row>
    <row r="53" spans="3:11" ht="12.75">
      <c r="C53" s="21"/>
      <c r="D53" s="21"/>
      <c r="E53" s="18">
        <v>44764</v>
      </c>
      <c r="F53" s="33"/>
      <c r="G53" s="33">
        <v>-60036.31</v>
      </c>
      <c r="H53" s="21"/>
      <c r="I53" s="23"/>
      <c r="J53" s="23"/>
      <c r="K53" s="21"/>
    </row>
    <row r="54" spans="3:11" ht="12.75">
      <c r="C54" s="21"/>
      <c r="D54" s="21"/>
      <c r="E54" s="18">
        <v>44819</v>
      </c>
      <c r="F54" s="33"/>
      <c r="G54" s="33">
        <v>-136235.06</v>
      </c>
      <c r="H54" s="21"/>
      <c r="I54" s="23"/>
      <c r="J54" s="23"/>
      <c r="K54" s="21"/>
    </row>
    <row r="55" spans="3:11" ht="12.75">
      <c r="C55" s="21"/>
      <c r="D55" s="21"/>
      <c r="E55" s="18">
        <v>44875</v>
      </c>
      <c r="F55" s="33"/>
      <c r="G55" s="33">
        <v>-6724.31</v>
      </c>
      <c r="H55" s="21"/>
      <c r="I55" s="23"/>
      <c r="J55" s="23"/>
      <c r="K55" s="21"/>
    </row>
    <row r="56" spans="3:11" ht="12.75">
      <c r="C56" s="21"/>
      <c r="D56" s="21"/>
      <c r="E56" s="18">
        <v>44915</v>
      </c>
      <c r="F56" s="33"/>
      <c r="G56" s="33">
        <v>-61152.01</v>
      </c>
      <c r="H56" s="21"/>
      <c r="I56" s="23"/>
      <c r="J56" s="23"/>
      <c r="K56" s="21"/>
    </row>
    <row r="57" spans="3:11" ht="12.75">
      <c r="C57" s="21" t="s">
        <v>25</v>
      </c>
      <c r="D57" s="21"/>
      <c r="E57" s="18">
        <v>44615</v>
      </c>
      <c r="F57" s="33"/>
      <c r="G57" s="33">
        <v>3257.23</v>
      </c>
      <c r="H57" s="21"/>
      <c r="I57" s="23"/>
      <c r="J57" s="23"/>
      <c r="K57" s="21"/>
    </row>
    <row r="58" spans="3:11" ht="12.75">
      <c r="C58" s="21"/>
      <c r="D58" s="21"/>
      <c r="E58" s="18">
        <v>44785</v>
      </c>
      <c r="F58" s="33"/>
      <c r="G58" s="33">
        <v>10883.37</v>
      </c>
      <c r="H58" s="21"/>
      <c r="I58" s="23"/>
      <c r="J58" s="23"/>
      <c r="K58" s="21"/>
    </row>
    <row r="59" spans="3:11" ht="12.75">
      <c r="C59" s="21"/>
      <c r="D59" s="21"/>
      <c r="E59" s="18">
        <v>44895</v>
      </c>
      <c r="F59" s="33"/>
      <c r="G59" s="33">
        <v>5060.80</v>
      </c>
      <c r="H59" s="21"/>
      <c r="I59" s="23"/>
      <c r="J59" s="23"/>
      <c r="K59" s="21"/>
    </row>
    <row r="60" spans="3:11" ht="12.75">
      <c r="C60" s="21" t="s">
        <v>28</v>
      </c>
      <c r="D60" s="21"/>
      <c r="E60" s="18">
        <v>44931</v>
      </c>
      <c r="F60" s="33"/>
      <c r="G60" s="33">
        <v>-6513.23</v>
      </c>
      <c r="H60" s="21"/>
      <c r="I60" s="23"/>
      <c r="J60" s="23"/>
      <c r="K60" s="21"/>
    </row>
    <row r="61" spans="3:11" ht="12.75">
      <c r="C61" s="21"/>
      <c r="D61" s="21"/>
      <c r="E61" s="18">
        <v>45107</v>
      </c>
      <c r="F61" s="33"/>
      <c r="G61" s="33">
        <v>-2593.23</v>
      </c>
      <c r="H61" s="21"/>
      <c r="I61" s="23"/>
      <c r="J61" s="23"/>
      <c r="K61" s="21"/>
    </row>
    <row r="62" spans="3:11" ht="12.75">
      <c r="C62" s="21"/>
      <c r="D62" s="21"/>
      <c r="E62" s="18">
        <v>45117</v>
      </c>
      <c r="F62" s="33"/>
      <c r="G62" s="33">
        <v>-3859.69</v>
      </c>
      <c r="H62" s="21"/>
      <c r="I62" s="23"/>
      <c r="J62" s="23"/>
      <c r="K62" s="21"/>
    </row>
    <row r="63" spans="3:11" ht="12.75">
      <c r="C63" s="21" t="s">
        <v>26</v>
      </c>
      <c r="D63" s="21"/>
      <c r="E63" s="18">
        <v>45051</v>
      </c>
      <c r="F63" s="33"/>
      <c r="G63" s="33">
        <v>74979.18</v>
      </c>
      <c r="H63" s="21"/>
      <c r="I63" s="23"/>
      <c r="J63" s="23"/>
      <c r="K63" s="21"/>
    </row>
    <row r="64" spans="3:11" ht="12.75">
      <c r="C64" s="21"/>
      <c r="D64" s="21"/>
      <c r="E64" s="18">
        <v>45109</v>
      </c>
      <c r="F64" s="33"/>
      <c r="G64" s="33">
        <v>-31.67</v>
      </c>
      <c r="H64" s="21"/>
      <c r="I64" s="23"/>
      <c r="J64" s="23"/>
      <c r="K64" s="21"/>
    </row>
    <row r="65" spans="3:11" ht="12.75">
      <c r="C65" s="21"/>
      <c r="D65" s="21"/>
      <c r="E65" s="18">
        <v>45132</v>
      </c>
      <c r="F65" s="33"/>
      <c r="G65" s="33">
        <v>20507.98</v>
      </c>
      <c r="H65" s="21"/>
      <c r="I65" s="23"/>
      <c r="J65" s="23"/>
      <c r="K65" s="21"/>
    </row>
    <row r="66" spans="3:11" ht="12.75">
      <c r="C66" s="21"/>
      <c r="D66" s="21"/>
      <c r="E66" s="18">
        <v>45162</v>
      </c>
      <c r="F66" s="33"/>
      <c r="G66" s="33">
        <v>35283.45</v>
      </c>
      <c r="H66" s="21"/>
      <c r="I66" s="23"/>
      <c r="J66" s="23"/>
      <c r="K66" s="21"/>
    </row>
    <row r="67" spans="3:11" ht="12.75">
      <c r="C67" s="21"/>
      <c r="D67" s="21"/>
      <c r="E67" s="18">
        <v>45184</v>
      </c>
      <c r="F67" s="33"/>
      <c r="G67" s="33">
        <v>10503.69</v>
      </c>
      <c r="H67" s="21"/>
      <c r="I67" s="23"/>
      <c r="J67" s="23"/>
      <c r="K67" s="21"/>
    </row>
    <row r="68" spans="3:15" ht="4.5" customHeight="1">
      <c r="C68" s="21"/>
      <c r="D68" s="21"/>
      <c r="E68" s="18"/>
      <c r="F68" s="21"/>
      <c r="G68" s="33"/>
      <c r="H68" s="21"/>
      <c r="I68" s="23"/>
      <c r="J68" s="23"/>
      <c r="O68" s="65"/>
    </row>
    <row r="69" spans="3:13" ht="12.75">
      <c r="C69" s="21" t="s">
        <v>1</v>
      </c>
      <c r="D69" s="21"/>
      <c r="E69" s="18">
        <f>+E8</f>
        <v>45199</v>
      </c>
      <c r="F69" s="21"/>
      <c r="G69" s="49">
        <f>L69*C22</f>
        <v>567100.609569496</v>
      </c>
      <c r="H69" s="21"/>
      <c r="I69" s="33">
        <f>+SUMIF($G$24:$G$68,"&lt;0",$G$24:$G$68)+G29-G64</f>
        <v>-819159.3899999999</v>
      </c>
      <c r="J69" s="21" t="s">
        <v>11</v>
      </c>
      <c r="L69" s="139">
        <v>179061992</v>
      </c>
      <c r="M69" s="42"/>
    </row>
    <row r="70" spans="3:10" ht="12.75">
      <c r="C70" s="21"/>
      <c r="D70" s="21"/>
      <c r="E70" s="21"/>
      <c r="F70" s="21"/>
      <c r="G70" s="21"/>
      <c r="H70" s="21"/>
      <c r="I70" s="33">
        <f>+SUMIF($G$24:$G$68,"&gt;0",$G$24:$G$68)-G29+G64</f>
        <v>396963.99999999994</v>
      </c>
      <c r="J70" s="21" t="s">
        <v>12</v>
      </c>
    </row>
    <row r="71" spans="3:8" ht="12.75">
      <c r="C71" s="20" t="s">
        <v>0</v>
      </c>
      <c r="G71" s="47">
        <f>+XIRR(G24:G69,E24:E69)</f>
        <v>0.06993803679943084</v>
      </c>
      <c r="H71" s="21"/>
    </row>
    <row r="72" spans="3:8" ht="12.75">
      <c r="C72" s="21"/>
      <c r="D72" s="21"/>
      <c r="E72" s="21"/>
      <c r="F72" s="21"/>
      <c r="G72" s="21"/>
      <c r="H72" s="21"/>
    </row>
    <row r="73" spans="3:8" ht="12.75">
      <c r="C73" s="21"/>
      <c r="D73" s="21"/>
      <c r="E73" s="21"/>
      <c r="F73" s="21"/>
      <c r="G73" s="21"/>
      <c r="H73" s="21"/>
    </row>
    <row r="74" spans="3:8" ht="12.75">
      <c r="C74" s="26"/>
      <c r="D74" s="26"/>
      <c r="E74" s="34"/>
      <c r="F74" s="21"/>
      <c r="G74" s="34"/>
      <c r="H74" s="21"/>
    </row>
    <row r="75" spans="3:8" ht="12.75">
      <c r="C75" s="26"/>
      <c r="D75" s="26"/>
      <c r="E75" s="34"/>
      <c r="F75" s="26"/>
      <c r="G75" s="34"/>
      <c r="H75" s="21"/>
    </row>
    <row r="76" spans="3:8" ht="12.75">
      <c r="C76" s="26"/>
      <c r="D76" s="26"/>
      <c r="E76" s="34"/>
      <c r="F76" s="21"/>
      <c r="G76" s="34"/>
      <c r="H76" s="21"/>
    </row>
    <row r="77" spans="3:8" ht="12.75">
      <c r="C77" s="26"/>
      <c r="D77" s="26"/>
      <c r="E77" s="26"/>
      <c r="F77" s="26"/>
      <c r="G77" s="26"/>
      <c r="H77" s="20"/>
    </row>
    <row r="78" spans="3:8" ht="12.75">
      <c r="C78" s="26"/>
      <c r="D78" s="26"/>
      <c r="E78" s="34"/>
      <c r="F78" s="34"/>
      <c r="G78" s="34"/>
      <c r="H78" s="20"/>
    </row>
    <row r="79" spans="3:8" ht="12.75">
      <c r="C79" s="26"/>
      <c r="D79" s="26"/>
      <c r="E79" s="26"/>
      <c r="F79" s="26"/>
      <c r="G79" s="26"/>
      <c r="H79" s="20"/>
    </row>
    <row r="80" spans="3:8" ht="12.75">
      <c r="C80" s="114"/>
      <c r="D80" s="114"/>
      <c r="E80" s="115"/>
      <c r="F80" s="71"/>
      <c r="G80" s="45"/>
      <c r="H80" s="21"/>
    </row>
    <row r="81" spans="3:8" ht="12.75">
      <c r="C81" s="114"/>
      <c r="D81" s="114"/>
      <c r="E81" s="46"/>
      <c r="F81" s="71"/>
      <c r="G81" s="46"/>
      <c r="H81" s="21"/>
    </row>
    <row r="82" spans="3:8" ht="12.75">
      <c r="C82" s="114"/>
      <c r="D82" s="114"/>
      <c r="E82" s="46"/>
      <c r="F82" s="71"/>
      <c r="G82" s="46"/>
      <c r="H82" s="21"/>
    </row>
    <row r="83" spans="3:8" ht="12.75">
      <c r="C83" s="116"/>
      <c r="D83" s="114"/>
      <c r="E83" s="46"/>
      <c r="F83" s="71"/>
      <c r="G83" s="46"/>
      <c r="H83" s="21"/>
    </row>
    <row r="84" spans="3:8" ht="12.75">
      <c r="C84" s="116"/>
      <c r="D84" s="114"/>
      <c r="E84" s="46"/>
      <c r="F84" s="71"/>
      <c r="G84" s="46"/>
      <c r="H84" s="21"/>
    </row>
    <row r="85" spans="3:8" ht="12.75">
      <c r="C85" s="117"/>
      <c r="D85" s="114"/>
      <c r="E85" s="46"/>
      <c r="F85" s="71"/>
      <c r="G85" s="46"/>
      <c r="H85" s="21"/>
    </row>
    <row r="86" spans="3:8" ht="12.75">
      <c r="C86" s="114"/>
      <c r="D86" s="114"/>
      <c r="E86" s="46"/>
      <c r="F86" s="71"/>
      <c r="G86" s="46"/>
      <c r="H86" s="21"/>
    </row>
    <row r="87" spans="3:8" ht="12.75">
      <c r="C87" s="114"/>
      <c r="D87" s="114"/>
      <c r="E87" s="46"/>
      <c r="F87" s="71"/>
      <c r="G87" s="46"/>
      <c r="H87" s="21"/>
    </row>
    <row r="88" spans="3:8" ht="12.75">
      <c r="C88" s="114"/>
      <c r="D88" s="114"/>
      <c r="E88" s="46"/>
      <c r="F88" s="71"/>
      <c r="G88" s="46"/>
      <c r="H88" s="21"/>
    </row>
    <row r="89" spans="3:8" ht="12.75">
      <c r="C89" s="114"/>
      <c r="D89" s="114"/>
      <c r="E89" s="46"/>
      <c r="F89" s="71"/>
      <c r="G89" s="46"/>
      <c r="H89" s="21"/>
    </row>
    <row r="90" spans="3:8" ht="12.75">
      <c r="C90" s="114"/>
      <c r="D90" s="114"/>
      <c r="E90" s="46"/>
      <c r="F90" s="71"/>
      <c r="G90" s="46"/>
      <c r="H90" s="21"/>
    </row>
    <row r="91" spans="3:8" ht="12.75">
      <c r="C91" s="114"/>
      <c r="D91" s="114"/>
      <c r="E91" s="46"/>
      <c r="F91" s="71"/>
      <c r="G91" s="46"/>
      <c r="H91" s="21"/>
    </row>
    <row r="92" spans="3:8" ht="4.9" customHeight="1">
      <c r="C92" s="20"/>
      <c r="D92" s="20"/>
      <c r="E92" s="37"/>
      <c r="F92" s="37"/>
      <c r="G92" s="37"/>
      <c r="H92" s="21"/>
    </row>
    <row r="93" spans="3:8" ht="12.75">
      <c r="C93" s="21"/>
      <c r="D93" s="21"/>
      <c r="E93" s="21"/>
      <c r="F93" s="21"/>
      <c r="G93" s="21"/>
      <c r="H93" s="21"/>
    </row>
    <row r="94" spans="3:8" ht="12.75">
      <c r="C94" s="21"/>
      <c r="D94" s="21"/>
      <c r="E94" s="21"/>
      <c r="F94" s="21"/>
      <c r="G94" s="21"/>
      <c r="H94" s="21"/>
    </row>
    <row r="95" spans="3:8" ht="12.75">
      <c r="C95" s="21"/>
      <c r="D95" s="21"/>
      <c r="E95" s="21"/>
      <c r="F95" s="21"/>
      <c r="G95" s="21"/>
      <c r="H95" s="21"/>
    </row>
    <row r="96" spans="3:8" ht="12.75">
      <c r="C96" s="21"/>
      <c r="D96" s="21"/>
      <c r="E96" s="21"/>
      <c r="F96" s="21"/>
      <c r="G96" s="21"/>
      <c r="H96" s="21"/>
    </row>
    <row r="97" spans="3:8" ht="12.75">
      <c r="C97" s="21"/>
      <c r="D97" s="21"/>
      <c r="E97" s="21"/>
      <c r="F97" s="21"/>
      <c r="G97" s="21"/>
      <c r="H97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B92CDE-6979-48CE-AD9B-0179C567A136}">
  <sheetPr>
    <pageSetUpPr fitToPage="1"/>
  </sheetPr>
  <dimension ref="B4:N91"/>
  <sheetViews>
    <sheetView showGridLines="0" view="pageLayout" zoomScaleNormal="100" workbookViewId="0" topLeftCell="A1">
      <selection pane="topLeft" activeCell="D9" sqref="D9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IV'!E8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13" ht="12.75" customHeight="1">
      <c r="C18" s="7" t="s">
        <v>3</v>
      </c>
      <c r="D18" s="7"/>
      <c r="E18" s="9">
        <f>G70</f>
        <v>0.07657531797885897</v>
      </c>
      <c r="F18" s="7"/>
      <c r="G18" s="15"/>
      <c r="H18" s="9"/>
      <c r="I18" s="55"/>
      <c r="J18" s="49"/>
      <c r="L18" s="25"/>
      <c r="M18" s="53"/>
    </row>
    <row r="19" spans="3:14" ht="12.75">
      <c r="C19" s="7" t="s">
        <v>6</v>
      </c>
      <c r="D19" s="7"/>
      <c r="E19" s="38">
        <f>-(G68+I69)/(I68)</f>
        <v>1.195153888689178</v>
      </c>
      <c r="F19" s="7"/>
      <c r="G19" s="13"/>
      <c r="H19" s="8"/>
      <c r="J19" s="49"/>
      <c r="L19" s="25"/>
      <c r="M19" s="53"/>
      <c r="N19" s="41"/>
    </row>
    <row r="20" spans="3:13" ht="12.75">
      <c r="C20" s="7"/>
      <c r="D20" s="7"/>
      <c r="E20" s="7"/>
      <c r="F20" s="7"/>
      <c r="G20" s="8"/>
      <c r="J20" s="49"/>
      <c r="L20" s="25"/>
      <c r="M20" s="53"/>
    </row>
    <row r="21" spans="3:14" ht="15.75">
      <c r="C21" s="22" t="s">
        <v>33</v>
      </c>
      <c r="D21" s="11"/>
      <c r="E21" s="11"/>
      <c r="F21" s="11"/>
      <c r="I21" s="18"/>
      <c r="J21" s="49"/>
      <c r="L21" s="25"/>
      <c r="M21" s="53"/>
      <c r="N21" s="41"/>
    </row>
    <row r="22" spans="3:13" ht="12.75">
      <c r="C22" s="29">
        <v>0.017458101</v>
      </c>
      <c r="D22" s="21"/>
      <c r="E22" s="21"/>
      <c r="F22" s="21"/>
      <c r="G22" s="27"/>
      <c r="H22" s="21"/>
      <c r="I22" s="21"/>
      <c r="J22" s="49"/>
      <c r="M22" s="53"/>
    </row>
    <row r="23" spans="3:13" ht="15.75">
      <c r="C23" s="21"/>
      <c r="D23" s="21"/>
      <c r="E23" s="18"/>
      <c r="F23" s="33"/>
      <c r="G23" s="33"/>
      <c r="H23" s="21"/>
      <c r="I23" s="23"/>
      <c r="J23" s="49"/>
      <c r="K23" s="113"/>
      <c r="L23" s="104"/>
      <c r="M23" s="53"/>
    </row>
    <row r="24" spans="3:13" ht="12.75">
      <c r="C24" s="21" t="s">
        <v>17</v>
      </c>
      <c r="D24" s="21"/>
      <c r="E24" s="18">
        <v>43136</v>
      </c>
      <c r="F24" s="33"/>
      <c r="G24" s="33">
        <v>-200673.85</v>
      </c>
      <c r="H24" s="21"/>
      <c r="I24" s="23"/>
      <c r="J24" s="49"/>
      <c r="K24" s="112"/>
      <c r="L24" s="54"/>
      <c r="M24" s="53"/>
    </row>
    <row r="25" spans="3:13" ht="12.75">
      <c r="C25" s="21"/>
      <c r="D25" s="21"/>
      <c r="E25" s="18">
        <v>43193</v>
      </c>
      <c r="F25" s="33"/>
      <c r="G25" s="33">
        <v>-20655.39</v>
      </c>
      <c r="H25" s="21"/>
      <c r="I25" s="23"/>
      <c r="J25" s="49"/>
      <c r="K25" s="137"/>
      <c r="L25" s="54"/>
      <c r="M25" s="53"/>
    </row>
    <row r="26" spans="3:13" ht="12.75">
      <c r="C26" s="21"/>
      <c r="D26" s="21"/>
      <c r="E26" s="18">
        <v>43286</v>
      </c>
      <c r="F26" s="33"/>
      <c r="G26" s="33">
        <v>-18846.15</v>
      </c>
      <c r="H26" s="21"/>
      <c r="I26" s="23"/>
      <c r="J26" s="49"/>
      <c r="K26" s="137"/>
      <c r="L26" s="54"/>
      <c r="M26" s="53"/>
    </row>
    <row r="27" spans="3:13" ht="12.75">
      <c r="C27" s="21"/>
      <c r="D27" s="21"/>
      <c r="E27" s="18">
        <v>43328</v>
      </c>
      <c r="F27" s="33"/>
      <c r="G27" s="33">
        <v>-70710.78</v>
      </c>
      <c r="H27" s="21"/>
      <c r="I27" s="23"/>
      <c r="J27" s="49"/>
      <c r="K27" s="137"/>
      <c r="L27" s="54"/>
      <c r="M27" s="53"/>
    </row>
    <row r="28" spans="3:13" ht="12.75">
      <c r="C28" s="21"/>
      <c r="E28" s="18">
        <v>43369</v>
      </c>
      <c r="G28" s="33">
        <v>-1468492.30</v>
      </c>
      <c r="H28" s="21"/>
      <c r="I28" s="23"/>
      <c r="J28" s="49"/>
      <c r="K28" s="137"/>
      <c r="L28" s="113"/>
      <c r="M28" s="53"/>
    </row>
    <row r="29" spans="5:12" ht="12.75">
      <c r="E29" s="18">
        <v>43391</v>
      </c>
      <c r="G29" s="33">
        <v>392000</v>
      </c>
      <c r="H29" s="21"/>
      <c r="I29" s="23"/>
      <c r="J29" s="111"/>
      <c r="K29" s="112"/>
      <c r="L29" s="113"/>
    </row>
    <row r="30" spans="5:12" ht="12.75">
      <c r="E30" s="18">
        <v>43461</v>
      </c>
      <c r="G30" s="33">
        <v>-25480</v>
      </c>
      <c r="H30" s="21"/>
      <c r="I30" s="23"/>
      <c r="J30" s="111"/>
      <c r="K30" s="112"/>
      <c r="L30" s="113"/>
    </row>
    <row r="31" spans="3:9" ht="12.75">
      <c r="C31" s="21" t="s">
        <v>19</v>
      </c>
      <c r="D31" s="21"/>
      <c r="E31" s="18">
        <v>43494</v>
      </c>
      <c r="G31" s="33">
        <v>-39350.78</v>
      </c>
      <c r="H31" s="21"/>
      <c r="I31" s="23"/>
    </row>
    <row r="32" spans="3:14" ht="12.75">
      <c r="C32" s="21"/>
      <c r="D32" s="21"/>
      <c r="E32" s="18">
        <v>43622</v>
      </c>
      <c r="G32" s="33">
        <v>-26233.85</v>
      </c>
      <c r="H32" s="21"/>
      <c r="I32" s="23"/>
      <c r="J32" s="23"/>
      <c r="K32" s="21"/>
      <c r="M32" s="100"/>
      <c r="N32" s="65"/>
    </row>
    <row r="33" spans="3:14" ht="12.75">
      <c r="C33" s="21"/>
      <c r="D33" s="21"/>
      <c r="E33" s="18">
        <v>43670</v>
      </c>
      <c r="F33" s="33"/>
      <c r="G33" s="33">
        <v>-39501.54</v>
      </c>
      <c r="H33" s="21"/>
      <c r="I33" s="23"/>
      <c r="J33" s="23"/>
      <c r="K33" s="21"/>
      <c r="M33" s="100"/>
      <c r="N33" s="65"/>
    </row>
    <row r="34" spans="3:14" ht="12.75">
      <c r="C34" s="21"/>
      <c r="D34" s="21"/>
      <c r="E34" s="18">
        <v>43742</v>
      </c>
      <c r="F34" s="33"/>
      <c r="G34" s="33">
        <v>-28646.15</v>
      </c>
      <c r="H34" s="21"/>
      <c r="I34" s="23"/>
      <c r="J34" s="23"/>
      <c r="K34" s="21"/>
      <c r="M34" s="100"/>
      <c r="N34" s="65"/>
    </row>
    <row r="35" spans="3:14" ht="12.75">
      <c r="C35" s="21"/>
      <c r="D35" s="21"/>
      <c r="E35" s="18">
        <v>43794</v>
      </c>
      <c r="F35" s="33"/>
      <c r="G35" s="33">
        <v>-70107.70</v>
      </c>
      <c r="H35" s="21"/>
      <c r="I35" s="23"/>
      <c r="J35" s="23"/>
      <c r="K35" s="21"/>
      <c r="M35" s="100"/>
      <c r="N35" s="65"/>
    </row>
    <row r="36" spans="3:14" ht="12.75">
      <c r="C36" s="21"/>
      <c r="D36" s="21"/>
      <c r="E36" s="18">
        <v>43801</v>
      </c>
      <c r="F36" s="33"/>
      <c r="G36" s="33">
        <v>-134335.38</v>
      </c>
      <c r="H36" s="21"/>
      <c r="I36" s="23"/>
      <c r="J36" s="23"/>
      <c r="K36" s="21"/>
      <c r="M36" s="100"/>
      <c r="N36" s="65"/>
    </row>
    <row r="37" spans="3:14" ht="12.75">
      <c r="C37" s="21" t="s">
        <v>20</v>
      </c>
      <c r="D37" s="21"/>
      <c r="E37" s="18">
        <v>43671</v>
      </c>
      <c r="F37" s="33"/>
      <c r="G37" s="33">
        <v>129646.89</v>
      </c>
      <c r="H37" s="21"/>
      <c r="I37" s="23"/>
      <c r="J37" s="23"/>
      <c r="K37" s="21"/>
      <c r="M37" s="100"/>
      <c r="N37" s="65"/>
    </row>
    <row r="38" spans="3:14" ht="12.75">
      <c r="C38" s="21" t="s">
        <v>21</v>
      </c>
      <c r="D38" s="21"/>
      <c r="E38" s="18">
        <v>43859</v>
      </c>
      <c r="F38" s="33"/>
      <c r="G38" s="33">
        <v>-37993.85</v>
      </c>
      <c r="H38" s="21"/>
      <c r="I38" s="23"/>
      <c r="J38" s="23"/>
      <c r="K38" s="21"/>
      <c r="M38" s="100"/>
      <c r="N38" s="65"/>
    </row>
    <row r="39" spans="3:14" ht="12.75">
      <c r="C39" s="21"/>
      <c r="D39" s="21"/>
      <c r="E39" s="18">
        <v>43916</v>
      </c>
      <c r="F39" s="33"/>
      <c r="G39" s="33">
        <v>-37240</v>
      </c>
      <c r="H39" s="21"/>
      <c r="I39" s="23"/>
      <c r="J39" s="23"/>
      <c r="K39" s="21"/>
      <c r="M39" s="100"/>
      <c r="N39" s="65"/>
    </row>
    <row r="40" spans="3:14" ht="12.75">
      <c r="C40" s="21"/>
      <c r="D40" s="21"/>
      <c r="E40" s="18">
        <v>44103</v>
      </c>
      <c r="F40" s="33"/>
      <c r="G40" s="33">
        <v>-48095.38</v>
      </c>
      <c r="H40" s="21"/>
      <c r="I40" s="23"/>
      <c r="J40" s="23"/>
      <c r="K40" s="21"/>
      <c r="M40" s="100"/>
      <c r="N40" s="65"/>
    </row>
    <row r="41" spans="3:14" ht="12.75">
      <c r="C41" s="21"/>
      <c r="D41" s="21"/>
      <c r="E41" s="18">
        <v>44126</v>
      </c>
      <c r="F41" s="33"/>
      <c r="G41" s="33">
        <v>-161323.07</v>
      </c>
      <c r="H41" s="21"/>
      <c r="I41" s="23"/>
      <c r="J41" s="23"/>
      <c r="K41" s="21"/>
      <c r="M41" s="100"/>
      <c r="N41" s="65"/>
    </row>
    <row r="42" spans="3:14" ht="12.75">
      <c r="C42" s="21" t="s">
        <v>24</v>
      </c>
      <c r="D42" s="21"/>
      <c r="E42" s="18">
        <v>44200</v>
      </c>
      <c r="F42" s="33"/>
      <c r="G42" s="33">
        <v>-26535.39</v>
      </c>
      <c r="H42" s="21"/>
      <c r="I42" s="23"/>
      <c r="J42" s="23"/>
      <c r="K42" s="21"/>
      <c r="M42" s="100"/>
      <c r="N42" s="65"/>
    </row>
    <row r="43" spans="3:14" ht="12.75">
      <c r="C43" s="21"/>
      <c r="D43" s="21"/>
      <c r="E43" s="18">
        <v>44376</v>
      </c>
      <c r="F43" s="33"/>
      <c r="G43" s="33">
        <v>-28646.16</v>
      </c>
      <c r="H43" s="21"/>
      <c r="I43" s="23"/>
      <c r="J43" s="23"/>
      <c r="K43" s="21"/>
      <c r="M43" s="100"/>
      <c r="N43" s="65"/>
    </row>
    <row r="44" spans="3:14" ht="12.75">
      <c r="C44" s="21"/>
      <c r="D44" s="21"/>
      <c r="E44" s="18">
        <v>44466</v>
      </c>
      <c r="F44" s="33"/>
      <c r="G44" s="33">
        <v>-18846.15</v>
      </c>
      <c r="H44" s="21"/>
      <c r="I44" s="23"/>
      <c r="J44" s="23"/>
      <c r="K44" s="21"/>
      <c r="M44" s="100"/>
      <c r="N44" s="65"/>
    </row>
    <row r="45" spans="3:14" ht="12.75">
      <c r="C45" s="21"/>
      <c r="D45" s="21"/>
      <c r="E45" s="18">
        <v>44530</v>
      </c>
      <c r="F45" s="33"/>
      <c r="G45" s="33">
        <v>-37240.01</v>
      </c>
      <c r="H45" s="21"/>
      <c r="I45" s="23"/>
      <c r="J45" s="23"/>
      <c r="K45" s="21"/>
      <c r="M45" s="100"/>
      <c r="N45" s="65"/>
    </row>
    <row r="46" spans="3:14" ht="12.75">
      <c r="C46" s="21" t="s">
        <v>23</v>
      </c>
      <c r="D46" s="21"/>
      <c r="E46" s="18">
        <v>44463</v>
      </c>
      <c r="F46" s="33"/>
      <c r="G46" s="33">
        <v>22626.91</v>
      </c>
      <c r="H46" s="21"/>
      <c r="I46" s="23"/>
      <c r="J46" s="23"/>
      <c r="K46" s="21"/>
      <c r="M46" s="100"/>
      <c r="N46" s="65"/>
    </row>
    <row r="47" spans="3:14" ht="12.75">
      <c r="C47" s="21"/>
      <c r="D47" s="21"/>
      <c r="E47" s="18">
        <v>44484</v>
      </c>
      <c r="F47" s="33"/>
      <c r="G47" s="33">
        <v>969199.17</v>
      </c>
      <c r="H47" s="21"/>
      <c r="I47" s="23"/>
      <c r="J47" s="23"/>
      <c r="K47" s="21"/>
      <c r="M47" s="100"/>
      <c r="N47" s="65"/>
    </row>
    <row r="48" spans="3:14" ht="12.75">
      <c r="C48" s="21"/>
      <c r="D48" s="21"/>
      <c r="E48" s="18">
        <v>44539</v>
      </c>
      <c r="F48" s="33"/>
      <c r="G48" s="33">
        <v>78313.97</v>
      </c>
      <c r="H48" s="21"/>
      <c r="I48" s="23"/>
      <c r="J48" s="23"/>
      <c r="K48" s="21"/>
      <c r="M48" s="100"/>
      <c r="N48" s="65"/>
    </row>
    <row r="49" spans="3:14" ht="12.75">
      <c r="C49" s="21" t="s">
        <v>27</v>
      </c>
      <c r="D49" s="21"/>
      <c r="E49" s="18">
        <v>44606</v>
      </c>
      <c r="F49" s="33"/>
      <c r="G49" s="33">
        <v>-474772.30</v>
      </c>
      <c r="H49" s="21"/>
      <c r="I49" s="23"/>
      <c r="J49" s="23"/>
      <c r="K49" s="21"/>
      <c r="M49" s="100"/>
      <c r="N49" s="65"/>
    </row>
    <row r="50" spans="3:14" ht="12.75">
      <c r="C50" s="21"/>
      <c r="D50" s="21"/>
      <c r="E50" s="18">
        <v>44649</v>
      </c>
      <c r="F50" s="33"/>
      <c r="G50" s="33">
        <v>-18846.15</v>
      </c>
      <c r="H50" s="21"/>
      <c r="I50" s="23"/>
      <c r="J50" s="23"/>
      <c r="K50" s="21"/>
      <c r="M50" s="100"/>
      <c r="N50" s="65"/>
    </row>
    <row r="51" spans="3:14" ht="12.75">
      <c r="C51" s="21"/>
      <c r="D51" s="21"/>
      <c r="E51" s="18">
        <v>44672</v>
      </c>
      <c r="F51" s="33"/>
      <c r="G51" s="33">
        <v>-7689.23</v>
      </c>
      <c r="H51" s="21"/>
      <c r="I51" s="23"/>
      <c r="J51" s="23"/>
      <c r="K51" s="21"/>
      <c r="M51" s="100"/>
      <c r="N51" s="65"/>
    </row>
    <row r="52" spans="3:14" ht="12.75">
      <c r="C52" s="21"/>
      <c r="D52" s="21"/>
      <c r="E52" s="18">
        <v>44736</v>
      </c>
      <c r="F52" s="33"/>
      <c r="G52" s="33">
        <v>-61966.16</v>
      </c>
      <c r="H52" s="21"/>
      <c r="I52" s="23"/>
      <c r="J52" s="23"/>
      <c r="K52" s="21"/>
      <c r="M52" s="100"/>
      <c r="N52" s="65"/>
    </row>
    <row r="53" spans="3:14" ht="12.75">
      <c r="C53" s="21"/>
      <c r="D53" s="21"/>
      <c r="E53" s="18">
        <v>44764</v>
      </c>
      <c r="F53" s="33"/>
      <c r="G53" s="33">
        <v>-300181.54</v>
      </c>
      <c r="H53" s="21"/>
      <c r="I53" s="23"/>
      <c r="J53" s="23"/>
      <c r="K53" s="21"/>
      <c r="M53" s="100"/>
      <c r="N53" s="65"/>
    </row>
    <row r="54" spans="3:14" ht="12.75">
      <c r="C54" s="21"/>
      <c r="D54" s="21"/>
      <c r="E54" s="18">
        <v>44819</v>
      </c>
      <c r="F54" s="33"/>
      <c r="G54" s="33">
        <v>-681175.39</v>
      </c>
      <c r="H54" s="21"/>
      <c r="I54" s="23"/>
      <c r="J54" s="23"/>
      <c r="K54" s="21"/>
      <c r="M54" s="100"/>
      <c r="N54" s="65"/>
    </row>
    <row r="55" spans="3:14" ht="12.75">
      <c r="C55" s="21"/>
      <c r="D55" s="21"/>
      <c r="E55" s="18">
        <v>44875</v>
      </c>
      <c r="F55" s="33"/>
      <c r="G55" s="33">
        <v>-33621.54</v>
      </c>
      <c r="H55" s="21"/>
      <c r="I55" s="23"/>
      <c r="J55" s="23"/>
      <c r="K55" s="21"/>
      <c r="M55" s="100"/>
      <c r="N55" s="65"/>
    </row>
    <row r="56" spans="3:14" ht="12.75">
      <c r="C56" s="21"/>
      <c r="D56" s="21"/>
      <c r="E56" s="18">
        <v>44915</v>
      </c>
      <c r="F56" s="33"/>
      <c r="G56" s="33">
        <v>-305760</v>
      </c>
      <c r="H56" s="21"/>
      <c r="I56" s="23"/>
      <c r="J56" s="23"/>
      <c r="K56" s="21"/>
      <c r="M56" s="100"/>
      <c r="N56" s="65"/>
    </row>
    <row r="57" spans="3:14" ht="12.75">
      <c r="C57" s="21" t="s">
        <v>25</v>
      </c>
      <c r="D57" s="21"/>
      <c r="E57" s="18">
        <v>44615</v>
      </c>
      <c r="F57" s="33"/>
      <c r="G57" s="33">
        <v>16557.02</v>
      </c>
      <c r="H57" s="21"/>
      <c r="I57" s="23"/>
      <c r="J57" s="23"/>
      <c r="K57" s="21"/>
      <c r="M57" s="100"/>
      <c r="N57" s="65"/>
    </row>
    <row r="58" spans="3:14" ht="12.75">
      <c r="C58" s="21"/>
      <c r="D58" s="21"/>
      <c r="E58" s="18">
        <v>44785</v>
      </c>
      <c r="F58" s="33"/>
      <c r="G58" s="33">
        <v>54642.34</v>
      </c>
      <c r="H58" s="21"/>
      <c r="I58" s="23"/>
      <c r="J58" s="23"/>
      <c r="K58" s="21"/>
      <c r="M58" s="100"/>
      <c r="N58" s="65"/>
    </row>
    <row r="59" spans="3:14" ht="12.75">
      <c r="C59" s="21"/>
      <c r="D59" s="21"/>
      <c r="E59" s="18">
        <v>44895</v>
      </c>
      <c r="F59" s="33"/>
      <c r="G59" s="33">
        <v>25685.79</v>
      </c>
      <c r="H59" s="21"/>
      <c r="I59" s="23"/>
      <c r="J59" s="23"/>
      <c r="K59" s="21"/>
      <c r="M59" s="100"/>
      <c r="N59" s="65"/>
    </row>
    <row r="60" spans="3:14" ht="12.75">
      <c r="C60" s="21" t="s">
        <v>28</v>
      </c>
      <c r="D60" s="21"/>
      <c r="E60" s="18">
        <v>44931</v>
      </c>
      <c r="F60" s="33"/>
      <c r="G60" s="33">
        <v>-32566.16</v>
      </c>
      <c r="H60" s="21"/>
      <c r="I60" s="23"/>
      <c r="J60" s="23"/>
      <c r="K60" s="21"/>
      <c r="M60" s="100"/>
      <c r="N60" s="65"/>
    </row>
    <row r="61" spans="3:14" ht="12.75">
      <c r="C61" s="21"/>
      <c r="D61" s="21"/>
      <c r="E61" s="18">
        <v>45107</v>
      </c>
      <c r="F61" s="33"/>
      <c r="G61" s="33">
        <v>-12966.16</v>
      </c>
      <c r="H61" s="21"/>
      <c r="I61" s="23"/>
      <c r="J61" s="23"/>
      <c r="K61" s="21"/>
      <c r="M61" s="100"/>
      <c r="N61" s="65"/>
    </row>
    <row r="62" spans="3:14" ht="12.75">
      <c r="C62" s="21"/>
      <c r="D62" s="21"/>
      <c r="E62" s="18">
        <v>45117</v>
      </c>
      <c r="F62" s="33"/>
      <c r="G62" s="33">
        <v>-19298.46</v>
      </c>
      <c r="H62" s="21"/>
      <c r="I62" s="23"/>
      <c r="J62" s="23"/>
      <c r="K62" s="21"/>
      <c r="M62" s="100"/>
      <c r="N62" s="65"/>
    </row>
    <row r="63" spans="3:14" ht="12.75">
      <c r="C63" s="21" t="s">
        <v>26</v>
      </c>
      <c r="D63" s="21"/>
      <c r="E63" s="18">
        <v>45051</v>
      </c>
      <c r="F63" s="33"/>
      <c r="G63" s="33">
        <v>406750</v>
      </c>
      <c r="H63" s="21"/>
      <c r="I63" s="23"/>
      <c r="J63" s="23"/>
      <c r="K63" s="21"/>
      <c r="M63" s="100"/>
      <c r="N63" s="65"/>
    </row>
    <row r="64" spans="3:14" ht="12.75">
      <c r="C64" s="21"/>
      <c r="D64" s="21"/>
      <c r="E64" s="18">
        <v>45132</v>
      </c>
      <c r="F64" s="33"/>
      <c r="G64" s="33">
        <v>102817.88</v>
      </c>
      <c r="H64" s="21"/>
      <c r="I64" s="23"/>
      <c r="J64" s="23"/>
      <c r="K64" s="21"/>
      <c r="M64" s="100"/>
      <c r="N64" s="65"/>
    </row>
    <row r="65" spans="3:14" ht="12.75">
      <c r="C65" s="21"/>
      <c r="D65" s="21"/>
      <c r="E65" s="18">
        <v>45162</v>
      </c>
      <c r="F65" s="33"/>
      <c r="G65" s="33">
        <v>176788.20</v>
      </c>
      <c r="H65" s="21"/>
      <c r="I65" s="23"/>
      <c r="J65" s="23"/>
      <c r="K65" s="21"/>
      <c r="M65" s="100"/>
      <c r="N65" s="65"/>
    </row>
    <row r="66" spans="3:14" ht="12.75">
      <c r="C66" s="21"/>
      <c r="D66" s="21"/>
      <c r="E66" s="18">
        <v>45184</v>
      </c>
      <c r="F66" s="33"/>
      <c r="G66" s="33">
        <v>52518.47</v>
      </c>
      <c r="H66" s="21"/>
      <c r="I66" s="23"/>
      <c r="J66" s="23"/>
      <c r="K66" s="21"/>
      <c r="M66" s="100"/>
      <c r="N66" s="65"/>
    </row>
    <row r="67" spans="3:10" ht="4.5" customHeight="1">
      <c r="C67" s="21"/>
      <c r="D67" s="21"/>
      <c r="E67" s="18"/>
      <c r="F67" s="21"/>
      <c r="G67" s="33"/>
      <c r="H67" s="21"/>
      <c r="I67" s="23"/>
      <c r="J67" s="23"/>
    </row>
    <row r="68" spans="3:13" ht="12.75">
      <c r="C68" s="21" t="s">
        <v>1</v>
      </c>
      <c r="D68" s="21"/>
      <c r="E68" s="18">
        <f>+E8</f>
        <v>45199</v>
      </c>
      <c r="F68" s="21"/>
      <c r="G68" s="49">
        <f>L68*C22</f>
        <v>2859561.035976852</v>
      </c>
      <c r="H68" s="21"/>
      <c r="I68" s="33">
        <f>+SUMIF($G$24:$G$67,"&lt;0",$G$24:$G$67)+G29</f>
        <v>-4095796.9699999997</v>
      </c>
      <c r="J68" s="21" t="s">
        <v>11</v>
      </c>
      <c r="L68" s="54">
        <v>163795652</v>
      </c>
      <c r="M68" s="42"/>
    </row>
    <row r="69" spans="3:10" ht="12.75">
      <c r="C69" s="21"/>
      <c r="D69" s="21"/>
      <c r="E69" s="21"/>
      <c r="F69" s="21"/>
      <c r="G69" s="21"/>
      <c r="H69" s="21"/>
      <c r="I69" s="33">
        <f>+SUMIF($G$24:$G$67,"&gt;0",$G$24:$G$67)-G29</f>
        <v>2035546.6400000006</v>
      </c>
      <c r="J69" s="21" t="s">
        <v>12</v>
      </c>
    </row>
    <row r="70" spans="3:8" ht="12.75">
      <c r="C70" s="20" t="s">
        <v>0</v>
      </c>
      <c r="G70" s="47">
        <f>+XIRR(G24:G68,E24:E68)</f>
        <v>0.07657531797885897</v>
      </c>
      <c r="H70" s="21"/>
    </row>
    <row r="71" spans="3:8" ht="12.75">
      <c r="C71" s="20"/>
      <c r="G71" s="47"/>
      <c r="H71" s="21"/>
    </row>
    <row r="72" spans="3:8" ht="12.75">
      <c r="C72" s="26"/>
      <c r="D72" s="26"/>
      <c r="E72" s="34"/>
      <c r="F72" s="26"/>
      <c r="G72" s="34"/>
      <c r="H72" s="21"/>
    </row>
    <row r="73" spans="3:8" ht="12.75">
      <c r="C73" s="26"/>
      <c r="D73" s="26"/>
      <c r="E73" s="34"/>
      <c r="F73" s="26"/>
      <c r="G73" s="34"/>
      <c r="H73" s="21"/>
    </row>
    <row r="74" spans="3:8" ht="12.75">
      <c r="C74" s="26"/>
      <c r="D74" s="26"/>
      <c r="E74" s="34"/>
      <c r="F74" s="26"/>
      <c r="G74" s="34"/>
      <c r="H74" s="21"/>
    </row>
    <row r="75" spans="3:8" ht="12.75">
      <c r="C75" s="26"/>
      <c r="D75" s="26"/>
      <c r="E75" s="51"/>
      <c r="F75" s="51"/>
      <c r="G75" s="51"/>
      <c r="H75" s="20"/>
    </row>
    <row r="76" spans="3:8" ht="12.75">
      <c r="C76" s="26"/>
      <c r="D76" s="26"/>
      <c r="E76" s="34"/>
      <c r="F76" s="34"/>
      <c r="G76" s="34"/>
      <c r="H76" s="20"/>
    </row>
    <row r="77" spans="3:8" ht="12.75">
      <c r="C77" s="26"/>
      <c r="D77" s="26"/>
      <c r="E77" s="26"/>
      <c r="F77" s="26"/>
      <c r="G77" s="26"/>
      <c r="H77" s="20"/>
    </row>
    <row r="78" spans="3:8" ht="12.75">
      <c r="C78" s="114"/>
      <c r="D78" s="114"/>
      <c r="E78" s="115"/>
      <c r="F78" s="71"/>
      <c r="G78" s="45"/>
      <c r="H78" s="21"/>
    </row>
    <row r="79" spans="3:8" ht="12.75">
      <c r="C79" s="114"/>
      <c r="D79" s="114"/>
      <c r="E79" s="46"/>
      <c r="F79" s="71"/>
      <c r="G79" s="46"/>
      <c r="H79" s="21"/>
    </row>
    <row r="80" spans="3:8" ht="12.75">
      <c r="C80" s="114"/>
      <c r="D80" s="114"/>
      <c r="E80" s="46"/>
      <c r="F80" s="71"/>
      <c r="G80" s="46"/>
      <c r="H80" s="21"/>
    </row>
    <row r="81" spans="3:8" ht="12.75">
      <c r="C81" s="116"/>
      <c r="D81" s="114"/>
      <c r="E81" s="46"/>
      <c r="F81" s="71"/>
      <c r="G81" s="46"/>
      <c r="H81" s="21"/>
    </row>
    <row r="82" spans="3:8" ht="12.75">
      <c r="C82" s="116"/>
      <c r="D82" s="114"/>
      <c r="E82" s="46"/>
      <c r="F82" s="71"/>
      <c r="G82" s="46"/>
      <c r="H82" s="21"/>
    </row>
    <row r="83" spans="3:8" ht="12.75">
      <c r="C83" s="117"/>
      <c r="D83" s="114"/>
      <c r="E83" s="46"/>
      <c r="F83" s="71"/>
      <c r="G83" s="46"/>
      <c r="H83" s="21"/>
    </row>
    <row r="84" spans="3:8" ht="12.75">
      <c r="C84" s="114"/>
      <c r="D84" s="114"/>
      <c r="E84" s="46"/>
      <c r="F84" s="71"/>
      <c r="G84" s="46"/>
      <c r="H84" s="21"/>
    </row>
    <row r="85" spans="3:8" ht="12.75">
      <c r="C85" s="114"/>
      <c r="D85" s="114"/>
      <c r="E85" s="46"/>
      <c r="F85" s="71"/>
      <c r="G85" s="46"/>
      <c r="H85" s="21"/>
    </row>
    <row r="86" spans="3:8" ht="12.75">
      <c r="C86" s="114"/>
      <c r="D86" s="114"/>
      <c r="E86" s="46"/>
      <c r="F86" s="71"/>
      <c r="G86" s="46"/>
      <c r="H86" s="21"/>
    </row>
    <row r="87" spans="3:8" ht="12.75">
      <c r="C87" s="114"/>
      <c r="D87" s="114"/>
      <c r="E87" s="46"/>
      <c r="F87" s="71"/>
      <c r="G87" s="46"/>
      <c r="H87" s="21"/>
    </row>
    <row r="88" spans="3:8" ht="12.75">
      <c r="C88" s="114"/>
      <c r="D88" s="114"/>
      <c r="E88" s="46"/>
      <c r="F88" s="71"/>
      <c r="G88" s="46"/>
      <c r="H88" s="21"/>
    </row>
    <row r="89" spans="3:8" ht="12.75">
      <c r="C89" s="114"/>
      <c r="D89" s="114"/>
      <c r="E89" s="46"/>
      <c r="F89" s="71"/>
      <c r="G89" s="46"/>
      <c r="H89" s="21"/>
    </row>
    <row r="90" spans="3:8" ht="4.9" customHeight="1">
      <c r="C90" s="21"/>
      <c r="D90" s="21"/>
      <c r="E90" s="21"/>
      <c r="F90" s="21"/>
      <c r="G90" s="21"/>
      <c r="H90" s="21"/>
    </row>
    <row r="91" spans="3:8" ht="12.75">
      <c r="C91" s="21"/>
      <c r="D91" s="21"/>
      <c r="E91" s="21"/>
      <c r="F91" s="21"/>
      <c r="G91" s="21"/>
      <c r="H91" s="21"/>
    </row>
  </sheetData>
  <mergeCells count="1">
    <mergeCell ref="E75:G75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75E3B6-9701-4BD1-A7F6-217AB18CF3E4}"/>
</file>

<file path=customXml/itemProps2.xml><?xml version="1.0" encoding="utf-8"?>
<ds:datastoreItem xmlns:ds="http://schemas.openxmlformats.org/officeDocument/2006/customXml" ds:itemID="{E3021F14-2896-40FF-BF84-586BE595250A}"/>
</file>

<file path=customXml/itemProps3.xml><?xml version="1.0" encoding="utf-8"?>
<ds:datastoreItem xmlns:ds="http://schemas.openxmlformats.org/officeDocument/2006/customXml" ds:itemID="{10A66120-E432-4F12-A8B0-C0F921C40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2014-02-18T22:10:21Z</cp:lastPrinted>
  <dcterms:created xsi:type="dcterms:W3CDTF">2002-01-08T18:22:21Z</dcterms:created>
  <dcterms:modified xsi:type="dcterms:W3CDTF">2023-11-28T21:36:58Z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