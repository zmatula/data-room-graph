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mployees\BBryson\"/>
    </mc:Choice>
  </mc:AlternateContent>
  <bookViews>
    <workbookView xWindow="-120" yWindow="-120" windowWidth="29040" windowHeight="15840" activeTab="0"/>
  </bookViews>
  <sheets>
    <sheet name="VIII" sheetId="1" r:id="rId3"/>
    <sheet name="VIII-B" sheetId="2" r:id="rId4"/>
    <sheet name="VIII-C" sheetId="3" r:id="rId5"/>
    <sheet name="VIII-D" sheetId="4" r:id="rId6"/>
    <sheet name="Fund IX" sheetId="5" r:id="rId7"/>
    <sheet name="Fund IX-C" sheetId="6" r:id="rId8"/>
    <sheet name="Fund IX-D" sheetId="7" r:id="rId9"/>
    <sheet name="Fund X" sheetId="8" r:id="rId10"/>
    <sheet name="Fund X-C" sheetId="9" r:id="rId11"/>
    <sheet name="Fund X-D" sheetId="10" r:id="rId12"/>
    <sheet name="Fund XI" sheetId="11" r:id="rId13"/>
    <sheet name="Fund XI-C" sheetId="12" r:id="rId14"/>
    <sheet name="Fund XI-D" sheetId="14" r:id="rId15"/>
    <sheet name="Fund XII" sheetId="15" r:id="rId16"/>
    <sheet name="EETF I-A" sheetId="18" r:id="rId17"/>
    <sheet name="EFM II" sheetId="19" r:id="rId18"/>
    <sheet name="EFM II-C" sheetId="20" r:id="rId19"/>
    <sheet name="EFM II-D" sheetId="21" r:id="rId20"/>
    <sheet name="EFM III" sheetId="22" r:id="rId21"/>
    <sheet name="EFM III-C" sheetId="23" r:id="rId22"/>
    <sheet name="EFM III-D" sheetId="24" r:id="rId23"/>
    <sheet name="EFM IV" sheetId="25" r:id="rId24"/>
    <sheet name="EFM IV-C" sheetId="26" r:id="rId25"/>
    <sheet name="EFM IV-D" sheetId="27" r:id="rId26"/>
    <sheet name="EFM V" sheetId="28" r:id="rId27"/>
  </sheets>
  <externalReferences>
    <externalReference r:id="rId29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 localSheetId="24">'EFM V'!$C$50:$E$61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8">'EFM III'!$A$1:$O$142</definedName>
    <definedName name="_xlnm.Print_Area" localSheetId="21">'EFM IV'!$A$1:$O$94</definedName>
    <definedName name="_xlnm.Print_Area" localSheetId="24">'EFM V'!$A$1:$O$57</definedName>
    <definedName name="_xlnm.Print_Area" localSheetId="7">'Fund X'!$A$1:$J$185</definedName>
    <definedName name="_xlnm.Print_Area" localSheetId="10">'Fund XI'!$A$1:$J$152</definedName>
    <definedName name="_xlnm.Print_Area" localSheetId="11">'Fund XI-C'!$A$1:$J$152</definedName>
    <definedName name="_xlnm.Print_Area" localSheetId="12">'Fund XI-D'!$A$1:$J$152</definedName>
    <definedName name="_xlnm.Print_Area" localSheetId="13">'Fund XII'!$A$1:$J$54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6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81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<sst xmlns="http://schemas.openxmlformats.org/spreadsheetml/2006/main" count="612" uniqueCount="37">
  <si>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</si>
  <si>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</si>
  <si>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</si>
  <si>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</si>
  <si>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</si>
  <si>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</si>
  <si>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</si>
  <si>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</si>
  <si>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</si>
  <si>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</si>
  <si>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</si>
  <si>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</si>
  <si>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</si>
  <si>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</si>
  <si>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</si>
  <si>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</si>
  <si>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</si>
  <si>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</si>
  <si>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</si>
  <si>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</si>
  <si>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</si>
  <si>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</si>
  <si>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</si>
  <si>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</si>
  <si>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</si>
  <si>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</si>
  <si>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</si>
  <si>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</si>
  <si>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</si>
  <si>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</si>
  <si>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</si>
  <si>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</si>
  <si>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</si>
  <si>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</si>
  <si>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</si>
  <si>
    <t>Distributions 2024</t>
  </si>
  <si>
    <t>Contributions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</si>
</sst>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  <numFmt numFmtId="176" formatCode="_(* #,##0_);_(* \(#,##0\);_(* &quot;-&quot;??????_);_(@_)"/>
    <numFmt numFmtId="177" formatCode="0.0000%"/>
  </numFmts>
  <fonts count="32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 val="single"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 val="single"/>
      <sz val="10"/>
      <name val="Arial"/>
      <family val="2"/>
    </font>
    <font>
      <u val="single"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 vertical="top" wrapText="1"/>
    </xf>
    <xf numFmtId="14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43" fontId="10" fillId="0" borderId="0" xfId="0" applyNumberFormat="1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0" fontId="12" fillId="0" borderId="0" xfId="0" applyNumberFormat="1" applyFont="1" applyAlignment="1">
      <alignment horizontal="right" vertical="top" wrapText="1"/>
    </xf>
    <xf numFmtId="165" fontId="0" fillId="0" borderId="0" xfId="18" applyNumberFormat="1" applyFont="1"/>
    <xf numFmtId="43" fontId="13" fillId="0" borderId="0" xfId="0" applyNumberFormat="1" applyFont="1"/>
    <xf numFmtId="0" fontId="14" fillId="0" borderId="0" xfId="0" applyFont="1"/>
    <xf numFmtId="0" fontId="15" fillId="0" borderId="0" xfId="0" applyFont="1"/>
    <xf numFmtId="166" fontId="10" fillId="0" borderId="0" xfId="0" applyNumberFormat="1" applyFont="1"/>
    <xf numFmtId="43" fontId="16" fillId="0" borderId="0" xfId="0" applyNumberFormat="1" applyFont="1"/>
    <xf numFmtId="167" fontId="16" fillId="0" borderId="0" xfId="0" applyNumberFormat="1" applyFont="1"/>
    <xf numFmtId="0" fontId="10" fillId="0" borderId="0" xfId="0" applyFont="1" applyAlignment="1">
      <alignment horizontal="center"/>
    </xf>
    <xf numFmtId="43" fontId="10" fillId="0" borderId="0" xfId="18" applyFont="1" applyBorder="1"/>
    <xf numFmtId="168" fontId="0" fillId="0" borderId="0" xfId="16" applyNumberFormat="1" applyFont="1"/>
    <xf numFmtId="43" fontId="10" fillId="0" borderId="0" xfId="18" applyFont="1" applyFill="1" applyBorder="1"/>
    <xf numFmtId="43" fontId="10" fillId="0" borderId="0" xfId="18" applyFont="1" applyFill="1"/>
    <xf numFmtId="43" fontId="0" fillId="0" borderId="0" xfId="18" applyFont="1" applyFill="1"/>
    <xf numFmtId="43" fontId="0" fillId="0" borderId="0" xfId="0" applyNumberFormat="1"/>
    <xf numFmtId="0" fontId="0" fillId="0" borderId="0" xfId="0" applyFont="1"/>
    <xf numFmtId="169" fontId="10" fillId="0" borderId="0" xfId="20" applyNumberFormat="1" applyFont="1" applyFill="1" applyAlignment="1">
      <alignment horizontal="right" wrapText="1"/>
    </xf>
    <xf numFmtId="0" fontId="17" fillId="0" borderId="0" xfId="0" applyFont="1" applyAlignment="1">
      <alignment horizontal="center"/>
    </xf>
    <xf numFmtId="0" fontId="17" fillId="0" borderId="0" xfId="0" applyFont="1"/>
    <xf numFmtId="164" fontId="17" fillId="0" borderId="0" xfId="15" applyNumberFormat="1" applyFont="1" applyFill="1"/>
    <xf numFmtId="164" fontId="17" fillId="0" borderId="0" xfId="15" applyNumberFormat="1" applyFont="1" applyFill="1" applyBorder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164" fontId="0" fillId="0" borderId="0" xfId="15" applyNumberFormat="1" applyFont="1" applyFill="1"/>
    <xf numFmtId="9" fontId="0" fillId="0" borderId="0" xfId="15" applyFont="1" applyFill="1"/>
    <xf numFmtId="9" fontId="10" fillId="0" borderId="0" xfId="15" applyFont="1"/>
    <xf numFmtId="9" fontId="10" fillId="0" borderId="0" xfId="15" applyFont="1" applyFill="1"/>
    <xf numFmtId="170" fontId="10" fillId="0" borderId="0" xfId="0" applyNumberFormat="1" applyFont="1"/>
    <xf numFmtId="165" fontId="0" fillId="0" borderId="0" xfId="18" applyNumberFormat="1" applyFont="1" applyFill="1"/>
    <xf numFmtId="165" fontId="10" fillId="0" borderId="0" xfId="18" applyNumberFormat="1" applyFont="1" applyFill="1"/>
    <xf numFmtId="167" fontId="19" fillId="0" borderId="0" xfId="0" applyNumberFormat="1" applyFont="1" applyAlignment="1">
      <alignment horizontal="right"/>
    </xf>
    <xf numFmtId="43" fontId="10" fillId="2" borderId="0" xfId="0" applyNumberFormat="1" applyFont="1" applyFill="1"/>
    <xf numFmtId="0" fontId="10" fillId="2" borderId="0" xfId="0" applyFont="1" applyFill="1"/>
    <xf numFmtId="0" fontId="0" fillId="2" borderId="0" xfId="0" applyFill="1"/>
    <xf numFmtId="10" fontId="0" fillId="0" borderId="0" xfId="0" applyNumberFormat="1"/>
    <xf numFmtId="43" fontId="20" fillId="0" borderId="0" xfId="18" applyFont="1"/>
    <xf numFmtId="169" fontId="10" fillId="0" borderId="0" xfId="20" applyNumberFormat="1" applyFont="1" applyAlignment="1">
      <alignment horizontal="right" wrapText="1"/>
    </xf>
    <xf numFmtId="165" fontId="3" fillId="0" borderId="0" xfId="18" applyNumberFormat="1" applyFont="1" applyFill="1" applyBorder="1" applyAlignment="1">
      <alignment horizontal="right" vertical="top" wrapText="1"/>
    </xf>
    <xf numFmtId="164" fontId="18" fillId="0" borderId="0" xfId="0" applyNumberFormat="1" applyFont="1" applyAlignment="1">
      <alignment horizontal="right" vertical="top" wrapText="1"/>
    </xf>
    <xf numFmtId="165" fontId="9" fillId="0" borderId="0" xfId="18" applyNumberFormat="1" applyFont="1" applyFill="1" applyBorder="1" applyAlignment="1">
      <alignment horizontal="right" vertical="top" wrapText="1"/>
    </xf>
    <xf numFmtId="14" fontId="6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18" applyNumberFormat="1" applyFont="1" applyBorder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0" fillId="2" borderId="0" xfId="0" applyFont="1" applyFill="1"/>
    <xf numFmtId="0" fontId="4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0" fontId="3" fillId="2" borderId="0" xfId="0" applyNumberFormat="1" applyFont="1" applyFill="1" applyAlignment="1">
      <alignment horizontal="right" vertical="top" wrapText="1"/>
    </xf>
    <xf numFmtId="10" fontId="12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4" fontId="6" fillId="2" borderId="0" xfId="0" applyNumberFormat="1" applyFont="1" applyFill="1" applyAlignment="1">
      <alignment horizontal="center" vertical="top" wrapText="1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5" fillId="2" borderId="0" xfId="0" applyFont="1" applyFill="1"/>
    <xf numFmtId="165" fontId="21" fillId="0" borderId="0" xfId="18" applyNumberFormat="1" applyFont="1" applyFill="1" applyBorder="1" applyAlignment="1">
      <alignment horizontal="right" vertical="top" wrapText="1"/>
    </xf>
    <xf numFmtId="164" fontId="22" fillId="0" borderId="0" xfId="0" applyNumberFormat="1" applyFont="1" applyAlignment="1">
      <alignment horizontal="right" vertical="top" wrapText="1"/>
    </xf>
    <xf numFmtId="164" fontId="23" fillId="0" borderId="0" xfId="0" applyNumberFormat="1" applyFont="1" applyAlignment="1">
      <alignment horizontal="right" vertical="top" wrapText="1"/>
    </xf>
    <xf numFmtId="165" fontId="24" fillId="0" borderId="0" xfId="18" applyNumberFormat="1" applyFont="1" applyFill="1" applyBorder="1" applyAlignment="1">
      <alignment horizontal="right" wrapText="1"/>
    </xf>
    <xf numFmtId="164" fontId="25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 wrapText="1"/>
    </xf>
    <xf numFmtId="164" fontId="0" fillId="0" borderId="0" xfId="15" applyNumberFormat="1" applyFont="1"/>
    <xf numFmtId="9" fontId="0" fillId="0" borderId="0" xfId="15" applyFont="1"/>
    <xf numFmtId="14" fontId="4" fillId="0" borderId="0" xfId="0" applyNumberFormat="1" applyFont="1" applyAlignment="1">
      <alignment horizontal="center" vertical="top" wrapText="1"/>
    </xf>
    <xf numFmtId="164" fontId="0" fillId="2" borderId="0" xfId="15" applyNumberFormat="1" applyFont="1" applyFill="1"/>
    <xf numFmtId="171" fontId="16" fillId="0" borderId="0" xfId="0" applyNumberFormat="1" applyFont="1"/>
    <xf numFmtId="165" fontId="3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165" fontId="0" fillId="0" borderId="0" xfId="0" applyNumberFormat="1"/>
    <xf numFmtId="0" fontId="26" fillId="0" borderId="0" xfId="0" applyFont="1" applyAlignment="1">
      <alignment horizontal="center"/>
    </xf>
    <xf numFmtId="171" fontId="26" fillId="0" borderId="0" xfId="15" applyNumberFormat="1" applyFont="1" applyFill="1" applyBorder="1" applyAlignment="1">
      <alignment horizontal="center"/>
    </xf>
    <xf numFmtId="0" fontId="27" fillId="0" borderId="0" xfId="0" applyFont="1"/>
    <xf numFmtId="165" fontId="0" fillId="0" borderId="0" xfId="18" applyNumberFormat="1" applyFont="1" applyFill="1" applyBorder="1"/>
    <xf numFmtId="14" fontId="0" fillId="0" borderId="0" xfId="0" applyNumberFormat="1"/>
    <xf numFmtId="165" fontId="0" fillId="0" borderId="0" xfId="18" applyNumberFormat="1" applyFont="1" applyFill="1" applyBorder="1"/>
    <xf numFmtId="0" fontId="28" fillId="0" borderId="0" xfId="0" applyFont="1" applyAlignment="1">
      <alignment horizontal="center"/>
    </xf>
    <xf numFmtId="0" fontId="28" fillId="0" borderId="0" xfId="0" applyFont="1"/>
    <xf numFmtId="43" fontId="0" fillId="0" borderId="0" xfId="0" applyNumberFormat="1" applyFont="1"/>
    <xf numFmtId="0" fontId="26" fillId="0" borderId="0" xfId="0" applyFont="1"/>
    <xf numFmtId="171" fontId="0" fillId="0" borderId="0" xfId="15" applyNumberFormat="1" applyFont="1" applyFill="1"/>
    <xf numFmtId="0" fontId="0" fillId="0" borderId="0" xfId="0" applyFont="1" applyAlignment="1">
      <alignment horizontal="right"/>
    </xf>
    <xf numFmtId="43" fontId="10" fillId="2" borderId="0" xfId="18" applyFont="1" applyFill="1"/>
    <xf numFmtId="43" fontId="16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10" fillId="0" borderId="0" xfId="0" applyNumberFormat="1" applyFont="1"/>
    <xf numFmtId="173" fontId="10" fillId="0" borderId="0" xfId="0" applyNumberFormat="1" applyFont="1"/>
    <xf numFmtId="9" fontId="0" fillId="0" borderId="0" xfId="15" applyFont="1"/>
    <xf numFmtId="174" fontId="0" fillId="0" borderId="0" xfId="0" applyNumberFormat="1"/>
    <xf numFmtId="0" fontId="31" fillId="0" borderId="0" xfId="0" applyFont="1"/>
    <xf numFmtId="14" fontId="10" fillId="0" borderId="0" xfId="0" applyNumberFormat="1" applyFont="1"/>
    <xf numFmtId="164" fontId="0" fillId="0" borderId="0" xfId="15" applyNumberFormat="1" applyFont="1" applyFill="1" applyBorder="1"/>
    <xf numFmtId="164" fontId="0" fillId="0" borderId="0" xfId="0" applyNumberFormat="1"/>
    <xf numFmtId="0" fontId="31" fillId="0" borderId="0" xfId="0" applyFont="1" applyAlignment="1">
      <alignment horizontal="right"/>
    </xf>
    <xf numFmtId="165" fontId="3" fillId="0" borderId="0" xfId="18" applyNumberFormat="1" applyFont="1" applyFill="1" applyBorder="1" applyAlignment="1">
      <alignment horizontal="right" vertical="top"/>
    </xf>
    <xf numFmtId="175" fontId="10" fillId="0" borderId="0" xfId="0" applyNumberFormat="1" applyFont="1" applyAlignment="1">
      <alignment horizontal="left"/>
    </xf>
    <xf numFmtId="41" fontId="3" fillId="0" borderId="0" xfId="18" applyNumberFormat="1" applyFont="1" applyFill="1" applyBorder="1" applyAlignment="1">
      <alignment horizontal="right" vertical="top" wrapText="1"/>
    </xf>
    <xf numFmtId="176" fontId="0" fillId="0" borderId="0" xfId="0" applyNumberFormat="1"/>
    <xf numFmtId="165" fontId="3" fillId="3" borderId="0" xfId="18" applyNumberFormat="1" applyFont="1" applyFill="1" applyBorder="1" applyAlignment="1">
      <alignment horizontal="right" vertical="top" wrapText="1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center" wrapText="1"/>
    </xf>
    <xf numFmtId="0" fontId="3" fillId="0" borderId="0" xfId="0" applyFont="1" applyFill="1" applyAlignment="1">
      <alignment vertical="top" wrapText="1"/>
    </xf>
    <xf numFmtId="164" fontId="8" fillId="0" borderId="0" xfId="0" applyNumberFormat="1" applyFont="1" applyFill="1" applyAlignment="1">
      <alignment horizontal="right" vertical="top" wrapText="1"/>
    </xf>
    <xf numFmtId="0" fontId="11" fillId="0" borderId="0" xfId="0" applyFont="1" applyFill="1"/>
    <xf numFmtId="164" fontId="5" fillId="0" borderId="0" xfId="0" applyNumberFormat="1" applyFont="1" applyFill="1" applyAlignment="1">
      <alignment horizontal="right" vertical="top" wrapText="1"/>
    </xf>
    <xf numFmtId="164" fontId="3" fillId="0" borderId="0" xfId="0" applyNumberFormat="1" applyFont="1" applyFill="1" applyAlignment="1">
      <alignment horizontal="right" vertical="top" wrapText="1"/>
    </xf>
    <xf numFmtId="164" fontId="12" fillId="0" borderId="0" xfId="0" applyNumberFormat="1" applyFont="1" applyFill="1" applyAlignment="1">
      <alignment horizontal="right" vertical="top" wrapText="1"/>
    </xf>
    <xf numFmtId="0" fontId="0" fillId="0" borderId="0" xfId="0" applyFill="1"/>
    <xf numFmtId="165" fontId="0" fillId="0" borderId="0" xfId="0" applyNumberFormat="1" applyFill="1"/>
    <xf numFmtId="177" fontId="0" fillId="0" borderId="0" xfId="15" applyNumberFormat="1" applyFont="1" applyFill="1"/>
    <xf numFmtId="0" fontId="0" fillId="0" borderId="0" xfId="0" applyFont="1" applyFill="1"/>
    <xf numFmtId="43" fontId="0" fillId="0" borderId="0" xfId="0" applyNumberFormat="1" applyFill="1"/>
    <xf numFmtId="43" fontId="16" fillId="0" borderId="0" xfId="0" applyNumberFormat="1" applyFont="1" applyFill="1"/>
    <xf numFmtId="166" fontId="10" fillId="0" borderId="0" xfId="0" applyNumberFormat="1" applyFont="1" applyFill="1"/>
    <xf numFmtId="0" fontId="10" fillId="0" borderId="0" xfId="0" applyFont="1" applyFill="1"/>
    <xf numFmtId="43" fontId="10" fillId="0" borderId="0" xfId="0" applyNumberFormat="1" applyFont="1" applyFill="1"/>
    <xf numFmtId="175" fontId="10" fillId="0" borderId="0" xfId="0" applyNumberFormat="1" applyFont="1" applyFill="1" applyAlignment="1">
      <alignment horizontal="left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externalLink" Target="externalLinks/externalLink1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customXml" Target="../customXml/item2.xml"/><Relationship Id="rId23" Type="http://schemas.openxmlformats.org/officeDocument/2006/relationships/worksheet" Target="worksheets/sheet21.xml"/><Relationship Id="rId28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1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30" Type="http://schemas.openxmlformats.org/officeDocument/2006/relationships/calcChain" Target="calcChain.xml"/><Relationship Id="rId14" Type="http://schemas.openxmlformats.org/officeDocument/2006/relationships/worksheet" Target="worksheets/sheet12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comments" Target="../comments15.xml" /><Relationship Id="rId2" Type="http://schemas.openxmlformats.org/officeDocument/2006/relationships/vmlDrawing" Target="../drawings/vmlDrawing16.vml" /><Relationship Id="rId3" Type="http://schemas.openxmlformats.org/officeDocument/2006/relationships/vmlDrawing" Target="../drawings/vmlDrawing17.vml" /><Relationship Id="rId4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Relationship Id="rId2" Type="http://schemas.openxmlformats.org/officeDocument/2006/relationships/printerSettings" Target="../printerSettings/printerSettings2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tabColor rgb="FF92D050"/>
    <pageSetUpPr fitToPage="1"/>
  </sheetPr>
  <dimension ref="B4:P176"/>
  <sheetViews>
    <sheetView showGridLines="0" tabSelected="1" view="pageLayout" zoomScaleNormal="100" workbookViewId="0" topLeftCell="A121">
      <selection pane="topLeft" activeCell="E9" sqref="E9"/>
    </sheetView>
  </sheetViews>
  <sheetFormatPr defaultRowHeight="12.75"/>
  <cols>
    <col min="2" max="2" width="4.857142857142857" customWidth="1"/>
    <col min="3" max="3" width="46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0" ht="12.75">
      <c r="C10" s="11"/>
      <c r="D10" s="11"/>
      <c r="E10" s="12"/>
      <c r="F10" s="11"/>
      <c r="G10" s="60"/>
      <c r="H10" s="13"/>
      <c r="I10" s="14"/>
      <c r="J10" s="15"/>
    </row>
    <row r="11" spans="3:10" ht="12.75">
      <c r="C11" s="11"/>
      <c r="D11" s="11"/>
      <c r="E11" s="12"/>
      <c r="F11" s="11"/>
      <c r="G11" s="12"/>
      <c r="H11" s="13"/>
      <c r="I11" s="14"/>
      <c r="J11" s="15"/>
    </row>
    <row r="12" spans="3:10" ht="15.75">
      <c r="C12" s="16"/>
      <c r="D12" s="16"/>
      <c r="E12" s="17"/>
      <c r="F12" s="16"/>
      <c r="G12" s="17"/>
      <c r="H12" s="5"/>
      <c r="I12" s="14"/>
      <c r="J12" s="15"/>
    </row>
    <row r="13" spans="3:10" ht="12.75">
      <c r="C13" s="11"/>
      <c r="D13" s="11"/>
      <c r="E13" s="18"/>
      <c r="F13" s="11"/>
      <c r="G13" s="58"/>
      <c r="H13" s="19"/>
      <c r="I13" s="14"/>
      <c r="J13" s="15"/>
    </row>
    <row r="14" spans="3:10" ht="12.75">
      <c r="C14" s="11"/>
      <c r="D14" s="11"/>
      <c r="E14" s="20"/>
      <c r="F14" s="11"/>
      <c r="G14" s="58"/>
      <c r="H14" s="21"/>
      <c r="I14" s="14"/>
      <c r="J14" s="15"/>
    </row>
    <row r="15" spans="3:10" ht="12.75">
      <c r="C15" s="11"/>
      <c r="D15" s="11"/>
      <c r="E15" s="12"/>
      <c r="F15" s="11"/>
      <c r="G15" s="12"/>
      <c r="H15" s="13"/>
      <c r="I15" s="14"/>
      <c r="J15" s="15"/>
    </row>
    <row r="16" spans="3:10" ht="15.75">
      <c r="C16" s="5"/>
      <c r="D16" s="5"/>
      <c r="E16" s="17"/>
      <c r="F16" s="5"/>
      <c r="G16" s="17"/>
      <c r="H16" s="5"/>
      <c r="I16" s="14"/>
      <c r="J16" s="15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G140</f>
        <v>0.006303539872169495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1.0330538852538584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8.31429E-4</v>
      </c>
      <c r="D22" s="15"/>
      <c r="E22" s="15"/>
      <c r="F22" s="15"/>
      <c r="G22" s="29"/>
      <c r="H22" s="15"/>
      <c r="I22" s="15"/>
      <c r="J22" s="15"/>
    </row>
    <row r="23" spans="3:16" ht="12.75">
      <c r="C23" s="15" t="s">
        <v>3</v>
      </c>
      <c r="D23" s="15"/>
      <c r="E23" s="26">
        <v>40512</v>
      </c>
      <c r="F23" s="15"/>
      <c r="G23" s="30">
        <v>-63000</v>
      </c>
      <c r="H23" s="15"/>
      <c r="I23" s="14"/>
      <c r="J23" s="14"/>
      <c r="P23" s="31"/>
    </row>
    <row r="24" spans="3:16" ht="12.75">
      <c r="C24" s="15" t="s">
        <v>4</v>
      </c>
      <c r="D24" s="15"/>
      <c r="E24" s="26">
        <v>40570</v>
      </c>
      <c r="F24" s="32"/>
      <c r="G24" s="30">
        <v>-31500</v>
      </c>
      <c r="H24" s="15"/>
      <c r="I24" s="14"/>
      <c r="J24" s="14"/>
      <c r="P24" s="31"/>
    </row>
    <row r="25" spans="3:16" ht="12.75">
      <c r="C25" s="15"/>
      <c r="D25" s="15"/>
      <c r="E25" s="26">
        <v>40661</v>
      </c>
      <c r="F25" s="32"/>
      <c r="G25" s="30">
        <v>-24194.61</v>
      </c>
      <c r="H25" s="15"/>
      <c r="I25" s="14"/>
      <c r="J25" s="14"/>
      <c r="P25" s="31"/>
    </row>
    <row r="26" spans="3:16" ht="12.75">
      <c r="C26" s="15"/>
      <c r="D26" s="15"/>
      <c r="E26" s="26">
        <v>40704</v>
      </c>
      <c r="F26" s="32"/>
      <c r="G26" s="30">
        <v>-38162.64</v>
      </c>
      <c r="H26" s="15"/>
      <c r="I26" s="14"/>
      <c r="J26" s="14"/>
      <c r="P26" s="31"/>
    </row>
    <row r="27" spans="3:16" ht="12.75">
      <c r="C27" s="15"/>
      <c r="D27" s="15"/>
      <c r="E27" s="26">
        <v>40751</v>
      </c>
      <c r="F27" s="32"/>
      <c r="G27" s="30">
        <v>-36499.78</v>
      </c>
      <c r="H27" s="15"/>
      <c r="I27" s="14"/>
      <c r="J27" s="14"/>
      <c r="P27" s="31"/>
    </row>
    <row r="28" spans="3:16" ht="12.75">
      <c r="C28" s="15"/>
      <c r="D28" s="15"/>
      <c r="E28" s="26">
        <v>40765</v>
      </c>
      <c r="F28" s="32"/>
      <c r="G28" s="30">
        <v>-60694.39</v>
      </c>
      <c r="H28" s="15"/>
      <c r="I28" s="14"/>
      <c r="J28" s="14"/>
      <c r="P28" s="31"/>
    </row>
    <row r="29" spans="3:16" ht="12.75">
      <c r="C29" s="15"/>
      <c r="D29" s="15"/>
      <c r="E29" s="26">
        <v>40813</v>
      </c>
      <c r="F29" s="32"/>
      <c r="G29" s="30">
        <v>-53460.95</v>
      </c>
      <c r="H29" s="15"/>
      <c r="I29" s="14"/>
      <c r="J29" s="14"/>
      <c r="P29" s="31"/>
    </row>
    <row r="30" spans="3:16" ht="12.75">
      <c r="C30" s="15"/>
      <c r="D30" s="15"/>
      <c r="E30" s="26">
        <v>40879</v>
      </c>
      <c r="F30" s="32"/>
      <c r="G30" s="30">
        <v>-25691.19</v>
      </c>
      <c r="H30" s="15"/>
      <c r="I30" s="14"/>
      <c r="J30" s="14"/>
      <c r="P30" s="31"/>
    </row>
    <row r="31" spans="3:16" ht="12.75">
      <c r="C31" s="15"/>
      <c r="D31" s="15"/>
      <c r="E31" s="26">
        <v>40886</v>
      </c>
      <c r="F31" s="32"/>
      <c r="G31" s="30">
        <v>-35003.2</v>
      </c>
      <c r="H31" s="15"/>
      <c r="I31" s="14"/>
      <c r="J31" s="14"/>
      <c r="P31" s="31"/>
    </row>
    <row r="32" spans="3:16" ht="12.75">
      <c r="C32" s="15" t="s">
        <v>5</v>
      </c>
      <c r="D32" s="15"/>
      <c r="E32" s="26">
        <v>40927</v>
      </c>
      <c r="F32" s="32"/>
      <c r="G32" s="30">
        <v>-58532.67</v>
      </c>
      <c r="H32" s="15"/>
      <c r="I32" s="14"/>
      <c r="J32" s="14"/>
      <c r="P32" s="31"/>
    </row>
    <row r="33" spans="3:16" ht="12.75">
      <c r="C33" s="15"/>
      <c r="D33" s="15"/>
      <c r="E33" s="26">
        <v>40942</v>
      </c>
      <c r="F33" s="32"/>
      <c r="G33" s="30">
        <v>-274371.9</v>
      </c>
      <c r="H33" s="15"/>
      <c r="I33" s="14"/>
      <c r="J33" s="14"/>
      <c r="P33" s="31"/>
    </row>
    <row r="34" spans="3:16" ht="12.75">
      <c r="C34" s="15"/>
      <c r="D34" s="15"/>
      <c r="E34" s="26">
        <v>40970</v>
      </c>
      <c r="F34" s="32"/>
      <c r="G34" s="30">
        <v>-43650.08</v>
      </c>
      <c r="H34" s="15"/>
      <c r="I34" s="14"/>
      <c r="J34" s="14"/>
      <c r="P34" s="31"/>
    </row>
    <row r="35" spans="3:16" ht="12.75">
      <c r="C35" s="15"/>
      <c r="D35" s="15"/>
      <c r="E35" s="26">
        <v>41001</v>
      </c>
      <c r="F35" s="32"/>
      <c r="G35" s="30">
        <v>-25524.90</v>
      </c>
      <c r="H35" s="15"/>
      <c r="I35" s="14"/>
      <c r="J35" s="14"/>
      <c r="P35" s="31"/>
    </row>
    <row r="36" spans="3:16" ht="12.75">
      <c r="C36" s="15"/>
      <c r="D36" s="15"/>
      <c r="E36" s="26">
        <v>41024</v>
      </c>
      <c r="F36" s="32"/>
      <c r="G36" s="30">
        <v>-30264.05</v>
      </c>
      <c r="H36" s="15"/>
      <c r="I36" s="14"/>
      <c r="J36" s="14"/>
      <c r="P36" s="31"/>
    </row>
    <row r="37" spans="3:16" ht="12.75">
      <c r="C37" s="15"/>
      <c r="D37" s="15"/>
      <c r="E37" s="26">
        <v>41054</v>
      </c>
      <c r="F37" s="32"/>
      <c r="G37" s="30">
        <v>-39409.78</v>
      </c>
      <c r="H37" s="15"/>
      <c r="I37" s="14"/>
      <c r="J37" s="14"/>
      <c r="P37" s="31"/>
    </row>
    <row r="38" spans="3:16" ht="12.75">
      <c r="C38" s="15"/>
      <c r="D38" s="15"/>
      <c r="E38" s="26">
        <v>41080</v>
      </c>
      <c r="F38" s="32"/>
      <c r="G38" s="30">
        <v>-73082.70</v>
      </c>
      <c r="H38" s="15"/>
      <c r="I38" s="14"/>
      <c r="J38" s="14"/>
      <c r="P38" s="31"/>
    </row>
    <row r="39" spans="3:16" ht="12.75">
      <c r="C39" s="15"/>
      <c r="D39" s="15"/>
      <c r="E39" s="26">
        <v>41103</v>
      </c>
      <c r="F39" s="32"/>
      <c r="G39" s="30">
        <v>-23695.76</v>
      </c>
      <c r="H39" s="15"/>
      <c r="I39" s="14"/>
      <c r="J39" s="14"/>
      <c r="P39" s="31"/>
    </row>
    <row r="40" spans="3:16" ht="12.75">
      <c r="C40" s="15"/>
      <c r="D40" s="15"/>
      <c r="E40" s="26">
        <v>41121</v>
      </c>
      <c r="F40" s="32"/>
      <c r="G40" s="30">
        <v>-22864.33</v>
      </c>
      <c r="H40" s="15"/>
      <c r="I40" s="14"/>
      <c r="J40" s="14"/>
      <c r="P40" s="31"/>
    </row>
    <row r="41" spans="3:16" ht="12.75">
      <c r="C41" s="15"/>
      <c r="D41" s="15"/>
      <c r="E41" s="26">
        <v>41152</v>
      </c>
      <c r="F41" s="32"/>
      <c r="G41" s="30">
        <v>-30264</v>
      </c>
      <c r="H41" s="15"/>
      <c r="I41" s="14"/>
      <c r="J41" s="14"/>
      <c r="P41" s="31"/>
    </row>
    <row r="42" spans="3:16" ht="12.75">
      <c r="C42" s="15"/>
      <c r="D42" s="15"/>
      <c r="E42" s="26">
        <v>41180</v>
      </c>
      <c r="F42" s="32"/>
      <c r="G42" s="30">
        <v>-57368.58</v>
      </c>
      <c r="H42" s="15"/>
      <c r="I42" s="14"/>
      <c r="J42" s="14"/>
      <c r="P42" s="31"/>
    </row>
    <row r="43" spans="3:16" ht="12.75">
      <c r="C43" s="15"/>
      <c r="D43" s="15"/>
      <c r="E43" s="26">
        <v>41194</v>
      </c>
      <c r="F43" s="32"/>
      <c r="G43" s="30">
        <v>-28185.43</v>
      </c>
      <c r="H43" s="15"/>
      <c r="I43" s="14"/>
      <c r="J43" s="14"/>
      <c r="P43" s="31"/>
    </row>
    <row r="44" spans="3:16" ht="12.75">
      <c r="C44" s="15"/>
      <c r="D44" s="15"/>
      <c r="E44" s="26">
        <v>41250</v>
      </c>
      <c r="F44" s="32"/>
      <c r="G44" s="30">
        <v>-127125.41</v>
      </c>
      <c r="H44" s="15"/>
      <c r="I44" s="14"/>
      <c r="J44" s="14"/>
      <c r="P44" s="31"/>
    </row>
    <row r="45" spans="3:16" ht="12.75">
      <c r="C45" s="15"/>
      <c r="D45" s="15"/>
      <c r="E45" s="26">
        <v>41264</v>
      </c>
      <c r="F45" s="32"/>
      <c r="G45" s="30">
        <v>-112908</v>
      </c>
      <c r="H45" s="15"/>
      <c r="I45" s="14"/>
      <c r="J45" s="14"/>
      <c r="P45" s="31"/>
    </row>
    <row r="46" spans="3:16" ht="12.75">
      <c r="C46" s="15" t="s">
        <v>6</v>
      </c>
      <c r="D46" s="15"/>
      <c r="E46" s="26">
        <v>41030</v>
      </c>
      <c r="F46" s="32"/>
      <c r="G46" s="30">
        <v>112056.47</v>
      </c>
      <c r="H46" s="15"/>
      <c r="I46" s="14"/>
      <c r="J46" s="14"/>
      <c r="P46" s="31"/>
    </row>
    <row r="47" spans="3:16" ht="12.75">
      <c r="C47" s="15"/>
      <c r="D47" s="15"/>
      <c r="E47" s="26">
        <v>41108</v>
      </c>
      <c r="F47" s="32"/>
      <c r="G47" s="30">
        <v>24215.98</v>
      </c>
      <c r="H47" s="15"/>
      <c r="I47" s="14"/>
      <c r="J47" s="14"/>
      <c r="P47" s="31"/>
    </row>
    <row r="48" spans="3:16" ht="12.75">
      <c r="C48" s="15"/>
      <c r="D48" s="15"/>
      <c r="E48" s="26">
        <v>41137</v>
      </c>
      <c r="F48" s="32"/>
      <c r="G48" s="30">
        <v>10363.64</v>
      </c>
      <c r="H48" s="15"/>
      <c r="I48" s="14"/>
      <c r="J48" s="14"/>
      <c r="P48" s="31"/>
    </row>
    <row r="49" spans="3:16" ht="12.75">
      <c r="C49" s="15"/>
      <c r="D49" s="15"/>
      <c r="E49" s="26">
        <v>41173</v>
      </c>
      <c r="F49" s="32"/>
      <c r="G49" s="30">
        <v>223637.66</v>
      </c>
      <c r="H49" s="15"/>
      <c r="I49" s="14"/>
      <c r="J49" s="14"/>
      <c r="P49" s="31"/>
    </row>
    <row r="50" spans="3:16" ht="12.75">
      <c r="C50" s="15" t="s">
        <v>7</v>
      </c>
      <c r="D50" s="15"/>
      <c r="E50" s="26">
        <v>41284</v>
      </c>
      <c r="F50" s="32"/>
      <c r="G50" s="30">
        <v>-33340.28</v>
      </c>
      <c r="H50" s="15"/>
      <c r="I50" s="14"/>
      <c r="J50" s="14"/>
      <c r="P50" s="31"/>
    </row>
    <row r="51" spans="3:16" ht="12.75">
      <c r="C51" s="15"/>
      <c r="D51" s="15"/>
      <c r="E51" s="26">
        <v>41298</v>
      </c>
      <c r="F51" s="32"/>
      <c r="G51" s="30">
        <v>-42652.29</v>
      </c>
      <c r="H51" s="15"/>
      <c r="I51" s="14"/>
      <c r="J51" s="14"/>
      <c r="P51" s="31"/>
    </row>
    <row r="52" spans="3:16" ht="12.75">
      <c r="C52" s="15"/>
      <c r="D52" s="15"/>
      <c r="E52" s="26">
        <v>41345</v>
      </c>
      <c r="F52" s="32"/>
      <c r="G52" s="30">
        <v>-43733.14</v>
      </c>
      <c r="H52" s="15"/>
      <c r="I52" s="14"/>
      <c r="J52" s="14"/>
      <c r="P52" s="31"/>
    </row>
    <row r="53" spans="3:16" ht="12.75">
      <c r="C53" s="15"/>
      <c r="D53" s="15"/>
      <c r="E53" s="26">
        <v>41360</v>
      </c>
      <c r="F53" s="32"/>
      <c r="G53" s="30">
        <v>-39160.28</v>
      </c>
      <c r="H53" s="15"/>
      <c r="I53" s="14"/>
      <c r="J53" s="14"/>
      <c r="P53" s="31"/>
    </row>
    <row r="54" spans="3:16" ht="12.75">
      <c r="C54" s="15"/>
      <c r="D54" s="15"/>
      <c r="E54" s="26">
        <v>41393</v>
      </c>
      <c r="F54" s="32"/>
      <c r="G54" s="30">
        <v>-31511.15</v>
      </c>
      <c r="H54" s="15"/>
      <c r="I54" s="14"/>
      <c r="J54" s="14"/>
      <c r="P54" s="31"/>
    </row>
    <row r="55" spans="3:16" ht="12.75">
      <c r="C55" s="15"/>
      <c r="D55" s="15"/>
      <c r="E55" s="26">
        <v>41404</v>
      </c>
      <c r="F55" s="32"/>
      <c r="G55" s="30">
        <v>-42901.72</v>
      </c>
      <c r="H55" s="15"/>
      <c r="I55" s="14"/>
      <c r="J55" s="14"/>
      <c r="P55" s="31"/>
    </row>
    <row r="56" spans="3:16" ht="12.75">
      <c r="C56" s="15"/>
      <c r="D56" s="15"/>
      <c r="E56" s="26">
        <v>41423</v>
      </c>
      <c r="F56" s="32"/>
      <c r="G56" s="30">
        <v>-37164.86</v>
      </c>
      <c r="H56" s="15"/>
      <c r="I56" s="14"/>
      <c r="J56" s="14"/>
      <c r="P56" s="31"/>
    </row>
    <row r="57" spans="3:16" ht="12.75">
      <c r="C57" s="15"/>
      <c r="D57" s="15"/>
      <c r="E57" s="26">
        <v>41446</v>
      </c>
      <c r="F57" s="32"/>
      <c r="G57" s="30">
        <v>-113573.14</v>
      </c>
      <c r="H57" s="15"/>
      <c r="I57" s="14"/>
      <c r="J57" s="14"/>
      <c r="P57" s="31"/>
    </row>
    <row r="58" spans="3:16" ht="12.75">
      <c r="C58" s="15"/>
      <c r="D58" s="15"/>
      <c r="E58" s="26">
        <v>41481</v>
      </c>
      <c r="F58" s="32"/>
      <c r="G58" s="30">
        <v>-35502</v>
      </c>
      <c r="H58" s="15"/>
      <c r="I58" s="14"/>
      <c r="J58" s="14"/>
      <c r="P58" s="31"/>
    </row>
    <row r="59" spans="3:16" ht="12.75">
      <c r="C59" s="15"/>
      <c r="D59" s="15"/>
      <c r="E59" s="26">
        <v>41501</v>
      </c>
      <c r="F59" s="32"/>
      <c r="G59" s="30">
        <v>-33423.42</v>
      </c>
      <c r="H59" s="15"/>
      <c r="I59" s="14"/>
      <c r="J59" s="14"/>
      <c r="P59" s="31"/>
    </row>
    <row r="60" spans="3:16" ht="12.75">
      <c r="C60" s="15"/>
      <c r="D60" s="15"/>
      <c r="E60" s="26">
        <v>41514</v>
      </c>
      <c r="F60" s="32"/>
      <c r="G60" s="30">
        <v>-48472.28</v>
      </c>
      <c r="H60" s="15"/>
      <c r="I60" s="14"/>
      <c r="J60" s="14"/>
      <c r="P60" s="31"/>
    </row>
    <row r="61" spans="3:16" ht="12.75">
      <c r="C61" s="15"/>
      <c r="D61" s="15"/>
      <c r="E61" s="26">
        <v>41551</v>
      </c>
      <c r="F61" s="32"/>
      <c r="G61" s="30">
        <v>-28933.72</v>
      </c>
      <c r="H61" s="15"/>
      <c r="I61" s="14"/>
      <c r="J61" s="14"/>
      <c r="P61" s="31"/>
    </row>
    <row r="62" spans="3:16" ht="12.75">
      <c r="C62" s="15"/>
      <c r="D62" s="15"/>
      <c r="E62" s="26">
        <v>41577</v>
      </c>
      <c r="F62" s="32"/>
      <c r="G62" s="30">
        <v>-46310.57</v>
      </c>
      <c r="H62" s="15"/>
      <c r="P62" s="31"/>
    </row>
    <row r="63" spans="3:16" ht="12.75">
      <c r="C63" s="15"/>
      <c r="D63" s="15"/>
      <c r="E63" s="26">
        <v>41599</v>
      </c>
      <c r="F63" s="32"/>
      <c r="G63" s="30">
        <v>-29266.29</v>
      </c>
      <c r="H63" s="15"/>
      <c r="P63" s="31"/>
    </row>
    <row r="64" spans="3:16" ht="12.75">
      <c r="C64" s="15"/>
      <c r="D64" s="15"/>
      <c r="E64" s="26">
        <v>41624</v>
      </c>
      <c r="F64" s="32"/>
      <c r="G64" s="30">
        <v>-58532.56</v>
      </c>
      <c r="H64" s="15"/>
      <c r="P64" s="31"/>
    </row>
    <row r="65" spans="3:16" ht="12.75">
      <c r="C65" s="15" t="s">
        <v>8</v>
      </c>
      <c r="D65" s="15"/>
      <c r="E65" s="26">
        <v>41418</v>
      </c>
      <c r="F65" s="32"/>
      <c r="G65" s="30">
        <v>13529.21</v>
      </c>
      <c r="H65" s="15"/>
      <c r="P65" s="31"/>
    </row>
    <row r="66" spans="3:16" ht="12.75">
      <c r="C66" s="15"/>
      <c r="D66" s="15"/>
      <c r="E66" s="26">
        <v>41618</v>
      </c>
      <c r="F66" s="32"/>
      <c r="G66" s="30">
        <v>32263.89</v>
      </c>
      <c r="H66" s="15"/>
      <c r="P66" s="31"/>
    </row>
    <row r="67" spans="3:16" ht="12.75">
      <c r="C67" s="15" t="s">
        <v>9</v>
      </c>
      <c r="D67" s="15"/>
      <c r="E67" s="26">
        <v>41646</v>
      </c>
      <c r="F67" s="32"/>
      <c r="G67" s="32">
        <v>-41322</v>
      </c>
      <c r="H67" s="15"/>
      <c r="I67" s="14"/>
      <c r="J67" s="15"/>
      <c r="P67" s="31"/>
    </row>
    <row r="68" spans="3:16" ht="12.75">
      <c r="C68" s="15"/>
      <c r="D68" s="15"/>
      <c r="E68" s="26">
        <v>41670</v>
      </c>
      <c r="F68" s="32"/>
      <c r="G68" s="32">
        <v>-30679.72</v>
      </c>
      <c r="H68" s="15"/>
      <c r="I68" s="14"/>
      <c r="J68" s="15"/>
      <c r="P68" s="31"/>
    </row>
    <row r="69" spans="3:16" ht="12.75">
      <c r="C69" s="15"/>
      <c r="D69" s="15"/>
      <c r="E69" s="26">
        <v>41697</v>
      </c>
      <c r="F69" s="32"/>
      <c r="G69" s="32">
        <v>-54624.85</v>
      </c>
      <c r="H69" s="15"/>
      <c r="I69" s="14"/>
      <c r="J69" s="15"/>
      <c r="P69" s="31"/>
    </row>
    <row r="70" spans="3:16" ht="12.75">
      <c r="C70" s="15"/>
      <c r="D70" s="15"/>
      <c r="E70" s="26">
        <v>41704</v>
      </c>
      <c r="F70" s="32"/>
      <c r="G70" s="32">
        <v>-39576</v>
      </c>
      <c r="H70" s="15"/>
      <c r="I70" s="14"/>
      <c r="J70" s="15"/>
      <c r="P70" s="31"/>
    </row>
    <row r="71" spans="3:16" ht="12.75">
      <c r="C71" s="15"/>
      <c r="D71" s="15"/>
      <c r="E71" s="26">
        <v>41718</v>
      </c>
      <c r="F71" s="32"/>
      <c r="G71" s="32">
        <v>-34587.43</v>
      </c>
      <c r="H71" s="15"/>
      <c r="I71" s="14"/>
      <c r="J71" s="15"/>
      <c r="P71" s="31"/>
    </row>
    <row r="72" spans="3:16" ht="12.75">
      <c r="C72" s="15"/>
      <c r="D72" s="15"/>
      <c r="E72" s="26">
        <v>41750</v>
      </c>
      <c r="F72" s="32"/>
      <c r="G72" s="32">
        <v>-54957.43</v>
      </c>
      <c r="H72" s="15"/>
      <c r="I72" s="14"/>
      <c r="J72" s="15"/>
      <c r="P72" s="31"/>
    </row>
    <row r="73" spans="3:16" ht="12.75">
      <c r="C73" s="15"/>
      <c r="D73" s="15"/>
      <c r="E73" s="26">
        <v>41779</v>
      </c>
      <c r="F73" s="32"/>
      <c r="G73" s="32">
        <v>-54874.28</v>
      </c>
      <c r="H73" s="15"/>
      <c r="P73" s="31"/>
    </row>
    <row r="74" spans="3:16" ht="12.75">
      <c r="C74" s="15"/>
      <c r="D74" s="15"/>
      <c r="E74" s="26">
        <v>41814</v>
      </c>
      <c r="F74" s="32"/>
      <c r="G74" s="32">
        <v>-40490.57</v>
      </c>
      <c r="H74" s="15"/>
      <c r="P74" s="31"/>
    </row>
    <row r="75" spans="3:16" ht="12.75">
      <c r="C75" s="15"/>
      <c r="D75" s="15"/>
      <c r="E75" s="26">
        <v>41877</v>
      </c>
      <c r="F75" s="32"/>
      <c r="G75" s="32">
        <v>-63770.57</v>
      </c>
      <c r="H75" s="15"/>
      <c r="P75" s="31"/>
    </row>
    <row r="76" spans="3:16" ht="12.75">
      <c r="C76" s="15"/>
      <c r="D76" s="15"/>
      <c r="E76" s="26">
        <v>41913</v>
      </c>
      <c r="F76" s="32"/>
      <c r="G76" s="32">
        <v>-26439.43</v>
      </c>
      <c r="H76" s="15"/>
      <c r="P76" s="31"/>
    </row>
    <row r="77" spans="3:16" ht="12.75">
      <c r="C77" s="15"/>
      <c r="D77" s="15"/>
      <c r="E77" s="26">
        <v>41943</v>
      </c>
      <c r="F77" s="32"/>
      <c r="G77" s="32">
        <v>-33755.99</v>
      </c>
      <c r="H77" s="15"/>
      <c r="P77" s="31"/>
    </row>
    <row r="78" spans="3:16" ht="12.75">
      <c r="C78" s="15"/>
      <c r="D78" s="15"/>
      <c r="E78" s="26">
        <v>41990</v>
      </c>
      <c r="F78" s="32"/>
      <c r="G78" s="32">
        <v>-35335.71</v>
      </c>
      <c r="H78" s="15"/>
      <c r="P78" s="31"/>
    </row>
    <row r="79" spans="3:16" ht="12.75">
      <c r="C79" s="15" t="s">
        <v>10</v>
      </c>
      <c r="D79" s="15"/>
      <c r="E79" s="26">
        <v>41816</v>
      </c>
      <c r="F79" s="32"/>
      <c r="G79" s="32">
        <v>87804.85</v>
      </c>
      <c r="H79" s="15"/>
      <c r="P79" s="31"/>
    </row>
    <row r="80" spans="3:16" ht="12.75">
      <c r="C80" s="15"/>
      <c r="D80" s="15"/>
      <c r="E80" s="26">
        <v>41857</v>
      </c>
      <c r="F80" s="32"/>
      <c r="G80" s="32">
        <v>358214.75</v>
      </c>
      <c r="H80" s="15"/>
      <c r="P80" s="31"/>
    </row>
    <row r="81" spans="3:16" ht="12.75">
      <c r="C81" s="15" t="s">
        <v>11</v>
      </c>
      <c r="D81" s="15"/>
      <c r="E81" s="26">
        <v>42011</v>
      </c>
      <c r="F81" s="32"/>
      <c r="G81" s="32">
        <v>-27769.71</v>
      </c>
      <c r="H81" s="15"/>
      <c r="P81" s="31"/>
    </row>
    <row r="82" spans="3:16" ht="12.75">
      <c r="C82" s="15"/>
      <c r="D82" s="15"/>
      <c r="E82" s="26">
        <v>42027</v>
      </c>
      <c r="F82" s="32"/>
      <c r="G82" s="32">
        <v>-35834.57</v>
      </c>
      <c r="H82" s="15"/>
      <c r="P82" s="31"/>
    </row>
    <row r="83" spans="3:16" ht="12.75">
      <c r="C83" s="15"/>
      <c r="D83" s="15"/>
      <c r="E83" s="26">
        <v>42075</v>
      </c>
      <c r="F83" s="32"/>
      <c r="G83" s="32">
        <v>-35917.71</v>
      </c>
      <c r="H83" s="15"/>
      <c r="P83" s="31"/>
    </row>
    <row r="84" spans="3:16" ht="12.75">
      <c r="C84" s="15"/>
      <c r="D84" s="15"/>
      <c r="E84" s="26">
        <v>42138</v>
      </c>
      <c r="F84" s="32"/>
      <c r="G84" s="32">
        <v>-53211.43</v>
      </c>
      <c r="H84" s="15"/>
      <c r="P84" s="31"/>
    </row>
    <row r="85" spans="3:16" ht="12.75">
      <c r="C85" s="15"/>
      <c r="D85" s="15"/>
      <c r="E85" s="26">
        <v>42265</v>
      </c>
      <c r="F85" s="32"/>
      <c r="G85" s="32">
        <v>-24028.29</v>
      </c>
      <c r="H85" s="15"/>
      <c r="P85" s="31"/>
    </row>
    <row r="86" spans="3:16" ht="12.75">
      <c r="C86" s="15"/>
      <c r="D86" s="15"/>
      <c r="E86" s="26">
        <v>42297</v>
      </c>
      <c r="F86" s="32"/>
      <c r="G86" s="32">
        <v>-41987.13</v>
      </c>
      <c r="H86" s="15"/>
      <c r="P86" s="31"/>
    </row>
    <row r="87" spans="3:16" ht="12.75">
      <c r="C87" s="15"/>
      <c r="D87" s="15"/>
      <c r="E87" s="26">
        <v>42352</v>
      </c>
      <c r="F87" s="32"/>
      <c r="G87" s="32">
        <v>-37663.71</v>
      </c>
      <c r="H87" s="15"/>
      <c r="P87" s="31"/>
    </row>
    <row r="88" spans="3:16" ht="12.75">
      <c r="C88" s="15" t="s">
        <v>12</v>
      </c>
      <c r="D88" s="15"/>
      <c r="E88" s="26">
        <v>42055</v>
      </c>
      <c r="F88" s="32"/>
      <c r="G88" s="32">
        <v>27318.78</v>
      </c>
      <c r="H88" s="15"/>
      <c r="P88" s="31"/>
    </row>
    <row r="89" spans="3:16" ht="12.75">
      <c r="C89" s="15"/>
      <c r="D89" s="15"/>
      <c r="E89" s="26">
        <v>42150</v>
      </c>
      <c r="F89" s="32"/>
      <c r="G89" s="32">
        <v>28614.74</v>
      </c>
      <c r="H89" s="15"/>
      <c r="I89" s="14"/>
      <c r="J89" s="15"/>
      <c r="P89" s="31"/>
    </row>
    <row r="90" spans="3:16" ht="12.75">
      <c r="C90" s="15"/>
      <c r="D90" s="15"/>
      <c r="E90" s="26">
        <v>42251</v>
      </c>
      <c r="F90" s="32"/>
      <c r="G90" s="32">
        <v>85826.47</v>
      </c>
      <c r="H90" s="15"/>
      <c r="I90" s="14"/>
      <c r="J90" s="15"/>
      <c r="P90" s="31"/>
    </row>
    <row r="91" spans="3:16" ht="12.75">
      <c r="C91" s="15" t="s">
        <v>13</v>
      </c>
      <c r="D91" s="15"/>
      <c r="E91" s="26">
        <v>42424</v>
      </c>
      <c r="F91" s="32"/>
      <c r="G91" s="32">
        <v>-37746.86</v>
      </c>
      <c r="H91" s="15"/>
      <c r="I91" s="14"/>
      <c r="J91" s="15"/>
      <c r="P91" s="31"/>
    </row>
    <row r="92" spans="3:16" ht="12.75">
      <c r="C92" s="15"/>
      <c r="D92" s="15"/>
      <c r="E92" s="26">
        <v>42452</v>
      </c>
      <c r="F92" s="32"/>
      <c r="G92" s="32">
        <v>-28185.43</v>
      </c>
      <c r="H92" s="15"/>
      <c r="I92" s="14"/>
      <c r="J92" s="15"/>
      <c r="P92" s="31"/>
    </row>
    <row r="93" spans="3:16" ht="12.75">
      <c r="C93" s="15"/>
      <c r="D93" s="15"/>
      <c r="E93" s="26">
        <v>42485</v>
      </c>
      <c r="F93" s="32"/>
      <c r="G93" s="32">
        <v>-35003.14</v>
      </c>
      <c r="H93" s="15"/>
      <c r="I93" s="14"/>
      <c r="J93" s="15"/>
      <c r="P93" s="31"/>
    </row>
    <row r="94" spans="3:16" ht="12.75">
      <c r="C94" s="15"/>
      <c r="D94" s="15"/>
      <c r="E94" s="26">
        <v>42558</v>
      </c>
      <c r="F94" s="32"/>
      <c r="G94" s="32">
        <v>-21783.44</v>
      </c>
      <c r="H94" s="15"/>
      <c r="I94" s="14"/>
      <c r="J94" s="15"/>
      <c r="P94" s="31"/>
    </row>
    <row r="95" spans="3:16" ht="12.75">
      <c r="C95" s="15"/>
      <c r="D95" s="15"/>
      <c r="E95" s="26">
        <v>42578</v>
      </c>
      <c r="F95" s="32"/>
      <c r="G95" s="32">
        <v>-21617.15</v>
      </c>
      <c r="H95" s="15"/>
      <c r="P95" s="31"/>
    </row>
    <row r="96" spans="3:16" ht="12.75">
      <c r="C96" s="15"/>
      <c r="D96" s="15"/>
      <c r="E96" s="26">
        <v>42636</v>
      </c>
      <c r="F96" s="32"/>
      <c r="G96" s="32">
        <v>-28351.72</v>
      </c>
      <c r="H96" s="15"/>
      <c r="P96" s="31"/>
    </row>
    <row r="97" spans="3:16" ht="12.75">
      <c r="C97" s="15"/>
      <c r="D97" s="15"/>
      <c r="E97" s="26">
        <v>42664</v>
      </c>
      <c r="F97" s="32"/>
      <c r="G97" s="32">
        <v>-27270.85</v>
      </c>
      <c r="H97" s="15"/>
      <c r="P97" s="31"/>
    </row>
    <row r="98" spans="3:16" ht="12.75">
      <c r="C98" s="15"/>
      <c r="D98" s="15"/>
      <c r="E98" s="26">
        <v>42697</v>
      </c>
      <c r="F98" s="32"/>
      <c r="G98" s="32">
        <v>-16628.57</v>
      </c>
      <c r="H98" s="15"/>
      <c r="P98" s="31"/>
    </row>
    <row r="99" spans="3:16" ht="12.75">
      <c r="C99" s="15"/>
      <c r="D99" s="15"/>
      <c r="E99" s="26">
        <v>42727</v>
      </c>
      <c r="F99" s="32"/>
      <c r="G99" s="32">
        <v>-48056.58</v>
      </c>
      <c r="H99" s="15"/>
      <c r="P99" s="31"/>
    </row>
    <row r="100" spans="3:16" ht="12.75">
      <c r="C100" s="15" t="s">
        <v>14</v>
      </c>
      <c r="D100" s="15"/>
      <c r="E100" s="26">
        <v>42404</v>
      </c>
      <c r="F100" s="32"/>
      <c r="G100" s="32">
        <v>17201.94</v>
      </c>
      <c r="H100" s="15"/>
      <c r="P100" s="31"/>
    </row>
    <row r="101" spans="3:16" ht="12.75">
      <c r="C101" s="15"/>
      <c r="D101" s="15"/>
      <c r="E101" s="26">
        <v>42451</v>
      </c>
      <c r="F101" s="32"/>
      <c r="G101" s="32">
        <v>16945.08</v>
      </c>
      <c r="H101" s="15"/>
      <c r="P101" s="31"/>
    </row>
    <row r="102" spans="3:16" ht="12.75">
      <c r="C102" s="15"/>
      <c r="D102" s="15"/>
      <c r="E102" s="26">
        <v>42549</v>
      </c>
      <c r="F102" s="32"/>
      <c r="G102" s="32">
        <v>9603.11</v>
      </c>
      <c r="H102" s="15"/>
      <c r="P102" s="31"/>
    </row>
    <row r="103" spans="3:16" ht="12.75">
      <c r="C103" s="15"/>
      <c r="D103" s="15"/>
      <c r="E103" s="26">
        <v>42584</v>
      </c>
      <c r="F103" s="32"/>
      <c r="G103" s="32">
        <v>235463.57</v>
      </c>
      <c r="H103" s="15"/>
      <c r="P103" s="31"/>
    </row>
    <row r="104" spans="3:16" ht="12.75">
      <c r="C104" s="15"/>
      <c r="D104" s="15"/>
      <c r="E104" s="26">
        <v>42632</v>
      </c>
      <c r="F104" s="32"/>
      <c r="G104" s="32">
        <v>15345.25</v>
      </c>
      <c r="H104" s="15"/>
      <c r="I104" s="14"/>
      <c r="J104" s="15"/>
      <c r="P104" s="31"/>
    </row>
    <row r="105" spans="3:16" ht="12.75">
      <c r="C105" s="15"/>
      <c r="D105" s="15"/>
      <c r="E105" s="26">
        <v>42656</v>
      </c>
      <c r="F105" s="32"/>
      <c r="G105" s="32">
        <v>60038.88</v>
      </c>
      <c r="H105" s="15"/>
      <c r="I105" s="14"/>
      <c r="J105" s="15"/>
      <c r="P105" s="31"/>
    </row>
    <row r="106" spans="3:16" ht="15.75">
      <c r="C106" s="15"/>
      <c r="D106" s="15"/>
      <c r="E106" s="26">
        <v>42723</v>
      </c>
      <c r="F106" s="32"/>
      <c r="G106" s="32">
        <v>57485.25</v>
      </c>
      <c r="H106" s="15"/>
      <c r="I106" s="14"/>
      <c r="J106" s="15"/>
      <c r="L106" s="10"/>
      <c r="P106" s="31"/>
    </row>
    <row r="107" spans="3:16" ht="12.75">
      <c r="C107" s="15" t="s">
        <v>15</v>
      </c>
      <c r="D107" s="15"/>
      <c r="E107" s="26">
        <v>42795</v>
      </c>
      <c r="G107" s="32">
        <v>-22531.71</v>
      </c>
      <c r="H107" s="15"/>
      <c r="I107" s="14"/>
      <c r="J107" s="15"/>
      <c r="L107" s="58"/>
      <c r="P107" s="31"/>
    </row>
    <row r="108" spans="3:16" ht="12.75">
      <c r="C108" s="15"/>
      <c r="D108" s="15"/>
      <c r="E108" s="26">
        <v>42822</v>
      </c>
      <c r="F108" s="32"/>
      <c r="G108" s="32">
        <v>-12471.43</v>
      </c>
      <c r="H108" s="15"/>
      <c r="I108" s="14"/>
      <c r="J108" s="15"/>
      <c r="L108" s="58"/>
      <c r="P108" s="31"/>
    </row>
    <row r="109" spans="3:16" ht="12.75">
      <c r="C109" s="15"/>
      <c r="D109" s="15"/>
      <c r="E109" s="26">
        <v>42843</v>
      </c>
      <c r="F109" s="32"/>
      <c r="G109" s="32">
        <v>-22116</v>
      </c>
      <c r="H109" s="15"/>
      <c r="I109" s="14"/>
      <c r="J109" s="15"/>
      <c r="L109" s="58"/>
      <c r="P109" s="31"/>
    </row>
    <row r="110" spans="3:16" ht="12.75">
      <c r="C110" s="15"/>
      <c r="D110" s="15"/>
      <c r="E110" s="26">
        <v>42909</v>
      </c>
      <c r="F110" s="32"/>
      <c r="G110" s="32">
        <v>-32342.57</v>
      </c>
      <c r="H110" s="15"/>
      <c r="I110" s="14"/>
      <c r="J110" s="15"/>
      <c r="L110" s="58"/>
      <c r="P110" s="31"/>
    </row>
    <row r="111" spans="3:16" ht="12.75">
      <c r="C111" s="15"/>
      <c r="D111" s="15"/>
      <c r="E111" s="26">
        <v>43054</v>
      </c>
      <c r="F111" s="32"/>
      <c r="G111" s="32">
        <v>-21783.43</v>
      </c>
      <c r="H111" s="15"/>
      <c r="I111" s="14"/>
      <c r="J111" s="15"/>
      <c r="P111" s="31"/>
    </row>
    <row r="112" spans="3:16" ht="12.75">
      <c r="C112" s="15"/>
      <c r="D112" s="15"/>
      <c r="E112" s="26">
        <v>43090</v>
      </c>
      <c r="F112" s="32"/>
      <c r="G112" s="32">
        <v>-27187.72</v>
      </c>
      <c r="H112" s="15"/>
      <c r="I112" s="14"/>
      <c r="J112" s="15"/>
      <c r="P112" s="31"/>
    </row>
    <row r="113" spans="3:16" ht="12.75">
      <c r="C113" s="15" t="s">
        <v>16</v>
      </c>
      <c r="D113" s="15"/>
      <c r="E113" s="26">
        <v>42823</v>
      </c>
      <c r="F113" s="32"/>
      <c r="G113" s="32">
        <v>87512.22</v>
      </c>
      <c r="H113" s="15"/>
      <c r="I113" s="14"/>
      <c r="J113" s="15"/>
      <c r="P113" s="31"/>
    </row>
    <row r="114" spans="3:16" ht="12.75">
      <c r="C114" s="15"/>
      <c r="D114" s="15"/>
      <c r="E114" s="26">
        <v>42859</v>
      </c>
      <c r="F114" s="32"/>
      <c r="G114" s="32">
        <v>13701.77</v>
      </c>
      <c r="H114" s="15"/>
      <c r="I114" s="14"/>
      <c r="J114" s="15"/>
      <c r="P114" s="31"/>
    </row>
    <row r="115" spans="3:16" ht="12.75">
      <c r="C115" s="15"/>
      <c r="D115" s="15"/>
      <c r="E115" s="26">
        <v>43020</v>
      </c>
      <c r="F115" s="32"/>
      <c r="G115" s="32">
        <v>34363.08</v>
      </c>
      <c r="H115" s="15"/>
      <c r="P115" s="31"/>
    </row>
    <row r="116" spans="3:16" ht="12.75">
      <c r="C116" s="15" t="s">
        <v>17</v>
      </c>
      <c r="D116" s="15"/>
      <c r="E116" s="26">
        <v>43364</v>
      </c>
      <c r="F116" s="32"/>
      <c r="G116" s="32">
        <v>-68177.15</v>
      </c>
      <c r="H116" s="15"/>
      <c r="I116" s="14"/>
      <c r="J116" s="15"/>
      <c r="P116" s="31"/>
    </row>
    <row r="117" spans="3:16" ht="12.75">
      <c r="C117" s="15"/>
      <c r="D117" s="15"/>
      <c r="E117" s="26">
        <v>43454</v>
      </c>
      <c r="F117" s="32"/>
      <c r="G117" s="32">
        <v>-69258</v>
      </c>
      <c r="H117" s="15"/>
      <c r="I117" s="14"/>
      <c r="J117" s="15"/>
      <c r="P117" s="31"/>
    </row>
    <row r="118" spans="3:16" ht="12.75">
      <c r="C118" s="15" t="s">
        <v>18</v>
      </c>
      <c r="D118" s="15"/>
      <c r="E118" s="26">
        <v>43152</v>
      </c>
      <c r="F118" s="32"/>
      <c r="G118" s="32">
        <v>203797.46</v>
      </c>
      <c r="H118" s="15"/>
      <c r="I118" s="14"/>
      <c r="J118" s="15"/>
      <c r="P118" s="31"/>
    </row>
    <row r="119" spans="3:16" ht="12.75">
      <c r="C119" s="15"/>
      <c r="D119" s="15"/>
      <c r="E119" s="26">
        <v>43186</v>
      </c>
      <c r="F119" s="32"/>
      <c r="G119" s="32">
        <v>123331.38</v>
      </c>
      <c r="H119" s="15"/>
      <c r="I119" s="14"/>
      <c r="J119" s="15"/>
      <c r="P119" s="31"/>
    </row>
    <row r="120" spans="3:16" ht="12.75">
      <c r="C120" s="15"/>
      <c r="D120" s="15"/>
      <c r="E120" s="26">
        <v>43262</v>
      </c>
      <c r="F120" s="32"/>
      <c r="G120" s="32">
        <v>17974.49</v>
      </c>
      <c r="H120" s="15"/>
      <c r="I120" s="14"/>
      <c r="J120" s="15"/>
      <c r="P120" s="31"/>
    </row>
    <row r="121" spans="3:16" ht="12.75">
      <c r="C121" s="15"/>
      <c r="D121" s="15"/>
      <c r="E121" s="26">
        <v>43404</v>
      </c>
      <c r="F121" s="32"/>
      <c r="G121" s="32">
        <v>16825.97</v>
      </c>
      <c r="H121" s="15"/>
      <c r="I121" s="14"/>
      <c r="J121" s="15"/>
      <c r="P121" s="31"/>
    </row>
    <row r="122" spans="3:16" ht="12.75">
      <c r="C122" s="15" t="s">
        <v>19</v>
      </c>
      <c r="D122" s="15"/>
      <c r="E122" s="26">
        <v>43649</v>
      </c>
      <c r="F122" s="32"/>
      <c r="G122" s="32">
        <v>-12222</v>
      </c>
      <c r="H122" s="15"/>
      <c r="I122" s="14"/>
      <c r="J122" s="15"/>
      <c r="P122" s="31"/>
    </row>
    <row r="123" spans="3:16" ht="12.75">
      <c r="C123" s="15" t="s">
        <v>20</v>
      </c>
      <c r="D123" s="15"/>
      <c r="E123" s="26">
        <v>43593</v>
      </c>
      <c r="F123" s="32"/>
      <c r="G123" s="32">
        <v>17577.72</v>
      </c>
      <c r="H123" s="15"/>
      <c r="I123" s="14"/>
      <c r="J123" s="15"/>
      <c r="P123" s="31"/>
    </row>
    <row r="124" spans="3:16" ht="12.75">
      <c r="C124" s="15"/>
      <c r="D124" s="15"/>
      <c r="E124" s="26">
        <v>43655</v>
      </c>
      <c r="F124" s="32"/>
      <c r="G124" s="32">
        <v>28892.81</v>
      </c>
      <c r="H124" s="15"/>
      <c r="I124" s="14"/>
      <c r="J124" s="15"/>
      <c r="P124" s="31"/>
    </row>
    <row r="125" spans="3:16" ht="12.75">
      <c r="C125" s="15" t="s">
        <v>21</v>
      </c>
      <c r="D125" s="15"/>
      <c r="E125" s="26">
        <v>43928</v>
      </c>
      <c r="F125" s="32"/>
      <c r="G125" s="32">
        <v>-10559.14</v>
      </c>
      <c r="H125" s="15"/>
      <c r="I125" s="14"/>
      <c r="J125" s="15"/>
      <c r="P125" s="31"/>
    </row>
    <row r="126" spans="3:16" ht="15.75">
      <c r="C126" s="15"/>
      <c r="D126" s="15"/>
      <c r="E126" s="26">
        <v>44070</v>
      </c>
      <c r="F126" s="32"/>
      <c r="G126" s="32">
        <v>-107186.50</v>
      </c>
      <c r="H126" s="15"/>
      <c r="I126" s="14"/>
      <c r="J126" s="15"/>
      <c r="L126" s="10"/>
      <c r="P126" s="31"/>
    </row>
    <row r="127" spans="3:16" ht="15.75">
      <c r="C127" s="15" t="s">
        <v>22</v>
      </c>
      <c r="D127" s="15"/>
      <c r="E127" s="26">
        <v>44302</v>
      </c>
      <c r="F127" s="32"/>
      <c r="G127" s="32">
        <v>54835.09</v>
      </c>
      <c r="H127" s="15"/>
      <c r="I127" s="14"/>
      <c r="J127" s="15"/>
      <c r="L127" s="10"/>
      <c r="P127" s="31"/>
    </row>
    <row r="128" spans="3:16" ht="15.75">
      <c r="C128" s="15" t="s">
        <v>23</v>
      </c>
      <c r="D128" s="15"/>
      <c r="E128" s="26">
        <v>44673</v>
      </c>
      <c r="F128" s="32"/>
      <c r="G128" s="32">
        <v>112375.78</v>
      </c>
      <c r="H128" s="15"/>
      <c r="I128" s="14"/>
      <c r="J128" s="15"/>
      <c r="L128" s="10"/>
      <c r="P128" s="31"/>
    </row>
    <row r="129" spans="3:16" ht="15.75">
      <c r="C129" s="15"/>
      <c r="D129" s="15"/>
      <c r="E129" s="26">
        <v>44727</v>
      </c>
      <c r="F129" s="32"/>
      <c r="G129" s="32">
        <v>17297.80</v>
      </c>
      <c r="H129" s="15"/>
      <c r="I129" s="14"/>
      <c r="J129" s="15"/>
      <c r="L129" s="10"/>
      <c r="P129" s="31"/>
    </row>
    <row r="130" spans="3:16" ht="15.75">
      <c r="C130" s="15"/>
      <c r="D130" s="15"/>
      <c r="E130" s="26">
        <v>44796</v>
      </c>
      <c r="F130" s="32"/>
      <c r="G130" s="32">
        <v>15289.03</v>
      </c>
      <c r="H130" s="15"/>
      <c r="I130" s="14"/>
      <c r="J130" s="15"/>
      <c r="L130" s="10"/>
      <c r="P130" s="31"/>
    </row>
    <row r="131" spans="3:16" ht="15.75">
      <c r="C131" s="15"/>
      <c r="D131" s="15"/>
      <c r="E131" s="26">
        <v>44868</v>
      </c>
      <c r="F131" s="32"/>
      <c r="G131" s="32">
        <v>52310.32</v>
      </c>
      <c r="H131" s="15"/>
      <c r="I131" s="14"/>
      <c r="J131" s="15"/>
      <c r="L131" s="10"/>
      <c r="P131" s="31"/>
    </row>
    <row r="132" spans="3:16" ht="15.75">
      <c r="C132" s="15"/>
      <c r="D132" s="15"/>
      <c r="E132" s="26">
        <v>44911</v>
      </c>
      <c r="F132" s="32"/>
      <c r="G132" s="32">
        <v>40951.56</v>
      </c>
      <c r="H132" s="15"/>
      <c r="I132" s="14"/>
      <c r="J132" s="15"/>
      <c r="L132" s="10"/>
      <c r="P132" s="31"/>
    </row>
    <row r="133" spans="3:16" ht="15.75">
      <c r="C133" s="15" t="s">
        <v>24</v>
      </c>
      <c r="D133" s="15"/>
      <c r="E133" s="26">
        <v>44973</v>
      </c>
      <c r="F133" s="32"/>
      <c r="G133" s="32">
        <v>49219.58</v>
      </c>
      <c r="H133" s="15"/>
      <c r="I133" s="14"/>
      <c r="J133" s="15"/>
      <c r="L133" s="10"/>
      <c r="P133" s="31"/>
    </row>
    <row r="134" spans="3:16" ht="15.75">
      <c r="C134" s="15"/>
      <c r="D134" s="15"/>
      <c r="E134" s="26">
        <v>45079</v>
      </c>
      <c r="F134" s="32"/>
      <c r="G134" s="32">
        <v>33551.63</v>
      </c>
      <c r="H134" s="15"/>
      <c r="I134" s="14"/>
      <c r="J134" s="15"/>
      <c r="L134" s="10"/>
      <c r="P134" s="31"/>
    </row>
    <row r="135" spans="3:16" ht="15.75">
      <c r="C135" s="15"/>
      <c r="D135" s="15"/>
      <c r="E135" s="26">
        <v>45182</v>
      </c>
      <c r="F135" s="32"/>
      <c r="G135" s="32">
        <v>19666.11</v>
      </c>
      <c r="H135" s="15"/>
      <c r="I135" s="14"/>
      <c r="J135" s="15"/>
      <c r="L135" s="10"/>
      <c r="P135" s="31"/>
    </row>
    <row r="136" spans="3:16" ht="15.75">
      <c r="C136" s="15"/>
      <c r="D136" s="15"/>
      <c r="E136" s="26">
        <v>45261</v>
      </c>
      <c r="F136" s="32"/>
      <c r="G136" s="32">
        <v>20149.33</v>
      </c>
      <c r="H136" s="15"/>
      <c r="I136" s="14"/>
      <c r="J136" s="15"/>
      <c r="L136" s="10"/>
      <c r="P136" s="31"/>
    </row>
    <row r="137" spans="3:16" ht="12.75">
      <c r="C137" s="15"/>
      <c r="D137" s="15"/>
      <c r="E137" s="26"/>
      <c r="F137" s="15"/>
      <c r="G137" s="32"/>
      <c r="H137" s="15"/>
      <c r="I137" s="14"/>
      <c r="P137" s="31"/>
    </row>
    <row r="138" spans="3:16" ht="12.75">
      <c r="C138" s="15" t="s">
        <v>25</v>
      </c>
      <c r="D138" s="15"/>
      <c r="E138" s="26">
        <f>+E8</f>
        <v>45473</v>
      </c>
      <c r="F138" s="15"/>
      <c r="G138" s="33">
        <f>L138/0.97*C22</f>
        <v>1154638.3117455093</v>
      </c>
      <c r="H138" s="15"/>
      <c r="I138" s="32">
        <f>+SUMIF($G$23:$G$137,"&lt;0",$G$23:$G$137)</f>
        <v>-3417237.97</v>
      </c>
      <c r="J138" s="15" t="s">
        <v>26</v>
      </c>
      <c r="L138" s="58">
        <v>1.347077336E9</v>
      </c>
      <c r="M138" s="34"/>
      <c r="P138" s="31"/>
    </row>
    <row r="139" spans="3:14" ht="12.75">
      <c r="C139" s="15"/>
      <c r="D139" s="15"/>
      <c r="E139" s="15"/>
      <c r="F139" s="15"/>
      <c r="G139" s="15"/>
      <c r="H139" s="15"/>
      <c r="I139" s="32">
        <f>+SUMIF($G$23:$G$137,"&gt;0",$G$23:$G$137)</f>
        <v>2375552.649999999</v>
      </c>
      <c r="J139" s="15" t="s">
        <v>27</v>
      </c>
      <c r="L139" s="35"/>
      <c r="M139" s="34"/>
      <c r="N139" s="35"/>
    </row>
    <row r="140" spans="3:13" ht="12.75">
      <c r="C140" s="36" t="s">
        <v>28</v>
      </c>
      <c r="G140" s="37">
        <f>XIRR(G23:G138,E23:E138,0.1)</f>
        <v>0.006303539872169495</v>
      </c>
      <c r="H140" s="15"/>
      <c r="M140" s="3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4"/>
      <c r="H142" s="15"/>
    </row>
    <row r="143" spans="3:8" ht="12.75">
      <c r="C143" s="15"/>
      <c r="D143" s="15"/>
      <c r="E143" s="15"/>
      <c r="F143" s="15"/>
      <c r="G143" s="38"/>
      <c r="H143" s="15"/>
    </row>
    <row r="144" spans="3:9" ht="12.75">
      <c r="C144" s="39"/>
      <c r="D144" s="39"/>
      <c r="E144" s="38"/>
      <c r="F144" s="39"/>
      <c r="G144" s="38"/>
      <c r="H144" s="15"/>
      <c r="I144" s="35"/>
    </row>
    <row r="145" spans="3:8" ht="12.75">
      <c r="C145" s="39"/>
      <c r="D145" s="39"/>
      <c r="E145" s="38"/>
      <c r="F145" s="39"/>
      <c r="G145" s="38"/>
      <c r="H145" s="15"/>
    </row>
    <row r="146" spans="3:8" ht="12.75">
      <c r="C146" s="39"/>
      <c r="D146" s="39"/>
      <c r="E146" s="123"/>
      <c r="F146" s="123"/>
      <c r="G146" s="123"/>
      <c r="H146" s="36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3:8" ht="12.75">
      <c r="C149" s="39"/>
      <c r="D149" s="39"/>
      <c r="E149" s="59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12.75">
      <c r="C152" s="42"/>
      <c r="D152" s="39"/>
      <c r="E152" s="41"/>
      <c r="F152" s="40"/>
      <c r="G152" s="41"/>
      <c r="H152" s="36"/>
    </row>
    <row r="153" spans="3:8" ht="12.75">
      <c r="C153" s="42"/>
      <c r="D153" s="39"/>
      <c r="E153" s="41"/>
      <c r="F153" s="40"/>
      <c r="G153" s="41"/>
      <c r="H153" s="36"/>
    </row>
    <row r="154" spans="3:8" ht="12.75">
      <c r="C154" s="43"/>
      <c r="D154" s="39"/>
      <c r="E154" s="41"/>
      <c r="F154" s="40"/>
      <c r="G154" s="41"/>
      <c r="H154" s="36"/>
    </row>
    <row r="155" spans="3:8" ht="12.75">
      <c r="C155" s="39"/>
      <c r="D155" s="39"/>
      <c r="E155" s="41"/>
      <c r="F155" s="40"/>
      <c r="G155" s="41"/>
      <c r="H155" s="36"/>
    </row>
    <row r="156" spans="3:8" ht="12.75">
      <c r="C156" s="39"/>
      <c r="D156" s="39"/>
      <c r="E156" s="41"/>
      <c r="F156" s="40"/>
      <c r="G156" s="41"/>
      <c r="H156" s="36"/>
    </row>
    <row r="157" spans="3:8" ht="12.75">
      <c r="C157" s="39"/>
      <c r="D157" s="39"/>
      <c r="E157" s="41"/>
      <c r="F157" s="40"/>
      <c r="G157" s="41"/>
      <c r="H157" s="36"/>
    </row>
    <row r="158" spans="3:8" ht="12.75">
      <c r="C158" s="39"/>
      <c r="D158" s="39"/>
      <c r="E158" s="41"/>
      <c r="F158" s="40"/>
      <c r="G158" s="41"/>
      <c r="H158" s="36"/>
    </row>
    <row r="159" spans="3:8" ht="12.75">
      <c r="C159" s="39"/>
      <c r="D159" s="39"/>
      <c r="E159" s="41"/>
      <c r="F159" s="40"/>
      <c r="G159" s="41"/>
      <c r="H159" s="36"/>
    </row>
    <row r="160" spans="3:8" ht="12.75">
      <c r="C160" s="39"/>
      <c r="D160" s="39"/>
      <c r="E160" s="41"/>
      <c r="F160" s="40"/>
      <c r="G160" s="41"/>
      <c r="H160" s="36"/>
    </row>
    <row r="161" spans="3:8" ht="5.1" customHeight="1">
      <c r="C161" s="36"/>
      <c r="D161" s="36"/>
      <c r="E161" s="44"/>
      <c r="F161" s="44"/>
      <c r="G161" s="44"/>
      <c r="H161" s="36"/>
    </row>
    <row r="162" spans="3:8" ht="12.75">
      <c r="C162" s="36"/>
      <c r="D162" s="36"/>
      <c r="E162" s="45"/>
      <c r="F162" s="45"/>
      <c r="G162" s="45"/>
      <c r="H162" s="36"/>
    </row>
    <row r="163" spans="3:8" ht="12.75">
      <c r="C163" s="15"/>
      <c r="D163" s="15"/>
      <c r="E163" s="46"/>
      <c r="F163" s="47"/>
      <c r="G163" s="46"/>
      <c r="H163" s="15"/>
    </row>
    <row r="164" spans="3:8" ht="12.75">
      <c r="C164" s="15"/>
      <c r="D164" s="15"/>
      <c r="E164" s="46"/>
      <c r="F164" s="47"/>
      <c r="G164" s="46"/>
      <c r="H164" s="15"/>
    </row>
    <row r="165" spans="3:8" ht="12.75">
      <c r="C165" s="15"/>
      <c r="D165" s="15"/>
      <c r="E165" s="46"/>
      <c r="F165" s="47"/>
      <c r="G165" s="46"/>
      <c r="H165" s="15"/>
    </row>
    <row r="166" spans="3:8" ht="12.75">
      <c r="C166" s="15"/>
      <c r="D166" s="15"/>
      <c r="E166" s="48"/>
      <c r="F166" s="48"/>
      <c r="G166" s="48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  <row r="175" spans="3:8" ht="12.75">
      <c r="C175" s="15"/>
      <c r="D175" s="15"/>
      <c r="E175" s="15"/>
      <c r="F175" s="15"/>
      <c r="G175" s="15"/>
      <c r="H175" s="15"/>
    </row>
    <row r="176" spans="3:8" ht="12.75">
      <c r="C176" s="15"/>
      <c r="D176" s="15"/>
      <c r="E176" s="15"/>
      <c r="F176" s="15"/>
      <c r="G176" s="15"/>
      <c r="H176" s="15"/>
    </row>
  </sheetData>
  <mergeCells count="1">
    <mergeCell ref="E146:G146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tabColor rgb="FF92D050"/>
    <pageSetUpPr fitToPage="1"/>
  </sheetPr>
  <dimension ref="B4:L160"/>
  <sheetViews>
    <sheetView showGridLines="0" view="pageLayout" zoomScaleNormal="100" workbookViewId="0" topLeftCell="A119">
      <selection pane="topLeft" activeCell="E8" sqref="E8"/>
    </sheetView>
  </sheetViews>
  <sheetFormatPr defaultColWidth="9.144285714285713"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4:9" ht="15.75">
      <c r="D8" s="5"/>
      <c r="E8" s="6">
        <f>+VIII!E8</f>
        <v>45473</v>
      </c>
      <c r="F8" s="7"/>
      <c r="G8" s="8"/>
      <c r="H8" s="124"/>
      <c r="I8" s="124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49"/>
      <c r="I10" s="49"/>
    </row>
    <row r="11" spans="3:9" ht="12.75">
      <c r="C11" s="11"/>
      <c r="D11" s="11"/>
      <c r="E11" s="12"/>
      <c r="F11" s="11"/>
      <c r="G11" s="12"/>
      <c r="H11" s="49"/>
      <c r="I11" s="49"/>
    </row>
    <row r="12" spans="3:9" ht="15.75">
      <c r="C12" s="16"/>
      <c r="D12" s="16"/>
      <c r="E12" s="17"/>
      <c r="F12" s="16"/>
      <c r="G12" s="17"/>
      <c r="H12" s="49"/>
      <c r="I12" s="49"/>
    </row>
    <row r="13" spans="3:9" ht="12.75">
      <c r="C13" s="11"/>
      <c r="D13" s="11"/>
      <c r="E13" s="18"/>
      <c r="F13" s="11"/>
      <c r="G13" s="58"/>
      <c r="H13" s="49"/>
      <c r="I13" s="49"/>
    </row>
    <row r="14" spans="3:9" ht="12.75">
      <c r="C14" s="11"/>
      <c r="D14" s="11"/>
      <c r="E14" s="20"/>
      <c r="F14" s="11"/>
      <c r="G14" s="58"/>
      <c r="H14" s="49"/>
      <c r="I14" s="49"/>
    </row>
    <row r="15" spans="3:9" ht="12.75">
      <c r="C15" s="11"/>
      <c r="D15" s="11"/>
      <c r="E15" s="12"/>
      <c r="F15" s="11"/>
      <c r="G15" s="12"/>
      <c r="H15" s="49"/>
      <c r="I15" s="49"/>
    </row>
    <row r="16" spans="3:9" ht="15.75">
      <c r="C16" s="5"/>
      <c r="D16" s="5"/>
      <c r="E16" s="17"/>
      <c r="F16" s="5"/>
      <c r="G16" s="17"/>
      <c r="H16" s="49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+G140</f>
        <v>0.00396847426891327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1.0210875302108038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49"/>
      <c r="I20" s="49"/>
    </row>
    <row r="21" spans="3:10" ht="12.75">
      <c r="C21" s="24" t="s">
        <v>29</v>
      </c>
      <c r="D21" s="11"/>
      <c r="E21" s="11"/>
      <c r="F21" s="11"/>
      <c r="G21" s="13"/>
      <c r="H21" s="50"/>
      <c r="I21" s="26"/>
      <c r="J21" s="15"/>
    </row>
    <row r="22" spans="3:10" ht="15.75">
      <c r="C22" s="51">
        <v>0.033025234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3</v>
      </c>
      <c r="D23" s="15"/>
      <c r="E23" s="26">
        <v>40512</v>
      </c>
      <c r="F23" s="15"/>
      <c r="G23" s="30">
        <v>-157500</v>
      </c>
      <c r="H23" s="15"/>
      <c r="I23" s="14"/>
      <c r="J23" s="14"/>
      <c r="L23" s="35"/>
    </row>
    <row r="24" spans="3:12" ht="12.75">
      <c r="C24" s="15" t="s">
        <v>4</v>
      </c>
      <c r="D24" s="15"/>
      <c r="E24" s="26">
        <v>40570</v>
      </c>
      <c r="F24" s="15"/>
      <c r="G24" s="32">
        <v>-78750</v>
      </c>
      <c r="H24" s="15"/>
      <c r="I24" s="14"/>
      <c r="J24" s="14"/>
      <c r="L24" s="35"/>
    </row>
    <row r="25" spans="3:12" ht="12.75">
      <c r="C25" s="15"/>
      <c r="D25" s="15"/>
      <c r="E25" s="26">
        <v>40661</v>
      </c>
      <c r="F25" s="15"/>
      <c r="G25" s="32">
        <v>-60486.43</v>
      </c>
      <c r="H25" s="15"/>
      <c r="I25" s="14"/>
      <c r="J25" s="14"/>
      <c r="L25" s="35"/>
    </row>
    <row r="26" spans="3:12" ht="12.75">
      <c r="C26" s="15"/>
      <c r="D26" s="15"/>
      <c r="E26" s="26">
        <v>40704</v>
      </c>
      <c r="F26" s="15"/>
      <c r="G26" s="32">
        <v>-95406.42</v>
      </c>
      <c r="H26" s="15"/>
      <c r="I26" s="14"/>
      <c r="J26" s="14"/>
      <c r="L26" s="35"/>
    </row>
    <row r="27" spans="3:12" ht="12.75">
      <c r="C27" s="15"/>
      <c r="D27" s="15"/>
      <c r="E27" s="26">
        <v>40751</v>
      </c>
      <c r="F27" s="15"/>
      <c r="G27" s="32">
        <v>-91249.28</v>
      </c>
      <c r="H27" s="15"/>
      <c r="I27" s="14"/>
      <c r="J27" s="14"/>
      <c r="L27" s="35"/>
    </row>
    <row r="28" spans="3:12" ht="12.75">
      <c r="C28" s="15"/>
      <c r="D28" s="15"/>
      <c r="E28" s="26">
        <v>40765</v>
      </c>
      <c r="F28" s="15"/>
      <c r="G28" s="32">
        <v>-151735.71</v>
      </c>
      <c r="H28" s="15"/>
      <c r="I28" s="14"/>
      <c r="J28" s="14"/>
      <c r="L28" s="35"/>
    </row>
    <row r="29" spans="3:12" ht="12.75">
      <c r="C29" s="15"/>
      <c r="D29" s="15"/>
      <c r="E29" s="26">
        <v>40813</v>
      </c>
      <c r="F29" s="15"/>
      <c r="G29" s="32">
        <v>-133652.14</v>
      </c>
      <c r="H29" s="15"/>
      <c r="I29" s="14"/>
      <c r="J29" s="14"/>
      <c r="L29" s="35"/>
    </row>
    <row r="30" spans="3:12" ht="12.75">
      <c r="C30" s="15"/>
      <c r="D30" s="15"/>
      <c r="E30" s="26">
        <v>40879</v>
      </c>
      <c r="F30" s="15"/>
      <c r="G30" s="32">
        <v>-64227.85</v>
      </c>
      <c r="H30" s="15"/>
      <c r="I30" s="14"/>
      <c r="J30" s="14"/>
      <c r="L30" s="35"/>
    </row>
    <row r="31" spans="3:12" ht="12.75">
      <c r="C31" s="15"/>
      <c r="D31" s="15"/>
      <c r="E31" s="26">
        <v>40886</v>
      </c>
      <c r="F31" s="15"/>
      <c r="G31" s="32">
        <v>-87507.85</v>
      </c>
      <c r="H31" s="15"/>
      <c r="I31" s="14"/>
      <c r="J31" s="14"/>
      <c r="L31" s="35"/>
    </row>
    <row r="32" spans="3:12" ht="12.75">
      <c r="C32" s="15" t="s">
        <v>5</v>
      </c>
      <c r="D32" s="15"/>
      <c r="E32" s="26">
        <v>40927</v>
      </c>
      <c r="F32" s="15"/>
      <c r="G32" s="14">
        <v>-146331.42</v>
      </c>
      <c r="H32" s="15"/>
      <c r="I32" s="14"/>
      <c r="J32" s="14"/>
      <c r="L32" s="35"/>
    </row>
    <row r="33" spans="3:12" ht="12.75">
      <c r="C33" s="15"/>
      <c r="D33" s="15"/>
      <c r="E33" s="26">
        <v>40942</v>
      </c>
      <c r="F33" s="15"/>
      <c r="G33" s="14">
        <v>-685928.54</v>
      </c>
      <c r="H33" s="15"/>
      <c r="I33" s="14"/>
      <c r="J33" s="14"/>
      <c r="L33" s="35"/>
    </row>
    <row r="34" spans="3:12" ht="12.75">
      <c r="C34" s="15"/>
      <c r="D34" s="15"/>
      <c r="E34" s="26">
        <v>40970</v>
      </c>
      <c r="F34" s="15"/>
      <c r="G34" s="14">
        <v>-109124.99</v>
      </c>
      <c r="H34" s="15"/>
      <c r="I34" s="14"/>
      <c r="J34" s="14"/>
      <c r="L34" s="35"/>
    </row>
    <row r="35" spans="3:12" ht="12.75">
      <c r="C35" s="15"/>
      <c r="D35" s="15"/>
      <c r="E35" s="26">
        <v>41001</v>
      </c>
      <c r="F35" s="15"/>
      <c r="G35" s="14">
        <v>-63812.14</v>
      </c>
      <c r="H35" s="15"/>
      <c r="I35" s="14"/>
      <c r="J35" s="14"/>
      <c r="L35" s="35"/>
    </row>
    <row r="36" spans="3:12" ht="12.75">
      <c r="C36" s="15"/>
      <c r="D36" s="15"/>
      <c r="E36" s="26">
        <v>41024</v>
      </c>
      <c r="F36" s="15"/>
      <c r="G36" s="14">
        <v>-75660</v>
      </c>
      <c r="H36" s="15"/>
      <c r="I36" s="14"/>
      <c r="J36" s="14"/>
      <c r="L36" s="35"/>
    </row>
    <row r="37" spans="3:12" ht="12.75">
      <c r="C37" s="15"/>
      <c r="D37" s="15"/>
      <c r="E37" s="26">
        <v>41054</v>
      </c>
      <c r="F37" s="15"/>
      <c r="G37" s="14">
        <v>-98524.28</v>
      </c>
      <c r="H37" s="15"/>
      <c r="I37" s="14"/>
      <c r="J37" s="14"/>
      <c r="L37" s="35"/>
    </row>
    <row r="38" spans="3:12" ht="12.75">
      <c r="C38" s="15"/>
      <c r="D38" s="15"/>
      <c r="E38" s="26">
        <v>41080</v>
      </c>
      <c r="F38" s="15"/>
      <c r="G38" s="14">
        <v>-182706.42</v>
      </c>
      <c r="H38" s="15"/>
      <c r="I38" s="14"/>
      <c r="J38" s="14"/>
      <c r="L38" s="35"/>
    </row>
    <row r="39" spans="3:12" ht="12.75">
      <c r="C39" s="15"/>
      <c r="D39" s="15"/>
      <c r="E39" s="26">
        <v>41103</v>
      </c>
      <c r="F39" s="15"/>
      <c r="G39" s="14">
        <v>-59239.28</v>
      </c>
      <c r="H39" s="15"/>
      <c r="I39" s="14"/>
      <c r="J39" s="14"/>
      <c r="L39" s="35"/>
    </row>
    <row r="40" spans="3:12" ht="12.75">
      <c r="C40" s="15"/>
      <c r="D40" s="15"/>
      <c r="E40" s="26">
        <v>41121</v>
      </c>
      <c r="F40" s="15"/>
      <c r="G40" s="14">
        <v>-57160.71</v>
      </c>
      <c r="H40" s="15"/>
      <c r="I40" s="14"/>
      <c r="J40" s="14"/>
      <c r="L40" s="35"/>
    </row>
    <row r="41" spans="3:12" ht="12.75">
      <c r="C41" s="15"/>
      <c r="D41" s="15"/>
      <c r="E41" s="26">
        <v>41152</v>
      </c>
      <c r="F41" s="15"/>
      <c r="G41" s="14">
        <v>-75660.01</v>
      </c>
      <c r="H41" s="15"/>
      <c r="I41" s="14"/>
      <c r="J41" s="14"/>
      <c r="L41" s="35"/>
    </row>
    <row r="42" spans="3:12" ht="12.75">
      <c r="C42" s="15"/>
      <c r="D42" s="15"/>
      <c r="E42" s="26">
        <v>41180</v>
      </c>
      <c r="F42" s="15"/>
      <c r="G42" s="14">
        <v>-143421.43</v>
      </c>
      <c r="H42" s="15"/>
      <c r="I42" s="14"/>
      <c r="J42" s="14"/>
      <c r="L42" s="35"/>
    </row>
    <row r="43" spans="3:12" ht="12.75">
      <c r="C43" s="15"/>
      <c r="D43" s="15"/>
      <c r="E43" s="26">
        <v>41194</v>
      </c>
      <c r="F43" s="15"/>
      <c r="G43" s="14">
        <v>-70463.57</v>
      </c>
      <c r="H43" s="15"/>
      <c r="I43" s="14"/>
      <c r="J43" s="14"/>
      <c r="L43" s="35"/>
    </row>
    <row r="44" spans="3:12" ht="12.75">
      <c r="C44" s="15"/>
      <c r="D44" s="15"/>
      <c r="E44" s="26">
        <v>41250</v>
      </c>
      <c r="F44" s="15"/>
      <c r="G44" s="14">
        <v>-317813.58</v>
      </c>
      <c r="H44" s="15"/>
      <c r="I44" s="14"/>
      <c r="J44" s="14"/>
      <c r="L44" s="35"/>
    </row>
    <row r="45" spans="3:12" ht="12.75">
      <c r="C45" s="15"/>
      <c r="D45" s="15"/>
      <c r="E45" s="26">
        <v>41264</v>
      </c>
      <c r="F45" s="15"/>
      <c r="G45" s="14">
        <v>-282270</v>
      </c>
      <c r="H45" s="15"/>
      <c r="I45" s="14"/>
      <c r="J45" s="14"/>
      <c r="L45" s="35"/>
    </row>
    <row r="46" spans="3:12" ht="12.75">
      <c r="C46" s="15" t="s">
        <v>6</v>
      </c>
      <c r="D46" s="15"/>
      <c r="E46" s="26">
        <v>41030</v>
      </c>
      <c r="F46" s="15"/>
      <c r="G46" s="32">
        <v>235528.56</v>
      </c>
      <c r="H46" s="15"/>
      <c r="I46" s="14"/>
      <c r="J46" s="14"/>
      <c r="L46" s="35"/>
    </row>
    <row r="47" spans="3:12" ht="12.75">
      <c r="C47" s="15"/>
      <c r="D47" s="15"/>
      <c r="E47" s="26">
        <v>41108</v>
      </c>
      <c r="F47" s="15"/>
      <c r="G47" s="32">
        <v>59889.22</v>
      </c>
      <c r="H47" s="15"/>
      <c r="I47" s="14"/>
      <c r="J47" s="14"/>
      <c r="L47" s="35"/>
    </row>
    <row r="48" spans="3:12" ht="12.75">
      <c r="C48" s="15"/>
      <c r="D48" s="15"/>
      <c r="E48" s="26">
        <v>41137</v>
      </c>
      <c r="F48" s="15"/>
      <c r="G48" s="32">
        <v>25909.14</v>
      </c>
      <c r="H48" s="15"/>
      <c r="I48" s="14"/>
      <c r="J48" s="14"/>
      <c r="L48" s="35"/>
    </row>
    <row r="49" spans="3:12" ht="12.75">
      <c r="C49" s="15"/>
      <c r="D49" s="15"/>
      <c r="E49" s="26">
        <v>41173</v>
      </c>
      <c r="F49" s="15"/>
      <c r="G49" s="32">
        <v>519144.04</v>
      </c>
      <c r="H49" s="15"/>
      <c r="I49" s="14"/>
      <c r="J49" s="14"/>
      <c r="L49" s="35"/>
    </row>
    <row r="50" spans="3:12" ht="12.75">
      <c r="C50" s="15" t="s">
        <v>7</v>
      </c>
      <c r="D50" s="15"/>
      <c r="E50" s="26">
        <v>41284</v>
      </c>
      <c r="F50" s="15"/>
      <c r="G50" s="32">
        <v>-83350.73</v>
      </c>
      <c r="H50" s="15"/>
      <c r="I50" s="14"/>
      <c r="J50" s="14"/>
      <c r="L50" s="35"/>
    </row>
    <row r="51" spans="3:12" ht="12.75">
      <c r="C51" s="15"/>
      <c r="D51" s="15"/>
      <c r="E51" s="26">
        <v>41298</v>
      </c>
      <c r="F51" s="15"/>
      <c r="G51" s="32">
        <v>-106630.71</v>
      </c>
      <c r="H51" s="15"/>
      <c r="I51" s="14"/>
      <c r="J51" s="14"/>
      <c r="L51" s="35"/>
    </row>
    <row r="52" spans="3:12" ht="12.75">
      <c r="C52" s="15"/>
      <c r="D52" s="15"/>
      <c r="E52" s="26">
        <v>41345</v>
      </c>
      <c r="F52" s="15"/>
      <c r="G52" s="32">
        <v>-109332.86</v>
      </c>
      <c r="H52" s="15"/>
      <c r="I52" s="14"/>
      <c r="J52" s="14"/>
      <c r="L52" s="35"/>
    </row>
    <row r="53" spans="3:12" ht="12.75">
      <c r="C53" s="15"/>
      <c r="D53" s="15"/>
      <c r="E53" s="26">
        <v>41360</v>
      </c>
      <c r="F53" s="15"/>
      <c r="G53" s="32">
        <v>-97900.71</v>
      </c>
      <c r="H53" s="15"/>
      <c r="I53" s="14"/>
      <c r="J53" s="14"/>
      <c r="L53" s="35"/>
    </row>
    <row r="54" spans="3:12" ht="12.75">
      <c r="C54" s="15"/>
      <c r="D54" s="15"/>
      <c r="E54" s="26">
        <v>41393</v>
      </c>
      <c r="F54" s="15"/>
      <c r="G54" s="32">
        <v>-78777.85</v>
      </c>
      <c r="H54" s="15"/>
      <c r="I54" s="14"/>
      <c r="J54" s="14"/>
      <c r="L54" s="35"/>
    </row>
    <row r="55" spans="3:12" ht="12.75">
      <c r="C55" s="15"/>
      <c r="D55" s="15"/>
      <c r="E55" s="26">
        <v>41404</v>
      </c>
      <c r="F55" s="15"/>
      <c r="G55" s="32">
        <v>-107254.28</v>
      </c>
      <c r="H55" s="15"/>
      <c r="I55" s="14"/>
      <c r="J55" s="14"/>
      <c r="L55" s="35"/>
    </row>
    <row r="56" spans="3:12" ht="12.75">
      <c r="C56" s="15"/>
      <c r="D56" s="15"/>
      <c r="E56" s="26">
        <v>41423</v>
      </c>
      <c r="F56" s="15"/>
      <c r="G56" s="32">
        <v>-92912.15</v>
      </c>
      <c r="H56" s="15"/>
      <c r="I56" s="14"/>
      <c r="J56" s="14"/>
      <c r="L56" s="35"/>
    </row>
    <row r="57" spans="3:12" ht="12.75">
      <c r="C57" s="15"/>
      <c r="D57" s="15"/>
      <c r="E57" s="26">
        <v>41446</v>
      </c>
      <c r="F57" s="15"/>
      <c r="G57" s="32">
        <v>-283932.86</v>
      </c>
      <c r="H57" s="15"/>
      <c r="I57" s="14"/>
      <c r="J57" s="14"/>
      <c r="L57" s="35"/>
    </row>
    <row r="58" spans="3:12" ht="12.75">
      <c r="C58" s="15"/>
      <c r="D58" s="15"/>
      <c r="E58" s="26">
        <v>41481</v>
      </c>
      <c r="F58" s="15"/>
      <c r="G58" s="32">
        <v>-88755</v>
      </c>
      <c r="H58" s="15"/>
      <c r="I58" s="14"/>
      <c r="J58" s="14"/>
      <c r="L58" s="35"/>
    </row>
    <row r="59" spans="3:12" ht="12.75">
      <c r="C59" s="15"/>
      <c r="D59" s="15"/>
      <c r="E59" s="26">
        <v>41501</v>
      </c>
      <c r="F59" s="15"/>
      <c r="G59" s="32">
        <v>-83558.57</v>
      </c>
      <c r="H59" s="15"/>
      <c r="I59" s="14"/>
      <c r="J59" s="14"/>
      <c r="L59" s="35"/>
    </row>
    <row r="60" spans="3:12" ht="12.75">
      <c r="C60" s="15"/>
      <c r="D60" s="15"/>
      <c r="E60" s="26">
        <v>41514</v>
      </c>
      <c r="F60" s="15"/>
      <c r="G60" s="32">
        <v>-121180.72</v>
      </c>
      <c r="H60" s="15"/>
      <c r="I60" s="14"/>
      <c r="J60" s="14"/>
      <c r="L60" s="35"/>
    </row>
    <row r="61" spans="3:12" ht="12.75">
      <c r="C61" s="15"/>
      <c r="D61" s="15"/>
      <c r="E61" s="26">
        <v>41551</v>
      </c>
      <c r="F61" s="15"/>
      <c r="G61" s="32">
        <v>-72334.28</v>
      </c>
      <c r="H61" s="15"/>
      <c r="I61" s="14"/>
      <c r="J61" s="14"/>
      <c r="L61" s="35"/>
    </row>
    <row r="62" spans="3:12" ht="12.75">
      <c r="C62" s="15"/>
      <c r="D62" s="15"/>
      <c r="E62" s="26">
        <v>41577</v>
      </c>
      <c r="F62" s="15"/>
      <c r="G62" s="32">
        <v>-115776.43</v>
      </c>
      <c r="H62" s="15"/>
      <c r="L62" s="35"/>
    </row>
    <row r="63" spans="3:12" ht="12.75">
      <c r="C63" s="15"/>
      <c r="D63" s="15"/>
      <c r="E63" s="26">
        <v>41599</v>
      </c>
      <c r="F63" s="15"/>
      <c r="G63" s="32">
        <v>-73165.71</v>
      </c>
      <c r="H63" s="15"/>
      <c r="L63" s="35"/>
    </row>
    <row r="64" spans="3:12" ht="12.75">
      <c r="C64" s="15"/>
      <c r="D64" s="15"/>
      <c r="E64" s="26">
        <v>41624</v>
      </c>
      <c r="F64" s="15"/>
      <c r="G64" s="32">
        <v>-146331.43</v>
      </c>
      <c r="H64" s="15"/>
      <c r="L64" s="35"/>
    </row>
    <row r="65" spans="3:12" ht="12.75">
      <c r="C65" s="15" t="s">
        <v>8</v>
      </c>
      <c r="D65" s="15"/>
      <c r="E65" s="26">
        <v>41418</v>
      </c>
      <c r="F65" s="15"/>
      <c r="G65" s="32">
        <v>32143.76</v>
      </c>
      <c r="H65" s="15"/>
      <c r="L65" s="35"/>
    </row>
    <row r="66" spans="3:12" ht="12.75">
      <c r="C66" s="15"/>
      <c r="D66" s="15"/>
      <c r="E66" s="26">
        <v>41618</v>
      </c>
      <c r="F66" s="15"/>
      <c r="G66" s="32">
        <v>120407.15</v>
      </c>
      <c r="H66" s="15"/>
      <c r="L66" s="35"/>
    </row>
    <row r="67" spans="3:12" ht="12.75">
      <c r="C67" s="15" t="s">
        <v>9</v>
      </c>
      <c r="D67" s="15"/>
      <c r="E67" s="26">
        <v>41646</v>
      </c>
      <c r="F67" s="15"/>
      <c r="G67" s="32">
        <v>-103305.01</v>
      </c>
      <c r="H67" s="15"/>
      <c r="I67" s="14"/>
      <c r="J67" s="15"/>
      <c r="L67" s="35"/>
    </row>
    <row r="68" spans="3:12" ht="12.75">
      <c r="C68" s="15"/>
      <c r="D68" s="15"/>
      <c r="E68" s="26">
        <v>41670</v>
      </c>
      <c r="F68" s="15"/>
      <c r="G68" s="32">
        <v>-76699.29</v>
      </c>
      <c r="H68" s="15"/>
      <c r="I68" s="14"/>
      <c r="J68" s="15"/>
      <c r="L68" s="35"/>
    </row>
    <row r="69" spans="3:12" ht="12.75">
      <c r="C69" s="15"/>
      <c r="D69" s="15"/>
      <c r="E69" s="26">
        <v>41697</v>
      </c>
      <c r="F69" s="15"/>
      <c r="G69" s="32">
        <v>-136562.13</v>
      </c>
      <c r="H69" s="15"/>
      <c r="I69" s="14"/>
      <c r="J69" s="15"/>
      <c r="L69" s="35"/>
    </row>
    <row r="70" spans="3:12" ht="12.75">
      <c r="C70" s="15"/>
      <c r="D70" s="15"/>
      <c r="E70" s="26">
        <v>41704</v>
      </c>
      <c r="F70" s="15"/>
      <c r="G70" s="32">
        <v>-98940</v>
      </c>
      <c r="H70" s="15"/>
      <c r="I70" s="14"/>
      <c r="J70" s="15"/>
      <c r="L70" s="35"/>
    </row>
    <row r="71" spans="3:12" ht="12.75">
      <c r="C71" s="15"/>
      <c r="D71" s="15"/>
      <c r="E71" s="26">
        <v>41718</v>
      </c>
      <c r="F71" s="15"/>
      <c r="G71" s="32">
        <v>-86468.56</v>
      </c>
      <c r="H71" s="15"/>
      <c r="I71" s="14"/>
      <c r="J71" s="15"/>
      <c r="L71" s="35"/>
    </row>
    <row r="72" spans="3:12" ht="12.75">
      <c r="C72" s="15"/>
      <c r="D72" s="15"/>
      <c r="E72" s="26">
        <v>41750</v>
      </c>
      <c r="F72" s="15"/>
      <c r="G72" s="32">
        <v>-137393.57</v>
      </c>
      <c r="H72" s="15"/>
      <c r="I72" s="14"/>
      <c r="J72" s="15"/>
      <c r="L72" s="35"/>
    </row>
    <row r="73" spans="3:12" ht="12.75">
      <c r="C73" s="15"/>
      <c r="D73" s="15"/>
      <c r="E73" s="26">
        <v>41779</v>
      </c>
      <c r="F73" s="15"/>
      <c r="G73" s="32">
        <v>-137185.7</v>
      </c>
      <c r="H73" s="15"/>
      <c r="I73" s="52"/>
      <c r="J73" s="53"/>
      <c r="L73" s="35"/>
    </row>
    <row r="74" spans="3:12" ht="12.75">
      <c r="C74" s="15"/>
      <c r="D74" s="15"/>
      <c r="E74" s="26">
        <v>41814</v>
      </c>
      <c r="F74" s="15"/>
      <c r="G74" s="32">
        <v>-101226.43</v>
      </c>
      <c r="H74" s="15"/>
      <c r="L74" s="35"/>
    </row>
    <row r="75" spans="3:12" ht="12.75">
      <c r="C75" s="15"/>
      <c r="D75" s="15"/>
      <c r="E75" s="26">
        <v>41877</v>
      </c>
      <c r="F75" s="15"/>
      <c r="G75" s="32">
        <v>-159426.43</v>
      </c>
      <c r="H75" s="15"/>
      <c r="L75" s="35"/>
    </row>
    <row r="76" spans="3:12" ht="12.75">
      <c r="C76" s="15"/>
      <c r="D76" s="15"/>
      <c r="E76" s="26">
        <v>41913</v>
      </c>
      <c r="F76" s="15"/>
      <c r="G76" s="32">
        <v>-66098.57</v>
      </c>
      <c r="H76" s="15"/>
      <c r="L76" s="35"/>
    </row>
    <row r="77" spans="3:12" ht="12.75">
      <c r="C77" s="15"/>
      <c r="D77" s="15"/>
      <c r="E77" s="26">
        <v>41943</v>
      </c>
      <c r="F77" s="15"/>
      <c r="G77" s="32">
        <v>-84390.01</v>
      </c>
      <c r="H77" s="15"/>
      <c r="L77" s="35"/>
    </row>
    <row r="78" spans="3:12" ht="12.75">
      <c r="C78" s="15"/>
      <c r="D78" s="15"/>
      <c r="E78" s="26">
        <v>41990</v>
      </c>
      <c r="F78" s="15"/>
      <c r="G78" s="32">
        <v>-88339.29</v>
      </c>
      <c r="H78" s="15"/>
      <c r="L78" s="35"/>
    </row>
    <row r="79" spans="3:12" ht="12.75">
      <c r="C79" s="15" t="s">
        <v>10</v>
      </c>
      <c r="D79" s="15"/>
      <c r="E79" s="26">
        <v>41816</v>
      </c>
      <c r="F79" s="15"/>
      <c r="G79" s="32">
        <v>199985.24</v>
      </c>
      <c r="H79" s="15"/>
      <c r="L79" s="35"/>
    </row>
    <row r="80" spans="3:12" ht="12.75">
      <c r="C80" s="15"/>
      <c r="D80" s="15"/>
      <c r="E80" s="26">
        <v>41857</v>
      </c>
      <c r="F80" s="15"/>
      <c r="G80" s="32">
        <v>809416.30</v>
      </c>
      <c r="H80" s="15"/>
      <c r="L80" s="35"/>
    </row>
    <row r="81" spans="3:12" ht="12.75">
      <c r="C81" s="15" t="s">
        <v>11</v>
      </c>
      <c r="D81" s="15"/>
      <c r="E81" s="26">
        <v>42011</v>
      </c>
      <c r="F81" s="15"/>
      <c r="G81" s="32">
        <v>-69424.29</v>
      </c>
      <c r="H81" s="15"/>
      <c r="L81" s="35"/>
    </row>
    <row r="82" spans="3:12" ht="12.75">
      <c r="C82" s="15"/>
      <c r="D82" s="15"/>
      <c r="E82" s="26">
        <v>42027</v>
      </c>
      <c r="F82" s="15"/>
      <c r="G82" s="32">
        <v>-89586.43</v>
      </c>
      <c r="H82" s="15"/>
      <c r="L82" s="35"/>
    </row>
    <row r="83" spans="3:12" ht="12.75">
      <c r="C83" s="15"/>
      <c r="D83" s="15"/>
      <c r="E83" s="26">
        <v>42075</v>
      </c>
      <c r="F83" s="15"/>
      <c r="G83" s="32">
        <v>-89794.29</v>
      </c>
      <c r="H83" s="15"/>
      <c r="L83" s="35"/>
    </row>
    <row r="84" spans="4:12" ht="12.75">
      <c r="D84" s="15"/>
      <c r="E84" s="26">
        <v>42138</v>
      </c>
      <c r="F84" s="15"/>
      <c r="G84" s="32">
        <v>-133028.58</v>
      </c>
      <c r="H84" s="15"/>
      <c r="L84" s="35"/>
    </row>
    <row r="85" spans="4:12" ht="12.75">
      <c r="D85" s="15"/>
      <c r="E85" s="26">
        <v>42265</v>
      </c>
      <c r="F85" s="15"/>
      <c r="G85" s="32">
        <v>-60070.70</v>
      </c>
      <c r="H85" s="15"/>
      <c r="L85" s="35"/>
    </row>
    <row r="86" spans="4:12" ht="12.75">
      <c r="D86" s="15"/>
      <c r="E86" s="26">
        <v>42297</v>
      </c>
      <c r="F86" s="15"/>
      <c r="G86" s="32">
        <v>-104967.86</v>
      </c>
      <c r="H86" s="15"/>
      <c r="L86" s="35"/>
    </row>
    <row r="87" spans="4:12" ht="12.75">
      <c r="D87" s="15"/>
      <c r="E87" s="26">
        <v>42352</v>
      </c>
      <c r="F87" s="15"/>
      <c r="G87" s="32">
        <v>-94159.28</v>
      </c>
      <c r="H87" s="15"/>
      <c r="L87" s="35"/>
    </row>
    <row r="88" spans="3:12" ht="12.75" customHeight="1">
      <c r="C88" s="15" t="s">
        <v>12</v>
      </c>
      <c r="D88" s="15"/>
      <c r="E88" s="26">
        <v>42055</v>
      </c>
      <c r="F88" s="15"/>
      <c r="G88" s="32">
        <v>0</v>
      </c>
      <c r="H88" s="15"/>
      <c r="I88" s="14"/>
      <c r="L88" s="35"/>
    </row>
    <row r="89" spans="3:12" ht="12.75" customHeight="1">
      <c r="C89" s="15"/>
      <c r="D89" s="15"/>
      <c r="E89" s="26">
        <v>42150</v>
      </c>
      <c r="F89" s="15"/>
      <c r="G89" s="32">
        <v>133058.82</v>
      </c>
      <c r="H89" s="15"/>
      <c r="I89" s="14"/>
      <c r="L89" s="35"/>
    </row>
    <row r="90" spans="3:12" ht="12.75" customHeight="1">
      <c r="C90" s="15"/>
      <c r="D90" s="15"/>
      <c r="E90" s="26">
        <v>42251</v>
      </c>
      <c r="F90" s="15"/>
      <c r="G90" s="32">
        <v>214566.18</v>
      </c>
      <c r="H90" s="15"/>
      <c r="I90" s="14"/>
      <c r="L90" s="35"/>
    </row>
    <row r="91" spans="3:12" ht="12.75" customHeight="1">
      <c r="C91" s="15" t="s">
        <v>13</v>
      </c>
      <c r="D91" s="15"/>
      <c r="E91" s="26">
        <v>42424</v>
      </c>
      <c r="F91" s="15"/>
      <c r="G91" s="32">
        <v>-94367.15</v>
      </c>
      <c r="H91" s="15"/>
      <c r="I91" s="14"/>
      <c r="L91" s="35"/>
    </row>
    <row r="92" spans="3:12" ht="12.75" customHeight="1">
      <c r="C92" s="15"/>
      <c r="D92" s="15"/>
      <c r="E92" s="26">
        <v>42452</v>
      </c>
      <c r="F92" s="15"/>
      <c r="G92" s="32">
        <v>-70463.56</v>
      </c>
      <c r="H92" s="15"/>
      <c r="I92" s="14"/>
      <c r="L92" s="35"/>
    </row>
    <row r="93" spans="3:12" ht="12.75" customHeight="1">
      <c r="C93" s="15"/>
      <c r="D93" s="15"/>
      <c r="E93" s="26">
        <v>42485</v>
      </c>
      <c r="F93" s="15"/>
      <c r="G93" s="32">
        <v>-87507.85</v>
      </c>
      <c r="H93" s="15"/>
      <c r="L93" s="35"/>
    </row>
    <row r="94" spans="3:12" ht="12.75" customHeight="1">
      <c r="C94" s="15"/>
      <c r="D94" s="15"/>
      <c r="E94" s="26">
        <v>42558</v>
      </c>
      <c r="F94" s="15"/>
      <c r="G94" s="32">
        <v>-54458.57</v>
      </c>
      <c r="H94" s="15"/>
      <c r="L94" s="35"/>
    </row>
    <row r="95" spans="3:12" ht="12.75" customHeight="1">
      <c r="C95" s="15"/>
      <c r="D95" s="15"/>
      <c r="E95" s="26">
        <v>42578</v>
      </c>
      <c r="F95" s="15"/>
      <c r="G95" s="32">
        <v>-54042.86</v>
      </c>
      <c r="H95" s="15"/>
      <c r="L95" s="35"/>
    </row>
    <row r="96" spans="3:12" ht="12.75" customHeight="1">
      <c r="C96" s="15"/>
      <c r="D96" s="15"/>
      <c r="E96" s="26">
        <v>42636</v>
      </c>
      <c r="F96" s="15"/>
      <c r="G96" s="32">
        <v>-70879.29</v>
      </c>
      <c r="H96" s="15"/>
      <c r="L96" s="35"/>
    </row>
    <row r="97" spans="3:12" ht="12.75" customHeight="1">
      <c r="C97" s="15"/>
      <c r="D97" s="15"/>
      <c r="E97" s="26">
        <v>42664</v>
      </c>
      <c r="F97" s="15"/>
      <c r="G97" s="32">
        <v>-68177.14</v>
      </c>
      <c r="H97" s="15"/>
      <c r="L97" s="35"/>
    </row>
    <row r="98" spans="3:12" ht="12.75" customHeight="1">
      <c r="C98" s="15"/>
      <c r="D98" s="15"/>
      <c r="E98" s="26">
        <v>42697</v>
      </c>
      <c r="F98" s="15"/>
      <c r="G98" s="32">
        <v>-41571.43</v>
      </c>
      <c r="H98" s="15"/>
      <c r="L98" s="35"/>
    </row>
    <row r="99" spans="3:12" ht="12.75" customHeight="1">
      <c r="C99" s="15"/>
      <c r="D99" s="15"/>
      <c r="E99" s="26">
        <v>42727</v>
      </c>
      <c r="F99" s="15"/>
      <c r="G99" s="32">
        <v>-120141.43</v>
      </c>
      <c r="H99" s="15"/>
      <c r="L99" s="35"/>
    </row>
    <row r="100" spans="3:12" ht="12.75" customHeight="1">
      <c r="C100" s="15" t="s">
        <v>14</v>
      </c>
      <c r="D100" s="15"/>
      <c r="E100" s="26">
        <v>42404</v>
      </c>
      <c r="F100" s="15"/>
      <c r="G100" s="32">
        <v>125567.95</v>
      </c>
      <c r="H100" s="15"/>
      <c r="I100" s="14"/>
      <c r="L100" s="35"/>
    </row>
    <row r="101" spans="3:12" ht="12.75" customHeight="1">
      <c r="C101" s="15"/>
      <c r="D101" s="15"/>
      <c r="E101" s="26">
        <v>42451</v>
      </c>
      <c r="F101" s="15"/>
      <c r="G101" s="32">
        <v>42362.70</v>
      </c>
      <c r="H101" s="15"/>
      <c r="I101" s="14"/>
      <c r="L101" s="35"/>
    </row>
    <row r="102" spans="3:12" ht="12.75" customHeight="1">
      <c r="C102" s="15"/>
      <c r="D102" s="15"/>
      <c r="E102" s="26">
        <v>42549</v>
      </c>
      <c r="F102" s="15"/>
      <c r="G102" s="32">
        <v>22061.54</v>
      </c>
      <c r="H102" s="15"/>
      <c r="I102" s="14"/>
      <c r="L102" s="35"/>
    </row>
    <row r="103" spans="3:12" ht="12.75" customHeight="1">
      <c r="C103" s="15"/>
      <c r="D103" s="15"/>
      <c r="E103" s="26">
        <v>42584</v>
      </c>
      <c r="F103" s="15"/>
      <c r="G103" s="32">
        <v>588658.97</v>
      </c>
      <c r="H103" s="15"/>
      <c r="I103" s="14"/>
      <c r="L103" s="35"/>
    </row>
    <row r="104" spans="3:12" ht="12.75" customHeight="1">
      <c r="C104" s="15"/>
      <c r="D104" s="15"/>
      <c r="E104" s="26">
        <v>42632</v>
      </c>
      <c r="F104" s="15"/>
      <c r="G104" s="32">
        <v>37306.49</v>
      </c>
      <c r="H104" s="15"/>
      <c r="I104" s="14"/>
      <c r="L104" s="35"/>
    </row>
    <row r="105" spans="3:12" ht="12.75" customHeight="1">
      <c r="C105" s="15"/>
      <c r="D105" s="15"/>
      <c r="E105" s="26">
        <v>42656</v>
      </c>
      <c r="F105" s="15"/>
      <c r="G105" s="32">
        <v>150097.2</v>
      </c>
      <c r="H105" s="15"/>
      <c r="I105" s="14"/>
      <c r="L105" s="35"/>
    </row>
    <row r="106" spans="3:12" ht="12.75" customHeight="1">
      <c r="C106" s="15"/>
      <c r="D106" s="15"/>
      <c r="E106" s="26">
        <v>42723</v>
      </c>
      <c r="F106" s="15"/>
      <c r="G106" s="32">
        <v>143473.42</v>
      </c>
      <c r="H106" s="15"/>
      <c r="I106" s="14"/>
      <c r="L106" s="10"/>
    </row>
    <row r="107" spans="3:12" ht="12.75" customHeight="1">
      <c r="C107" s="15" t="s">
        <v>15</v>
      </c>
      <c r="D107" s="15"/>
      <c r="E107" s="26">
        <v>42795</v>
      </c>
      <c r="F107" s="15"/>
      <c r="G107" s="32">
        <v>-56329.29</v>
      </c>
      <c r="H107" s="15"/>
      <c r="I107" s="14"/>
      <c r="J107" s="15"/>
      <c r="L107" s="58"/>
    </row>
    <row r="108" spans="3:12" ht="12.75" customHeight="1">
      <c r="C108" s="15"/>
      <c r="D108" s="15"/>
      <c r="E108" s="26">
        <v>42822</v>
      </c>
      <c r="F108" s="15"/>
      <c r="G108" s="32">
        <v>-31178.57</v>
      </c>
      <c r="H108" s="15"/>
      <c r="I108" s="14"/>
      <c r="J108" s="15"/>
      <c r="L108" s="58"/>
    </row>
    <row r="109" spans="3:12" ht="12.75" customHeight="1">
      <c r="C109" s="15"/>
      <c r="D109" s="15"/>
      <c r="E109" s="26">
        <v>42843</v>
      </c>
      <c r="F109" s="15"/>
      <c r="G109" s="32">
        <v>-55290</v>
      </c>
      <c r="H109" s="15"/>
      <c r="I109" s="14"/>
      <c r="J109" s="15"/>
      <c r="L109" s="58"/>
    </row>
    <row r="110" spans="3:12" ht="12.75" customHeight="1">
      <c r="C110" s="15"/>
      <c r="D110" s="15"/>
      <c r="E110" s="26">
        <v>42909</v>
      </c>
      <c r="F110" s="15"/>
      <c r="G110" s="32">
        <v>-80856.42</v>
      </c>
      <c r="H110" s="15"/>
      <c r="I110" s="14"/>
      <c r="J110" s="15"/>
      <c r="L110" s="58"/>
    </row>
    <row r="111" spans="3:12" ht="12.75" customHeight="1">
      <c r="C111" s="15"/>
      <c r="D111" s="15"/>
      <c r="E111" s="26">
        <v>43054</v>
      </c>
      <c r="F111" s="15"/>
      <c r="G111" s="32">
        <v>-54458.58</v>
      </c>
      <c r="H111" s="15"/>
      <c r="I111" s="14"/>
      <c r="J111" s="15"/>
      <c r="L111" s="35"/>
    </row>
    <row r="112" spans="3:12" ht="12.75" customHeight="1">
      <c r="C112" s="15"/>
      <c r="D112" s="15"/>
      <c r="E112" s="26">
        <v>43090</v>
      </c>
      <c r="F112" s="15"/>
      <c r="G112" s="32">
        <v>-67969.28</v>
      </c>
      <c r="H112" s="15"/>
      <c r="I112" s="14"/>
      <c r="J112" s="15"/>
      <c r="L112" s="35"/>
    </row>
    <row r="113" spans="3:12" ht="12.75" customHeight="1">
      <c r="C113" s="15" t="s">
        <v>16</v>
      </c>
      <c r="D113" s="15"/>
      <c r="E113" s="26">
        <v>42823</v>
      </c>
      <c r="F113" s="15"/>
      <c r="G113" s="32">
        <v>217020.23</v>
      </c>
      <c r="H113" s="15"/>
      <c r="I113" s="14"/>
      <c r="J113" s="15"/>
      <c r="L113" s="35"/>
    </row>
    <row r="114" spans="3:12" ht="12.75" customHeight="1">
      <c r="C114" s="15"/>
      <c r="D114" s="15"/>
      <c r="E114" s="26">
        <v>42859</v>
      </c>
      <c r="F114" s="15"/>
      <c r="G114" s="32">
        <v>32505.74</v>
      </c>
      <c r="H114" s="15"/>
      <c r="I114" s="14"/>
      <c r="L114" s="35"/>
    </row>
    <row r="115" spans="3:12" ht="12.75" customHeight="1">
      <c r="C115" s="15"/>
      <c r="D115" s="15"/>
      <c r="E115" s="26">
        <v>43020</v>
      </c>
      <c r="F115" s="15"/>
      <c r="G115" s="32">
        <v>82653.95</v>
      </c>
      <c r="H115" s="15"/>
      <c r="I115" s="14"/>
      <c r="L115" s="35"/>
    </row>
    <row r="116" spans="3:12" ht="12.75" customHeight="1">
      <c r="C116" s="15" t="s">
        <v>17</v>
      </c>
      <c r="D116" s="15"/>
      <c r="E116" s="26">
        <v>43364</v>
      </c>
      <c r="F116" s="15"/>
      <c r="G116" s="32">
        <v>-170442.86</v>
      </c>
      <c r="H116" s="15"/>
      <c r="I116" s="14"/>
      <c r="L116" s="35"/>
    </row>
    <row r="117" spans="3:12" ht="12.75" customHeight="1">
      <c r="C117" s="15"/>
      <c r="D117" s="15"/>
      <c r="E117" s="26">
        <v>43454</v>
      </c>
      <c r="F117" s="15"/>
      <c r="G117" s="32">
        <v>-173145</v>
      </c>
      <c r="H117" s="15"/>
      <c r="I117" s="14"/>
      <c r="L117" s="35"/>
    </row>
    <row r="118" spans="3:12" ht="12.75" customHeight="1">
      <c r="C118" s="15" t="s">
        <v>18</v>
      </c>
      <c r="D118" s="15"/>
      <c r="E118" s="26">
        <v>43152</v>
      </c>
      <c r="F118" s="15"/>
      <c r="G118" s="32">
        <v>507551.35</v>
      </c>
      <c r="H118" s="15"/>
      <c r="I118" s="14"/>
      <c r="L118" s="35"/>
    </row>
    <row r="119" spans="3:12" ht="12.75" customHeight="1">
      <c r="C119" s="15"/>
      <c r="D119" s="15"/>
      <c r="E119" s="26">
        <v>43186</v>
      </c>
      <c r="F119" s="15"/>
      <c r="G119" s="32">
        <v>303400.82</v>
      </c>
      <c r="H119" s="15"/>
      <c r="I119" s="14"/>
      <c r="L119" s="35"/>
    </row>
    <row r="120" spans="3:12" ht="12.75" customHeight="1">
      <c r="C120" s="15"/>
      <c r="D120" s="15"/>
      <c r="E120" s="26">
        <v>43262</v>
      </c>
      <c r="F120" s="15"/>
      <c r="G120" s="32">
        <v>43362.99</v>
      </c>
      <c r="H120" s="15"/>
      <c r="I120" s="14"/>
      <c r="L120" s="35"/>
    </row>
    <row r="121" spans="3:12" ht="12.75" customHeight="1">
      <c r="C121" s="15"/>
      <c r="D121" s="15"/>
      <c r="E121" s="26">
        <v>43404</v>
      </c>
      <c r="F121" s="15"/>
      <c r="G121" s="32">
        <v>41363.8</v>
      </c>
      <c r="H121" s="15"/>
      <c r="I121" s="14"/>
      <c r="L121" s="35"/>
    </row>
    <row r="122" spans="3:12" ht="12.75" customHeight="1">
      <c r="C122" s="15" t="s">
        <v>19</v>
      </c>
      <c r="D122" s="15"/>
      <c r="E122" s="26">
        <v>43649</v>
      </c>
      <c r="F122" s="15"/>
      <c r="G122" s="32">
        <v>-30555</v>
      </c>
      <c r="H122" s="15"/>
      <c r="I122" s="14"/>
      <c r="L122" s="35"/>
    </row>
    <row r="123" spans="3:12" ht="12.75" customHeight="1">
      <c r="C123" s="15" t="s">
        <v>20</v>
      </c>
      <c r="D123" s="15"/>
      <c r="E123" s="26">
        <v>43593</v>
      </c>
      <c r="F123" s="15"/>
      <c r="G123" s="32">
        <v>43099.64</v>
      </c>
      <c r="H123" s="15"/>
      <c r="I123" s="14"/>
      <c r="L123" s="35"/>
    </row>
    <row r="124" spans="3:12" ht="12.75" customHeight="1">
      <c r="C124" s="15"/>
      <c r="D124" s="15"/>
      <c r="E124" s="26">
        <v>43655</v>
      </c>
      <c r="F124" s="15"/>
      <c r="G124" s="32">
        <v>72232.02</v>
      </c>
      <c r="H124" s="15"/>
      <c r="I124" s="14"/>
      <c r="L124" s="35"/>
    </row>
    <row r="125" spans="3:12" ht="12.75" customHeight="1">
      <c r="C125" s="15" t="s">
        <v>21</v>
      </c>
      <c r="D125" s="15"/>
      <c r="E125" s="26">
        <v>43928</v>
      </c>
      <c r="F125" s="15"/>
      <c r="G125" s="32">
        <v>-26397.86</v>
      </c>
      <c r="H125" s="15"/>
      <c r="I125" s="14"/>
      <c r="L125" s="35"/>
    </row>
    <row r="126" spans="3:12" ht="12.75" customHeight="1">
      <c r="C126" s="15"/>
      <c r="D126" s="15"/>
      <c r="E126" s="26">
        <v>44070</v>
      </c>
      <c r="F126" s="15"/>
      <c r="G126" s="32">
        <v>-267966.24</v>
      </c>
      <c r="H126" s="15"/>
      <c r="I126" s="14"/>
      <c r="L126" s="10"/>
    </row>
    <row r="127" spans="3:12" ht="12.75" customHeight="1">
      <c r="C127" s="15" t="s">
        <v>22</v>
      </c>
      <c r="D127" s="15"/>
      <c r="E127" s="26">
        <v>44302</v>
      </c>
      <c r="F127" s="15"/>
      <c r="G127" s="32">
        <v>131158.08</v>
      </c>
      <c r="H127" s="15"/>
      <c r="I127" s="14"/>
      <c r="L127" s="10"/>
    </row>
    <row r="128" spans="3:12" ht="12.75" customHeight="1">
      <c r="C128" s="15" t="s">
        <v>23</v>
      </c>
      <c r="D128" s="15"/>
      <c r="E128" s="26">
        <v>44673</v>
      </c>
      <c r="F128" s="15"/>
      <c r="G128" s="32">
        <v>278880.6</v>
      </c>
      <c r="H128" s="15"/>
      <c r="I128" s="14"/>
      <c r="L128" s="10"/>
    </row>
    <row r="129" spans="3:12" ht="12.75" customHeight="1">
      <c r="C129" s="15"/>
      <c r="D129" s="15"/>
      <c r="E129" s="26">
        <v>44727</v>
      </c>
      <c r="F129" s="15"/>
      <c r="G129" s="32">
        <v>40739.2</v>
      </c>
      <c r="H129" s="15"/>
      <c r="I129" s="14"/>
      <c r="L129" s="10"/>
    </row>
    <row r="130" spans="3:12" ht="12.75" customHeight="1">
      <c r="C130" s="15"/>
      <c r="D130" s="15"/>
      <c r="E130" s="26">
        <v>44796</v>
      </c>
      <c r="F130" s="15"/>
      <c r="G130" s="32">
        <v>37166.98</v>
      </c>
      <c r="H130" s="15"/>
      <c r="I130" s="14"/>
      <c r="L130" s="10"/>
    </row>
    <row r="131" spans="3:12" ht="12.75" customHeight="1">
      <c r="C131" s="15"/>
      <c r="D131" s="15"/>
      <c r="E131" s="26">
        <v>44868</v>
      </c>
      <c r="F131" s="15"/>
      <c r="G131" s="32">
        <v>158787.2</v>
      </c>
      <c r="H131" s="15"/>
      <c r="I131" s="14"/>
      <c r="L131" s="10"/>
    </row>
    <row r="132" spans="3:12" ht="12.75" customHeight="1">
      <c r="C132" s="15"/>
      <c r="D132" s="15"/>
      <c r="E132" s="26">
        <v>44911</v>
      </c>
      <c r="F132" s="15"/>
      <c r="G132" s="32">
        <v>101499.67</v>
      </c>
      <c r="H132" s="15"/>
      <c r="I132" s="14"/>
      <c r="L132" s="10"/>
    </row>
    <row r="133" spans="3:12" ht="12.75" customHeight="1">
      <c r="C133" s="15" t="s">
        <v>24</v>
      </c>
      <c r="D133" s="15"/>
      <c r="E133" s="26">
        <v>44973</v>
      </c>
      <c r="F133" s="15"/>
      <c r="G133" s="32">
        <v>122713.93</v>
      </c>
      <c r="H133" s="15"/>
      <c r="I133" s="14"/>
      <c r="L133" s="10"/>
    </row>
    <row r="134" spans="3:12" ht="12.75" customHeight="1">
      <c r="C134" s="15"/>
      <c r="D134" s="15"/>
      <c r="E134" s="26">
        <v>45079</v>
      </c>
      <c r="F134" s="15"/>
      <c r="G134" s="32">
        <v>80249.68</v>
      </c>
      <c r="H134" s="15"/>
      <c r="I134" s="14"/>
      <c r="L134" s="10"/>
    </row>
    <row r="135" spans="3:12" ht="12.75" customHeight="1">
      <c r="C135" s="15"/>
      <c r="D135" s="15"/>
      <c r="E135" s="26">
        <v>45182</v>
      </c>
      <c r="F135" s="15"/>
      <c r="G135" s="32">
        <v>36306.22</v>
      </c>
      <c r="H135" s="15"/>
      <c r="I135" s="14"/>
      <c r="L135" s="10"/>
    </row>
    <row r="136" spans="3:12" ht="12.75" customHeight="1">
      <c r="C136" s="15"/>
      <c r="D136" s="15"/>
      <c r="E136" s="26">
        <v>45261</v>
      </c>
      <c r="F136" s="15"/>
      <c r="G136" s="32">
        <v>52393.70</v>
      </c>
      <c r="H136" s="15"/>
      <c r="I136" s="14"/>
      <c r="L136" s="10"/>
    </row>
    <row r="137" spans="3:12" ht="4.5" customHeight="1">
      <c r="C137" s="15"/>
      <c r="D137" s="15"/>
      <c r="E137" s="26"/>
      <c r="F137" s="15"/>
      <c r="G137" s="32"/>
      <c r="H137" s="15"/>
      <c r="I137" s="14"/>
      <c r="L137" s="35"/>
    </row>
    <row r="138" spans="3:12" ht="12.75">
      <c r="C138" s="15" t="s">
        <v>25</v>
      </c>
      <c r="D138" s="15"/>
      <c r="E138" s="26">
        <f>+E8</f>
        <v>45473</v>
      </c>
      <c r="F138" s="15"/>
      <c r="G138" s="33">
        <f>L138*C22</f>
        <v>2880581.3525083982</v>
      </c>
      <c r="H138" s="15"/>
      <c r="I138" s="32">
        <f>+SUMIF($G$23:$G$137,"&lt;0",$G$23:$G$137)</f>
        <v>-8543091.139999999</v>
      </c>
      <c r="J138" s="15" t="s">
        <v>26</v>
      </c>
      <c r="L138" s="58">
        <v>87223647</v>
      </c>
    </row>
    <row r="139" spans="7:10" ht="12.75">
      <c r="G139" s="14"/>
      <c r="H139" s="15"/>
      <c r="I139" s="32">
        <f>+SUMIF($G$23:$G$137,"&gt;0",$G$23:$G$137)</f>
        <v>5842662.48</v>
      </c>
      <c r="J139" s="15" t="s">
        <v>27</v>
      </c>
    </row>
    <row r="140" spans="3:10" ht="12.75">
      <c r="C140" s="36" t="s">
        <v>28</v>
      </c>
      <c r="G140" s="37">
        <f>XIRR(G23:G138,E23:E138,0.1)</f>
        <v>0.00396847426891327</v>
      </c>
      <c r="H140" s="15"/>
      <c r="I140" s="15"/>
      <c r="J140" s="15"/>
    </row>
    <row r="143" spans="7:7" ht="12.75">
      <c r="G143" s="38"/>
    </row>
    <row r="144" spans="5:7" ht="12.75">
      <c r="E144" s="38"/>
      <c r="F144" s="39"/>
      <c r="G144" s="38"/>
    </row>
    <row r="145" spans="5:7" ht="12.75">
      <c r="E145" s="38"/>
      <c r="F145" s="39"/>
      <c r="G145" s="38"/>
    </row>
    <row r="146" spans="3:7" ht="12.75">
      <c r="C146" s="39"/>
      <c r="D146" s="39"/>
      <c r="E146" s="123"/>
      <c r="F146" s="123"/>
      <c r="G146" s="123"/>
    </row>
    <row r="147" spans="3:7" ht="12.75">
      <c r="C147" s="39"/>
      <c r="D147" s="39"/>
      <c r="E147" s="38"/>
      <c r="F147" s="38"/>
      <c r="G147" s="38"/>
    </row>
    <row r="148" spans="3:7" ht="12.75">
      <c r="C148" s="39"/>
      <c r="D148" s="39"/>
      <c r="E148" s="39"/>
      <c r="F148" s="39"/>
      <c r="G148" s="39"/>
    </row>
    <row r="149" spans="3:7" ht="12.75">
      <c r="C149" s="39"/>
      <c r="D149" s="39"/>
      <c r="E149" s="59"/>
      <c r="F149" s="40"/>
      <c r="G149" s="41"/>
    </row>
    <row r="150" spans="3:7" ht="12.75">
      <c r="C150" s="39"/>
      <c r="D150" s="39"/>
      <c r="E150" s="41"/>
      <c r="F150" s="40"/>
      <c r="G150" s="41"/>
    </row>
    <row r="151" spans="3:7" ht="12.75">
      <c r="C151" s="39"/>
      <c r="D151" s="39"/>
      <c r="E151" s="41"/>
      <c r="F151" s="40"/>
      <c r="G151" s="41"/>
    </row>
    <row r="152" spans="3:7" ht="12.75">
      <c r="C152" s="42"/>
      <c r="D152" s="39"/>
      <c r="E152" s="41"/>
      <c r="F152" s="40"/>
      <c r="G152" s="41"/>
    </row>
    <row r="153" spans="3:7" ht="12.75">
      <c r="C153" s="42"/>
      <c r="D153" s="39"/>
      <c r="E153" s="41"/>
      <c r="F153" s="40"/>
      <c r="G153" s="41"/>
    </row>
    <row r="154" spans="3:7" ht="12.75">
      <c r="C154" s="43"/>
      <c r="D154" s="39"/>
      <c r="E154" s="41"/>
      <c r="F154" s="40"/>
      <c r="G154" s="41"/>
    </row>
    <row r="155" spans="3:7" ht="12.75">
      <c r="C155" s="39"/>
      <c r="D155" s="39"/>
      <c r="E155" s="41"/>
      <c r="F155" s="40"/>
      <c r="G155" s="41"/>
    </row>
    <row r="156" spans="3:7" ht="12.75">
      <c r="C156" s="39"/>
      <c r="D156" s="39"/>
      <c r="E156" s="41"/>
      <c r="F156" s="40"/>
      <c r="G156" s="41"/>
    </row>
    <row r="157" spans="3:7" ht="12.75">
      <c r="C157" s="39"/>
      <c r="D157" s="39"/>
      <c r="E157" s="41"/>
      <c r="F157" s="40"/>
      <c r="G157" s="41"/>
    </row>
    <row r="158" spans="3:7" ht="12.75">
      <c r="C158" s="39"/>
      <c r="D158" s="39"/>
      <c r="E158" s="41"/>
      <c r="F158" s="40"/>
      <c r="G158" s="41"/>
    </row>
    <row r="159" spans="3:7" ht="12.75">
      <c r="C159" s="39"/>
      <c r="D159" s="39"/>
      <c r="E159" s="41"/>
      <c r="F159" s="40"/>
      <c r="G159" s="41"/>
    </row>
    <row r="160" spans="3:7" ht="12.75">
      <c r="C160" s="39"/>
      <c r="D160" s="39"/>
      <c r="E160" s="41"/>
      <c r="F160" s="40"/>
      <c r="G160" s="41"/>
    </row>
    <row r="161" ht="5.1" customHeight="1"/>
  </sheetData>
  <mergeCells count="2">
    <mergeCell ref="H8:I8"/>
    <mergeCell ref="E146:G146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tabColor rgb="FF92D050"/>
    <pageSetUpPr fitToPage="1"/>
  </sheetPr>
  <dimension ref="B4:L161"/>
  <sheetViews>
    <sheetView showGridLines="0" view="pageLayout" zoomScaleNormal="100" workbookViewId="0" topLeftCell="A106">
      <selection pane="topLeft" activeCell="L137" sqref="L137"/>
    </sheetView>
  </sheetViews>
  <sheetFormatPr defaultColWidth="9.144285714285713" defaultRowHeight="12.75"/>
  <cols>
    <col min="2" max="2" width="4.857142857142857" customWidth="1"/>
    <col min="3" max="3" width="43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45473</v>
      </c>
      <c r="F8" s="7"/>
      <c r="G8" s="8"/>
      <c r="H8" s="124"/>
      <c r="I8" s="124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49"/>
      <c r="I10" s="49"/>
    </row>
    <row r="11" spans="3:9" ht="12.75">
      <c r="C11" s="11"/>
      <c r="D11" s="11"/>
      <c r="E11" s="12"/>
      <c r="F11" s="11"/>
      <c r="G11" s="12"/>
      <c r="H11" s="49"/>
      <c r="I11" s="49"/>
    </row>
    <row r="12" spans="3:9" ht="15.75">
      <c r="C12" s="16"/>
      <c r="D12" s="16"/>
      <c r="E12" s="17"/>
      <c r="F12" s="16"/>
      <c r="G12" s="17"/>
      <c r="H12" s="49"/>
      <c r="I12" s="49"/>
    </row>
    <row r="13" spans="3:9" ht="12.75">
      <c r="C13" s="11"/>
      <c r="D13" s="11"/>
      <c r="E13" s="18"/>
      <c r="F13" s="11"/>
      <c r="G13" s="58"/>
      <c r="H13" s="49"/>
      <c r="I13" s="49"/>
    </row>
    <row r="14" spans="3:9" ht="12.75">
      <c r="C14" s="11"/>
      <c r="D14" s="11"/>
      <c r="E14" s="20"/>
      <c r="F14" s="11"/>
      <c r="G14" s="58"/>
      <c r="H14" s="49"/>
      <c r="I14" s="49"/>
    </row>
    <row r="15" spans="3:9" ht="12.75">
      <c r="C15" s="11"/>
      <c r="D15" s="11"/>
      <c r="E15" s="12"/>
      <c r="F15" s="11"/>
      <c r="G15" s="12"/>
      <c r="H15" s="49"/>
      <c r="I15" s="49"/>
    </row>
    <row r="16" spans="3:9" ht="15.75">
      <c r="C16" s="5"/>
      <c r="D16" s="5"/>
      <c r="E16" s="17"/>
      <c r="F16" s="5"/>
      <c r="G16" s="17"/>
      <c r="H16" s="49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0.004662522673606872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1.0246434188508298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49"/>
      <c r="I20" s="49"/>
    </row>
    <row r="21" spans="3:10" ht="12.75">
      <c r="C21" s="24" t="s">
        <v>29</v>
      </c>
      <c r="D21" s="11"/>
      <c r="E21" s="11"/>
      <c r="F21" s="11"/>
      <c r="G21" s="13"/>
      <c r="H21" s="50"/>
      <c r="I21" s="26"/>
      <c r="J21" s="15"/>
    </row>
    <row r="22" spans="3:10" ht="15.75">
      <c r="C22" s="51">
        <v>0.151630023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4</v>
      </c>
      <c r="D23" s="15"/>
      <c r="E23" s="26">
        <v>40590</v>
      </c>
      <c r="F23" s="15"/>
      <c r="G23" s="32">
        <v>-3150000</v>
      </c>
      <c r="H23" s="15"/>
      <c r="I23" s="14"/>
      <c r="J23" s="14"/>
      <c r="L23" s="35"/>
    </row>
    <row r="24" spans="3:12" ht="12.75">
      <c r="C24" s="15"/>
      <c r="D24" s="15"/>
      <c r="E24" s="26">
        <v>40661</v>
      </c>
      <c r="F24" s="15"/>
      <c r="G24" s="32">
        <v>-806485.68</v>
      </c>
      <c r="H24" s="15"/>
      <c r="I24" s="14"/>
      <c r="J24" s="14"/>
      <c r="L24" s="35"/>
    </row>
    <row r="25" spans="3:12" ht="12.75">
      <c r="C25" s="15"/>
      <c r="D25" s="15"/>
      <c r="E25" s="26">
        <v>40704</v>
      </c>
      <c r="F25" s="15"/>
      <c r="G25" s="32">
        <v>-1272085.66</v>
      </c>
      <c r="H25" s="15"/>
      <c r="I25" s="14"/>
      <c r="J25" s="14"/>
      <c r="L25" s="35"/>
    </row>
    <row r="26" spans="3:12" ht="12.75">
      <c r="C26" s="15"/>
      <c r="D26" s="15"/>
      <c r="E26" s="26">
        <v>40751</v>
      </c>
      <c r="F26" s="15"/>
      <c r="G26" s="32">
        <v>-1216657.09</v>
      </c>
      <c r="H26" s="15"/>
      <c r="I26" s="14"/>
      <c r="J26" s="14"/>
      <c r="L26" s="35"/>
    </row>
    <row r="27" spans="3:12" ht="12.75">
      <c r="C27" s="15"/>
      <c r="D27" s="15"/>
      <c r="E27" s="26">
        <v>40765</v>
      </c>
      <c r="F27" s="15"/>
      <c r="G27" s="32">
        <v>-2023142.77</v>
      </c>
      <c r="H27" s="15"/>
      <c r="I27" s="14"/>
      <c r="J27" s="14"/>
      <c r="L27" s="35"/>
    </row>
    <row r="28" spans="3:12" ht="12.75">
      <c r="C28" s="15"/>
      <c r="D28" s="15"/>
      <c r="E28" s="26">
        <v>40813</v>
      </c>
      <c r="F28" s="15"/>
      <c r="G28" s="32">
        <v>-1782028.50</v>
      </c>
      <c r="H28" s="15"/>
      <c r="I28" s="14"/>
      <c r="J28" s="14"/>
      <c r="L28" s="35"/>
    </row>
    <row r="29" spans="3:12" ht="12.75">
      <c r="C29" s="15"/>
      <c r="D29" s="15"/>
      <c r="E29" s="26">
        <v>40879</v>
      </c>
      <c r="F29" s="15"/>
      <c r="G29" s="32">
        <v>-856371.39</v>
      </c>
      <c r="H29" s="15"/>
      <c r="I29" s="14"/>
      <c r="J29" s="14"/>
      <c r="L29" s="35"/>
    </row>
    <row r="30" spans="3:12" ht="12.75">
      <c r="C30" s="15"/>
      <c r="D30" s="15"/>
      <c r="E30" s="26">
        <v>40886</v>
      </c>
      <c r="F30" s="15"/>
      <c r="G30" s="32">
        <v>-1166771.38</v>
      </c>
      <c r="H30" s="15"/>
      <c r="I30" s="14"/>
      <c r="J30" s="14"/>
      <c r="L30" s="35"/>
    </row>
    <row r="31" spans="3:12" ht="12.75">
      <c r="C31" s="15" t="s">
        <v>5</v>
      </c>
      <c r="D31" s="15"/>
      <c r="E31" s="26">
        <v>40927</v>
      </c>
      <c r="F31" s="15"/>
      <c r="G31" s="32">
        <v>-1951085.63</v>
      </c>
      <c r="H31" s="15"/>
      <c r="I31" s="14"/>
      <c r="J31" s="14"/>
      <c r="L31" s="35"/>
    </row>
    <row r="32" spans="3:12" ht="12.75">
      <c r="C32" s="15"/>
      <c r="D32" s="15"/>
      <c r="E32" s="26">
        <v>40942</v>
      </c>
      <c r="F32" s="15"/>
      <c r="G32" s="32">
        <v>-9145713.91</v>
      </c>
      <c r="H32" s="15"/>
      <c r="I32" s="14"/>
      <c r="J32" s="14"/>
      <c r="L32" s="35"/>
    </row>
    <row r="33" spans="3:12" ht="12.75">
      <c r="C33" s="15"/>
      <c r="D33" s="15"/>
      <c r="E33" s="26">
        <v>40970</v>
      </c>
      <c r="F33" s="15"/>
      <c r="G33" s="32">
        <v>-1454999.94</v>
      </c>
      <c r="H33" s="15"/>
      <c r="I33" s="14"/>
      <c r="J33" s="14"/>
      <c r="L33" s="35"/>
    </row>
    <row r="34" spans="3:12" ht="12.75">
      <c r="C34" s="15"/>
      <c r="D34" s="15"/>
      <c r="E34" s="26">
        <v>41001</v>
      </c>
      <c r="F34" s="15"/>
      <c r="G34" s="32">
        <v>-850828.54</v>
      </c>
      <c r="H34" s="15"/>
      <c r="I34" s="14"/>
      <c r="J34" s="14"/>
      <c r="L34" s="35"/>
    </row>
    <row r="35" spans="3:12" ht="12.75">
      <c r="C35" s="15"/>
      <c r="D35" s="15"/>
      <c r="E35" s="26">
        <v>41024</v>
      </c>
      <c r="F35" s="15"/>
      <c r="G35" s="32">
        <v>-1008799.96</v>
      </c>
      <c r="H35" s="15"/>
      <c r="I35" s="14"/>
      <c r="J35" s="14"/>
      <c r="L35" s="35"/>
    </row>
    <row r="36" spans="3:12" ht="12.75">
      <c r="C36" s="15"/>
      <c r="D36" s="15"/>
      <c r="E36" s="26">
        <v>41054</v>
      </c>
      <c r="F36" s="15"/>
      <c r="G36" s="32">
        <v>-1313657.09</v>
      </c>
      <c r="H36" s="15"/>
      <c r="I36" s="14"/>
      <c r="J36" s="14"/>
      <c r="L36" s="35"/>
    </row>
    <row r="37" spans="3:12" ht="12.75">
      <c r="C37" s="15"/>
      <c r="D37" s="15"/>
      <c r="E37" s="26">
        <v>41080</v>
      </c>
      <c r="F37" s="15"/>
      <c r="G37" s="32">
        <v>-2436085.61</v>
      </c>
      <c r="H37" s="15"/>
      <c r="I37" s="14"/>
      <c r="J37" s="14"/>
      <c r="L37" s="35"/>
    </row>
    <row r="38" spans="3:12" ht="12.75">
      <c r="C38" s="15"/>
      <c r="D38" s="15"/>
      <c r="E38" s="26">
        <v>41103</v>
      </c>
      <c r="F38" s="15"/>
      <c r="G38" s="32">
        <v>-789857.11</v>
      </c>
      <c r="H38" s="15"/>
      <c r="I38" s="14"/>
      <c r="J38" s="14"/>
      <c r="L38" s="35"/>
    </row>
    <row r="39" spans="3:12" ht="12.75">
      <c r="C39" s="15"/>
      <c r="D39" s="15"/>
      <c r="E39" s="26">
        <v>41121</v>
      </c>
      <c r="F39" s="15"/>
      <c r="G39" s="32">
        <v>-762142.83</v>
      </c>
      <c r="H39" s="15"/>
      <c r="I39" s="14"/>
      <c r="J39" s="14"/>
      <c r="L39" s="35"/>
    </row>
    <row r="40" spans="3:12" ht="12.75">
      <c r="C40" s="15"/>
      <c r="D40" s="15"/>
      <c r="E40" s="26">
        <v>41152</v>
      </c>
      <c r="F40" s="15"/>
      <c r="G40" s="32">
        <v>-1008799.99</v>
      </c>
      <c r="H40" s="15"/>
      <c r="I40" s="14"/>
      <c r="J40" s="14"/>
      <c r="L40" s="35"/>
    </row>
    <row r="41" spans="3:12" ht="12.75">
      <c r="C41" s="15"/>
      <c r="D41" s="15"/>
      <c r="E41" s="26">
        <v>41180</v>
      </c>
      <c r="F41" s="15"/>
      <c r="G41" s="32">
        <v>-1912285.72</v>
      </c>
      <c r="H41" s="15"/>
      <c r="I41" s="14"/>
      <c r="J41" s="14"/>
      <c r="L41" s="35"/>
    </row>
    <row r="42" spans="3:12" ht="12.75">
      <c r="C42" s="15"/>
      <c r="D42" s="15"/>
      <c r="E42" s="26">
        <v>41194</v>
      </c>
      <c r="F42" s="15"/>
      <c r="G42" s="32">
        <v>-939514.29</v>
      </c>
      <c r="H42" s="15"/>
      <c r="I42" s="14"/>
      <c r="J42" s="14"/>
      <c r="L42" s="35"/>
    </row>
    <row r="43" spans="3:12" ht="12.75">
      <c r="C43" s="15"/>
      <c r="D43" s="15"/>
      <c r="E43" s="26">
        <v>41250</v>
      </c>
      <c r="F43" s="15"/>
      <c r="G43" s="32">
        <v>-4237514.28</v>
      </c>
      <c r="H43" s="15"/>
      <c r="I43" s="14"/>
      <c r="J43" s="14"/>
      <c r="L43" s="35"/>
    </row>
    <row r="44" spans="3:12" ht="12.75">
      <c r="C44" s="15"/>
      <c r="D44" s="15"/>
      <c r="E44" s="26">
        <v>41264</v>
      </c>
      <c r="F44" s="15"/>
      <c r="G44" s="32">
        <v>-3763600</v>
      </c>
      <c r="H44" s="15"/>
      <c r="I44" s="14"/>
      <c r="J44" s="14"/>
      <c r="L44" s="35"/>
    </row>
    <row r="45" spans="3:12" ht="12.75">
      <c r="C45" s="15" t="s">
        <v>6</v>
      </c>
      <c r="D45" s="15"/>
      <c r="E45" s="26">
        <v>41030</v>
      </c>
      <c r="F45" s="15"/>
      <c r="G45" s="32">
        <v>3231985.63</v>
      </c>
      <c r="H45" s="15"/>
      <c r="I45" s="14"/>
      <c r="J45" s="14"/>
      <c r="L45" s="35"/>
    </row>
    <row r="46" spans="3:12" ht="12.75">
      <c r="C46" s="15"/>
      <c r="D46" s="15"/>
      <c r="E46" s="26">
        <v>41108</v>
      </c>
      <c r="F46" s="15"/>
      <c r="G46" s="32">
        <v>805926.42</v>
      </c>
      <c r="H46" s="15"/>
      <c r="I46" s="14"/>
      <c r="J46" s="14"/>
      <c r="L46" s="35"/>
    </row>
    <row r="47" spans="3:12" ht="12.75">
      <c r="C47" s="15"/>
      <c r="D47" s="15"/>
      <c r="E47" s="26">
        <v>41137</v>
      </c>
      <c r="F47" s="15"/>
      <c r="G47" s="32">
        <v>345455.13</v>
      </c>
      <c r="H47" s="15"/>
      <c r="I47" s="14"/>
      <c r="J47" s="14"/>
      <c r="L47" s="35"/>
    </row>
    <row r="48" spans="3:12" ht="12.75">
      <c r="C48" s="15"/>
      <c r="D48" s="15"/>
      <c r="E48" s="26">
        <v>41173</v>
      </c>
      <c r="F48" s="15"/>
      <c r="G48" s="32">
        <v>7058897.29</v>
      </c>
      <c r="H48" s="15"/>
      <c r="I48" s="14"/>
      <c r="J48" s="14"/>
      <c r="L48" s="35"/>
    </row>
    <row r="49" spans="3:12" ht="12.75">
      <c r="C49" s="15" t="s">
        <v>7</v>
      </c>
      <c r="D49" s="15"/>
      <c r="E49" s="26">
        <v>41284</v>
      </c>
      <c r="F49" s="15"/>
      <c r="G49" s="32">
        <v>-1111342.85</v>
      </c>
      <c r="H49" s="15"/>
      <c r="I49" s="14"/>
      <c r="J49" s="14"/>
      <c r="L49" s="35"/>
    </row>
    <row r="50" spans="3:12" ht="12.75">
      <c r="C50" s="15"/>
      <c r="D50" s="15"/>
      <c r="E50" s="26">
        <v>41298</v>
      </c>
      <c r="F50" s="15"/>
      <c r="G50" s="32">
        <v>-1421742.86</v>
      </c>
      <c r="H50" s="15"/>
      <c r="I50" s="14"/>
      <c r="J50" s="14"/>
      <c r="L50" s="35"/>
    </row>
    <row r="51" spans="3:12" ht="12.75">
      <c r="C51" s="15"/>
      <c r="D51" s="15"/>
      <c r="E51" s="26">
        <v>41345</v>
      </c>
      <c r="F51" s="15"/>
      <c r="G51" s="32">
        <v>-1457771.43</v>
      </c>
      <c r="H51" s="15"/>
      <c r="I51" s="14"/>
      <c r="J51" s="14"/>
      <c r="L51" s="35"/>
    </row>
    <row r="52" spans="3:12" ht="12.75">
      <c r="C52" s="15"/>
      <c r="D52" s="15"/>
      <c r="E52" s="26">
        <v>41360</v>
      </c>
      <c r="F52" s="15"/>
      <c r="G52" s="32">
        <v>-1305342.83</v>
      </c>
      <c r="H52" s="15"/>
      <c r="I52" s="14"/>
      <c r="J52" s="14"/>
      <c r="L52" s="35"/>
    </row>
    <row r="53" spans="3:12" ht="12.75">
      <c r="C53" s="15"/>
      <c r="D53" s="15"/>
      <c r="E53" s="26">
        <v>41393</v>
      </c>
      <c r="F53" s="15"/>
      <c r="G53" s="32">
        <v>-1050371.45</v>
      </c>
      <c r="H53" s="15"/>
      <c r="I53" s="14"/>
      <c r="J53" s="14"/>
      <c r="L53" s="35"/>
    </row>
    <row r="54" spans="3:12" ht="12.75">
      <c r="C54" s="15"/>
      <c r="D54" s="15"/>
      <c r="E54" s="26">
        <v>41404</v>
      </c>
      <c r="F54" s="15"/>
      <c r="G54" s="32">
        <v>-1430057.15</v>
      </c>
      <c r="H54" s="15"/>
      <c r="I54" s="14"/>
      <c r="J54" s="14"/>
      <c r="L54" s="35"/>
    </row>
    <row r="55" spans="3:12" ht="12.75">
      <c r="C55" s="15"/>
      <c r="D55" s="15"/>
      <c r="E55" s="26">
        <v>41423</v>
      </c>
      <c r="F55" s="15"/>
      <c r="G55" s="32">
        <v>-1238828.57</v>
      </c>
      <c r="H55" s="15"/>
      <c r="I55" s="14"/>
      <c r="J55" s="14"/>
      <c r="L55" s="35"/>
    </row>
    <row r="56" spans="3:12" ht="12.75">
      <c r="C56" s="15"/>
      <c r="D56" s="15"/>
      <c r="E56" s="26">
        <v>41446</v>
      </c>
      <c r="F56" s="15"/>
      <c r="G56" s="32">
        <v>-3785771.43</v>
      </c>
      <c r="H56" s="15"/>
      <c r="I56" s="14"/>
      <c r="J56" s="14"/>
      <c r="L56" s="35"/>
    </row>
    <row r="57" spans="3:12" ht="12.75">
      <c r="C57" s="15"/>
      <c r="D57" s="15"/>
      <c r="E57" s="26">
        <v>41481</v>
      </c>
      <c r="F57" s="15"/>
      <c r="G57" s="32">
        <v>-1183400</v>
      </c>
      <c r="H57" s="15"/>
      <c r="I57" s="14"/>
      <c r="J57" s="14"/>
      <c r="L57" s="35"/>
    </row>
    <row r="58" spans="3:12" ht="12.75">
      <c r="C58" s="15"/>
      <c r="D58" s="15"/>
      <c r="E58" s="26">
        <v>41501</v>
      </c>
      <c r="F58" s="15"/>
      <c r="G58" s="32">
        <v>-1114114.29</v>
      </c>
      <c r="H58" s="15"/>
      <c r="I58" s="14"/>
      <c r="J58" s="14"/>
      <c r="L58" s="35"/>
    </row>
    <row r="59" spans="3:12" ht="12.75">
      <c r="C59" s="15"/>
      <c r="D59" s="15"/>
      <c r="E59" s="26">
        <v>41514</v>
      </c>
      <c r="F59" s="15"/>
      <c r="G59" s="32">
        <v>-1615742.86</v>
      </c>
      <c r="H59" s="15"/>
      <c r="I59" s="14"/>
      <c r="J59" s="14"/>
      <c r="L59" s="35"/>
    </row>
    <row r="60" spans="3:12" ht="12.75">
      <c r="C60" s="15"/>
      <c r="D60" s="15"/>
      <c r="E60" s="26">
        <v>41551</v>
      </c>
      <c r="F60" s="15"/>
      <c r="G60" s="32">
        <v>-964457.14</v>
      </c>
      <c r="H60" s="15"/>
      <c r="I60" s="14"/>
      <c r="J60" s="14"/>
      <c r="L60" s="35"/>
    </row>
    <row r="61" spans="3:12" ht="12.75">
      <c r="C61" s="15"/>
      <c r="D61" s="15"/>
      <c r="E61" s="26">
        <v>41577</v>
      </c>
      <c r="F61" s="15"/>
      <c r="G61" s="32">
        <v>-1543685.71</v>
      </c>
      <c r="H61" s="15"/>
      <c r="L61" s="35"/>
    </row>
    <row r="62" spans="3:12" ht="12.75">
      <c r="C62" s="15"/>
      <c r="D62" s="15"/>
      <c r="E62" s="26">
        <v>41599</v>
      </c>
      <c r="F62" s="15"/>
      <c r="G62" s="32">
        <v>-975542.86</v>
      </c>
      <c r="H62" s="15"/>
      <c r="L62" s="35"/>
    </row>
    <row r="63" spans="3:12" ht="12.75">
      <c r="C63" s="15"/>
      <c r="D63" s="15"/>
      <c r="E63" s="26">
        <v>41624</v>
      </c>
      <c r="F63" s="15"/>
      <c r="G63" s="32">
        <v>-1951085.70</v>
      </c>
      <c r="H63" s="15"/>
      <c r="L63" s="35"/>
    </row>
    <row r="64" spans="3:12" ht="12.75">
      <c r="C64" s="15" t="s">
        <v>8</v>
      </c>
      <c r="D64" s="15"/>
      <c r="E64" s="26">
        <v>41418</v>
      </c>
      <c r="F64" s="15"/>
      <c r="G64" s="32">
        <v>442046.13</v>
      </c>
      <c r="H64" s="15"/>
      <c r="L64" s="35"/>
    </row>
    <row r="65" spans="3:12" ht="12.75">
      <c r="C65" s="15"/>
      <c r="D65" s="15"/>
      <c r="E65" s="26">
        <v>41618</v>
      </c>
      <c r="F65" s="15"/>
      <c r="G65" s="32">
        <v>1627880.21</v>
      </c>
      <c r="H65" s="15"/>
      <c r="L65" s="35"/>
    </row>
    <row r="66" spans="3:12" ht="12.75">
      <c r="C66" s="15" t="s">
        <v>9</v>
      </c>
      <c r="D66" s="15"/>
      <c r="E66" s="26">
        <v>41646</v>
      </c>
      <c r="F66" s="15"/>
      <c r="G66" s="32">
        <v>-1377399.99</v>
      </c>
      <c r="H66" s="15"/>
      <c r="I66" s="14"/>
      <c r="J66" s="15"/>
      <c r="L66" s="35"/>
    </row>
    <row r="67" spans="3:12" ht="12.75">
      <c r="C67" s="15"/>
      <c r="D67" s="15"/>
      <c r="E67" s="26">
        <v>41670</v>
      </c>
      <c r="F67" s="15"/>
      <c r="G67" s="32">
        <v>-1022657.14</v>
      </c>
      <c r="H67" s="15"/>
      <c r="I67" s="14"/>
      <c r="J67" s="15"/>
      <c r="L67" s="35"/>
    </row>
    <row r="68" spans="3:12" ht="12.75">
      <c r="C68" s="15"/>
      <c r="D68" s="15"/>
      <c r="E68" s="26">
        <v>41697</v>
      </c>
      <c r="F68" s="15"/>
      <c r="G68" s="32">
        <v>-1820828.36</v>
      </c>
      <c r="H68" s="15"/>
      <c r="I68" s="14"/>
      <c r="J68" s="15"/>
      <c r="L68" s="35"/>
    </row>
    <row r="69" spans="3:12" ht="12.75">
      <c r="C69" s="15"/>
      <c r="D69" s="15"/>
      <c r="E69" s="26">
        <v>41704</v>
      </c>
      <c r="F69" s="15"/>
      <c r="G69" s="32">
        <v>-1319200</v>
      </c>
      <c r="H69" s="15"/>
      <c r="I69" s="14"/>
      <c r="J69" s="15"/>
      <c r="L69" s="35"/>
    </row>
    <row r="70" spans="3:12" ht="12.75">
      <c r="C70" s="15"/>
      <c r="D70" s="15"/>
      <c r="E70" s="26">
        <v>41718</v>
      </c>
      <c r="F70" s="15"/>
      <c r="G70" s="32">
        <v>-1152914.29</v>
      </c>
      <c r="H70" s="15"/>
      <c r="I70" s="14"/>
      <c r="J70" s="15"/>
      <c r="L70" s="35"/>
    </row>
    <row r="71" spans="3:12" ht="12.75">
      <c r="C71" s="15"/>
      <c r="D71" s="15"/>
      <c r="E71" s="26">
        <v>41750</v>
      </c>
      <c r="F71" s="15"/>
      <c r="G71" s="32">
        <v>-1831914.29</v>
      </c>
      <c r="H71" s="15"/>
      <c r="I71" s="14"/>
      <c r="J71" s="15"/>
      <c r="L71" s="35"/>
    </row>
    <row r="72" spans="3:12" ht="12.75">
      <c r="C72" s="15"/>
      <c r="D72" s="15"/>
      <c r="E72" s="26">
        <v>41779</v>
      </c>
      <c r="F72" s="15"/>
      <c r="G72" s="32">
        <v>-1829142.86</v>
      </c>
      <c r="H72" s="15"/>
      <c r="L72" s="35"/>
    </row>
    <row r="73" spans="3:12" ht="12.75">
      <c r="C73" s="15"/>
      <c r="D73" s="15"/>
      <c r="E73" s="26">
        <v>41814</v>
      </c>
      <c r="F73" s="15"/>
      <c r="G73" s="32">
        <v>-1349685.72</v>
      </c>
      <c r="H73" s="15"/>
      <c r="L73" s="35"/>
    </row>
    <row r="74" spans="3:12" ht="12.75">
      <c r="C74" s="15"/>
      <c r="D74" s="15"/>
      <c r="E74" s="26">
        <v>41877</v>
      </c>
      <c r="F74" s="15"/>
      <c r="G74" s="32">
        <v>-2125685.72</v>
      </c>
      <c r="H74" s="15"/>
      <c r="L74" s="35"/>
    </row>
    <row r="75" spans="3:12" ht="12.75">
      <c r="C75" s="15"/>
      <c r="D75" s="15"/>
      <c r="E75" s="26">
        <v>41913</v>
      </c>
      <c r="F75" s="15"/>
      <c r="G75" s="32">
        <v>-881314.29</v>
      </c>
      <c r="H75" s="15"/>
      <c r="L75" s="35"/>
    </row>
    <row r="76" spans="3:12" ht="12.75">
      <c r="C76" s="15"/>
      <c r="D76" s="15"/>
      <c r="E76" s="26">
        <v>41943</v>
      </c>
      <c r="F76" s="15"/>
      <c r="G76" s="32">
        <v>-1125200</v>
      </c>
      <c r="H76" s="15"/>
      <c r="L76" s="35"/>
    </row>
    <row r="77" spans="3:12" ht="12.75">
      <c r="C77" s="15"/>
      <c r="D77" s="15"/>
      <c r="E77" s="26">
        <v>41990</v>
      </c>
      <c r="F77" s="15"/>
      <c r="G77" s="32">
        <v>-1177857.15</v>
      </c>
      <c r="H77" s="15"/>
      <c r="L77" s="35"/>
    </row>
    <row r="78" spans="3:12" ht="12.75">
      <c r="C78" s="15" t="s">
        <v>10</v>
      </c>
      <c r="D78" s="15"/>
      <c r="E78" s="26">
        <v>41816</v>
      </c>
      <c r="F78" s="15"/>
      <c r="G78" s="32">
        <v>2837711.53</v>
      </c>
      <c r="H78" s="15"/>
      <c r="L78" s="35"/>
    </row>
    <row r="79" spans="3:12" ht="12.75">
      <c r="C79" s="15"/>
      <c r="D79" s="15"/>
      <c r="E79" s="26">
        <v>41857</v>
      </c>
      <c r="F79" s="15"/>
      <c r="G79" s="32">
        <v>1.022572136E7</v>
      </c>
      <c r="H79" s="15"/>
      <c r="L79" s="35"/>
    </row>
    <row r="80" spans="3:12" ht="12.75">
      <c r="C80" s="15" t="s">
        <v>11</v>
      </c>
      <c r="D80" s="15"/>
      <c r="E80" s="26">
        <v>42011</v>
      </c>
      <c r="F80" s="15"/>
      <c r="G80" s="32">
        <v>-925657.15</v>
      </c>
      <c r="H80" s="15"/>
      <c r="L80" s="35"/>
    </row>
    <row r="81" spans="3:12" ht="12.75">
      <c r="C81" s="15"/>
      <c r="D81" s="15"/>
      <c r="E81" s="26">
        <v>42027</v>
      </c>
      <c r="F81" s="15"/>
      <c r="G81" s="32">
        <v>-1194485.71</v>
      </c>
      <c r="H81" s="15"/>
      <c r="L81" s="35"/>
    </row>
    <row r="82" spans="3:12" ht="12.75">
      <c r="C82" s="15"/>
      <c r="D82" s="15"/>
      <c r="E82" s="26">
        <v>42075</v>
      </c>
      <c r="F82" s="15"/>
      <c r="G82" s="32">
        <v>-1197257.14</v>
      </c>
      <c r="H82" s="15"/>
      <c r="L82" s="35"/>
    </row>
    <row r="83" spans="3:12" ht="12.75">
      <c r="C83" s="15"/>
      <c r="D83" s="15"/>
      <c r="E83" s="26">
        <v>42138</v>
      </c>
      <c r="F83" s="15"/>
      <c r="G83" s="32">
        <v>-1773714.29</v>
      </c>
      <c r="H83" s="15"/>
      <c r="L83" s="35"/>
    </row>
    <row r="84" spans="3:12" ht="12.75">
      <c r="C84" s="15"/>
      <c r="D84" s="15"/>
      <c r="E84" s="26">
        <v>42265</v>
      </c>
      <c r="F84" s="15"/>
      <c r="G84" s="32">
        <v>-800942.85</v>
      </c>
      <c r="H84" s="15"/>
      <c r="L84" s="35"/>
    </row>
    <row r="85" spans="3:12" ht="12.75">
      <c r="C85" s="15"/>
      <c r="D85" s="15"/>
      <c r="E85" s="26">
        <v>42297</v>
      </c>
      <c r="F85" s="15"/>
      <c r="G85" s="32">
        <v>-1399571.42</v>
      </c>
      <c r="H85" s="15"/>
      <c r="L85" s="35"/>
    </row>
    <row r="86" spans="3:12" ht="12.75">
      <c r="C86" s="15"/>
      <c r="D86" s="15"/>
      <c r="E86" s="26">
        <v>42352</v>
      </c>
      <c r="F86" s="15"/>
      <c r="G86" s="32">
        <v>-1255457.13</v>
      </c>
      <c r="H86" s="15"/>
      <c r="L86" s="35"/>
    </row>
    <row r="87" spans="3:12" ht="12.75">
      <c r="C87" s="15" t="s">
        <v>12</v>
      </c>
      <c r="D87" s="15"/>
      <c r="E87" s="26">
        <v>42055</v>
      </c>
      <c r="F87" s="15"/>
      <c r="G87" s="32">
        <v>341725.53</v>
      </c>
      <c r="H87" s="15"/>
      <c r="I87" s="14"/>
      <c r="J87" s="15"/>
      <c r="L87" s="35"/>
    </row>
    <row r="88" spans="3:12" ht="12.75">
      <c r="C88" s="15"/>
      <c r="D88" s="15"/>
      <c r="E88" s="26">
        <v>42150</v>
      </c>
      <c r="F88" s="15"/>
      <c r="G88" s="32">
        <v>2090988.95</v>
      </c>
      <c r="H88" s="15"/>
      <c r="I88" s="14"/>
      <c r="J88" s="15"/>
      <c r="L88" s="35"/>
    </row>
    <row r="89" spans="3:12" ht="12.75">
      <c r="C89" s="15"/>
      <c r="D89" s="15"/>
      <c r="E89" s="26">
        <v>42251</v>
      </c>
      <c r="F89" s="15"/>
      <c r="G89" s="32">
        <v>2860882.35</v>
      </c>
      <c r="H89" s="15"/>
      <c r="I89" s="14"/>
      <c r="J89" s="15"/>
      <c r="L89" s="35"/>
    </row>
    <row r="90" spans="3:12" ht="12.75">
      <c r="C90" s="15" t="s">
        <v>13</v>
      </c>
      <c r="D90" s="15"/>
      <c r="E90" s="26">
        <v>42424</v>
      </c>
      <c r="F90" s="15"/>
      <c r="G90" s="32">
        <v>-1258228.58</v>
      </c>
      <c r="H90" s="15"/>
      <c r="I90" s="14"/>
      <c r="J90" s="15"/>
      <c r="L90" s="35"/>
    </row>
    <row r="91" spans="3:12" ht="12.75">
      <c r="C91" s="15"/>
      <c r="D91" s="15"/>
      <c r="E91" s="26">
        <v>42452</v>
      </c>
      <c r="F91" s="15"/>
      <c r="G91" s="32">
        <v>-939514.29</v>
      </c>
      <c r="H91" s="15"/>
      <c r="L91" s="35"/>
    </row>
    <row r="92" spans="3:12" ht="12.75">
      <c r="C92" s="15"/>
      <c r="D92" s="15"/>
      <c r="E92" s="26">
        <v>42485</v>
      </c>
      <c r="F92" s="15"/>
      <c r="G92" s="32">
        <v>-1166771.41</v>
      </c>
      <c r="H92" s="15"/>
      <c r="L92" s="35"/>
    </row>
    <row r="93" spans="3:12" ht="12.75">
      <c r="C93" s="15"/>
      <c r="D93" s="15"/>
      <c r="E93" s="26">
        <v>42558</v>
      </c>
      <c r="F93" s="15"/>
      <c r="G93" s="32">
        <v>-726114.28</v>
      </c>
      <c r="H93" s="15"/>
      <c r="L93" s="35"/>
    </row>
    <row r="94" spans="3:12" ht="12.75">
      <c r="C94" s="15"/>
      <c r="D94" s="15"/>
      <c r="E94" s="26">
        <v>42578</v>
      </c>
      <c r="F94" s="15"/>
      <c r="G94" s="32">
        <v>-720571.43</v>
      </c>
      <c r="H94" s="15"/>
      <c r="L94" s="35"/>
    </row>
    <row r="95" spans="3:12" ht="12.75">
      <c r="C95" s="15"/>
      <c r="D95" s="15"/>
      <c r="E95" s="26">
        <v>42636</v>
      </c>
      <c r="F95" s="15"/>
      <c r="G95" s="32">
        <v>-945057.13</v>
      </c>
      <c r="H95" s="15"/>
      <c r="L95" s="35"/>
    </row>
    <row r="96" spans="3:12" ht="12.75">
      <c r="C96" s="15"/>
      <c r="D96" s="15"/>
      <c r="E96" s="26">
        <v>42664</v>
      </c>
      <c r="F96" s="15"/>
      <c r="G96" s="32">
        <v>-909028.57</v>
      </c>
      <c r="H96" s="15"/>
      <c r="L96" s="35"/>
    </row>
    <row r="97" spans="3:12" ht="12.75">
      <c r="C97" s="15"/>
      <c r="D97" s="15"/>
      <c r="E97" s="26">
        <v>42697</v>
      </c>
      <c r="F97" s="15"/>
      <c r="G97" s="32">
        <v>-554285.71</v>
      </c>
      <c r="H97" s="15"/>
      <c r="L97" s="35"/>
    </row>
    <row r="98" spans="3:12" ht="12.75">
      <c r="C98" s="15"/>
      <c r="D98" s="15"/>
      <c r="E98" s="26">
        <v>42727</v>
      </c>
      <c r="F98" s="15"/>
      <c r="G98" s="32">
        <v>-1601885.71</v>
      </c>
      <c r="H98" s="15"/>
      <c r="L98" s="35"/>
    </row>
    <row r="99" spans="3:12" ht="12.75">
      <c r="C99" s="15" t="s">
        <v>14</v>
      </c>
      <c r="D99" s="15"/>
      <c r="E99" s="26">
        <v>42404</v>
      </c>
      <c r="F99" s="15"/>
      <c r="G99" s="32">
        <v>1521700.22</v>
      </c>
      <c r="H99" s="15"/>
      <c r="I99" s="14"/>
      <c r="J99" s="15"/>
      <c r="L99" s="35"/>
    </row>
    <row r="100" spans="3:12" ht="12.75">
      <c r="C100" s="15"/>
      <c r="D100" s="15"/>
      <c r="E100" s="26">
        <v>42451</v>
      </c>
      <c r="F100" s="15"/>
      <c r="G100" s="32">
        <v>564835.99</v>
      </c>
      <c r="H100" s="15"/>
      <c r="I100" s="14"/>
      <c r="J100" s="15"/>
      <c r="L100" s="35"/>
    </row>
    <row r="101" spans="3:12" ht="12.75">
      <c r="C101" s="15"/>
      <c r="D101" s="15"/>
      <c r="E101" s="26">
        <v>42549</v>
      </c>
      <c r="F101" s="15"/>
      <c r="G101" s="32">
        <v>308748.75</v>
      </c>
      <c r="H101" s="15"/>
      <c r="I101" s="14"/>
      <c r="J101" s="15"/>
      <c r="L101" s="35"/>
    </row>
    <row r="102" spans="3:12" ht="12.75">
      <c r="C102" s="15"/>
      <c r="D102" s="15"/>
      <c r="E102" s="26">
        <v>42584</v>
      </c>
      <c r="F102" s="15"/>
      <c r="G102" s="32">
        <v>7848786.04</v>
      </c>
      <c r="H102" s="15"/>
      <c r="I102" s="14"/>
      <c r="J102" s="15"/>
      <c r="L102" s="35"/>
    </row>
    <row r="103" spans="3:12" ht="12.75">
      <c r="C103" s="15"/>
      <c r="D103" s="15"/>
      <c r="E103" s="26">
        <v>42632</v>
      </c>
      <c r="F103" s="15"/>
      <c r="G103" s="32">
        <v>504739.76</v>
      </c>
      <c r="H103" s="15"/>
      <c r="I103" s="14"/>
      <c r="J103" s="15"/>
      <c r="L103" s="35"/>
    </row>
    <row r="104" spans="3:12" ht="12.75">
      <c r="C104" s="15"/>
      <c r="D104" s="15"/>
      <c r="E104" s="26">
        <v>42656</v>
      </c>
      <c r="F104" s="15"/>
      <c r="G104" s="32">
        <v>2001296.05</v>
      </c>
      <c r="H104" s="15"/>
      <c r="I104" s="14"/>
      <c r="J104" s="15"/>
      <c r="L104" s="35"/>
    </row>
    <row r="105" spans="3:12" ht="15.75">
      <c r="C105" s="15"/>
      <c r="D105" s="15"/>
      <c r="E105" s="26">
        <v>42723</v>
      </c>
      <c r="F105" s="15"/>
      <c r="G105" s="32">
        <v>1913313.91</v>
      </c>
      <c r="H105" s="15"/>
      <c r="I105" s="14"/>
      <c r="J105" s="15"/>
      <c r="L105" s="10"/>
    </row>
    <row r="106" spans="3:12" ht="12.75">
      <c r="C106" s="15" t="s">
        <v>15</v>
      </c>
      <c r="D106" s="15"/>
      <c r="E106" s="26">
        <v>42795</v>
      </c>
      <c r="F106" s="15"/>
      <c r="G106" s="32">
        <v>-751057.15</v>
      </c>
      <c r="H106" s="15"/>
      <c r="I106" s="14"/>
      <c r="J106" s="15"/>
      <c r="L106" s="58"/>
    </row>
    <row r="107" spans="3:12" ht="12.75">
      <c r="C107" s="15"/>
      <c r="D107" s="15"/>
      <c r="E107" s="26">
        <v>42822</v>
      </c>
      <c r="F107" s="15"/>
      <c r="G107" s="32">
        <v>-415714.29</v>
      </c>
      <c r="H107" s="15"/>
      <c r="I107" s="14"/>
      <c r="J107" s="15"/>
      <c r="L107" s="58"/>
    </row>
    <row r="108" spans="3:12" ht="12.75">
      <c r="C108" s="15"/>
      <c r="D108" s="15"/>
      <c r="E108" s="26">
        <v>42843</v>
      </c>
      <c r="F108" s="15"/>
      <c r="G108" s="32">
        <v>-737200</v>
      </c>
      <c r="H108" s="15"/>
      <c r="I108" s="14"/>
      <c r="J108" s="15"/>
      <c r="L108" s="58"/>
    </row>
    <row r="109" spans="3:12" ht="12.75">
      <c r="C109" s="15"/>
      <c r="D109" s="15"/>
      <c r="E109" s="26">
        <v>42909</v>
      </c>
      <c r="F109" s="15"/>
      <c r="G109" s="32">
        <v>-1078085.73</v>
      </c>
      <c r="H109" s="15"/>
      <c r="I109" s="14"/>
      <c r="J109" s="15"/>
      <c r="L109" s="58"/>
    </row>
    <row r="110" spans="3:12" ht="12.75">
      <c r="C110" s="15"/>
      <c r="D110" s="15"/>
      <c r="E110" s="26">
        <v>43054</v>
      </c>
      <c r="F110" s="15"/>
      <c r="G110" s="32">
        <v>-726114.28</v>
      </c>
      <c r="H110" s="15"/>
      <c r="I110" s="14"/>
      <c r="J110" s="15"/>
      <c r="L110" s="35"/>
    </row>
    <row r="111" spans="3:12" ht="12.75">
      <c r="C111" s="15"/>
      <c r="D111" s="15"/>
      <c r="E111" s="26">
        <v>43090</v>
      </c>
      <c r="F111" s="15"/>
      <c r="G111" s="32">
        <v>-906257.14</v>
      </c>
      <c r="H111" s="15"/>
      <c r="I111" s="14"/>
      <c r="J111" s="15"/>
      <c r="L111" s="35"/>
    </row>
    <row r="112" spans="3:12" ht="12.75">
      <c r="C112" s="15" t="s">
        <v>16</v>
      </c>
      <c r="D112" s="15"/>
      <c r="E112" s="26">
        <v>42823</v>
      </c>
      <c r="F112" s="15"/>
      <c r="G112" s="32">
        <v>2905216.14</v>
      </c>
      <c r="H112" s="15"/>
      <c r="I112" s="14"/>
      <c r="J112" s="15"/>
      <c r="L112" s="35"/>
    </row>
    <row r="113" spans="3:12" ht="12.75">
      <c r="C113" s="15"/>
      <c r="D113" s="15"/>
      <c r="E113" s="26">
        <v>42859</v>
      </c>
      <c r="F113" s="15"/>
      <c r="G113" s="32">
        <v>448540.14</v>
      </c>
      <c r="H113" s="15"/>
      <c r="L113" s="35"/>
    </row>
    <row r="114" spans="3:12" ht="12.75">
      <c r="C114" s="15"/>
      <c r="D114" s="15"/>
      <c r="E114" s="26">
        <v>43020</v>
      </c>
      <c r="F114" s="15"/>
      <c r="G114" s="32">
        <v>1124900.55</v>
      </c>
      <c r="H114" s="15"/>
      <c r="I114" s="14"/>
      <c r="J114" s="15"/>
      <c r="L114" s="35"/>
    </row>
    <row r="115" spans="3:12" ht="12.75">
      <c r="C115" s="15" t="s">
        <v>17</v>
      </c>
      <c r="D115" s="15"/>
      <c r="E115" s="26">
        <v>43364</v>
      </c>
      <c r="F115" s="15"/>
      <c r="G115" s="32">
        <v>-2272571.43</v>
      </c>
      <c r="H115" s="15"/>
      <c r="I115" s="14"/>
      <c r="J115" s="15"/>
      <c r="L115" s="35"/>
    </row>
    <row r="116" spans="3:12" ht="12.75">
      <c r="C116" s="15"/>
      <c r="D116" s="15"/>
      <c r="E116" s="26">
        <v>43454</v>
      </c>
      <c r="F116" s="15"/>
      <c r="G116" s="32">
        <v>-2308600</v>
      </c>
      <c r="H116" s="15"/>
      <c r="I116" s="14"/>
      <c r="J116" s="15"/>
      <c r="L116" s="35"/>
    </row>
    <row r="117" spans="3:12" ht="12.75">
      <c r="C117" s="15" t="s">
        <v>18</v>
      </c>
      <c r="D117" s="15"/>
      <c r="E117" s="26">
        <v>43152</v>
      </c>
      <c r="F117" s="15"/>
      <c r="G117" s="32">
        <v>6769084.64</v>
      </c>
      <c r="H117" s="15"/>
      <c r="I117" s="14"/>
      <c r="J117" s="15"/>
      <c r="L117" s="35"/>
    </row>
    <row r="118" spans="3:12" ht="12.75">
      <c r="C118" s="15"/>
      <c r="D118" s="15"/>
      <c r="E118" s="26">
        <v>43186</v>
      </c>
      <c r="F118" s="15"/>
      <c r="G118" s="32">
        <v>4103177.79</v>
      </c>
      <c r="H118" s="15"/>
      <c r="I118" s="14"/>
      <c r="J118" s="15"/>
      <c r="L118" s="35"/>
    </row>
    <row r="119" spans="3:12" ht="12.75">
      <c r="C119" s="15"/>
      <c r="D119" s="15"/>
      <c r="E119" s="26">
        <v>43262</v>
      </c>
      <c r="F119" s="15"/>
      <c r="G119" s="32">
        <v>592413.93</v>
      </c>
      <c r="H119" s="15"/>
      <c r="I119" s="14"/>
      <c r="J119" s="15"/>
      <c r="L119" s="35"/>
    </row>
    <row r="120" spans="3:12" ht="12.75">
      <c r="C120" s="15"/>
      <c r="D120" s="15"/>
      <c r="E120" s="26">
        <v>43404</v>
      </c>
      <c r="F120" s="15"/>
      <c r="G120" s="32">
        <v>557239.71</v>
      </c>
      <c r="H120" s="15"/>
      <c r="I120" s="14"/>
      <c r="J120" s="15"/>
      <c r="L120" s="35"/>
    </row>
    <row r="121" spans="3:12" ht="12.75">
      <c r="C121" s="15" t="s">
        <v>19</v>
      </c>
      <c r="D121" s="15"/>
      <c r="E121" s="26">
        <v>43649</v>
      </c>
      <c r="F121" s="15"/>
      <c r="G121" s="32">
        <v>-407400</v>
      </c>
      <c r="H121" s="15"/>
      <c r="I121" s="14"/>
      <c r="J121" s="15"/>
      <c r="L121" s="35"/>
    </row>
    <row r="122" spans="3:12" ht="12.75">
      <c r="C122" s="15" t="s">
        <v>20</v>
      </c>
      <c r="D122" s="15"/>
      <c r="E122" s="26">
        <v>43593</v>
      </c>
      <c r="F122" s="15"/>
      <c r="G122" s="32">
        <v>581602.77</v>
      </c>
      <c r="H122" s="15"/>
      <c r="I122" s="14"/>
      <c r="J122" s="15"/>
      <c r="L122" s="35"/>
    </row>
    <row r="123" spans="3:12" ht="12.75">
      <c r="C123" s="15"/>
      <c r="D123" s="15"/>
      <c r="E123" s="26">
        <v>43655</v>
      </c>
      <c r="F123" s="15"/>
      <c r="G123" s="32">
        <v>963093.60</v>
      </c>
      <c r="H123" s="15"/>
      <c r="I123" s="14"/>
      <c r="J123" s="15"/>
      <c r="L123" s="35"/>
    </row>
    <row r="124" spans="3:12" ht="12.75">
      <c r="C124" s="15" t="s">
        <v>21</v>
      </c>
      <c r="D124" s="15"/>
      <c r="E124" s="26">
        <v>43928</v>
      </c>
      <c r="F124" s="15"/>
      <c r="G124" s="32">
        <v>-351971.43</v>
      </c>
      <c r="H124" s="15"/>
      <c r="I124" s="14"/>
      <c r="J124" s="15"/>
      <c r="L124" s="35"/>
    </row>
    <row r="125" spans="3:12" ht="15.75">
      <c r="C125" s="15"/>
      <c r="D125" s="15"/>
      <c r="E125" s="26">
        <v>44070</v>
      </c>
      <c r="F125" s="15"/>
      <c r="G125" s="32">
        <v>-3572883.18</v>
      </c>
      <c r="H125" s="15"/>
      <c r="I125" s="14"/>
      <c r="J125" s="15"/>
      <c r="L125" s="10"/>
    </row>
    <row r="126" spans="3:12" ht="15.75">
      <c r="C126" s="15" t="s">
        <v>22</v>
      </c>
      <c r="D126" s="15"/>
      <c r="E126" s="26">
        <v>44302</v>
      </c>
      <c r="F126" s="15"/>
      <c r="G126" s="32">
        <v>1800716.96</v>
      </c>
      <c r="H126" s="15"/>
      <c r="I126" s="14"/>
      <c r="J126" s="15"/>
      <c r="L126" s="10"/>
    </row>
    <row r="127" spans="3:12" ht="15.75">
      <c r="C127" s="15" t="s">
        <v>23</v>
      </c>
      <c r="D127" s="15"/>
      <c r="E127" s="26">
        <v>44673</v>
      </c>
      <c r="F127" s="15"/>
      <c r="G127" s="32">
        <v>3732374.44</v>
      </c>
      <c r="H127" s="15"/>
      <c r="I127" s="14"/>
      <c r="J127" s="15"/>
      <c r="L127" s="10"/>
    </row>
    <row r="128" spans="3:12" ht="15.75">
      <c r="C128" s="15"/>
      <c r="D128" s="15"/>
      <c r="E128" s="26">
        <v>44727</v>
      </c>
      <c r="F128" s="15"/>
      <c r="G128" s="32">
        <v>565745.48</v>
      </c>
      <c r="H128" s="15"/>
      <c r="I128" s="14"/>
      <c r="J128" s="15"/>
      <c r="L128" s="10"/>
    </row>
    <row r="129" spans="3:12" ht="15.75">
      <c r="C129" s="15"/>
      <c r="D129" s="15"/>
      <c r="E129" s="26">
        <v>44796</v>
      </c>
      <c r="F129" s="15"/>
      <c r="G129" s="32">
        <v>505071.68</v>
      </c>
      <c r="H129" s="15"/>
      <c r="I129" s="14"/>
      <c r="J129" s="15"/>
      <c r="L129" s="10"/>
    </row>
    <row r="130" spans="3:12" ht="15.75">
      <c r="C130" s="15"/>
      <c r="D130" s="15"/>
      <c r="E130" s="26">
        <v>44868</v>
      </c>
      <c r="F130" s="15"/>
      <c r="G130" s="32">
        <v>1894506.75</v>
      </c>
      <c r="H130" s="15"/>
      <c r="I130" s="14"/>
      <c r="J130" s="15"/>
      <c r="L130" s="10"/>
    </row>
    <row r="131" spans="3:12" ht="15.75">
      <c r="C131" s="15"/>
      <c r="D131" s="15"/>
      <c r="E131" s="26">
        <v>44911</v>
      </c>
      <c r="F131" s="15"/>
      <c r="G131" s="32">
        <v>1357411.81</v>
      </c>
      <c r="H131" s="15"/>
      <c r="I131" s="14"/>
      <c r="J131" s="15"/>
      <c r="L131" s="10"/>
    </row>
    <row r="132" spans="3:12" ht="15.75">
      <c r="C132" s="15" t="s">
        <v>24</v>
      </c>
      <c r="D132" s="15"/>
      <c r="E132" s="26">
        <v>44973</v>
      </c>
      <c r="F132" s="15"/>
      <c r="G132" s="32">
        <v>1638777.01</v>
      </c>
      <c r="H132" s="15"/>
      <c r="I132" s="14"/>
      <c r="J132" s="15"/>
      <c r="L132" s="10"/>
    </row>
    <row r="133" spans="3:12" ht="15.75">
      <c r="C133" s="15"/>
      <c r="D133" s="15"/>
      <c r="E133" s="26">
        <v>45079</v>
      </c>
      <c r="F133" s="15"/>
      <c r="G133" s="32">
        <v>1040518.99</v>
      </c>
      <c r="H133" s="15"/>
      <c r="I133" s="14"/>
      <c r="J133" s="15"/>
      <c r="L133" s="10"/>
    </row>
    <row r="134" spans="3:12" ht="15.75">
      <c r="C134" s="15"/>
      <c r="D134" s="15"/>
      <c r="E134" s="26">
        <v>45182</v>
      </c>
      <c r="F134" s="15"/>
      <c r="G134" s="32">
        <v>549683.28</v>
      </c>
      <c r="H134" s="15"/>
      <c r="I134" s="14"/>
      <c r="J134" s="15"/>
      <c r="L134" s="10"/>
    </row>
    <row r="135" spans="3:12" ht="15.75">
      <c r="C135" s="15"/>
      <c r="D135" s="15"/>
      <c r="E135" s="26">
        <v>45261</v>
      </c>
      <c r="F135" s="15"/>
      <c r="G135" s="32">
        <v>671853.19</v>
      </c>
      <c r="H135" s="15"/>
      <c r="I135" s="14"/>
      <c r="J135" s="15"/>
      <c r="L135" s="10"/>
    </row>
    <row r="136" spans="3:12" ht="4.5" customHeight="1">
      <c r="C136" s="15"/>
      <c r="D136" s="15"/>
      <c r="E136" s="26"/>
      <c r="F136" s="15"/>
      <c r="G136" s="32"/>
      <c r="H136" s="15"/>
      <c r="I136" s="14"/>
      <c r="L136" s="35"/>
    </row>
    <row r="137" spans="3:12" ht="12.75">
      <c r="C137" s="15" t="s">
        <v>25</v>
      </c>
      <c r="D137" s="15"/>
      <c r="E137" s="26">
        <f>+E8</f>
        <v>45473</v>
      </c>
      <c r="F137" s="15"/>
      <c r="G137" s="33">
        <f>L137*C22</f>
        <v>3.838039127012964E7</v>
      </c>
      <c r="H137" s="15"/>
      <c r="I137" s="32">
        <f>+SUMIF($G$23:$G$136,"&lt;0",$G$23:$G$136)</f>
        <v>-1.1390788174000004E8</v>
      </c>
      <c r="J137" s="15" t="s">
        <v>26</v>
      </c>
      <c r="L137" s="58">
        <v>253118680</v>
      </c>
    </row>
    <row r="138" spans="7:10" ht="12.75">
      <c r="G138" s="14"/>
      <c r="H138" s="15"/>
      <c r="I138" s="32">
        <f>+SUMIF($G$23:$G$136,"&gt;0",$G$23:$G$136)</f>
        <v>7.833457011E7</v>
      </c>
      <c r="J138" s="15" t="s">
        <v>27</v>
      </c>
    </row>
    <row r="139" spans="3:10" ht="12.75">
      <c r="C139" s="36" t="s">
        <v>28</v>
      </c>
      <c r="G139" s="37">
        <f>XIRR(G23:G137,E23:E137,0.1)</f>
        <v>0.004662522673606872</v>
      </c>
      <c r="H139" s="15"/>
      <c r="I139" s="15"/>
      <c r="J139" s="15"/>
    </row>
    <row r="142" spans="7:7" ht="12.75">
      <c r="G142" s="38"/>
    </row>
    <row r="143" spans="5:7" ht="12.75">
      <c r="E143" s="38"/>
      <c r="F143" s="39"/>
      <c r="G143" s="38"/>
    </row>
    <row r="144" spans="5:7" ht="12.75">
      <c r="E144" s="38"/>
      <c r="F144" s="39"/>
      <c r="G144" s="38"/>
    </row>
    <row r="145" spans="3:7" ht="12.75">
      <c r="C145" s="39"/>
      <c r="D145" s="39"/>
      <c r="E145" s="123"/>
      <c r="F145" s="123"/>
      <c r="G145" s="123"/>
    </row>
    <row r="146" spans="3:7" ht="12.75">
      <c r="C146" s="39"/>
      <c r="D146" s="39"/>
      <c r="E146" s="38"/>
      <c r="F146" s="38"/>
      <c r="G146" s="38"/>
    </row>
    <row r="147" spans="3:7" ht="12.75">
      <c r="C147" s="39"/>
      <c r="D147" s="39"/>
      <c r="E147" s="39"/>
      <c r="F147" s="39"/>
      <c r="G147" s="39"/>
    </row>
    <row r="148" spans="3:7" ht="12.75">
      <c r="C148" s="39"/>
      <c r="D148" s="39"/>
      <c r="E148" s="59"/>
      <c r="F148" s="40"/>
      <c r="G148" s="41"/>
    </row>
    <row r="149" spans="3:7" s="54" customFormat="1" ht="12.75">
      <c r="C149" s="39"/>
      <c r="D149" s="39"/>
      <c r="E149" s="41"/>
      <c r="F149" s="40"/>
      <c r="G149" s="41"/>
    </row>
    <row r="150" spans="3:7" s="54" customFormat="1" ht="12.75">
      <c r="C150" s="39"/>
      <c r="D150" s="39"/>
      <c r="E150" s="41"/>
      <c r="F150" s="40"/>
      <c r="G150" s="41"/>
    </row>
    <row r="151" spans="3:7" ht="12.75">
      <c r="C151" s="42"/>
      <c r="D151" s="39"/>
      <c r="E151" s="41"/>
      <c r="F151" s="40"/>
      <c r="G151" s="41"/>
    </row>
    <row r="152" spans="3:7" ht="12.75">
      <c r="C152" s="42"/>
      <c r="D152" s="39"/>
      <c r="E152" s="41"/>
      <c r="F152" s="40"/>
      <c r="G152" s="41"/>
    </row>
    <row r="153" spans="3:7" ht="12.75">
      <c r="C153" s="43"/>
      <c r="D153" s="39"/>
      <c r="E153" s="41"/>
      <c r="F153" s="40"/>
      <c r="G153" s="41"/>
    </row>
    <row r="154" spans="3:7" s="54" customFormat="1" ht="12.75">
      <c r="C154" s="39"/>
      <c r="D154" s="39"/>
      <c r="E154" s="41"/>
      <c r="F154" s="40"/>
      <c r="G154" s="41"/>
    </row>
    <row r="155" spans="3:7" ht="12.75">
      <c r="C155" s="39"/>
      <c r="D155" s="39"/>
      <c r="E155" s="41"/>
      <c r="F155" s="40"/>
      <c r="G155" s="41"/>
    </row>
    <row r="156" spans="3:7" ht="12.75">
      <c r="C156" s="39"/>
      <c r="D156" s="39"/>
      <c r="E156" s="41"/>
      <c r="F156" s="40"/>
      <c r="G156" s="41"/>
    </row>
    <row r="157" spans="3:7" ht="12.75">
      <c r="C157" s="39"/>
      <c r="D157" s="39"/>
      <c r="E157" s="41"/>
      <c r="F157" s="40"/>
      <c r="G157" s="41"/>
    </row>
    <row r="158" spans="3:7" ht="12.75">
      <c r="C158" s="39"/>
      <c r="D158" s="39"/>
      <c r="E158" s="41"/>
      <c r="F158" s="40"/>
      <c r="G158" s="41"/>
    </row>
    <row r="159" spans="3:7" ht="12.75">
      <c r="C159" s="39"/>
      <c r="D159" s="39"/>
      <c r="E159" s="41"/>
      <c r="F159" s="40"/>
      <c r="G159" s="41"/>
    </row>
    <row r="160" spans="4:6" s="54" customFormat="1" ht="5.1" customHeight="1">
      <c r="D160"/>
      <c r="F160"/>
    </row>
    <row r="161" spans="5:5" ht="12.75">
      <c r="E161" s="54"/>
    </row>
  </sheetData>
  <mergeCells count="2">
    <mergeCell ref="H8:I8"/>
    <mergeCell ref="E145:G145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tabColor rgb="FF92D050"/>
    <pageSetUpPr fitToPage="1"/>
  </sheetPr>
  <dimension ref="B4:M164"/>
  <sheetViews>
    <sheetView showGridLines="0" view="pageLayout" zoomScaleNormal="100" workbookViewId="0" topLeftCell="B118">
      <selection pane="topLeft" activeCell="L137" sqref="L137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45473</v>
      </c>
      <c r="F8" s="7"/>
      <c r="G8" s="8"/>
      <c r="H8" s="8"/>
      <c r="I8" s="9"/>
    </row>
    <row r="9" spans="3:8" ht="15.75">
      <c r="C9" s="5"/>
      <c r="D9" s="5"/>
      <c r="E9" s="5"/>
      <c r="F9" s="5"/>
      <c r="G9" s="10"/>
      <c r="H9" s="5"/>
    </row>
    <row r="10" spans="3:9" ht="12.75">
      <c r="C10" s="11"/>
      <c r="D10" s="11"/>
      <c r="E10" s="12"/>
      <c r="F10" s="11"/>
      <c r="G10" s="58"/>
      <c r="H10" s="12"/>
      <c r="I10" s="22"/>
    </row>
    <row r="11" spans="3:9" ht="12.75">
      <c r="C11" s="11"/>
      <c r="D11" s="11"/>
      <c r="E11" s="12"/>
      <c r="F11" s="11"/>
      <c r="G11" s="12"/>
      <c r="H11" s="12"/>
      <c r="I11" s="22"/>
    </row>
    <row r="12" spans="3:9" ht="15.75">
      <c r="C12" s="16"/>
      <c r="D12" s="16"/>
      <c r="E12" s="17"/>
      <c r="F12" s="16"/>
      <c r="G12" s="17"/>
      <c r="H12" s="17"/>
      <c r="I12" s="22"/>
    </row>
    <row r="13" spans="3:9" ht="12.75">
      <c r="C13" s="11"/>
      <c r="D13" s="11"/>
      <c r="E13" s="18"/>
      <c r="F13" s="11"/>
      <c r="G13" s="58"/>
      <c r="H13" s="18"/>
      <c r="I13" s="22"/>
    </row>
    <row r="14" spans="3:9" ht="12.75">
      <c r="C14" s="11"/>
      <c r="D14" s="11"/>
      <c r="E14" s="20"/>
      <c r="F14" s="11"/>
      <c r="G14" s="58"/>
      <c r="H14" s="20"/>
      <c r="I14" s="49"/>
    </row>
    <row r="15" spans="3:9" ht="12.75">
      <c r="C15" s="11"/>
      <c r="D15" s="11"/>
      <c r="E15" s="12"/>
      <c r="F15" s="11"/>
      <c r="G15" s="12"/>
      <c r="H15" s="12"/>
      <c r="I15" s="22"/>
    </row>
    <row r="16" spans="3:9" ht="15.75">
      <c r="C16" s="5"/>
      <c r="D16" s="5"/>
      <c r="E16" s="17"/>
      <c r="F16" s="5"/>
      <c r="G16" s="17"/>
      <c r="H16" s="17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0.005545774102210999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1.029069213272875</v>
      </c>
      <c r="F19" s="11"/>
      <c r="G19" s="12"/>
      <c r="H19" s="13"/>
    </row>
    <row r="20" spans="3:8" ht="12.75">
      <c r="C20" s="11"/>
      <c r="D20" s="11"/>
      <c r="E20" s="11"/>
      <c r="F20" s="11"/>
      <c r="G20" s="13"/>
      <c r="H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1" ht="12.75">
      <c r="C22" s="28">
        <v>0.028643258</v>
      </c>
      <c r="D22" s="15"/>
      <c r="E22" s="15"/>
      <c r="F22" s="15"/>
      <c r="G22" s="15"/>
      <c r="H22" s="15"/>
      <c r="I22" s="15"/>
      <c r="J22" s="15"/>
      <c r="K22" s="55"/>
    </row>
    <row r="23" spans="3:13" ht="12.75">
      <c r="C23" s="15" t="s">
        <v>4</v>
      </c>
      <c r="D23" s="15"/>
      <c r="E23" s="26">
        <v>40590</v>
      </c>
      <c r="F23" s="15"/>
      <c r="G23" s="30">
        <v>-244125</v>
      </c>
      <c r="H23" s="30"/>
      <c r="I23" s="14"/>
      <c r="J23" s="14"/>
      <c r="M23" s="35"/>
    </row>
    <row r="24" spans="3:13" ht="12.75">
      <c r="C24" s="15"/>
      <c r="D24" s="15"/>
      <c r="E24" s="26">
        <v>40661</v>
      </c>
      <c r="F24" s="15"/>
      <c r="G24" s="30">
        <v>-62502.65</v>
      </c>
      <c r="H24" s="30"/>
      <c r="I24" s="14"/>
      <c r="J24" s="14"/>
      <c r="M24" s="35"/>
    </row>
    <row r="25" spans="3:13" ht="12.75">
      <c r="C25" s="15"/>
      <c r="D25" s="15"/>
      <c r="E25" s="26">
        <v>40704</v>
      </c>
      <c r="F25" s="15"/>
      <c r="G25" s="30">
        <v>-98586.65</v>
      </c>
      <c r="H25" s="30"/>
      <c r="I25" s="14"/>
      <c r="J25" s="14"/>
      <c r="M25" s="35"/>
    </row>
    <row r="26" spans="3:13" ht="12.75">
      <c r="C26" s="15"/>
      <c r="D26" s="15"/>
      <c r="E26" s="26">
        <v>40751</v>
      </c>
      <c r="F26" s="15"/>
      <c r="G26" s="30">
        <v>-94290.93</v>
      </c>
      <c r="H26" s="30"/>
      <c r="I26" s="14"/>
      <c r="J26" s="14"/>
      <c r="M26" s="35"/>
    </row>
    <row r="27" spans="3:13" ht="12.75">
      <c r="C27" s="15"/>
      <c r="D27" s="15"/>
      <c r="E27" s="26">
        <v>40765</v>
      </c>
      <c r="F27" s="15"/>
      <c r="G27" s="30">
        <v>-156793.58</v>
      </c>
      <c r="H27" s="30"/>
      <c r="I27" s="14"/>
      <c r="J27" s="14"/>
      <c r="M27" s="35"/>
    </row>
    <row r="28" spans="3:13" ht="12.75">
      <c r="C28" s="15"/>
      <c r="D28" s="15"/>
      <c r="E28" s="26">
        <v>40813</v>
      </c>
      <c r="F28" s="15"/>
      <c r="G28" s="30">
        <v>-138107.22</v>
      </c>
      <c r="H28" s="30"/>
      <c r="I28" s="14"/>
      <c r="J28" s="14"/>
      <c r="M28" s="35"/>
    </row>
    <row r="29" spans="3:13" ht="12.75">
      <c r="C29" s="15"/>
      <c r="D29" s="15"/>
      <c r="E29" s="26">
        <v>40879</v>
      </c>
      <c r="F29" s="15"/>
      <c r="G29" s="30">
        <v>-66368.79</v>
      </c>
      <c r="H29" s="30"/>
      <c r="I29" s="14"/>
      <c r="J29" s="14"/>
      <c r="M29" s="35"/>
    </row>
    <row r="30" spans="3:13" ht="12.75">
      <c r="C30" s="15"/>
      <c r="D30" s="15"/>
      <c r="E30" s="26">
        <v>40886</v>
      </c>
      <c r="F30" s="15"/>
      <c r="G30" s="30">
        <v>-90424.79</v>
      </c>
      <c r="H30" s="30"/>
      <c r="I30" s="14"/>
      <c r="J30" s="14"/>
      <c r="M30" s="35"/>
    </row>
    <row r="31" spans="3:13" ht="12.75">
      <c r="C31" s="15" t="s">
        <v>5</v>
      </c>
      <c r="D31" s="15"/>
      <c r="E31" s="26">
        <v>40927</v>
      </c>
      <c r="F31" s="15"/>
      <c r="G31" s="30">
        <v>-151209.15</v>
      </c>
      <c r="H31" s="30"/>
      <c r="I31" s="14"/>
      <c r="J31" s="14"/>
      <c r="M31" s="35"/>
    </row>
    <row r="32" spans="3:13" ht="12.75">
      <c r="C32" s="15"/>
      <c r="D32" s="15"/>
      <c r="E32" s="26">
        <v>40942</v>
      </c>
      <c r="F32" s="15"/>
      <c r="G32" s="30">
        <v>-708792.89</v>
      </c>
      <c r="H32" s="30"/>
      <c r="I32" s="14"/>
      <c r="J32" s="14"/>
      <c r="M32" s="35"/>
    </row>
    <row r="33" spans="3:13" ht="12.75">
      <c r="C33" s="15"/>
      <c r="D33" s="15"/>
      <c r="E33" s="26">
        <v>40970</v>
      </c>
      <c r="F33" s="15"/>
      <c r="G33" s="30">
        <v>-112762.51</v>
      </c>
      <c r="H33" s="30"/>
      <c r="I33" s="14"/>
      <c r="J33" s="14"/>
      <c r="M33" s="35"/>
    </row>
    <row r="34" spans="3:13" ht="12.75">
      <c r="C34" s="15"/>
      <c r="D34" s="15"/>
      <c r="E34" s="26">
        <v>41001</v>
      </c>
      <c r="F34" s="15"/>
      <c r="G34" s="30">
        <v>-65939.22</v>
      </c>
      <c r="H34" s="30"/>
      <c r="I34" s="14"/>
      <c r="J34" s="14"/>
      <c r="M34" s="35"/>
    </row>
    <row r="35" spans="3:13" ht="12.75">
      <c r="C35" s="15"/>
      <c r="D35" s="15"/>
      <c r="E35" s="26">
        <v>41024</v>
      </c>
      <c r="F35" s="15"/>
      <c r="G35" s="30">
        <v>-78182</v>
      </c>
      <c r="H35" s="30"/>
      <c r="I35" s="14"/>
      <c r="J35" s="14"/>
      <c r="M35" s="35"/>
    </row>
    <row r="36" spans="3:13" ht="12.75">
      <c r="C36" s="15"/>
      <c r="D36" s="15"/>
      <c r="E36" s="26">
        <v>41030</v>
      </c>
      <c r="F36" s="15"/>
      <c r="G36" s="30">
        <v>288418.75</v>
      </c>
      <c r="H36" s="30"/>
      <c r="I36" s="14"/>
      <c r="J36" s="14"/>
      <c r="M36" s="35"/>
    </row>
    <row r="37" spans="3:13" ht="12.75">
      <c r="C37" s="15"/>
      <c r="D37" s="15"/>
      <c r="E37" s="26">
        <v>41054</v>
      </c>
      <c r="F37" s="15"/>
      <c r="G37" s="30">
        <v>-101808.43</v>
      </c>
      <c r="H37" s="30"/>
      <c r="I37" s="14"/>
      <c r="J37" s="14"/>
      <c r="M37" s="35"/>
    </row>
    <row r="38" spans="3:13" ht="12.75">
      <c r="C38" s="15"/>
      <c r="D38" s="15"/>
      <c r="E38" s="26">
        <v>41080</v>
      </c>
      <c r="F38" s="15"/>
      <c r="G38" s="30">
        <v>-188796.65</v>
      </c>
      <c r="H38" s="30"/>
      <c r="I38" s="14"/>
      <c r="J38" s="14"/>
      <c r="M38" s="35"/>
    </row>
    <row r="39" spans="3:13" ht="12.75">
      <c r="C39" s="15"/>
      <c r="D39" s="15"/>
      <c r="E39" s="26">
        <v>41103</v>
      </c>
      <c r="F39" s="15"/>
      <c r="G39" s="30">
        <v>-61213.93</v>
      </c>
      <c r="H39" s="30"/>
      <c r="I39" s="14"/>
      <c r="J39" s="14"/>
      <c r="M39" s="35"/>
    </row>
    <row r="40" spans="3:13" ht="12.75">
      <c r="C40" s="15"/>
      <c r="D40" s="15"/>
      <c r="E40" s="26">
        <v>41108</v>
      </c>
      <c r="F40" s="15"/>
      <c r="G40" s="30">
        <v>62022.65</v>
      </c>
      <c r="H40" s="30"/>
      <c r="I40" s="14"/>
      <c r="J40" s="14"/>
      <c r="M40" s="35"/>
    </row>
    <row r="41" spans="3:13" ht="12.75">
      <c r="C41" s="15"/>
      <c r="D41" s="15"/>
      <c r="E41" s="26">
        <v>41121</v>
      </c>
      <c r="F41" s="15"/>
      <c r="G41" s="30">
        <v>-59066.07</v>
      </c>
      <c r="H41" s="30"/>
      <c r="I41" s="14"/>
      <c r="J41" s="14"/>
      <c r="M41" s="35"/>
    </row>
    <row r="42" spans="3:13" ht="12.75">
      <c r="C42" s="15"/>
      <c r="D42" s="15"/>
      <c r="E42" s="26">
        <v>41137</v>
      </c>
      <c r="F42" s="15"/>
      <c r="G42" s="30">
        <v>26772.78</v>
      </c>
      <c r="H42" s="30"/>
      <c r="I42" s="14"/>
      <c r="J42" s="14"/>
      <c r="M42" s="35"/>
    </row>
    <row r="43" spans="3:13" ht="12.75">
      <c r="C43" s="15"/>
      <c r="D43" s="15"/>
      <c r="E43" s="26">
        <v>41152</v>
      </c>
      <c r="F43" s="15"/>
      <c r="G43" s="30">
        <v>-78182.01</v>
      </c>
      <c r="H43" s="30"/>
      <c r="I43" s="14"/>
      <c r="J43" s="14"/>
      <c r="M43" s="35"/>
    </row>
    <row r="44" spans="3:13" ht="12.75">
      <c r="C44" s="15"/>
      <c r="D44" s="15"/>
      <c r="E44" s="26">
        <v>41173</v>
      </c>
      <c r="F44" s="15"/>
      <c r="G44" s="30">
        <v>577612.2</v>
      </c>
      <c r="H44" s="30"/>
      <c r="I44" s="14"/>
      <c r="J44" s="14"/>
      <c r="M44" s="35"/>
    </row>
    <row r="45" spans="3:13" ht="12.75">
      <c r="C45" s="15" t="s">
        <v>6</v>
      </c>
      <c r="D45" s="15"/>
      <c r="E45" s="26">
        <v>41180</v>
      </c>
      <c r="F45" s="15"/>
      <c r="G45" s="30">
        <v>-148202.14</v>
      </c>
      <c r="H45" s="30"/>
      <c r="I45" s="14"/>
      <c r="J45" s="14"/>
      <c r="M45" s="35"/>
    </row>
    <row r="46" spans="3:13" ht="12.75">
      <c r="C46" s="15"/>
      <c r="D46" s="15"/>
      <c r="E46" s="26">
        <v>41194</v>
      </c>
      <c r="F46" s="15"/>
      <c r="G46" s="30">
        <v>-72812.36</v>
      </c>
      <c r="H46" s="30"/>
      <c r="I46" s="14"/>
      <c r="J46" s="14"/>
      <c r="M46" s="35"/>
    </row>
    <row r="47" spans="3:13" ht="12.75">
      <c r="C47" s="15"/>
      <c r="D47" s="15"/>
      <c r="E47" s="26">
        <v>41250</v>
      </c>
      <c r="F47" s="15"/>
      <c r="G47" s="30">
        <v>-328407.36</v>
      </c>
      <c r="H47" s="30"/>
      <c r="I47" s="14"/>
      <c r="J47" s="14"/>
      <c r="M47" s="35"/>
    </row>
    <row r="48" spans="3:13" ht="12.75">
      <c r="C48" s="15"/>
      <c r="D48" s="15"/>
      <c r="E48" s="26">
        <v>41264</v>
      </c>
      <c r="F48" s="15"/>
      <c r="G48" s="30">
        <v>-291678.99</v>
      </c>
      <c r="H48" s="30"/>
      <c r="I48" s="14"/>
      <c r="J48" s="14"/>
      <c r="M48" s="35"/>
    </row>
    <row r="49" spans="3:13" ht="12.75">
      <c r="C49" s="15" t="s">
        <v>7</v>
      </c>
      <c r="D49" s="15"/>
      <c r="E49" s="26">
        <v>41284</v>
      </c>
      <c r="F49" s="15"/>
      <c r="G49" s="30">
        <v>-86129.08</v>
      </c>
      <c r="H49" s="30"/>
      <c r="I49" s="14"/>
      <c r="J49" s="14"/>
      <c r="M49" s="35"/>
    </row>
    <row r="50" spans="3:13" ht="12.75">
      <c r="C50" s="15"/>
      <c r="D50" s="15"/>
      <c r="E50" s="26">
        <v>41298</v>
      </c>
      <c r="F50" s="15"/>
      <c r="G50" s="30">
        <v>-110185.07</v>
      </c>
      <c r="H50" s="30"/>
      <c r="I50" s="14"/>
      <c r="J50" s="14"/>
      <c r="M50" s="35"/>
    </row>
    <row r="51" spans="3:13" ht="12.75">
      <c r="C51" s="15"/>
      <c r="D51" s="15"/>
      <c r="E51" s="26">
        <v>41345</v>
      </c>
      <c r="F51" s="15"/>
      <c r="G51" s="30">
        <v>-112977.29</v>
      </c>
      <c r="H51" s="30"/>
      <c r="I51" s="14"/>
      <c r="J51" s="14"/>
      <c r="M51" s="35"/>
    </row>
    <row r="52" spans="3:13" ht="12.75">
      <c r="C52" s="15"/>
      <c r="D52" s="15"/>
      <c r="E52" s="26">
        <v>41360</v>
      </c>
      <c r="F52" s="15"/>
      <c r="G52" s="30">
        <v>-101164.06</v>
      </c>
      <c r="H52" s="30"/>
      <c r="I52" s="14"/>
      <c r="J52" s="14"/>
      <c r="M52" s="35"/>
    </row>
    <row r="53" spans="3:13" ht="12.75">
      <c r="C53" s="15"/>
      <c r="D53" s="15"/>
      <c r="E53" s="26">
        <v>41393</v>
      </c>
      <c r="F53" s="15"/>
      <c r="G53" s="30">
        <v>-81403.80</v>
      </c>
      <c r="H53" s="30"/>
      <c r="I53" s="14"/>
      <c r="J53" s="14"/>
      <c r="M53" s="35"/>
    </row>
    <row r="54" spans="3:13" ht="12.75">
      <c r="C54" s="15"/>
      <c r="D54" s="15"/>
      <c r="E54" s="26">
        <v>41404</v>
      </c>
      <c r="F54" s="15"/>
      <c r="G54" s="30">
        <v>-110829.43</v>
      </c>
      <c r="H54" s="30"/>
      <c r="I54" s="14"/>
      <c r="J54" s="14"/>
      <c r="M54" s="35"/>
    </row>
    <row r="55" spans="3:13" ht="12.75">
      <c r="C55" s="15"/>
      <c r="D55" s="15"/>
      <c r="E55" s="26">
        <v>41418</v>
      </c>
      <c r="F55" s="15"/>
      <c r="G55" s="30">
        <v>33721.7</v>
      </c>
      <c r="H55" s="30"/>
      <c r="I55" s="14"/>
      <c r="J55" s="14"/>
      <c r="M55" s="35"/>
    </row>
    <row r="56" spans="3:13" ht="12.75">
      <c r="C56" s="15"/>
      <c r="D56" s="15"/>
      <c r="E56" s="26">
        <v>41423</v>
      </c>
      <c r="F56" s="15"/>
      <c r="G56" s="30">
        <v>-96009.23</v>
      </c>
      <c r="H56" s="30"/>
      <c r="I56" s="14"/>
      <c r="J56" s="14"/>
      <c r="M56" s="35"/>
    </row>
    <row r="57" spans="3:13" ht="12.75">
      <c r="C57" s="15"/>
      <c r="D57" s="15"/>
      <c r="E57" s="26">
        <v>41446</v>
      </c>
      <c r="F57" s="15"/>
      <c r="G57" s="30">
        <v>-293397.29</v>
      </c>
      <c r="H57" s="30"/>
      <c r="I57" s="14"/>
      <c r="J57" s="14"/>
      <c r="M57" s="35"/>
    </row>
    <row r="58" spans="3:13" ht="12.75">
      <c r="C58" s="15"/>
      <c r="D58" s="15"/>
      <c r="E58" s="26">
        <v>41481</v>
      </c>
      <c r="F58" s="15"/>
      <c r="G58" s="30">
        <v>-91713.51</v>
      </c>
      <c r="H58" s="30"/>
      <c r="I58" s="14"/>
      <c r="J58" s="14"/>
      <c r="M58" s="35"/>
    </row>
    <row r="59" spans="3:13" ht="12.75">
      <c r="C59" s="15"/>
      <c r="D59" s="15"/>
      <c r="E59" s="26">
        <v>41501</v>
      </c>
      <c r="F59" s="15"/>
      <c r="G59" s="30">
        <v>-86343.86</v>
      </c>
      <c r="H59" s="30"/>
      <c r="I59" s="14"/>
      <c r="J59" s="14"/>
      <c r="M59" s="35"/>
    </row>
    <row r="60" spans="3:13" ht="12.75">
      <c r="C60" s="15"/>
      <c r="D60" s="15"/>
      <c r="E60" s="26">
        <v>41514</v>
      </c>
      <c r="F60" s="15"/>
      <c r="G60" s="30">
        <v>-125220.07</v>
      </c>
      <c r="H60" s="30"/>
      <c r="I60" s="14"/>
      <c r="J60" s="14"/>
      <c r="M60" s="35"/>
    </row>
    <row r="61" spans="3:13" ht="12.75">
      <c r="C61" s="15"/>
      <c r="D61" s="15"/>
      <c r="E61" s="26">
        <v>41551</v>
      </c>
      <c r="F61" s="15"/>
      <c r="G61" s="30">
        <v>-74745.43</v>
      </c>
      <c r="H61" s="30"/>
      <c r="M61" s="35"/>
    </row>
    <row r="62" spans="3:13" ht="12.75">
      <c r="C62" s="15"/>
      <c r="D62" s="15"/>
      <c r="E62" s="26">
        <v>41577</v>
      </c>
      <c r="F62" s="15"/>
      <c r="G62" s="30">
        <v>-119635.65</v>
      </c>
      <c r="H62" s="30"/>
      <c r="M62" s="35"/>
    </row>
    <row r="63" spans="3:13" ht="12.75">
      <c r="C63" s="15"/>
      <c r="D63" s="15"/>
      <c r="E63" s="26">
        <v>41599</v>
      </c>
      <c r="F63" s="15"/>
      <c r="G63" s="30">
        <v>-75604.57</v>
      </c>
      <c r="H63" s="30"/>
      <c r="M63" s="35"/>
    </row>
    <row r="64" spans="3:13" ht="12.75">
      <c r="C64" s="15" t="s">
        <v>8</v>
      </c>
      <c r="D64" s="15"/>
      <c r="E64" s="26">
        <v>41618</v>
      </c>
      <c r="F64" s="15"/>
      <c r="G64" s="30">
        <v>81562.51</v>
      </c>
      <c r="H64" s="30"/>
      <c r="M64" s="35"/>
    </row>
    <row r="65" spans="3:13" ht="12.75">
      <c r="C65" s="15"/>
      <c r="D65" s="15"/>
      <c r="E65" s="26">
        <v>41624</v>
      </c>
      <c r="F65" s="15"/>
      <c r="G65" s="30">
        <v>-151209.15</v>
      </c>
      <c r="H65" s="30"/>
      <c r="M65" s="35"/>
    </row>
    <row r="66" spans="3:13" ht="12.75">
      <c r="C66" s="15" t="s">
        <v>9</v>
      </c>
      <c r="D66" s="15"/>
      <c r="E66" s="26">
        <v>41646</v>
      </c>
      <c r="F66" s="15"/>
      <c r="G66" s="32">
        <v>-106748.50</v>
      </c>
      <c r="H66" s="32"/>
      <c r="I66" s="14"/>
      <c r="J66" s="15"/>
      <c r="M66" s="35"/>
    </row>
    <row r="67" spans="3:13" ht="12.75">
      <c r="C67" s="15"/>
      <c r="D67" s="15"/>
      <c r="E67" s="26">
        <v>41670</v>
      </c>
      <c r="F67" s="15"/>
      <c r="G67" s="32">
        <v>-79255.94</v>
      </c>
      <c r="H67" s="32"/>
      <c r="I67" s="14"/>
      <c r="J67" s="15"/>
      <c r="M67" s="35"/>
    </row>
    <row r="68" spans="3:13" ht="12.75">
      <c r="C68" s="15"/>
      <c r="D68" s="15"/>
      <c r="E68" s="26">
        <v>41697</v>
      </c>
      <c r="F68" s="15"/>
      <c r="G68" s="32">
        <v>-141114.19</v>
      </c>
      <c r="H68" s="32"/>
      <c r="I68" s="14"/>
      <c r="J68" s="15"/>
      <c r="M68" s="35"/>
    </row>
    <row r="69" spans="3:13" ht="12.75">
      <c r="C69" s="15"/>
      <c r="D69" s="15"/>
      <c r="E69" s="26">
        <v>41704</v>
      </c>
      <c r="F69" s="15"/>
      <c r="G69" s="32">
        <v>-102238</v>
      </c>
      <c r="H69" s="32"/>
      <c r="I69" s="14"/>
      <c r="J69" s="15"/>
      <c r="M69" s="35"/>
    </row>
    <row r="70" spans="3:13" ht="12.75">
      <c r="C70" s="15"/>
      <c r="D70" s="15"/>
      <c r="E70" s="26">
        <v>41718</v>
      </c>
      <c r="F70" s="15"/>
      <c r="G70" s="32">
        <v>-89350.86</v>
      </c>
      <c r="H70" s="32"/>
      <c r="I70" s="14"/>
      <c r="J70" s="15"/>
      <c r="M70" s="35"/>
    </row>
    <row r="71" spans="3:13" ht="12.75">
      <c r="C71" s="15"/>
      <c r="D71" s="15"/>
      <c r="E71" s="26">
        <v>41750</v>
      </c>
      <c r="F71" s="15"/>
      <c r="G71" s="32">
        <v>-141973.37</v>
      </c>
      <c r="H71" s="32"/>
      <c r="I71" s="14"/>
      <c r="J71" s="15"/>
      <c r="M71" s="35"/>
    </row>
    <row r="72" spans="3:13" ht="12.75">
      <c r="C72" s="15"/>
      <c r="D72" s="15"/>
      <c r="E72" s="26">
        <v>41779</v>
      </c>
      <c r="F72" s="15"/>
      <c r="G72" s="32">
        <v>-141758.57</v>
      </c>
      <c r="H72" s="32"/>
      <c r="I72" s="52"/>
      <c r="J72" s="53"/>
      <c r="M72" s="35"/>
    </row>
    <row r="73" spans="3:13" ht="12.75">
      <c r="C73" s="15"/>
      <c r="D73" s="15"/>
      <c r="E73" s="26">
        <v>41814</v>
      </c>
      <c r="F73" s="15"/>
      <c r="G73" s="32">
        <v>-104600.65</v>
      </c>
      <c r="H73" s="32"/>
      <c r="M73" s="35"/>
    </row>
    <row r="74" spans="3:13" ht="12.75">
      <c r="C74" s="15"/>
      <c r="D74" s="15"/>
      <c r="E74" s="26">
        <v>41816</v>
      </c>
      <c r="F74" s="15"/>
      <c r="G74" s="32">
        <v>224314.23</v>
      </c>
      <c r="H74" s="32"/>
      <c r="M74" s="35"/>
    </row>
    <row r="75" spans="3:13" ht="12.75">
      <c r="C75" s="15"/>
      <c r="D75" s="15"/>
      <c r="E75" s="26">
        <v>41857</v>
      </c>
      <c r="F75" s="15"/>
      <c r="G75" s="32">
        <v>925110.26</v>
      </c>
      <c r="H75" s="32"/>
      <c r="M75" s="35"/>
    </row>
    <row r="76" spans="3:13" ht="12.75">
      <c r="C76" s="15"/>
      <c r="D76" s="15"/>
      <c r="E76" s="26">
        <v>41877</v>
      </c>
      <c r="F76" s="15"/>
      <c r="G76" s="32">
        <v>-164740.63</v>
      </c>
      <c r="H76" s="32"/>
      <c r="M76" s="35"/>
    </row>
    <row r="77" spans="3:13" ht="12.75">
      <c r="C77" s="15"/>
      <c r="D77" s="15"/>
      <c r="E77" s="26">
        <v>41913</v>
      </c>
      <c r="F77" s="15"/>
      <c r="G77" s="32">
        <v>-68301.86</v>
      </c>
      <c r="H77" s="32"/>
      <c r="M77" s="35"/>
    </row>
    <row r="78" spans="3:13" ht="12.75">
      <c r="C78" s="15" t="s">
        <v>10</v>
      </c>
      <c r="D78" s="15"/>
      <c r="E78" s="26">
        <v>41943</v>
      </c>
      <c r="F78" s="15"/>
      <c r="G78" s="32">
        <v>-87203</v>
      </c>
      <c r="H78" s="32"/>
      <c r="M78" s="35"/>
    </row>
    <row r="79" spans="3:13" ht="12.75">
      <c r="C79" s="15"/>
      <c r="D79" s="15"/>
      <c r="E79" s="26">
        <v>41990</v>
      </c>
      <c r="F79" s="15"/>
      <c r="G79" s="32">
        <v>-91283.93</v>
      </c>
      <c r="H79" s="32"/>
      <c r="M79" s="35"/>
    </row>
    <row r="80" spans="3:13" ht="12.75">
      <c r="C80" s="15" t="s">
        <v>11</v>
      </c>
      <c r="D80" s="15"/>
      <c r="E80" s="26">
        <v>42011</v>
      </c>
      <c r="F80" s="15"/>
      <c r="G80" s="32">
        <v>-71738.43</v>
      </c>
      <c r="H80" s="32"/>
      <c r="I80" s="14"/>
      <c r="J80" s="15"/>
      <c r="M80" s="35"/>
    </row>
    <row r="81" spans="3:13" ht="12.75">
      <c r="C81" s="15"/>
      <c r="D81" s="15"/>
      <c r="E81" s="26">
        <v>42027</v>
      </c>
      <c r="F81" s="15"/>
      <c r="G81" s="32">
        <v>-92572.64</v>
      </c>
      <c r="H81" s="32"/>
      <c r="M81" s="35"/>
    </row>
    <row r="82" spans="3:13" ht="12.75">
      <c r="C82" s="15"/>
      <c r="D82" s="15"/>
      <c r="E82" s="26">
        <v>42055</v>
      </c>
      <c r="F82" s="15"/>
      <c r="G82" s="32">
        <v>69906.86</v>
      </c>
      <c r="H82" s="32"/>
      <c r="M82" s="35"/>
    </row>
    <row r="83" spans="3:13" ht="12.75">
      <c r="C83" s="15"/>
      <c r="D83" s="15"/>
      <c r="E83" s="26">
        <v>42075</v>
      </c>
      <c r="F83" s="15"/>
      <c r="G83" s="32">
        <v>-92787.43</v>
      </c>
      <c r="H83" s="32"/>
      <c r="M83" s="35"/>
    </row>
    <row r="84" spans="3:13" ht="12.75">
      <c r="C84" s="15"/>
      <c r="D84" s="15"/>
      <c r="E84" s="26">
        <v>42138</v>
      </c>
      <c r="F84" s="15"/>
      <c r="G84" s="32">
        <v>-137462.86</v>
      </c>
      <c r="H84" s="32"/>
      <c r="M84" s="35"/>
    </row>
    <row r="85" spans="3:13" ht="12.75">
      <c r="C85" s="15"/>
      <c r="D85" s="15"/>
      <c r="E85" s="26">
        <v>42150</v>
      </c>
      <c r="F85" s="15"/>
      <c r="G85" s="32">
        <v>72217.50</v>
      </c>
      <c r="H85" s="32"/>
      <c r="M85" s="35"/>
    </row>
    <row r="86" spans="3:13" ht="12.75">
      <c r="C86" s="15"/>
      <c r="D86" s="15"/>
      <c r="E86" s="26">
        <v>42251</v>
      </c>
      <c r="F86" s="15"/>
      <c r="G86" s="32">
        <v>221326.52</v>
      </c>
      <c r="H86" s="32"/>
      <c r="M86" s="35"/>
    </row>
    <row r="87" spans="3:13" ht="12.75">
      <c r="C87" s="15" t="s">
        <v>12</v>
      </c>
      <c r="D87" s="15"/>
      <c r="E87" s="26">
        <v>42265</v>
      </c>
      <c r="F87" s="15"/>
      <c r="G87" s="32">
        <v>-62073.07</v>
      </c>
      <c r="H87" s="32"/>
      <c r="M87" s="35"/>
    </row>
    <row r="88" spans="3:13" ht="12.75">
      <c r="C88" s="15"/>
      <c r="D88" s="15"/>
      <c r="E88" s="26">
        <v>42297</v>
      </c>
      <c r="F88" s="15"/>
      <c r="G88" s="32">
        <v>-108466.79</v>
      </c>
      <c r="H88" s="32"/>
      <c r="I88" s="14"/>
      <c r="J88" s="15"/>
      <c r="M88" s="35"/>
    </row>
    <row r="89" spans="3:13" ht="12.75">
      <c r="C89" s="15"/>
      <c r="D89" s="15"/>
      <c r="E89" s="26">
        <v>42352</v>
      </c>
      <c r="F89" s="15"/>
      <c r="G89" s="32">
        <v>-97297.93</v>
      </c>
      <c r="H89" s="32"/>
      <c r="I89" s="14"/>
      <c r="J89" s="15"/>
      <c r="M89" s="35"/>
    </row>
    <row r="90" spans="3:13" ht="12.75">
      <c r="C90" s="15" t="s">
        <v>13</v>
      </c>
      <c r="D90" s="15"/>
      <c r="E90" s="26">
        <v>42404</v>
      </c>
      <c r="F90" s="15"/>
      <c r="G90" s="32">
        <v>43539.31</v>
      </c>
      <c r="H90" s="32"/>
      <c r="I90" s="14"/>
      <c r="J90" s="15"/>
      <c r="M90" s="35"/>
    </row>
    <row r="91" spans="3:13" ht="12.75">
      <c r="C91" s="15"/>
      <c r="D91" s="15"/>
      <c r="E91" s="26">
        <v>42424</v>
      </c>
      <c r="F91" s="15"/>
      <c r="G91" s="32">
        <v>-97512.72</v>
      </c>
      <c r="H91" s="32"/>
      <c r="I91" s="14"/>
      <c r="J91" s="15"/>
      <c r="M91" s="35"/>
    </row>
    <row r="92" spans="3:13" ht="12.75">
      <c r="C92" s="15"/>
      <c r="D92" s="15"/>
      <c r="E92" s="26">
        <v>42451</v>
      </c>
      <c r="F92" s="15"/>
      <c r="G92" s="32">
        <v>43774.79</v>
      </c>
      <c r="H92" s="32"/>
      <c r="I92" s="14"/>
      <c r="J92" s="15"/>
      <c r="M92" s="35"/>
    </row>
    <row r="93" spans="3:13" ht="12.75">
      <c r="C93" s="15"/>
      <c r="D93" s="15"/>
      <c r="E93" s="26">
        <v>42452</v>
      </c>
      <c r="F93" s="15"/>
      <c r="G93" s="32">
        <v>-72812.36</v>
      </c>
      <c r="H93" s="32"/>
      <c r="I93" s="14"/>
      <c r="J93" s="15"/>
      <c r="M93" s="35"/>
    </row>
    <row r="94" spans="3:13" ht="12.75">
      <c r="C94" s="15"/>
      <c r="D94" s="15"/>
      <c r="E94" s="26">
        <v>42485</v>
      </c>
      <c r="F94" s="15"/>
      <c r="G94" s="32">
        <v>-90424.77</v>
      </c>
      <c r="H94" s="32"/>
      <c r="I94" s="14"/>
      <c r="J94" s="15"/>
      <c r="M94" s="35"/>
    </row>
    <row r="95" spans="3:13" ht="12.75">
      <c r="C95" s="15"/>
      <c r="D95" s="15"/>
      <c r="E95" s="26">
        <v>42549</v>
      </c>
      <c r="F95" s="15"/>
      <c r="G95" s="32">
        <v>23005.35</v>
      </c>
      <c r="H95" s="32"/>
      <c r="M95" s="35"/>
    </row>
    <row r="96" spans="3:13" ht="12.75">
      <c r="C96" s="15"/>
      <c r="D96" s="15"/>
      <c r="E96" s="26">
        <v>42558</v>
      </c>
      <c r="F96" s="15"/>
      <c r="G96" s="32">
        <v>-56273.86</v>
      </c>
      <c r="H96" s="32"/>
      <c r="M96" s="35"/>
    </row>
    <row r="97" spans="3:13" ht="12.75">
      <c r="C97" s="15"/>
      <c r="D97" s="15"/>
      <c r="E97" s="26">
        <v>42578</v>
      </c>
      <c r="F97" s="15"/>
      <c r="G97" s="32">
        <v>-55844.29</v>
      </c>
      <c r="H97" s="32"/>
      <c r="M97" s="35"/>
    </row>
    <row r="98" spans="3:13" ht="12.75">
      <c r="C98" s="15"/>
      <c r="D98" s="15"/>
      <c r="E98" s="26">
        <v>42584</v>
      </c>
      <c r="F98" s="15"/>
      <c r="G98" s="32">
        <v>608280.91</v>
      </c>
      <c r="H98" s="32"/>
      <c r="M98" s="35"/>
    </row>
    <row r="99" spans="3:13" ht="12.75">
      <c r="C99" s="15" t="s">
        <v>14</v>
      </c>
      <c r="D99" s="15"/>
      <c r="E99" s="26">
        <v>42632</v>
      </c>
      <c r="F99" s="15"/>
      <c r="G99" s="32">
        <v>39248.07</v>
      </c>
      <c r="H99" s="32"/>
      <c r="M99" s="35"/>
    </row>
    <row r="100" spans="3:13" ht="12.75">
      <c r="C100" s="15"/>
      <c r="D100" s="15"/>
      <c r="E100" s="26">
        <v>42636</v>
      </c>
      <c r="F100" s="15"/>
      <c r="G100" s="32">
        <v>-73241.93</v>
      </c>
      <c r="H100" s="32"/>
      <c r="M100" s="35"/>
    </row>
    <row r="101" spans="3:13" ht="12.75">
      <c r="C101" s="15"/>
      <c r="D101" s="15"/>
      <c r="E101" s="26">
        <v>42656</v>
      </c>
      <c r="F101" s="15"/>
      <c r="G101" s="32">
        <v>155100.44</v>
      </c>
      <c r="H101" s="32"/>
      <c r="M101" s="35"/>
    </row>
    <row r="102" spans="3:13" ht="12.75">
      <c r="C102" s="15"/>
      <c r="D102" s="15"/>
      <c r="E102" s="26">
        <v>42664</v>
      </c>
      <c r="F102" s="15"/>
      <c r="G102" s="32">
        <v>-70449.71</v>
      </c>
      <c r="H102" s="32"/>
      <c r="I102" s="14"/>
      <c r="J102" s="15"/>
      <c r="M102" s="35"/>
    </row>
    <row r="103" spans="3:13" ht="12.75">
      <c r="C103" s="15"/>
      <c r="D103" s="15"/>
      <c r="E103" s="26">
        <v>42697</v>
      </c>
      <c r="F103" s="15"/>
      <c r="G103" s="32">
        <v>-42957.14</v>
      </c>
      <c r="H103" s="32"/>
      <c r="I103" s="14"/>
      <c r="J103" s="15"/>
      <c r="M103" s="35"/>
    </row>
    <row r="104" spans="3:13" ht="12.75">
      <c r="C104" s="15"/>
      <c r="D104" s="15"/>
      <c r="E104" s="26">
        <v>42723</v>
      </c>
      <c r="F104" s="15"/>
      <c r="G104" s="32">
        <v>148394.72</v>
      </c>
      <c r="H104" s="32"/>
      <c r="I104" s="14"/>
      <c r="J104" s="15"/>
      <c r="M104" s="35"/>
    </row>
    <row r="105" spans="3:13" ht="15.75">
      <c r="C105" s="15"/>
      <c r="D105" s="15"/>
      <c r="E105" s="26">
        <v>42727</v>
      </c>
      <c r="F105" s="15"/>
      <c r="G105" s="32">
        <v>-124146.13</v>
      </c>
      <c r="H105" s="32"/>
      <c r="I105" s="14"/>
      <c r="J105" s="15"/>
      <c r="L105" s="10"/>
      <c r="M105" s="35"/>
    </row>
    <row r="106" spans="3:13" ht="12.75">
      <c r="C106" s="15" t="s">
        <v>15</v>
      </c>
      <c r="D106" s="15"/>
      <c r="E106" s="26">
        <v>42795</v>
      </c>
      <c r="F106" s="15"/>
      <c r="G106" s="32">
        <v>-58206.93</v>
      </c>
      <c r="H106" s="32"/>
      <c r="I106" s="14"/>
      <c r="J106" s="15"/>
      <c r="L106" s="58"/>
      <c r="M106" s="35"/>
    </row>
    <row r="107" spans="3:13" ht="12.75">
      <c r="C107" s="15"/>
      <c r="D107" s="15"/>
      <c r="E107" s="26">
        <v>42822</v>
      </c>
      <c r="F107" s="15"/>
      <c r="G107" s="32">
        <v>-32217.86</v>
      </c>
      <c r="H107" s="32"/>
      <c r="I107" s="14"/>
      <c r="J107" s="15"/>
      <c r="L107" s="58"/>
      <c r="M107" s="35"/>
    </row>
    <row r="108" spans="3:13" ht="12.75">
      <c r="C108" s="15"/>
      <c r="D108" s="15"/>
      <c r="E108" s="26">
        <v>42823</v>
      </c>
      <c r="F108" s="15"/>
      <c r="G108" s="32">
        <v>225802.36</v>
      </c>
      <c r="H108" s="32"/>
      <c r="I108" s="14"/>
      <c r="J108" s="15"/>
      <c r="L108" s="58"/>
      <c r="M108" s="35"/>
    </row>
    <row r="109" spans="3:13" ht="12.75">
      <c r="C109" s="15"/>
      <c r="D109" s="15"/>
      <c r="E109" s="26">
        <v>42843</v>
      </c>
      <c r="F109" s="15"/>
      <c r="G109" s="32">
        <v>-57132.99</v>
      </c>
      <c r="H109" s="32"/>
      <c r="I109" s="14"/>
      <c r="J109" s="15"/>
      <c r="L109" s="58"/>
      <c r="M109" s="35"/>
    </row>
    <row r="110" spans="3:13" ht="12.75">
      <c r="C110" s="15"/>
      <c r="D110" s="15"/>
      <c r="E110" s="26">
        <v>42859</v>
      </c>
      <c r="F110" s="15"/>
      <c r="G110" s="32">
        <v>34804.76</v>
      </c>
      <c r="H110" s="32"/>
      <c r="I110" s="14"/>
      <c r="J110" s="15"/>
      <c r="M110" s="35"/>
    </row>
    <row r="111" spans="3:13" ht="12.75">
      <c r="C111" s="15"/>
      <c r="D111" s="15"/>
      <c r="E111" s="26">
        <v>42909</v>
      </c>
      <c r="F111" s="15"/>
      <c r="G111" s="32">
        <v>-83551.64</v>
      </c>
      <c r="H111" s="32"/>
      <c r="I111" s="14"/>
      <c r="J111" s="15"/>
      <c r="M111" s="35"/>
    </row>
    <row r="112" spans="3:13" ht="12.75">
      <c r="C112" s="15" t="s">
        <v>16</v>
      </c>
      <c r="D112" s="15"/>
      <c r="E112" s="26">
        <v>43020</v>
      </c>
      <c r="F112" s="15"/>
      <c r="G112" s="32">
        <v>86533.37</v>
      </c>
      <c r="H112" s="32"/>
      <c r="I112" s="14"/>
      <c r="J112" s="15"/>
      <c r="M112" s="35"/>
    </row>
    <row r="113" spans="3:13" ht="12.75">
      <c r="C113" s="15"/>
      <c r="D113" s="15"/>
      <c r="E113" s="26">
        <v>43054</v>
      </c>
      <c r="F113" s="15"/>
      <c r="G113" s="32">
        <v>-56273.86</v>
      </c>
      <c r="H113" s="32"/>
      <c r="I113" s="14"/>
      <c r="J113" s="15"/>
      <c r="M113" s="35"/>
    </row>
    <row r="114" spans="3:13" ht="12.75">
      <c r="C114" s="15"/>
      <c r="D114" s="15"/>
      <c r="E114" s="26">
        <v>43090</v>
      </c>
      <c r="F114" s="15"/>
      <c r="G114" s="32">
        <v>-70234.93</v>
      </c>
      <c r="H114" s="32"/>
      <c r="I114" s="14"/>
      <c r="J114" s="15"/>
      <c r="M114" s="35"/>
    </row>
    <row r="115" spans="3:13" ht="12.75">
      <c r="C115" s="15" t="s">
        <v>17</v>
      </c>
      <c r="D115" s="15"/>
      <c r="E115" s="26">
        <v>43152</v>
      </c>
      <c r="F115" s="15"/>
      <c r="G115" s="32">
        <v>526301.60</v>
      </c>
      <c r="H115" s="32"/>
      <c r="I115" s="14"/>
      <c r="J115" s="15"/>
      <c r="M115" s="35"/>
    </row>
    <row r="116" spans="3:13" ht="12.75">
      <c r="C116" s="15"/>
      <c r="D116" s="15"/>
      <c r="E116" s="26">
        <v>43186</v>
      </c>
      <c r="F116" s="15"/>
      <c r="G116" s="32">
        <v>317547.57</v>
      </c>
      <c r="H116" s="32"/>
      <c r="I116" s="14"/>
      <c r="J116" s="15"/>
      <c r="M116" s="35"/>
    </row>
    <row r="117" spans="3:13" ht="12.75">
      <c r="C117" s="15" t="s">
        <v>18</v>
      </c>
      <c r="D117" s="15"/>
      <c r="E117" s="26">
        <v>43262</v>
      </c>
      <c r="F117" s="15"/>
      <c r="G117" s="32">
        <v>44950.31</v>
      </c>
      <c r="H117" s="32"/>
      <c r="I117" s="14"/>
      <c r="J117" s="15"/>
      <c r="M117" s="35"/>
    </row>
    <row r="118" spans="3:13" ht="12.75">
      <c r="C118" s="15"/>
      <c r="D118" s="15"/>
      <c r="E118" s="26">
        <v>43364</v>
      </c>
      <c r="F118" s="15"/>
      <c r="G118" s="32">
        <v>-176124.28</v>
      </c>
      <c r="H118" s="32"/>
      <c r="I118" s="14"/>
      <c r="J118" s="15"/>
      <c r="M118" s="35"/>
    </row>
    <row r="119" spans="3:13" ht="12.75">
      <c r="C119" s="15"/>
      <c r="D119" s="15"/>
      <c r="E119" s="26">
        <v>43404</v>
      </c>
      <c r="F119" s="15"/>
      <c r="G119" s="32">
        <v>43189.44</v>
      </c>
      <c r="H119" s="32"/>
      <c r="I119" s="14"/>
      <c r="J119" s="15"/>
      <c r="M119" s="35"/>
    </row>
    <row r="120" spans="3:13" ht="12.75">
      <c r="C120" s="15"/>
      <c r="D120" s="15"/>
      <c r="E120" s="26">
        <v>43454</v>
      </c>
      <c r="F120" s="15"/>
      <c r="G120" s="32">
        <v>-178916.50</v>
      </c>
      <c r="H120" s="32"/>
      <c r="I120" s="14"/>
      <c r="J120" s="15"/>
      <c r="M120" s="35"/>
    </row>
    <row r="121" spans="3:13" ht="12.75">
      <c r="C121" s="15" t="s">
        <v>19</v>
      </c>
      <c r="D121" s="15"/>
      <c r="E121" s="26">
        <v>43649</v>
      </c>
      <c r="F121" s="15"/>
      <c r="G121" s="32">
        <v>-31573.50</v>
      </c>
      <c r="H121" s="32"/>
      <c r="I121" s="32"/>
      <c r="J121" s="15"/>
      <c r="M121" s="35"/>
    </row>
    <row r="122" spans="3:13" ht="12.75">
      <c r="C122" s="15" t="s">
        <v>20</v>
      </c>
      <c r="D122" s="15"/>
      <c r="E122" s="26">
        <v>43593</v>
      </c>
      <c r="F122" s="15"/>
      <c r="G122" s="32">
        <v>44775.60</v>
      </c>
      <c r="H122" s="32"/>
      <c r="I122" s="14"/>
      <c r="J122" s="15"/>
      <c r="M122" s="35"/>
    </row>
    <row r="123" spans="3:13" ht="12.75">
      <c r="C123" s="15"/>
      <c r="D123" s="15"/>
      <c r="E123" s="26">
        <v>43655</v>
      </c>
      <c r="F123" s="15"/>
      <c r="G123" s="32">
        <v>74639.75</v>
      </c>
      <c r="H123" s="32"/>
      <c r="I123" s="14"/>
      <c r="J123" s="15"/>
      <c r="M123" s="35"/>
    </row>
    <row r="124" spans="3:13" ht="12.75">
      <c r="C124" s="15" t="s">
        <v>21</v>
      </c>
      <c r="D124" s="15"/>
      <c r="E124" s="26">
        <v>43928</v>
      </c>
      <c r="F124" s="15"/>
      <c r="G124" s="32">
        <v>-27277.78</v>
      </c>
      <c r="H124" s="32"/>
      <c r="I124" s="14"/>
      <c r="J124" s="15"/>
      <c r="M124" s="35"/>
    </row>
    <row r="125" spans="3:13" ht="15.75">
      <c r="C125" s="15"/>
      <c r="D125" s="15"/>
      <c r="E125" s="26">
        <v>44070</v>
      </c>
      <c r="F125" s="15"/>
      <c r="G125" s="32">
        <v>-276898.45</v>
      </c>
      <c r="H125" s="32"/>
      <c r="I125" s="14"/>
      <c r="J125" s="15"/>
      <c r="L125" s="10"/>
      <c r="M125" s="35"/>
    </row>
    <row r="126" spans="3:13" ht="15.75">
      <c r="C126" s="15" t="s">
        <v>22</v>
      </c>
      <c r="D126" s="15"/>
      <c r="E126" s="26">
        <v>44302</v>
      </c>
      <c r="F126" s="15"/>
      <c r="G126" s="32">
        <v>128116.15</v>
      </c>
      <c r="H126" s="32"/>
      <c r="I126" s="14"/>
      <c r="J126" s="15"/>
      <c r="L126" s="10"/>
      <c r="M126" s="35"/>
    </row>
    <row r="127" spans="3:13" ht="15.75">
      <c r="C127" s="15" t="s">
        <v>23</v>
      </c>
      <c r="D127" s="15"/>
      <c r="E127" s="26">
        <v>44673</v>
      </c>
      <c r="F127" s="15"/>
      <c r="G127" s="32">
        <v>288048.77</v>
      </c>
      <c r="H127" s="32"/>
      <c r="I127" s="14"/>
      <c r="J127" s="15"/>
      <c r="L127" s="10"/>
      <c r="M127" s="35"/>
    </row>
    <row r="128" spans="3:13" ht="15.75">
      <c r="C128" s="15"/>
      <c r="D128" s="15"/>
      <c r="E128" s="26">
        <v>44727</v>
      </c>
      <c r="F128" s="15"/>
      <c r="G128" s="32">
        <v>43194.18</v>
      </c>
      <c r="H128" s="32"/>
      <c r="I128" s="14"/>
      <c r="J128" s="15"/>
      <c r="L128" s="10"/>
      <c r="M128" s="35"/>
    </row>
    <row r="129" spans="3:13" ht="15.75">
      <c r="C129" s="15"/>
      <c r="D129" s="15"/>
      <c r="E129" s="26">
        <v>44796</v>
      </c>
      <c r="F129" s="15"/>
      <c r="G129" s="32">
        <v>38584.48</v>
      </c>
      <c r="H129" s="32"/>
      <c r="I129" s="14"/>
      <c r="J129" s="15"/>
      <c r="L129" s="10"/>
      <c r="M129" s="35"/>
    </row>
    <row r="130" spans="3:13" ht="15.75">
      <c r="C130" s="15"/>
      <c r="D130" s="15"/>
      <c r="E130" s="26">
        <v>44868</v>
      </c>
      <c r="F130" s="15"/>
      <c r="G130" s="32">
        <f>136541.13-1406.16</f>
        <v>135134.97</v>
      </c>
      <c r="H130" s="32"/>
      <c r="I130" s="14"/>
      <c r="J130" s="15"/>
      <c r="L130" s="10"/>
      <c r="M130" s="35"/>
    </row>
    <row r="131" spans="3:13" ht="15.75">
      <c r="C131" s="15"/>
      <c r="D131" s="15"/>
      <c r="E131" s="26">
        <v>44911</v>
      </c>
      <c r="F131" s="15"/>
      <c r="G131" s="32">
        <v>105378.05</v>
      </c>
      <c r="H131" s="32"/>
      <c r="I131" s="14"/>
      <c r="J131" s="15"/>
      <c r="L131" s="10"/>
      <c r="M131" s="35"/>
    </row>
    <row r="132" spans="3:13" ht="15.75">
      <c r="C132" s="15" t="s">
        <v>24</v>
      </c>
      <c r="D132" s="15"/>
      <c r="E132" s="26">
        <v>44973</v>
      </c>
      <c r="F132" s="15"/>
      <c r="G132" s="32">
        <v>127150.58</v>
      </c>
      <c r="H132" s="32"/>
      <c r="I132" s="14"/>
      <c r="J132" s="15"/>
      <c r="L132" s="10"/>
      <c r="M132" s="35"/>
    </row>
    <row r="133" spans="3:13" ht="15.75">
      <c r="C133" s="15"/>
      <c r="D133" s="15"/>
      <c r="E133" s="26">
        <v>45079</v>
      </c>
      <c r="F133" s="15"/>
      <c r="G133" s="32">
        <v>86675.06</v>
      </c>
      <c r="H133" s="32"/>
      <c r="I133" s="14"/>
      <c r="J133" s="15"/>
      <c r="L133" s="10"/>
      <c r="M133" s="35"/>
    </row>
    <row r="134" spans="3:13" ht="15.75">
      <c r="C134" s="15"/>
      <c r="D134" s="15"/>
      <c r="E134" s="26">
        <v>45182</v>
      </c>
      <c r="F134" s="15"/>
      <c r="G134" s="32">
        <v>50804.12</v>
      </c>
      <c r="H134" s="32"/>
      <c r="I134" s="14"/>
      <c r="J134" s="15"/>
      <c r="L134" s="10"/>
      <c r="M134" s="35"/>
    </row>
    <row r="135" spans="3:13" ht="15.75">
      <c r="C135" s="15"/>
      <c r="D135" s="15"/>
      <c r="E135" s="26">
        <v>45261</v>
      </c>
      <c r="F135" s="15"/>
      <c r="G135" s="32">
        <v>54267.77</v>
      </c>
      <c r="H135" s="32"/>
      <c r="I135" s="14"/>
      <c r="J135" s="15"/>
      <c r="L135" s="10"/>
      <c r="M135" s="35"/>
    </row>
    <row r="136" spans="3:13" ht="4.5" customHeight="1">
      <c r="C136" s="15"/>
      <c r="D136" s="15"/>
      <c r="E136" s="26"/>
      <c r="F136" s="15"/>
      <c r="G136" s="32"/>
      <c r="H136" s="32"/>
      <c r="I136" s="14"/>
      <c r="M136" s="35"/>
    </row>
    <row r="137" spans="3:13" ht="12.75">
      <c r="C137" s="15" t="s">
        <v>25</v>
      </c>
      <c r="D137" s="15"/>
      <c r="E137" s="26">
        <f>+E8</f>
        <v>45473</v>
      </c>
      <c r="F137" s="15"/>
      <c r="G137" s="33">
        <f>L137*C22</f>
        <v>2984251.6267685243</v>
      </c>
      <c r="H137" s="33"/>
      <c r="I137" s="32">
        <f>+SUMIF($G$23:$G$136,"&lt;0",$G$23:$G$136)</f>
        <v>-8827861.09</v>
      </c>
      <c r="J137" s="15" t="s">
        <v>26</v>
      </c>
      <c r="L137" s="58">
        <v>104186878</v>
      </c>
      <c r="M137" s="35"/>
    </row>
    <row r="138" spans="3:13" ht="12.75">
      <c r="C138" s="15"/>
      <c r="D138" s="15"/>
      <c r="E138" s="15"/>
      <c r="F138" s="15"/>
      <c r="G138" s="15"/>
      <c r="H138" s="15"/>
      <c r="I138" s="32">
        <f>+SUMIF($G$23:$G$136,"&gt;0",$G$23:$G$136)</f>
        <v>6100228.4399999995</v>
      </c>
      <c r="J138" s="15" t="s">
        <v>27</v>
      </c>
      <c r="L138" s="56"/>
      <c r="M138" s="35"/>
    </row>
    <row r="139" spans="3:8" ht="12.75">
      <c r="C139" s="36" t="s">
        <v>28</v>
      </c>
      <c r="G139" s="57">
        <f>+XIRR(G23:G137,E23:E137,0.1)</f>
        <v>0.005545774102210999</v>
      </c>
      <c r="H139" s="57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38"/>
      <c r="H142" s="15"/>
    </row>
    <row r="143" spans="3:8" ht="12.75">
      <c r="C143" s="15"/>
      <c r="D143" s="15"/>
      <c r="E143" s="38"/>
      <c r="F143" s="39"/>
      <c r="G143" s="38"/>
      <c r="H143" s="39"/>
    </row>
    <row r="144" spans="3:8" ht="12.75">
      <c r="C144" s="15"/>
      <c r="D144" s="15"/>
      <c r="E144" s="38"/>
      <c r="F144" s="39"/>
      <c r="G144" s="38"/>
      <c r="H144" s="39"/>
    </row>
    <row r="145" spans="3:8" ht="12.75">
      <c r="C145" s="39"/>
      <c r="D145" s="39"/>
      <c r="E145" s="123"/>
      <c r="F145" s="123"/>
      <c r="G145" s="123"/>
      <c r="H145" s="38"/>
    </row>
    <row r="146" spans="3:8" ht="12.75">
      <c r="C146" s="39"/>
      <c r="D146" s="39"/>
      <c r="E146" s="38"/>
      <c r="F146" s="38"/>
      <c r="G146" s="38"/>
      <c r="H146" s="38"/>
    </row>
    <row r="147" spans="3:8" ht="12.75">
      <c r="C147" s="39"/>
      <c r="D147" s="39"/>
      <c r="E147" s="39"/>
      <c r="F147" s="39"/>
      <c r="G147" s="39"/>
      <c r="H147" s="36"/>
    </row>
    <row r="148" spans="3:8" ht="12.75">
      <c r="C148" s="39"/>
      <c r="D148" s="39"/>
      <c r="E148" s="59"/>
      <c r="F148" s="40"/>
      <c r="G148" s="41"/>
      <c r="H148" s="46"/>
    </row>
    <row r="149" spans="3:8" ht="12.75">
      <c r="C149" s="39"/>
      <c r="D149" s="39"/>
      <c r="E149" s="41"/>
      <c r="F149" s="40"/>
      <c r="G149" s="41"/>
      <c r="H149" s="46"/>
    </row>
    <row r="150" spans="3:8" ht="12.75">
      <c r="C150" s="39"/>
      <c r="D150" s="39"/>
      <c r="E150" s="41"/>
      <c r="F150" s="40"/>
      <c r="G150" s="41"/>
      <c r="H150" s="48"/>
    </row>
    <row r="151" spans="3:8" ht="12.75">
      <c r="C151" s="42"/>
      <c r="D151" s="39"/>
      <c r="E151" s="41"/>
      <c r="F151" s="40"/>
      <c r="G151" s="41"/>
      <c r="H151" s="15"/>
    </row>
    <row r="152" spans="3:8" ht="12.75">
      <c r="C152" s="42"/>
      <c r="D152" s="39"/>
      <c r="E152" s="41"/>
      <c r="F152" s="40"/>
      <c r="G152" s="41"/>
      <c r="H152" s="15"/>
    </row>
    <row r="153" spans="3:8" ht="12.75">
      <c r="C153" s="43"/>
      <c r="D153" s="39"/>
      <c r="E153" s="41"/>
      <c r="F153" s="40"/>
      <c r="G153" s="41"/>
      <c r="H153" s="15"/>
    </row>
    <row r="154" spans="3:8" ht="12.75">
      <c r="C154" s="39"/>
      <c r="D154" s="39"/>
      <c r="E154" s="41"/>
      <c r="F154" s="40"/>
      <c r="G154" s="41"/>
      <c r="H154" s="15"/>
    </row>
    <row r="155" spans="3:8" ht="12.75">
      <c r="C155" s="39"/>
      <c r="D155" s="39"/>
      <c r="E155" s="41"/>
      <c r="F155" s="40"/>
      <c r="G155" s="41"/>
      <c r="H155" s="15"/>
    </row>
    <row r="156" spans="3:8" ht="12.75">
      <c r="C156" s="39"/>
      <c r="D156" s="39"/>
      <c r="E156" s="41"/>
      <c r="F156" s="40"/>
      <c r="G156" s="41"/>
      <c r="H156" s="15"/>
    </row>
    <row r="157" spans="3:8" ht="12.75">
      <c r="C157" s="39"/>
      <c r="D157" s="39"/>
      <c r="E157" s="41"/>
      <c r="F157" s="40"/>
      <c r="G157" s="41"/>
      <c r="H157" s="15"/>
    </row>
    <row r="158" spans="3:8" ht="12.75">
      <c r="C158" s="39"/>
      <c r="D158" s="39"/>
      <c r="E158" s="41"/>
      <c r="F158" s="40"/>
      <c r="G158" s="41"/>
      <c r="H158" s="15"/>
    </row>
    <row r="159" spans="3:8" ht="12.75">
      <c r="C159" s="39"/>
      <c r="D159" s="39"/>
      <c r="E159" s="41"/>
      <c r="F159" s="40"/>
      <c r="G159" s="41"/>
      <c r="H159" s="15"/>
    </row>
    <row r="160" spans="3:8" ht="5.1" customHeight="1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45:G145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tabColor rgb="FF92D050"/>
    <pageSetUpPr fitToPage="1"/>
  </sheetPr>
  <dimension ref="B4:M210"/>
  <sheetViews>
    <sheetView showGridLines="0" view="pageLayout" zoomScaleNormal="100" workbookViewId="0" topLeftCell="B148">
      <selection pane="topLeft" activeCell="E9" sqref="E9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3" max="13" width="17.714285714285715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61">
        <v>45473</v>
      </c>
      <c r="F8" s="7"/>
      <c r="G8" s="8"/>
      <c r="H8" s="8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79"/>
      <c r="H10" s="13"/>
    </row>
    <row r="11" spans="3:8" ht="12.75">
      <c r="C11" s="11"/>
      <c r="D11" s="11"/>
      <c r="E11" s="12"/>
      <c r="F11" s="11"/>
      <c r="G11" s="80"/>
      <c r="H11" s="13"/>
    </row>
    <row r="12" spans="3:8" ht="15.75">
      <c r="C12" s="16"/>
      <c r="D12" s="16"/>
      <c r="E12" s="17"/>
      <c r="F12" s="16"/>
      <c r="G12" s="81"/>
      <c r="H12" s="5"/>
    </row>
    <row r="13" spans="3:8" ht="12.75">
      <c r="C13" s="11"/>
      <c r="D13" s="11"/>
      <c r="E13" s="18"/>
      <c r="F13" s="11"/>
      <c r="G13" s="79"/>
      <c r="H13" s="19"/>
    </row>
    <row r="14" spans="3:8" ht="12.75">
      <c r="C14" s="11"/>
      <c r="D14" s="11"/>
      <c r="E14" s="20"/>
      <c r="F14" s="11"/>
      <c r="G14" s="79"/>
      <c r="H14" s="21"/>
    </row>
    <row r="15" spans="3:8" ht="12.75">
      <c r="C15" s="11"/>
      <c r="D15" s="11"/>
      <c r="E15" s="12"/>
      <c r="F15" s="11"/>
      <c r="G15" s="12"/>
      <c r="H15" s="13"/>
    </row>
    <row r="16" spans="3:8" ht="15.75">
      <c r="C16" s="5"/>
      <c r="D16" s="5"/>
      <c r="E16" s="17"/>
      <c r="F16" s="5"/>
      <c r="G16" s="17"/>
      <c r="H16" s="5"/>
    </row>
    <row r="17" spans="3:8" ht="15.75">
      <c r="C17" s="16" t="s">
        <v>0</v>
      </c>
      <c r="D17" s="16"/>
      <c r="E17" s="17"/>
      <c r="F17" s="16"/>
      <c r="G17" s="17"/>
      <c r="H17" s="5"/>
    </row>
    <row r="18" spans="3:8" ht="12.75" customHeight="1">
      <c r="C18" s="11" t="s">
        <v>1</v>
      </c>
      <c r="D18" s="11"/>
      <c r="E18" s="19">
        <f>G174</f>
        <v>0.10949377417564393</v>
      </c>
      <c r="F18" s="11"/>
      <c r="G18" s="18"/>
      <c r="H18" s="19"/>
    </row>
    <row r="19" spans="3:8" ht="12.75">
      <c r="C19" s="11" t="s">
        <v>2</v>
      </c>
      <c r="D19" s="11"/>
      <c r="E19" s="23">
        <f>(G172+I173)/-I172</f>
        <v>1.5203453555243622</v>
      </c>
      <c r="F19" s="11"/>
      <c r="G19" s="23"/>
      <c r="H19" s="13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1.9399999999991462E-4</v>
      </c>
      <c r="D22" s="15"/>
      <c r="E22" s="15"/>
      <c r="F22" s="15"/>
      <c r="G22" s="29"/>
      <c r="H22" s="1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-6000</v>
      </c>
      <c r="H23" s="15"/>
      <c r="I23" s="14"/>
    </row>
    <row r="24" spans="3:9" ht="12.75">
      <c r="C24" s="15"/>
      <c r="D24" s="15"/>
      <c r="E24" s="26">
        <v>41359</v>
      </c>
      <c r="F24" s="32"/>
      <c r="G24" s="30">
        <v>-4947</v>
      </c>
      <c r="H24" s="15"/>
      <c r="I24" s="14"/>
    </row>
    <row r="25" spans="3:9" ht="12.75">
      <c r="C25" s="15"/>
      <c r="D25" s="15"/>
      <c r="E25" s="26">
        <v>41381</v>
      </c>
      <c r="F25" s="32"/>
      <c r="G25" s="30">
        <v>-1920.60</v>
      </c>
      <c r="H25" s="15"/>
      <c r="I25" s="14"/>
    </row>
    <row r="26" spans="3:9" ht="12.75">
      <c r="C26" s="15"/>
      <c r="D26" s="15"/>
      <c r="E26" s="26">
        <v>41424</v>
      </c>
      <c r="F26" s="32"/>
      <c r="G26" s="30">
        <v>-1610.20</v>
      </c>
      <c r="H26" s="15"/>
      <c r="I26" s="14"/>
    </row>
    <row r="27" spans="3:9" ht="12.75">
      <c r="C27" s="15"/>
      <c r="D27" s="15"/>
      <c r="E27" s="26">
        <v>41446</v>
      </c>
      <c r="F27" s="32"/>
      <c r="G27" s="30">
        <v>-58665.60</v>
      </c>
      <c r="H27" s="15"/>
      <c r="I27" s="14"/>
    </row>
    <row r="28" spans="3:9" ht="12.75">
      <c r="C28" s="15"/>
      <c r="D28" s="15"/>
      <c r="E28" s="26">
        <v>41498</v>
      </c>
      <c r="F28" s="32"/>
      <c r="G28" s="30">
        <v>-3918.80</v>
      </c>
      <c r="H28" s="15"/>
      <c r="I28" s="14"/>
    </row>
    <row r="29" spans="3:9" ht="12.75">
      <c r="C29" s="15"/>
      <c r="D29" s="15"/>
      <c r="E29" s="26">
        <v>41527</v>
      </c>
      <c r="F29" s="32"/>
      <c r="G29" s="30">
        <v>-9855.2</v>
      </c>
      <c r="H29" s="15"/>
      <c r="I29" s="14"/>
    </row>
    <row r="30" spans="3:8" ht="12.75">
      <c r="C30" s="15"/>
      <c r="D30" s="15"/>
      <c r="E30" s="26">
        <v>41534</v>
      </c>
      <c r="F30" s="32"/>
      <c r="G30" s="30">
        <v>-5024.6</v>
      </c>
      <c r="H30" s="15"/>
    </row>
    <row r="31" spans="3:8" ht="12.75">
      <c r="C31" s="15"/>
      <c r="D31" s="15"/>
      <c r="E31" s="26">
        <v>41551</v>
      </c>
      <c r="F31" s="32"/>
      <c r="G31" s="30">
        <v>-4772.4</v>
      </c>
      <c r="H31" s="15"/>
    </row>
    <row r="32" spans="3:8" ht="12.75">
      <c r="C32" s="15"/>
      <c r="D32" s="15"/>
      <c r="E32" s="26">
        <v>41585</v>
      </c>
      <c r="F32" s="32"/>
      <c r="G32" s="30">
        <v>-9137.40</v>
      </c>
      <c r="H32" s="15"/>
    </row>
    <row r="33" spans="3:8" ht="12.75">
      <c r="C33" s="15"/>
      <c r="D33" s="15"/>
      <c r="E33" s="26">
        <v>41621</v>
      </c>
      <c r="F33" s="32"/>
      <c r="G33" s="30">
        <v>-16625.80</v>
      </c>
      <c r="H33" s="15"/>
    </row>
    <row r="34" spans="3:8" ht="12.75">
      <c r="C34" s="15"/>
      <c r="D34" s="15"/>
      <c r="E34" s="26">
        <v>41635</v>
      </c>
      <c r="F34" s="32"/>
      <c r="G34" s="30">
        <v>-6770.60</v>
      </c>
      <c r="H34" s="15"/>
    </row>
    <row r="35" spans="3:10" ht="12.75">
      <c r="C35" s="15" t="s">
        <v>9</v>
      </c>
      <c r="D35" s="15"/>
      <c r="E35" s="26">
        <v>41670</v>
      </c>
      <c r="F35" s="32"/>
      <c r="G35" s="32">
        <v>-5781.20</v>
      </c>
      <c r="H35" s="1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-14666.47</v>
      </c>
      <c r="H36" s="1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-5315.60</v>
      </c>
      <c r="H37" s="1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-8380.8</v>
      </c>
      <c r="H38" s="1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-7333.21</v>
      </c>
      <c r="H39" s="1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-10320.8</v>
      </c>
      <c r="H40" s="1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-8012.19</v>
      </c>
      <c r="H41" s="1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-14394.80</v>
      </c>
      <c r="H42" s="1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-9098.61</v>
      </c>
      <c r="H43" s="15"/>
      <c r="I43" s="14"/>
      <c r="J43" s="15"/>
    </row>
    <row r="44" spans="3:12" ht="12.75">
      <c r="C44" s="15"/>
      <c r="D44" s="15"/>
      <c r="E44" s="26">
        <v>41851</v>
      </c>
      <c r="F44" s="32"/>
      <c r="G44" s="32">
        <v>-5121.6</v>
      </c>
      <c r="H44" s="15"/>
      <c r="L44" s="62"/>
    </row>
    <row r="45" spans="3:12" ht="12.75">
      <c r="C45" s="15"/>
      <c r="D45" s="15"/>
      <c r="E45" s="26">
        <v>41859</v>
      </c>
      <c r="F45" s="32"/>
      <c r="G45" s="32">
        <v>-9777.60</v>
      </c>
      <c r="H45" s="15"/>
      <c r="L45" s="62"/>
    </row>
    <row r="46" spans="3:11" ht="12.75">
      <c r="C46" s="15"/>
      <c r="D46" s="15"/>
      <c r="E46" s="26">
        <v>41880</v>
      </c>
      <c r="F46" s="32"/>
      <c r="G46" s="32">
        <v>-6052.80</v>
      </c>
      <c r="H46" s="15"/>
      <c r="K46" s="63"/>
    </row>
    <row r="47" spans="3:8" ht="12.75">
      <c r="C47" s="15"/>
      <c r="D47" s="15"/>
      <c r="E47" s="26">
        <v>41900</v>
      </c>
      <c r="F47" s="32"/>
      <c r="G47" s="32">
        <v>-24948.41</v>
      </c>
      <c r="H47" s="15"/>
    </row>
    <row r="48" spans="3:8" ht="12.75">
      <c r="C48" s="15"/>
      <c r="D48" s="15"/>
      <c r="E48" s="26">
        <v>41915</v>
      </c>
      <c r="F48" s="32"/>
      <c r="G48" s="32">
        <v>-25666.19</v>
      </c>
      <c r="H48" s="15"/>
    </row>
    <row r="49" spans="3:10" ht="12.75">
      <c r="C49" s="15"/>
      <c r="D49" s="15"/>
      <c r="E49" s="26">
        <v>41929</v>
      </c>
      <c r="F49" s="32"/>
      <c r="G49" s="32">
        <v>-19031.40</v>
      </c>
      <c r="H49" s="15"/>
      <c r="I49" s="14"/>
      <c r="J49" s="15"/>
    </row>
    <row r="50" spans="3:10" ht="12.75">
      <c r="C50" s="15"/>
      <c r="D50" s="15"/>
      <c r="E50" s="26">
        <v>41943</v>
      </c>
      <c r="F50" s="32"/>
      <c r="G50" s="32">
        <v>-12648.80</v>
      </c>
      <c r="H50" s="15"/>
      <c r="I50" s="14"/>
      <c r="J50" s="15"/>
    </row>
    <row r="51" spans="3:10" ht="12.75">
      <c r="C51" s="15"/>
      <c r="D51" s="15"/>
      <c r="E51" s="26">
        <v>41977</v>
      </c>
      <c r="F51" s="32"/>
      <c r="G51" s="32">
        <v>-19109</v>
      </c>
      <c r="H51" s="15"/>
      <c r="I51" s="14"/>
      <c r="J51" s="15"/>
    </row>
    <row r="52" spans="3:10" ht="12.75">
      <c r="C52" s="15" t="s">
        <v>10</v>
      </c>
      <c r="D52" s="15"/>
      <c r="E52" s="26">
        <v>41817</v>
      </c>
      <c r="F52" s="32"/>
      <c r="G52" s="32">
        <v>14124.60</v>
      </c>
      <c r="H52" s="15"/>
      <c r="I52" s="14"/>
      <c r="J52" s="15"/>
    </row>
    <row r="53" spans="3:8" ht="12.75">
      <c r="C53" s="15" t="s">
        <v>11</v>
      </c>
      <c r="D53" s="15"/>
      <c r="E53" s="26">
        <v>42009</v>
      </c>
      <c r="F53" s="32"/>
      <c r="G53" s="32">
        <v>-61672.60</v>
      </c>
      <c r="H53" s="15"/>
    </row>
    <row r="54" spans="3:8" ht="12.75">
      <c r="C54" s="15"/>
      <c r="D54" s="15"/>
      <c r="E54" s="26">
        <v>42027</v>
      </c>
      <c r="F54" s="32"/>
      <c r="G54" s="32">
        <v>-29216.40</v>
      </c>
      <c r="H54" s="15"/>
    </row>
    <row r="55" spans="3:8" ht="12.75">
      <c r="C55" s="15"/>
      <c r="D55" s="15"/>
      <c r="E55" s="26">
        <v>42048</v>
      </c>
      <c r="F55" s="32"/>
      <c r="G55" s="32">
        <v>-13075.61</v>
      </c>
      <c r="H55" s="15"/>
    </row>
    <row r="56" spans="3:8" ht="12.75">
      <c r="C56" s="15"/>
      <c r="D56" s="15"/>
      <c r="E56" s="26">
        <v>42061</v>
      </c>
      <c r="F56" s="32"/>
      <c r="G56" s="32">
        <v>-9525.40</v>
      </c>
      <c r="H56" s="15"/>
    </row>
    <row r="57" spans="3:8" ht="12.75">
      <c r="C57" s="15"/>
      <c r="D57" s="15"/>
      <c r="E57" s="26">
        <v>42088</v>
      </c>
      <c r="F57" s="32"/>
      <c r="G57" s="32">
        <v>-20331.20</v>
      </c>
      <c r="H57" s="15"/>
    </row>
    <row r="58" spans="3:8" ht="12.75">
      <c r="C58" s="15"/>
      <c r="D58" s="15"/>
      <c r="E58" s="26">
        <v>42111</v>
      </c>
      <c r="F58" s="32"/>
      <c r="G58" s="32">
        <v>-16431.79</v>
      </c>
      <c r="H58" s="15"/>
    </row>
    <row r="59" spans="3:8" ht="12.75">
      <c r="C59" s="15"/>
      <c r="D59" s="15"/>
      <c r="E59" s="26">
        <v>42138</v>
      </c>
      <c r="F59" s="32"/>
      <c r="G59" s="32">
        <v>-14200.80</v>
      </c>
      <c r="H59" s="15"/>
    </row>
    <row r="60" spans="3:8" ht="12.75">
      <c r="C60" s="15"/>
      <c r="D60" s="15"/>
      <c r="E60" s="26">
        <v>42156</v>
      </c>
      <c r="F60" s="32"/>
      <c r="G60" s="32">
        <v>-17440.59</v>
      </c>
      <c r="H60" s="15"/>
    </row>
    <row r="61" spans="3:8" ht="12.75">
      <c r="C61" s="15"/>
      <c r="D61" s="15"/>
      <c r="E61" s="26">
        <v>42187</v>
      </c>
      <c r="F61" s="32"/>
      <c r="G61" s="32">
        <v>-13812.80</v>
      </c>
      <c r="H61" s="15"/>
    </row>
    <row r="62" spans="3:10" ht="12.75">
      <c r="C62" s="15"/>
      <c r="D62" s="15"/>
      <c r="E62" s="26">
        <v>42230</v>
      </c>
      <c r="F62" s="32"/>
      <c r="G62" s="32">
        <v>-9292.60</v>
      </c>
      <c r="H62" s="15"/>
      <c r="I62" s="14"/>
      <c r="J62" s="15"/>
    </row>
    <row r="63" spans="3:10" ht="12.75">
      <c r="C63" s="15"/>
      <c r="D63" s="15"/>
      <c r="E63" s="26">
        <v>42258</v>
      </c>
      <c r="F63" s="32"/>
      <c r="G63" s="32">
        <v>-18410.59</v>
      </c>
      <c r="H63" s="15"/>
      <c r="I63" s="14"/>
      <c r="J63" s="15"/>
    </row>
    <row r="64" spans="3:10" ht="12.75">
      <c r="C64" s="15"/>
      <c r="D64" s="15"/>
      <c r="E64" s="26">
        <v>42272</v>
      </c>
      <c r="F64" s="32"/>
      <c r="G64" s="32">
        <v>-25743.81</v>
      </c>
      <c r="H64" s="15"/>
      <c r="I64" s="14"/>
      <c r="J64" s="15"/>
    </row>
    <row r="65" spans="3:10" ht="12.75">
      <c r="C65" s="15"/>
      <c r="D65" s="15"/>
      <c r="E65" s="26">
        <v>42293</v>
      </c>
      <c r="F65" s="32"/>
      <c r="G65" s="32">
        <v>-24579.80</v>
      </c>
      <c r="H65" s="15"/>
      <c r="I65" s="14"/>
      <c r="J65" s="15"/>
    </row>
    <row r="66" spans="3:10" ht="12.75">
      <c r="C66" s="15"/>
      <c r="D66" s="15"/>
      <c r="E66" s="26">
        <v>42345</v>
      </c>
      <c r="F66" s="32"/>
      <c r="G66" s="32">
        <v>-11523.60</v>
      </c>
      <c r="H66" s="15"/>
      <c r="I66" s="14"/>
      <c r="J66" s="15"/>
    </row>
    <row r="67" spans="3:10" ht="12.75">
      <c r="C67" s="15"/>
      <c r="D67" s="15"/>
      <c r="E67" s="26">
        <v>42361</v>
      </c>
      <c r="F67" s="32"/>
      <c r="G67" s="32">
        <v>-8865.81</v>
      </c>
      <c r="H67" s="1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19359.94</v>
      </c>
      <c r="H68" s="1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-16101.99</v>
      </c>
      <c r="H69" s="1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1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1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1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1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15"/>
      <c r="I74" s="14"/>
      <c r="J74" s="15"/>
    </row>
    <row r="75" spans="3:8" ht="12.75">
      <c r="C75" s="15"/>
      <c r="D75" s="15"/>
      <c r="E75" s="26">
        <v>42590</v>
      </c>
      <c r="F75" s="32"/>
      <c r="G75" s="32">
        <v>-18003.21</v>
      </c>
      <c r="H75" s="15"/>
    </row>
    <row r="76" spans="3:8" ht="12.75">
      <c r="C76" s="15"/>
      <c r="D76" s="15"/>
      <c r="E76" s="26">
        <v>42607</v>
      </c>
      <c r="F76" s="32"/>
      <c r="G76" s="32">
        <v>-31951.80</v>
      </c>
      <c r="H76" s="15"/>
    </row>
    <row r="77" spans="3:8" ht="12.75">
      <c r="C77" s="15"/>
      <c r="D77" s="15"/>
      <c r="E77" s="26">
        <v>42628</v>
      </c>
      <c r="F77" s="32"/>
      <c r="G77" s="32">
        <v>-18216.60</v>
      </c>
      <c r="H77" s="15"/>
    </row>
    <row r="78" spans="3:8" ht="12.75">
      <c r="C78" s="15"/>
      <c r="D78" s="15"/>
      <c r="E78" s="26">
        <v>42634</v>
      </c>
      <c r="F78" s="32"/>
      <c r="G78" s="32">
        <v>-11872.81</v>
      </c>
      <c r="H78" s="15"/>
    </row>
    <row r="79" spans="3:8" ht="12.75">
      <c r="C79" s="15"/>
      <c r="D79" s="15"/>
      <c r="E79" s="26">
        <v>42663</v>
      </c>
      <c r="F79" s="32"/>
      <c r="G79" s="32">
        <v>-21049</v>
      </c>
      <c r="H79" s="15"/>
    </row>
    <row r="80" spans="3:8" ht="12.75">
      <c r="C80" s="15"/>
      <c r="D80" s="15"/>
      <c r="E80" s="26">
        <v>42731</v>
      </c>
      <c r="F80" s="32"/>
      <c r="G80" s="32">
        <v>-23862</v>
      </c>
      <c r="H80" s="15"/>
    </row>
    <row r="81" spans="3:8" ht="12.75">
      <c r="C81" s="15" t="s">
        <v>14</v>
      </c>
      <c r="D81" s="15"/>
      <c r="E81" s="26">
        <v>42377</v>
      </c>
      <c r="F81" s="32"/>
      <c r="G81" s="32">
        <v>112997.82</v>
      </c>
      <c r="H81" s="15"/>
    </row>
    <row r="82" spans="3:8" ht="12.75">
      <c r="C82" s="15"/>
      <c r="D82" s="15"/>
      <c r="E82" s="26">
        <v>42542</v>
      </c>
      <c r="F82" s="32"/>
      <c r="G82" s="32">
        <v>14181.90</v>
      </c>
      <c r="H82" s="15"/>
    </row>
    <row r="83" spans="3:8" ht="12.75">
      <c r="C83" s="15"/>
      <c r="D83" s="15"/>
      <c r="E83" s="26">
        <v>42570</v>
      </c>
      <c r="F83" s="32"/>
      <c r="G83" s="32">
        <v>4479.96</v>
      </c>
      <c r="H83" s="15"/>
    </row>
    <row r="84" spans="3:8" ht="12.75">
      <c r="C84" s="15"/>
      <c r="D84" s="15"/>
      <c r="E84" s="26">
        <v>42586</v>
      </c>
      <c r="F84" s="32"/>
      <c r="G84" s="32">
        <v>52988.38</v>
      </c>
      <c r="H84" s="15"/>
    </row>
    <row r="85" spans="3:8" ht="12.75">
      <c r="C85" s="15"/>
      <c r="D85" s="15"/>
      <c r="E85" s="26">
        <v>42634</v>
      </c>
      <c r="F85" s="32"/>
      <c r="G85" s="32">
        <v>11287.10</v>
      </c>
      <c r="H85" s="15"/>
    </row>
    <row r="86" spans="3:8" ht="12.75">
      <c r="C86" s="15"/>
      <c r="D86" s="15"/>
      <c r="E86" s="26">
        <v>42677</v>
      </c>
      <c r="F86" s="32"/>
      <c r="G86" s="32">
        <v>7607.96</v>
      </c>
      <c r="H86" s="15"/>
    </row>
    <row r="87" spans="3:8" ht="12.75">
      <c r="C87" s="15"/>
      <c r="D87" s="15"/>
      <c r="E87" s="26">
        <v>42709</v>
      </c>
      <c r="F87" s="32"/>
      <c r="G87" s="32">
        <v>17704.01</v>
      </c>
      <c r="H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1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1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1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1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1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1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-8303.19</v>
      </c>
      <c r="H94" s="1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1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0" ht="12.75">
      <c r="C98" s="15"/>
      <c r="D98" s="15"/>
      <c r="E98" s="26">
        <v>43091</v>
      </c>
      <c r="F98" s="32"/>
      <c r="G98" s="32">
        <v>-8691.2</v>
      </c>
      <c r="H98" s="15"/>
      <c r="I98" s="14"/>
      <c r="J98" s="15"/>
    </row>
    <row r="99" spans="3:8" ht="12.75">
      <c r="C99" s="15" t="s">
        <v>16</v>
      </c>
      <c r="D99" s="15"/>
      <c r="E99" s="26">
        <v>42745</v>
      </c>
      <c r="F99" s="32"/>
      <c r="G99" s="32">
        <v>145791.53</v>
      </c>
      <c r="H99" s="15"/>
    </row>
    <row r="100" spans="3:12" ht="15.75">
      <c r="C100" s="15"/>
      <c r="D100" s="15"/>
      <c r="E100" s="26">
        <v>42775</v>
      </c>
      <c r="F100" s="32"/>
      <c r="G100" s="32">
        <v>8665.25</v>
      </c>
      <c r="H100" s="15"/>
      <c r="L100" s="10"/>
    </row>
    <row r="101" spans="3:12" ht="12.75">
      <c r="C101" s="15"/>
      <c r="D101" s="15"/>
      <c r="E101" s="26">
        <v>42824</v>
      </c>
      <c r="F101" s="32"/>
      <c r="G101" s="32">
        <v>5425.33</v>
      </c>
      <c r="H101" s="15"/>
      <c r="I101" s="14"/>
      <c r="J101" s="15"/>
      <c r="L101" s="58"/>
    </row>
    <row r="102" spans="3:12" ht="12.75">
      <c r="C102" s="15"/>
      <c r="D102" s="15"/>
      <c r="E102" s="26">
        <v>42877</v>
      </c>
      <c r="F102" s="32"/>
      <c r="G102" s="32">
        <v>6038.39</v>
      </c>
      <c r="H102" s="15"/>
      <c r="I102" s="14"/>
      <c r="J102" s="15"/>
      <c r="L102" s="58"/>
    </row>
    <row r="103" spans="3:12" ht="12.75">
      <c r="C103" s="15"/>
      <c r="D103" s="15"/>
      <c r="E103" s="26">
        <v>42914</v>
      </c>
      <c r="F103" s="32"/>
      <c r="G103" s="32">
        <v>54409.63</v>
      </c>
      <c r="H103" s="15"/>
      <c r="I103" s="14"/>
      <c r="J103" s="15"/>
      <c r="L103" s="58"/>
    </row>
    <row r="104" spans="3:12" ht="12.75">
      <c r="C104" s="15"/>
      <c r="D104" s="15"/>
      <c r="E104" s="26">
        <v>42936</v>
      </c>
      <c r="F104" s="32"/>
      <c r="G104" s="32">
        <v>5808.96</v>
      </c>
      <c r="H104" s="15"/>
      <c r="I104" s="14"/>
      <c r="J104" s="15"/>
      <c r="L104" s="58"/>
    </row>
    <row r="105" spans="3:10" ht="12.75">
      <c r="C105" s="15"/>
      <c r="D105" s="15"/>
      <c r="E105" s="26">
        <v>43019</v>
      </c>
      <c r="F105" s="32"/>
      <c r="G105" s="32">
        <v>4861.67</v>
      </c>
      <c r="H105" s="15"/>
      <c r="I105" s="14"/>
      <c r="J105" s="15"/>
    </row>
    <row r="106" spans="3:10" ht="12.75">
      <c r="C106" s="15"/>
      <c r="D106" s="15"/>
      <c r="E106" s="26">
        <v>43052</v>
      </c>
      <c r="F106" s="32"/>
      <c r="G106" s="32">
        <v>3105.78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26108.63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8058.97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16229.80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17321.99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15335.35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5103.50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48982.15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5771.80</v>
      </c>
      <c r="H125" s="15"/>
      <c r="I125" s="14"/>
      <c r="J125" s="15"/>
    </row>
    <row r="126" spans="3:10" ht="12.75" customHeight="1">
      <c r="C126" s="15" t="s">
        <v>21</v>
      </c>
      <c r="D126" s="15"/>
      <c r="E126" s="26">
        <v>43923</v>
      </c>
      <c r="F126" s="32"/>
      <c r="G126" s="32">
        <v>-5315.60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13193.28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8884.23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6225.60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13767.91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62739.66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5291.49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24019.45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30889.58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12658.15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27260.29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14232.74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8644.26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17805.38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3707.40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104189.40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3510.83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12" ht="12.75" customHeight="1">
      <c r="C165" s="15" t="s">
        <v>35</v>
      </c>
      <c r="D165" s="15"/>
      <c r="E165" s="26">
        <v>45301</v>
      </c>
      <c r="F165" s="32"/>
      <c r="G165" s="32">
        <v>116090.52</v>
      </c>
      <c r="H165" s="15"/>
      <c r="I165" s="14"/>
      <c r="J165" s="15"/>
      <c r="L165" s="10"/>
    </row>
    <row r="166" spans="3:12" ht="12.75" customHeight="1">
      <c r="C166" s="15"/>
      <c r="D166" s="15"/>
      <c r="E166" s="26">
        <v>45335</v>
      </c>
      <c r="F166" s="32"/>
      <c r="G166" s="32">
        <v>1241.69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45359</v>
      </c>
      <c r="F167" s="32"/>
      <c r="G167" s="32">
        <v>3778.03</v>
      </c>
      <c r="H167" s="15"/>
      <c r="I167" s="14"/>
      <c r="J167" s="15"/>
      <c r="L167" s="10"/>
    </row>
    <row r="168" spans="3:12" ht="12.75" customHeight="1">
      <c r="C168" s="15"/>
      <c r="D168" s="15"/>
      <c r="E168" s="26">
        <v>45384</v>
      </c>
      <c r="F168" s="32"/>
      <c r="G168" s="32">
        <v>668.36</v>
      </c>
      <c r="H168" s="15"/>
      <c r="I168" s="14"/>
      <c r="J168" s="15"/>
      <c r="L168" s="10"/>
    </row>
    <row r="169" spans="3:12" ht="12.75" customHeight="1">
      <c r="C169" s="15"/>
      <c r="D169" s="15"/>
      <c r="E169" s="26">
        <v>45432</v>
      </c>
      <c r="F169" s="32"/>
      <c r="G169" s="32">
        <v>4983.78</v>
      </c>
      <c r="H169" s="15"/>
      <c r="I169" s="14"/>
      <c r="J169" s="15"/>
      <c r="L169" s="10"/>
    </row>
    <row r="170" spans="3:12" ht="12.75" customHeight="1">
      <c r="C170" s="15"/>
      <c r="D170" s="15"/>
      <c r="E170" s="26">
        <v>45449</v>
      </c>
      <c r="F170" s="32"/>
      <c r="G170" s="32">
        <v>811.70</v>
      </c>
      <c r="H170" s="15"/>
      <c r="I170" s="14"/>
      <c r="J170" s="15"/>
      <c r="L170" s="10"/>
    </row>
    <row r="171" spans="3:9" ht="4.5" customHeight="1">
      <c r="C171" s="15"/>
      <c r="D171" s="15"/>
      <c r="E171" s="26"/>
      <c r="F171" s="15"/>
      <c r="G171" s="32"/>
      <c r="H171" s="15"/>
      <c r="I171" s="14"/>
    </row>
    <row r="172" spans="3:13" ht="15.75">
      <c r="C172" s="15" t="s">
        <v>25</v>
      </c>
      <c r="D172" s="15"/>
      <c r="E172" s="26">
        <f>+E8</f>
        <v>45473</v>
      </c>
      <c r="F172" s="15"/>
      <c r="G172" s="33">
        <f>L172/0.97*C22</f>
        <v>230629.3953998985</v>
      </c>
      <c r="H172" s="15"/>
      <c r="I172" s="32">
        <f>+SUMIF($G$23:$G$171,"&lt;0",$G$23:$G$171)</f>
        <v>-1151434.3099999998</v>
      </c>
      <c r="J172" s="15" t="s">
        <v>26</v>
      </c>
      <c r="L172" s="122">
        <v>1.153146977E9</v>
      </c>
      <c r="M172" s="10"/>
    </row>
    <row r="173" spans="3:10" ht="12.75">
      <c r="C173" s="15"/>
      <c r="D173" s="15"/>
      <c r="E173" s="15"/>
      <c r="F173" s="15"/>
      <c r="G173" s="15"/>
      <c r="H173" s="15"/>
      <c r="I173" s="32">
        <f>+SUMIF($G$23:$G$171,"&gt;0",$G$23:$G$171)</f>
        <v>1519948.41</v>
      </c>
      <c r="J173" s="15" t="s">
        <v>27</v>
      </c>
    </row>
    <row r="174" spans="3:8" ht="12.75">
      <c r="C174" s="36" t="s">
        <v>28</v>
      </c>
      <c r="G174" s="37">
        <f>+XIRR(G23:G172,E23:E172,0.1)</f>
        <v>0.10949377417564393</v>
      </c>
      <c r="H174" s="15"/>
    </row>
    <row r="175" spans="3:12" ht="12.75">
      <c r="C175" s="15"/>
      <c r="D175" s="15"/>
      <c r="E175" s="15"/>
      <c r="F175" s="15"/>
      <c r="G175" s="14"/>
      <c r="H175" s="15"/>
      <c r="L175" s="62"/>
    </row>
    <row r="176" spans="3:9" ht="12.75">
      <c r="C176" s="15"/>
      <c r="D176" s="15"/>
      <c r="E176" s="15"/>
      <c r="F176" s="15"/>
      <c r="G176" s="15"/>
      <c r="H176" s="15"/>
      <c r="I176" s="35"/>
    </row>
    <row r="177" spans="3:8" ht="12.75">
      <c r="C177" s="53"/>
      <c r="D177" s="15"/>
      <c r="E177" s="64"/>
      <c r="F177" s="15"/>
      <c r="G177" s="64"/>
      <c r="H177" s="15"/>
    </row>
    <row r="178" spans="3:8" ht="12.75">
      <c r="C178" s="65"/>
      <c r="D178" s="39"/>
      <c r="E178" s="64"/>
      <c r="F178" s="39"/>
      <c r="G178" s="64"/>
      <c r="H178" s="15"/>
    </row>
    <row r="179" spans="3:8" ht="12.75">
      <c r="C179" s="65"/>
      <c r="D179" s="39"/>
      <c r="E179" s="64"/>
      <c r="F179" s="39"/>
      <c r="G179" s="64"/>
      <c r="H179" s="15"/>
    </row>
    <row r="180" spans="3:8" ht="12.75">
      <c r="C180" s="39"/>
      <c r="D180" s="39"/>
      <c r="E180" s="123"/>
      <c r="F180" s="123"/>
      <c r="G180" s="123"/>
      <c r="H180" s="36"/>
    </row>
    <row r="181" spans="3:8" ht="12.75">
      <c r="C181" s="39"/>
      <c r="D181" s="39"/>
      <c r="E181" s="38"/>
      <c r="F181" s="38"/>
      <c r="G181" s="38"/>
      <c r="H181" s="36"/>
    </row>
    <row r="182" spans="3:8" ht="12.75">
      <c r="C182" s="39"/>
      <c r="D182" s="39"/>
      <c r="E182" s="39"/>
      <c r="F182" s="39"/>
      <c r="G182" s="39"/>
      <c r="H182" s="36"/>
    </row>
    <row r="183" spans="3:8" ht="12.75">
      <c r="C183" s="39"/>
      <c r="D183" s="39"/>
      <c r="E183" s="59"/>
      <c r="F183" s="40"/>
      <c r="G183" s="59"/>
      <c r="H183" s="36"/>
    </row>
    <row r="184" spans="3:8" ht="12.75">
      <c r="C184" s="39"/>
      <c r="D184" s="39"/>
      <c r="E184" s="41"/>
      <c r="F184" s="40"/>
      <c r="G184" s="41"/>
      <c r="H184" s="36"/>
    </row>
    <row r="185" spans="3:8" ht="12.75">
      <c r="C185" s="39"/>
      <c r="D185" s="39"/>
      <c r="E185" s="41"/>
      <c r="F185" s="40"/>
      <c r="G185" s="41"/>
      <c r="H185" s="36"/>
    </row>
    <row r="186" spans="3:8" ht="12.75">
      <c r="C186" s="42"/>
      <c r="D186" s="39"/>
      <c r="E186" s="41"/>
      <c r="F186" s="40"/>
      <c r="G186" s="41"/>
      <c r="H186" s="36"/>
    </row>
    <row r="187" spans="3:8" ht="12.75">
      <c r="C187" s="42"/>
      <c r="D187" s="39"/>
      <c r="E187" s="41"/>
      <c r="F187" s="40"/>
      <c r="G187" s="41"/>
      <c r="H187" s="36"/>
    </row>
    <row r="188" spans="3:8" ht="12.75">
      <c r="C188" s="43"/>
      <c r="D188" s="39"/>
      <c r="E188" s="41"/>
      <c r="F188" s="40"/>
      <c r="G188" s="41"/>
      <c r="H188" s="36"/>
    </row>
    <row r="189" spans="3:8" ht="12.75">
      <c r="C189" s="39"/>
      <c r="D189" s="39"/>
      <c r="E189" s="41"/>
      <c r="F189" s="40"/>
      <c r="G189" s="41"/>
      <c r="H189" s="36"/>
    </row>
    <row r="190" spans="3:8" ht="12.75">
      <c r="C190" s="39"/>
      <c r="D190" s="39"/>
      <c r="E190" s="41"/>
      <c r="F190" s="40"/>
      <c r="G190" s="41"/>
      <c r="H190" s="36"/>
    </row>
    <row r="191" spans="3:8" ht="12.75">
      <c r="C191" s="39"/>
      <c r="D191" s="39"/>
      <c r="E191" s="41"/>
      <c r="F191" s="40"/>
      <c r="G191" s="41"/>
      <c r="H191" s="36"/>
    </row>
    <row r="192" spans="3:8" ht="12.75">
      <c r="C192" s="39"/>
      <c r="D192" s="39"/>
      <c r="E192" s="41"/>
      <c r="F192" s="40"/>
      <c r="G192" s="41"/>
      <c r="H192" s="36"/>
    </row>
    <row r="193" spans="3:8" ht="12.75">
      <c r="C193" s="39"/>
      <c r="D193" s="39"/>
      <c r="E193" s="41"/>
      <c r="F193" s="40"/>
      <c r="G193" s="41"/>
      <c r="H193" s="36"/>
    </row>
    <row r="194" spans="3:8" ht="12.75">
      <c r="C194" s="39"/>
      <c r="D194" s="39"/>
      <c r="E194" s="41"/>
      <c r="F194" s="40"/>
      <c r="G194" s="41"/>
      <c r="H194" s="36"/>
    </row>
    <row r="195" spans="3:8" s="54" customFormat="1" ht="5.1" customHeight="1">
      <c r="C195" s="36"/>
      <c r="D195" s="36"/>
      <c r="E195" s="44"/>
      <c r="F195" s="44"/>
      <c r="G195" s="44"/>
      <c r="H195" s="66"/>
    </row>
    <row r="196" spans="3:8" ht="12.75">
      <c r="C196" s="36"/>
      <c r="D196" s="36"/>
      <c r="E196" s="45"/>
      <c r="F196" s="45"/>
      <c r="G196" s="45"/>
      <c r="H196" s="36"/>
    </row>
    <row r="197" spans="3:8" ht="12.75">
      <c r="C197" s="15"/>
      <c r="D197" s="15"/>
      <c r="E197" s="47"/>
      <c r="F197" s="47"/>
      <c r="G197" s="47"/>
      <c r="H197" s="15"/>
    </row>
    <row r="198" spans="3:8" ht="12.75">
      <c r="C198" s="15"/>
      <c r="D198" s="15"/>
      <c r="E198" s="47"/>
      <c r="F198" s="47"/>
      <c r="G198" s="47"/>
      <c r="H198" s="15"/>
    </row>
    <row r="199" spans="3:8" ht="12.75">
      <c r="C199" s="15"/>
      <c r="D199" s="15"/>
      <c r="E199" s="47"/>
      <c r="F199" s="47"/>
      <c r="G199" s="47"/>
      <c r="H199" s="15"/>
    </row>
    <row r="200" spans="3:8" ht="12.75">
      <c r="C200" s="15"/>
      <c r="D200" s="15"/>
      <c r="E200" s="48"/>
      <c r="F200" s="48"/>
      <c r="G200" s="48"/>
      <c r="H200" s="15"/>
    </row>
    <row r="201" spans="3:8" ht="12.75">
      <c r="C201" s="15"/>
      <c r="D201" s="15"/>
      <c r="E201" s="15"/>
      <c r="F201" s="15"/>
      <c r="G201" s="15"/>
      <c r="H201" s="15"/>
    </row>
    <row r="202" spans="3:8" ht="12.75">
      <c r="C202" s="15"/>
      <c r="D202" s="15"/>
      <c r="E202" s="15"/>
      <c r="F202" s="15"/>
      <c r="G202" s="15"/>
      <c r="H202" s="15"/>
    </row>
    <row r="203" spans="3:8" ht="12.75">
      <c r="C203" s="15"/>
      <c r="D203" s="15"/>
      <c r="E203" s="15"/>
      <c r="F203" s="15"/>
      <c r="G203" s="15"/>
      <c r="H203" s="15"/>
    </row>
    <row r="204" spans="3:8" ht="12.75">
      <c r="C204" s="15"/>
      <c r="D204" s="15"/>
      <c r="E204" s="15"/>
      <c r="F204" s="15"/>
      <c r="G204" s="15"/>
      <c r="H204" s="15"/>
    </row>
    <row r="205" spans="3:8" ht="12.75">
      <c r="C205" s="15"/>
      <c r="D205" s="15"/>
      <c r="E205" s="15"/>
      <c r="F205" s="15"/>
      <c r="G205" s="15"/>
      <c r="H205" s="15"/>
    </row>
    <row r="206" spans="3:8" ht="12.75">
      <c r="C206" s="15"/>
      <c r="D206" s="15"/>
      <c r="E206" s="15"/>
      <c r="F206" s="15"/>
      <c r="G206" s="15"/>
      <c r="H206" s="15"/>
    </row>
    <row r="207" spans="3:8" ht="12.75">
      <c r="C207" s="15"/>
      <c r="D207" s="15"/>
      <c r="E207" s="15"/>
      <c r="F207" s="15"/>
      <c r="G207" s="15"/>
      <c r="H207" s="15"/>
    </row>
    <row r="208" spans="3:8" ht="12.75">
      <c r="C208" s="15"/>
      <c r="D208" s="15"/>
      <c r="E208" s="15"/>
      <c r="F208" s="15"/>
      <c r="G208" s="15"/>
      <c r="H208" s="15"/>
    </row>
    <row r="209" spans="3:8" ht="12.75">
      <c r="C209" s="15"/>
      <c r="D209" s="15"/>
      <c r="E209" s="15"/>
      <c r="F209" s="15"/>
      <c r="G209" s="15"/>
      <c r="H209" s="15"/>
    </row>
    <row r="210" spans="3:8" ht="12.75">
      <c r="C210" s="15"/>
      <c r="D210" s="15"/>
      <c r="E210" s="15"/>
      <c r="F210" s="15"/>
      <c r="G210" s="15"/>
      <c r="H210" s="15"/>
    </row>
  </sheetData>
  <mergeCells count="1">
    <mergeCell ref="E180:G180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tabColor rgb="FF92D050"/>
    <pageSetUpPr fitToPage="1"/>
  </sheetPr>
  <dimension ref="B4:M197"/>
  <sheetViews>
    <sheetView showGridLines="0" view="pageLayout" zoomScaleNormal="100" workbookViewId="0" topLeftCell="A155">
      <selection pane="topLeft" activeCell="L173" sqref="L173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4" customWidth="1"/>
    <col min="9" max="9" width="12.571428571428571" bestFit="1" customWidth="1"/>
    <col min="10" max="10" width="10.571428571428571" bestFit="1" customWidth="1"/>
    <col min="12" max="12" width="17" customWidth="1"/>
    <col min="13" max="13" width="18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61">
        <f>+'Fund IX'!E8</f>
        <v>45473</v>
      </c>
      <c r="F8" s="7"/>
      <c r="G8" s="8"/>
      <c r="H8" s="67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82"/>
      <c r="H10" s="68"/>
    </row>
    <row r="11" spans="3:8" ht="12.75">
      <c r="C11" s="11"/>
      <c r="D11" s="11"/>
      <c r="E11" s="12"/>
      <c r="F11" s="11"/>
      <c r="G11" s="83"/>
      <c r="H11" s="68"/>
    </row>
    <row r="12" spans="3:8" ht="15.75">
      <c r="C12" s="16"/>
      <c r="D12" s="16"/>
      <c r="E12" s="17"/>
      <c r="F12" s="16"/>
      <c r="G12" s="84"/>
      <c r="H12" s="69"/>
    </row>
    <row r="13" spans="3:8" ht="12.75">
      <c r="C13" s="11"/>
      <c r="D13" s="11"/>
      <c r="E13" s="18"/>
      <c r="F13" s="11"/>
      <c r="G13" s="82"/>
      <c r="H13" s="70"/>
    </row>
    <row r="14" spans="3:8" ht="12.75">
      <c r="C14" s="11"/>
      <c r="D14" s="11"/>
      <c r="E14" s="20"/>
      <c r="F14" s="11"/>
      <c r="G14" s="82"/>
      <c r="H14" s="71"/>
    </row>
    <row r="15" spans="3:8" ht="12.75">
      <c r="C15" s="11"/>
      <c r="D15" s="11"/>
      <c r="E15" s="12"/>
      <c r="F15" s="11"/>
      <c r="G15" s="12"/>
      <c r="H15" s="68"/>
    </row>
    <row r="16" spans="3:8" ht="15.75">
      <c r="C16" s="5"/>
      <c r="D16" s="5"/>
      <c r="E16" s="17"/>
      <c r="F16" s="5"/>
      <c r="G16" s="17"/>
      <c r="H16" s="69"/>
    </row>
    <row r="17" spans="3:8" ht="15.75">
      <c r="C17" s="16" t="s">
        <v>0</v>
      </c>
      <c r="D17" s="16"/>
      <c r="E17" s="17"/>
      <c r="F17" s="16"/>
      <c r="G17" s="17"/>
      <c r="H17" s="69"/>
    </row>
    <row r="18" spans="3:8" ht="12.75" customHeight="1">
      <c r="C18" s="11" t="s">
        <v>1</v>
      </c>
      <c r="D18" s="11"/>
      <c r="E18" s="19">
        <f>G175</f>
        <v>0.09667920470237731</v>
      </c>
      <c r="F18" s="11"/>
      <c r="G18" s="18"/>
      <c r="H18" s="70"/>
    </row>
    <row r="19" spans="3:8" ht="12.75">
      <c r="C19" s="11" t="s">
        <v>2</v>
      </c>
      <c r="D19" s="11"/>
      <c r="E19" s="23">
        <f>(G173+I174)/-I173</f>
        <v>1.4943762241257428</v>
      </c>
      <c r="F19" s="11"/>
      <c r="G19" s="12"/>
      <c r="H19" s="68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0.013382981362945806</v>
      </c>
      <c r="D22" s="15"/>
      <c r="E22" s="15"/>
      <c r="F22" s="15"/>
      <c r="G22" s="29"/>
      <c r="H22" s="53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-90000</v>
      </c>
      <c r="H23" s="53"/>
      <c r="I23" s="14"/>
    </row>
    <row r="24" spans="3:9" ht="12.75">
      <c r="C24" s="15"/>
      <c r="D24" s="15"/>
      <c r="E24" s="26">
        <v>41359</v>
      </c>
      <c r="F24" s="32"/>
      <c r="G24" s="30">
        <v>-74205</v>
      </c>
      <c r="H24" s="53"/>
      <c r="I24" s="14"/>
    </row>
    <row r="25" spans="3:9" ht="12.75">
      <c r="C25" s="15"/>
      <c r="D25" s="15"/>
      <c r="E25" s="26">
        <v>41381</v>
      </c>
      <c r="F25" s="32"/>
      <c r="G25" s="30">
        <v>-28809</v>
      </c>
      <c r="H25" s="53"/>
      <c r="I25" s="14"/>
    </row>
    <row r="26" spans="3:9" ht="12.75">
      <c r="C26" s="15"/>
      <c r="D26" s="15"/>
      <c r="E26" s="26">
        <v>41424</v>
      </c>
      <c r="F26" s="32"/>
      <c r="G26" s="30">
        <v>-24153.01</v>
      </c>
      <c r="H26" s="53"/>
      <c r="I26" s="14"/>
    </row>
    <row r="27" spans="3:9" ht="12.75">
      <c r="C27" s="15"/>
      <c r="D27" s="15"/>
      <c r="E27" s="26">
        <v>41446</v>
      </c>
      <c r="F27" s="32"/>
      <c r="G27" s="30">
        <v>-879983.99</v>
      </c>
      <c r="H27" s="53"/>
      <c r="I27" s="14"/>
    </row>
    <row r="28" spans="3:9" ht="12.75">
      <c r="C28" s="15"/>
      <c r="D28" s="15"/>
      <c r="E28" s="26">
        <v>41498</v>
      </c>
      <c r="F28" s="32"/>
      <c r="G28" s="30">
        <v>-58782</v>
      </c>
      <c r="H28" s="53"/>
      <c r="I28" s="14"/>
    </row>
    <row r="29" spans="3:9" ht="12.75">
      <c r="C29" s="15"/>
      <c r="D29" s="15"/>
      <c r="E29" s="26">
        <v>41527</v>
      </c>
      <c r="F29" s="32"/>
      <c r="G29" s="30">
        <v>-147828</v>
      </c>
      <c r="H29" s="53"/>
      <c r="I29" s="14"/>
    </row>
    <row r="30" spans="3:8" ht="12.75">
      <c r="C30" s="15"/>
      <c r="D30" s="15"/>
      <c r="E30" s="26">
        <v>41534</v>
      </c>
      <c r="F30" s="32"/>
      <c r="G30" s="30">
        <v>-75369.01</v>
      </c>
      <c r="H30" s="53"/>
    </row>
    <row r="31" spans="3:8" ht="12.75">
      <c r="C31" s="15"/>
      <c r="D31" s="15"/>
      <c r="E31" s="26">
        <v>41551</v>
      </c>
      <c r="F31" s="32"/>
      <c r="G31" s="30">
        <v>-71586</v>
      </c>
      <c r="H31" s="53"/>
    </row>
    <row r="32" spans="3:8" ht="12.75">
      <c r="C32" s="15"/>
      <c r="D32" s="15"/>
      <c r="E32" s="26">
        <v>41585</v>
      </c>
      <c r="F32" s="32"/>
      <c r="G32" s="30">
        <v>-137061</v>
      </c>
      <c r="H32" s="53"/>
    </row>
    <row r="33" spans="3:8" ht="12.75">
      <c r="C33" s="15"/>
      <c r="D33" s="15"/>
      <c r="E33" s="26">
        <v>41621</v>
      </c>
      <c r="F33" s="32"/>
      <c r="G33" s="30">
        <v>-249387</v>
      </c>
      <c r="H33" s="53"/>
    </row>
    <row r="34" spans="3:8" ht="12.75">
      <c r="C34" s="15"/>
      <c r="D34" s="15"/>
      <c r="E34" s="26">
        <v>41635</v>
      </c>
      <c r="F34" s="32"/>
      <c r="G34" s="30">
        <v>-101559</v>
      </c>
      <c r="H34" s="53"/>
    </row>
    <row r="35" spans="3:10" ht="12.75">
      <c r="C35" s="15" t="s">
        <v>9</v>
      </c>
      <c r="D35" s="15"/>
      <c r="E35" s="26">
        <v>41670</v>
      </c>
      <c r="F35" s="32"/>
      <c r="G35" s="32">
        <v>-86718</v>
      </c>
      <c r="H35" s="53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-219997.24</v>
      </c>
      <c r="H36" s="53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-79734</v>
      </c>
      <c r="H37" s="53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-125712</v>
      </c>
      <c r="H38" s="53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-109998</v>
      </c>
      <c r="H39" s="53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-154812</v>
      </c>
      <c r="H40" s="53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-120183.01</v>
      </c>
      <c r="H41" s="53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-215922</v>
      </c>
      <c r="H42" s="53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-136478.99</v>
      </c>
      <c r="H43" s="53"/>
      <c r="I43" s="14"/>
      <c r="J43" s="15"/>
    </row>
    <row r="44" spans="3:10" ht="12.75">
      <c r="C44" s="15"/>
      <c r="D44" s="15"/>
      <c r="E44" s="26">
        <v>41851</v>
      </c>
      <c r="F44" s="32"/>
      <c r="G44" s="32">
        <v>-76824</v>
      </c>
      <c r="H44" s="53"/>
      <c r="I44" s="14"/>
      <c r="J44" s="15"/>
    </row>
    <row r="45" spans="3:8" ht="12.75">
      <c r="C45" s="15"/>
      <c r="D45" s="15"/>
      <c r="E45" s="26">
        <v>41859</v>
      </c>
      <c r="F45" s="32"/>
      <c r="G45" s="32">
        <v>-146664</v>
      </c>
      <c r="H45" s="53"/>
    </row>
    <row r="46" spans="3:8" ht="12.75">
      <c r="C46" s="15"/>
      <c r="D46" s="15"/>
      <c r="E46" s="26">
        <v>41880</v>
      </c>
      <c r="F46" s="32"/>
      <c r="G46" s="32">
        <v>-90792</v>
      </c>
      <c r="H46" s="53"/>
    </row>
    <row r="47" spans="3:8" ht="12.75">
      <c r="C47" s="15"/>
      <c r="D47" s="15"/>
      <c r="E47" s="26">
        <v>41900</v>
      </c>
      <c r="F47" s="32"/>
      <c r="G47" s="32">
        <v>-374226</v>
      </c>
      <c r="H47" s="53"/>
    </row>
    <row r="48" spans="3:8" ht="12.75">
      <c r="C48" s="15"/>
      <c r="D48" s="15"/>
      <c r="E48" s="26">
        <v>41915</v>
      </c>
      <c r="F48" s="32"/>
      <c r="G48" s="32">
        <v>-384993</v>
      </c>
      <c r="H48" s="53"/>
    </row>
    <row r="49" spans="3:8" ht="12.75">
      <c r="C49" s="15"/>
      <c r="D49" s="15"/>
      <c r="E49" s="26">
        <v>41929</v>
      </c>
      <c r="F49" s="32"/>
      <c r="G49" s="32">
        <v>-285470.99</v>
      </c>
      <c r="H49" s="53"/>
    </row>
    <row r="50" spans="3:8" ht="12.75">
      <c r="C50" s="15"/>
      <c r="D50" s="15"/>
      <c r="E50" s="26">
        <v>41943</v>
      </c>
      <c r="F50" s="32"/>
      <c r="G50" s="32">
        <v>-189732</v>
      </c>
      <c r="H50" s="53"/>
    </row>
    <row r="51" spans="3:8" ht="12.75">
      <c r="C51" s="15"/>
      <c r="D51" s="15"/>
      <c r="E51" s="26">
        <v>41977</v>
      </c>
      <c r="F51" s="32"/>
      <c r="G51" s="32">
        <v>-286635</v>
      </c>
      <c r="H51" s="53"/>
    </row>
    <row r="52" spans="3:8" ht="12.75">
      <c r="C52" s="15" t="s">
        <v>10</v>
      </c>
      <c r="D52" s="15"/>
      <c r="E52" s="26">
        <v>41817</v>
      </c>
      <c r="F52" s="32"/>
      <c r="G52" s="32">
        <v>197235.54</v>
      </c>
      <c r="H52" s="53"/>
    </row>
    <row r="53" spans="3:8" ht="12.75">
      <c r="C53" s="15" t="s">
        <v>11</v>
      </c>
      <c r="D53" s="15"/>
      <c r="E53" s="26">
        <v>42009</v>
      </c>
      <c r="F53" s="32"/>
      <c r="G53" s="32">
        <v>-925089.01</v>
      </c>
      <c r="H53" s="53"/>
    </row>
    <row r="54" spans="3:10" ht="12.75">
      <c r="C54" s="15"/>
      <c r="D54" s="15"/>
      <c r="E54" s="26">
        <v>42027</v>
      </c>
      <c r="F54" s="32"/>
      <c r="G54" s="32">
        <v>-438246</v>
      </c>
      <c r="H54" s="53"/>
      <c r="I54" s="14"/>
      <c r="J54" s="15"/>
    </row>
    <row r="55" spans="3:10" ht="12.75">
      <c r="C55" s="15"/>
      <c r="D55" s="15"/>
      <c r="E55" s="26">
        <v>42048</v>
      </c>
      <c r="F55" s="32"/>
      <c r="G55" s="32">
        <v>-196133.99</v>
      </c>
      <c r="H55" s="53"/>
      <c r="I55" s="14"/>
      <c r="J55" s="15"/>
    </row>
    <row r="56" spans="3:10" ht="12.75">
      <c r="C56" s="15"/>
      <c r="D56" s="15"/>
      <c r="E56" s="26">
        <v>42061</v>
      </c>
      <c r="F56" s="32"/>
      <c r="G56" s="32">
        <v>-142881</v>
      </c>
      <c r="H56" s="53"/>
      <c r="I56" s="14"/>
      <c r="J56" s="15"/>
    </row>
    <row r="57" spans="3:10" ht="12.75">
      <c r="C57" s="15"/>
      <c r="D57" s="15"/>
      <c r="E57" s="26">
        <v>42088</v>
      </c>
      <c r="F57" s="32"/>
      <c r="G57" s="32">
        <v>-304968.01</v>
      </c>
      <c r="H57" s="53"/>
      <c r="I57" s="14"/>
      <c r="J57" s="15"/>
    </row>
    <row r="58" spans="3:8" ht="12.75">
      <c r="C58" s="15"/>
      <c r="D58" s="15"/>
      <c r="E58" s="26">
        <v>42111</v>
      </c>
      <c r="F58" s="32"/>
      <c r="G58" s="32">
        <v>-246477.01</v>
      </c>
      <c r="H58" s="53"/>
    </row>
    <row r="59" spans="3:8" ht="12.75">
      <c r="C59" s="15"/>
      <c r="D59" s="15"/>
      <c r="E59" s="26">
        <v>42138</v>
      </c>
      <c r="F59" s="32"/>
      <c r="G59" s="32">
        <v>-213012</v>
      </c>
      <c r="H59" s="53"/>
    </row>
    <row r="60" spans="3:8" ht="12.75">
      <c r="C60" s="15"/>
      <c r="D60" s="15"/>
      <c r="E60" s="26">
        <v>42156</v>
      </c>
      <c r="F60" s="32"/>
      <c r="G60" s="32">
        <v>-261608.99</v>
      </c>
      <c r="H60" s="53"/>
    </row>
    <row r="61" spans="3:8" ht="12.75">
      <c r="C61" s="15"/>
      <c r="D61" s="15"/>
      <c r="E61" s="26">
        <v>42187</v>
      </c>
      <c r="F61" s="32"/>
      <c r="G61" s="32">
        <v>-207192</v>
      </c>
      <c r="H61" s="53"/>
    </row>
    <row r="62" spans="3:8" ht="12.75">
      <c r="C62" s="15"/>
      <c r="D62" s="15"/>
      <c r="E62" s="26">
        <v>42230</v>
      </c>
      <c r="F62" s="32"/>
      <c r="G62" s="32">
        <v>-139389.01</v>
      </c>
      <c r="H62" s="53"/>
    </row>
    <row r="63" spans="3:8" ht="12.75">
      <c r="C63" s="15"/>
      <c r="D63" s="15"/>
      <c r="E63" s="26">
        <v>42258</v>
      </c>
      <c r="F63" s="32"/>
      <c r="G63" s="32">
        <v>-276159</v>
      </c>
      <c r="H63" s="53"/>
    </row>
    <row r="64" spans="3:8" ht="12.75">
      <c r="C64" s="15"/>
      <c r="D64" s="15"/>
      <c r="E64" s="26">
        <v>42272</v>
      </c>
      <c r="F64" s="32"/>
      <c r="G64" s="32">
        <v>-386156.99</v>
      </c>
      <c r="H64" s="53"/>
    </row>
    <row r="65" spans="3:10" ht="12.75">
      <c r="C65" s="15"/>
      <c r="D65" s="15"/>
      <c r="E65" s="26">
        <v>42293</v>
      </c>
      <c r="F65" s="32"/>
      <c r="G65" s="32">
        <v>-368696.99</v>
      </c>
      <c r="H65" s="53"/>
      <c r="I65" s="14"/>
      <c r="J65" s="15"/>
    </row>
    <row r="66" spans="3:8" ht="12.75">
      <c r="C66" s="15"/>
      <c r="D66" s="15"/>
      <c r="E66" s="26">
        <v>42345</v>
      </c>
      <c r="F66" s="32"/>
      <c r="G66" s="32">
        <v>-172854</v>
      </c>
      <c r="H66" s="53"/>
    </row>
    <row r="67" spans="3:10" ht="12.75">
      <c r="C67" s="15"/>
      <c r="D67" s="15"/>
      <c r="E67" s="26">
        <v>42361</v>
      </c>
      <c r="F67" s="32"/>
      <c r="G67" s="32">
        <v>-132987</v>
      </c>
      <c r="H67" s="53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288567.1</v>
      </c>
      <c r="H68" s="53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-241530</v>
      </c>
      <c r="H69" s="53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-269757.01</v>
      </c>
      <c r="H70" s="53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-311952</v>
      </c>
      <c r="H71" s="53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-1122969</v>
      </c>
      <c r="H72" s="53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-577926</v>
      </c>
      <c r="H73" s="53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-128913</v>
      </c>
      <c r="H74" s="53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-270048</v>
      </c>
      <c r="H75" s="53"/>
      <c r="I75" s="14"/>
      <c r="J75" s="15"/>
    </row>
    <row r="76" spans="3:8" ht="12.75">
      <c r="C76" s="15"/>
      <c r="D76" s="15"/>
      <c r="E76" s="26">
        <v>42607</v>
      </c>
      <c r="F76" s="32"/>
      <c r="G76" s="32">
        <v>-479277</v>
      </c>
      <c r="H76" s="53"/>
    </row>
    <row r="77" spans="3:8" ht="12.75">
      <c r="C77" s="15"/>
      <c r="D77" s="15"/>
      <c r="E77" s="26">
        <v>42628</v>
      </c>
      <c r="F77" s="32"/>
      <c r="G77" s="32">
        <v>-273249</v>
      </c>
      <c r="H77" s="53"/>
    </row>
    <row r="78" spans="3:8" ht="12.75">
      <c r="C78" s="15"/>
      <c r="D78" s="15"/>
      <c r="E78" s="26">
        <v>42634</v>
      </c>
      <c r="F78" s="32"/>
      <c r="G78" s="32">
        <v>-178092</v>
      </c>
      <c r="H78" s="53"/>
    </row>
    <row r="79" spans="3:8" ht="12.75">
      <c r="C79" s="15"/>
      <c r="D79" s="15"/>
      <c r="E79" s="26">
        <v>42663</v>
      </c>
      <c r="F79" s="32"/>
      <c r="G79" s="32">
        <v>-315735</v>
      </c>
      <c r="H79" s="53"/>
    </row>
    <row r="80" spans="3:8" ht="12.75">
      <c r="C80" s="15"/>
      <c r="D80" s="15"/>
      <c r="E80" s="26">
        <v>42731</v>
      </c>
      <c r="F80" s="32"/>
      <c r="G80" s="32">
        <v>-357929.99</v>
      </c>
      <c r="H80" s="53"/>
    </row>
    <row r="81" spans="3:8" ht="12.75">
      <c r="C81" s="15" t="s">
        <v>14</v>
      </c>
      <c r="D81" s="15"/>
      <c r="E81" s="26">
        <v>42377</v>
      </c>
      <c r="F81" s="32"/>
      <c r="G81" s="32">
        <v>1014530.40</v>
      </c>
      <c r="H81" s="53"/>
    </row>
    <row r="82" spans="3:8" ht="12.75">
      <c r="C82" s="15"/>
      <c r="D82" s="15"/>
      <c r="E82" s="26">
        <v>42486</v>
      </c>
      <c r="F82" s="32"/>
      <c r="G82" s="32">
        <v>401489.44</v>
      </c>
      <c r="H82" s="53"/>
    </row>
    <row r="83" spans="3:8" ht="12.75">
      <c r="C83" s="15"/>
      <c r="D83" s="15"/>
      <c r="E83" s="26">
        <v>42542</v>
      </c>
      <c r="F83" s="32"/>
      <c r="G83" s="32">
        <v>210673.20</v>
      </c>
      <c r="H83" s="53"/>
    </row>
    <row r="84" spans="3:8" ht="12.75">
      <c r="C84" s="15"/>
      <c r="D84" s="15"/>
      <c r="E84" s="26">
        <v>42570</v>
      </c>
      <c r="F84" s="32"/>
      <c r="G84" s="32">
        <v>66041.17</v>
      </c>
      <c r="H84" s="53"/>
    </row>
    <row r="85" spans="3:10" ht="12.75">
      <c r="C85" s="15"/>
      <c r="D85" s="15"/>
      <c r="E85" s="26">
        <v>42586</v>
      </c>
      <c r="F85" s="32"/>
      <c r="G85" s="32">
        <v>527166.21</v>
      </c>
      <c r="H85" s="53"/>
      <c r="I85" s="14"/>
      <c r="J85" s="15"/>
    </row>
    <row r="86" spans="3:10" ht="12.75">
      <c r="C86" s="15"/>
      <c r="D86" s="15"/>
      <c r="E86" s="26">
        <v>42634</v>
      </c>
      <c r="F86" s="32"/>
      <c r="G86" s="32">
        <v>249347.58</v>
      </c>
      <c r="H86" s="53"/>
      <c r="I86" s="14"/>
      <c r="J86" s="15"/>
    </row>
    <row r="87" spans="3:10" ht="12.75">
      <c r="C87" s="15"/>
      <c r="D87" s="15"/>
      <c r="E87" s="26">
        <v>42677</v>
      </c>
      <c r="F87" s="32"/>
      <c r="G87" s="32">
        <v>113721.19</v>
      </c>
      <c r="H87" s="53"/>
      <c r="I87" s="14"/>
      <c r="J87" s="15"/>
    </row>
    <row r="88" spans="3:10" ht="12.75">
      <c r="C88" s="15"/>
      <c r="D88" s="15"/>
      <c r="E88" s="26">
        <v>42709</v>
      </c>
      <c r="F88" s="32"/>
      <c r="G88" s="32">
        <v>265560.19</v>
      </c>
      <c r="H88" s="53"/>
      <c r="I88" s="14"/>
      <c r="J88" s="15"/>
    </row>
    <row r="89" spans="3:10" ht="12.75">
      <c r="C89" s="15"/>
      <c r="D89" s="15"/>
      <c r="E89" s="26">
        <v>42726</v>
      </c>
      <c r="F89" s="32"/>
      <c r="G89" s="32">
        <v>1590878.05</v>
      </c>
      <c r="H89" s="53"/>
      <c r="I89" s="14"/>
      <c r="J89" s="15"/>
    </row>
    <row r="90" spans="3:10" ht="12.75">
      <c r="C90" s="15" t="s">
        <v>15</v>
      </c>
      <c r="D90" s="15"/>
      <c r="E90" s="26">
        <v>42753</v>
      </c>
      <c r="F90" s="32"/>
      <c r="G90" s="32">
        <v>-236583</v>
      </c>
      <c r="H90" s="53"/>
      <c r="I90" s="14"/>
      <c r="J90" s="15"/>
    </row>
    <row r="91" spans="3:10" ht="12.75">
      <c r="C91" s="15"/>
      <c r="D91" s="15"/>
      <c r="E91" s="26">
        <v>42816</v>
      </c>
      <c r="F91" s="32"/>
      <c r="G91" s="32">
        <v>-183621</v>
      </c>
      <c r="H91" s="53"/>
      <c r="I91" s="14"/>
      <c r="J91" s="15"/>
    </row>
    <row r="92" spans="3:10" ht="12.75">
      <c r="C92" s="15"/>
      <c r="D92" s="15"/>
      <c r="E92" s="26">
        <v>42838</v>
      </c>
      <c r="F92" s="32"/>
      <c r="G92" s="32">
        <v>-181875</v>
      </c>
      <c r="H92" s="53"/>
      <c r="I92" s="14"/>
      <c r="J92" s="15"/>
    </row>
    <row r="93" spans="3:10" ht="12.75">
      <c r="C93" s="15"/>
      <c r="D93" s="15"/>
      <c r="E93" s="26">
        <v>42879</v>
      </c>
      <c r="F93" s="32"/>
      <c r="G93" s="32">
        <v>-196716</v>
      </c>
      <c r="H93" s="53"/>
      <c r="I93" s="14"/>
      <c r="J93" s="15"/>
    </row>
    <row r="94" spans="3:10" ht="12.75">
      <c r="C94" s="15"/>
      <c r="D94" s="15"/>
      <c r="E94" s="26">
        <v>42908</v>
      </c>
      <c r="F94" s="32"/>
      <c r="G94" s="32">
        <v>-127458</v>
      </c>
      <c r="H94" s="53"/>
      <c r="I94" s="14"/>
      <c r="J94" s="15"/>
    </row>
    <row r="95" spans="3:10" ht="12.75">
      <c r="C95" s="15"/>
      <c r="D95" s="15"/>
      <c r="E95" s="26">
        <v>42933</v>
      </c>
      <c r="F95" s="32"/>
      <c r="G95" s="32">
        <v>-124547.99</v>
      </c>
      <c r="H95" s="53"/>
      <c r="I95" s="14"/>
      <c r="J95" s="15"/>
    </row>
    <row r="96" spans="3:10" ht="12.75">
      <c r="C96" s="15"/>
      <c r="D96" s="15"/>
      <c r="E96" s="26">
        <v>42963</v>
      </c>
      <c r="F96" s="32"/>
      <c r="G96" s="32">
        <v>-357929.99</v>
      </c>
      <c r="H96" s="53"/>
      <c r="I96" s="14"/>
      <c r="J96" s="15"/>
    </row>
    <row r="97" spans="3:10" ht="12.75">
      <c r="C97" s="15"/>
      <c r="D97" s="15"/>
      <c r="E97" s="26">
        <v>42997</v>
      </c>
      <c r="F97" s="32"/>
      <c r="G97" s="32">
        <v>-177510</v>
      </c>
      <c r="H97" s="15"/>
      <c r="I97" s="14"/>
      <c r="J97" s="15"/>
    </row>
    <row r="98" spans="3:10" ht="12.75">
      <c r="C98" s="15"/>
      <c r="D98" s="15"/>
      <c r="E98" s="26">
        <v>43014</v>
      </c>
      <c r="F98" s="32"/>
      <c r="G98" s="32">
        <v>-222324</v>
      </c>
      <c r="H98" s="15"/>
      <c r="I98" s="14"/>
      <c r="J98" s="15"/>
    </row>
    <row r="99" spans="3:12" ht="15.75">
      <c r="C99" s="15"/>
      <c r="D99" s="15"/>
      <c r="E99" s="26">
        <v>43091</v>
      </c>
      <c r="F99" s="32"/>
      <c r="G99" s="32">
        <v>-130367.99</v>
      </c>
      <c r="H99" s="15"/>
      <c r="I99" s="14"/>
      <c r="J99" s="15"/>
      <c r="L99" s="10"/>
    </row>
    <row r="100" spans="3:12" ht="12.75">
      <c r="C100" s="15" t="s">
        <v>16</v>
      </c>
      <c r="D100" s="15"/>
      <c r="E100" s="26">
        <v>42745</v>
      </c>
      <c r="F100" s="32"/>
      <c r="G100" s="32">
        <v>1517724</v>
      </c>
      <c r="H100" s="53"/>
      <c r="I100" s="14"/>
      <c r="J100" s="15"/>
      <c r="L100" s="58"/>
    </row>
    <row r="101" spans="3:12" ht="12.75">
      <c r="C101" s="15"/>
      <c r="D101" s="15"/>
      <c r="E101" s="26">
        <v>42775</v>
      </c>
      <c r="F101" s="32"/>
      <c r="G101" s="32">
        <v>127992.01</v>
      </c>
      <c r="H101" s="53"/>
      <c r="I101" s="14"/>
      <c r="J101" s="15"/>
      <c r="L101" s="58"/>
    </row>
    <row r="102" spans="3:12" ht="12.75">
      <c r="C102" s="15"/>
      <c r="D102" s="15"/>
      <c r="E102" s="26">
        <v>42824</v>
      </c>
      <c r="F102" s="32"/>
      <c r="G102" s="32">
        <v>215209.81</v>
      </c>
      <c r="H102" s="53"/>
      <c r="I102" s="14"/>
      <c r="J102" s="15"/>
      <c r="L102" s="58"/>
    </row>
    <row r="103" spans="3:12" ht="12.75">
      <c r="C103" s="15"/>
      <c r="D103" s="15"/>
      <c r="E103" s="26">
        <v>42877</v>
      </c>
      <c r="F103" s="32"/>
      <c r="G103" s="32">
        <v>89851.49</v>
      </c>
      <c r="H103" s="53"/>
      <c r="I103" s="14"/>
      <c r="J103" s="15"/>
      <c r="L103" s="58"/>
    </row>
    <row r="104" spans="3:10" ht="12.75">
      <c r="C104" s="15"/>
      <c r="D104" s="15"/>
      <c r="E104" s="26">
        <v>42914</v>
      </c>
      <c r="F104" s="32"/>
      <c r="G104" s="32">
        <v>815427.31</v>
      </c>
      <c r="H104" s="53"/>
      <c r="I104" s="14"/>
      <c r="J104" s="15"/>
    </row>
    <row r="105" spans="3:10" ht="12.75">
      <c r="C105" s="15"/>
      <c r="D105" s="15"/>
      <c r="E105" s="26">
        <v>42936</v>
      </c>
      <c r="F105" s="32"/>
      <c r="G105" s="32">
        <v>86694.10</v>
      </c>
      <c r="H105" s="15"/>
      <c r="I105" s="14"/>
      <c r="J105" s="15"/>
    </row>
    <row r="106" spans="3:10" ht="12.75">
      <c r="C106" s="15"/>
      <c r="D106" s="15"/>
      <c r="E106" s="26">
        <v>43019</v>
      </c>
      <c r="F106" s="32"/>
      <c r="G106" s="32">
        <v>71768.57</v>
      </c>
      <c r="H106" s="15"/>
      <c r="I106" s="14"/>
      <c r="J106" s="15"/>
    </row>
    <row r="107" spans="3:10" ht="12.75">
      <c r="C107" s="15"/>
      <c r="D107" s="15"/>
      <c r="E107" s="26">
        <v>43052</v>
      </c>
      <c r="F107" s="32"/>
      <c r="G107" s="32">
        <v>312687.29</v>
      </c>
      <c r="H107" s="15"/>
      <c r="I107" s="14"/>
      <c r="J107" s="15"/>
    </row>
    <row r="108" spans="3:10" ht="12.75">
      <c r="C108" s="15" t="s">
        <v>17</v>
      </c>
      <c r="D108" s="15"/>
      <c r="E108" s="26">
        <v>43178</v>
      </c>
      <c r="F108" s="32"/>
      <c r="G108" s="32">
        <v>-105051</v>
      </c>
      <c r="H108" s="15"/>
      <c r="I108" s="14"/>
      <c r="J108" s="15"/>
    </row>
    <row r="109" spans="3:10" ht="12.75">
      <c r="C109" s="15"/>
      <c r="D109" s="15"/>
      <c r="E109" s="26">
        <v>43194</v>
      </c>
      <c r="F109" s="32"/>
      <c r="G109" s="32">
        <v>-153356.99</v>
      </c>
      <c r="H109" s="15"/>
      <c r="I109" s="14"/>
      <c r="J109" s="15"/>
    </row>
    <row r="110" spans="3:10" ht="12.75">
      <c r="C110" s="15"/>
      <c r="D110" s="15"/>
      <c r="E110" s="26">
        <v>43251</v>
      </c>
      <c r="F110" s="32"/>
      <c r="G110" s="32">
        <v>-126585</v>
      </c>
      <c r="H110" s="15"/>
      <c r="I110" s="14"/>
      <c r="J110" s="15"/>
    </row>
    <row r="111" spans="3:10" ht="12.75">
      <c r="C111" s="15"/>
      <c r="D111" s="15"/>
      <c r="E111" s="26">
        <v>43342</v>
      </c>
      <c r="F111" s="32"/>
      <c r="G111" s="32">
        <v>-165870</v>
      </c>
      <c r="H111" s="15"/>
      <c r="I111" s="14"/>
      <c r="J111" s="15"/>
    </row>
    <row r="112" spans="3:10" ht="12.75">
      <c r="C112" s="15"/>
      <c r="D112" s="15"/>
      <c r="E112" s="26">
        <v>43434</v>
      </c>
      <c r="F112" s="32"/>
      <c r="G112" s="32">
        <v>-188568.01</v>
      </c>
      <c r="H112" s="15"/>
      <c r="I112" s="14"/>
      <c r="J112" s="15"/>
    </row>
    <row r="113" spans="3:10" ht="12.75">
      <c r="C113" s="15" t="s">
        <v>18</v>
      </c>
      <c r="D113" s="15"/>
      <c r="E113" s="26">
        <v>43116</v>
      </c>
      <c r="F113" s="32"/>
      <c r="G113" s="32">
        <v>389832.04</v>
      </c>
      <c r="H113" s="15"/>
      <c r="I113" s="14"/>
      <c r="J113" s="15"/>
    </row>
    <row r="114" spans="3:10" ht="12.75">
      <c r="C114" s="15"/>
      <c r="D114" s="15"/>
      <c r="E114" s="26">
        <v>43145</v>
      </c>
      <c r="F114" s="32"/>
      <c r="G114" s="32">
        <v>120707.31</v>
      </c>
      <c r="H114" s="15"/>
      <c r="I114" s="14"/>
      <c r="J114" s="15"/>
    </row>
    <row r="115" spans="3:10" ht="12.75">
      <c r="C115" s="15"/>
      <c r="D115" s="15"/>
      <c r="E115" s="26">
        <v>43222</v>
      </c>
      <c r="F115" s="32"/>
      <c r="G115" s="32">
        <v>249398.55</v>
      </c>
      <c r="H115" s="15"/>
      <c r="I115" s="14"/>
      <c r="J115" s="15"/>
    </row>
    <row r="116" spans="3:10" ht="12.75">
      <c r="C116" s="15"/>
      <c r="D116" s="15"/>
      <c r="E116" s="26">
        <v>43314</v>
      </c>
      <c r="F116" s="32"/>
      <c r="G116" s="32">
        <v>259408.59</v>
      </c>
      <c r="H116" s="15"/>
      <c r="I116" s="14"/>
      <c r="J116" s="15"/>
    </row>
    <row r="117" spans="3:10" ht="12.75">
      <c r="C117" s="15"/>
      <c r="D117" s="15"/>
      <c r="E117" s="26">
        <v>43341</v>
      </c>
      <c r="F117" s="32"/>
      <c r="G117" s="32">
        <v>723326.43</v>
      </c>
      <c r="H117" s="15"/>
      <c r="I117" s="14"/>
      <c r="J117" s="15"/>
    </row>
    <row r="118" spans="3:10" ht="12.75">
      <c r="C118" s="15"/>
      <c r="D118" s="15"/>
      <c r="E118" s="26">
        <v>43398</v>
      </c>
      <c r="F118" s="32"/>
      <c r="G118" s="32">
        <v>556911.08</v>
      </c>
      <c r="H118" s="15"/>
      <c r="I118" s="14"/>
      <c r="J118" s="15"/>
    </row>
    <row r="119" spans="3:10" ht="12.75" customHeight="1">
      <c r="C119" s="15" t="s">
        <v>19</v>
      </c>
      <c r="D119" s="15"/>
      <c r="E119" s="26">
        <v>43529</v>
      </c>
      <c r="F119" s="32"/>
      <c r="G119" s="32">
        <v>-87009.01</v>
      </c>
      <c r="H119" s="15"/>
      <c r="I119" s="14"/>
      <c r="J119" s="15"/>
    </row>
    <row r="120" spans="3:10" ht="12.75" customHeight="1">
      <c r="C120" s="15"/>
      <c r="D120" s="15"/>
      <c r="E120" s="26">
        <v>43564</v>
      </c>
      <c r="F120" s="32"/>
      <c r="G120" s="32">
        <v>-107961</v>
      </c>
      <c r="H120" s="15"/>
      <c r="I120" s="14"/>
      <c r="J120" s="15"/>
    </row>
    <row r="121" spans="3:10" ht="12.75" customHeight="1">
      <c r="C121" s="15"/>
      <c r="D121" s="15"/>
      <c r="E121" s="26">
        <v>43782</v>
      </c>
      <c r="F121" s="32"/>
      <c r="G121" s="32">
        <v>-93411</v>
      </c>
      <c r="H121" s="15"/>
      <c r="I121" s="14"/>
      <c r="J121" s="15"/>
    </row>
    <row r="122" spans="3:10" ht="12.75" customHeight="1">
      <c r="C122" s="15" t="s">
        <v>20</v>
      </c>
      <c r="D122" s="15"/>
      <c r="E122" s="26">
        <v>43479</v>
      </c>
      <c r="F122" s="32"/>
      <c r="G122" s="32">
        <v>76369.08</v>
      </c>
      <c r="H122" s="15"/>
      <c r="I122" s="14"/>
      <c r="J122" s="15"/>
    </row>
    <row r="123" spans="3:10" ht="12.75" customHeight="1">
      <c r="C123" s="15"/>
      <c r="D123" s="15"/>
      <c r="E123" s="26">
        <v>43558</v>
      </c>
      <c r="F123" s="32"/>
      <c r="G123" s="32">
        <v>734732.44</v>
      </c>
      <c r="H123" s="15"/>
      <c r="I123" s="14"/>
      <c r="J123" s="15"/>
    </row>
    <row r="124" spans="3:10" ht="12.75" customHeight="1">
      <c r="C124" s="15"/>
      <c r="D124" s="15"/>
      <c r="E124" s="26">
        <v>43622</v>
      </c>
      <c r="F124" s="32"/>
      <c r="G124" s="32">
        <v>111430.20</v>
      </c>
      <c r="H124" s="15"/>
      <c r="I124" s="14"/>
      <c r="J124" s="15"/>
    </row>
    <row r="125" spans="3:10" ht="12.75" customHeight="1">
      <c r="C125" s="15"/>
      <c r="D125" s="15"/>
      <c r="E125" s="26">
        <v>43689</v>
      </c>
      <c r="F125" s="32"/>
      <c r="G125" s="32">
        <v>176093.01</v>
      </c>
      <c r="H125" s="15"/>
      <c r="I125" s="14"/>
      <c r="J125" s="15"/>
    </row>
    <row r="126" spans="3:10" ht="12.75" customHeight="1">
      <c r="C126" s="15"/>
      <c r="D126" s="15"/>
      <c r="E126" s="26">
        <v>43753</v>
      </c>
      <c r="F126" s="32"/>
      <c r="G126" s="32">
        <v>85913.24</v>
      </c>
      <c r="H126" s="15"/>
      <c r="I126" s="14"/>
      <c r="J126" s="15"/>
    </row>
    <row r="127" spans="3:10" ht="12.75" customHeight="1">
      <c r="C127" s="15" t="s">
        <v>21</v>
      </c>
      <c r="D127" s="15"/>
      <c r="E127" s="26">
        <v>43923</v>
      </c>
      <c r="F127" s="32"/>
      <c r="G127" s="32">
        <v>-79734</v>
      </c>
      <c r="H127" s="15"/>
      <c r="I127" s="14"/>
      <c r="J127" s="15"/>
    </row>
    <row r="128" spans="3:10" ht="12.75" customHeight="1">
      <c r="C128" s="15"/>
      <c r="D128" s="15"/>
      <c r="E128" s="26">
        <v>44104</v>
      </c>
      <c r="F128" s="32"/>
      <c r="G128" s="32">
        <v>-92829</v>
      </c>
      <c r="H128" s="15"/>
      <c r="I128" s="14"/>
      <c r="J128" s="15"/>
    </row>
    <row r="129" spans="3:10" ht="12.75" customHeight="1">
      <c r="C129" s="15" t="s">
        <v>30</v>
      </c>
      <c r="D129" s="15"/>
      <c r="E129" s="26">
        <v>43867</v>
      </c>
      <c r="F129" s="32"/>
      <c r="G129" s="32">
        <v>197899.42</v>
      </c>
      <c r="H129" s="15"/>
      <c r="I129" s="14"/>
      <c r="J129" s="15"/>
    </row>
    <row r="130" spans="3:12" ht="12.75" customHeight="1">
      <c r="C130" s="15"/>
      <c r="D130" s="15"/>
      <c r="E130" s="26">
        <v>44153</v>
      </c>
      <c r="F130" s="32"/>
      <c r="G130" s="32">
        <v>143633.63</v>
      </c>
      <c r="H130" s="15"/>
      <c r="I130" s="14"/>
      <c r="J130" s="15"/>
      <c r="L130" s="10"/>
    </row>
    <row r="131" spans="3:10" ht="12.75" customHeight="1">
      <c r="C131" s="15" t="s">
        <v>31</v>
      </c>
      <c r="D131" s="15"/>
      <c r="E131" s="26">
        <v>44279</v>
      </c>
      <c r="F131" s="32"/>
      <c r="G131" s="32">
        <v>-62565</v>
      </c>
      <c r="H131" s="15"/>
      <c r="I131" s="14"/>
      <c r="J131" s="15"/>
    </row>
    <row r="132" spans="3:10" ht="12.75" customHeight="1">
      <c r="C132" s="15"/>
      <c r="D132" s="15"/>
      <c r="E132" s="26">
        <v>44463</v>
      </c>
      <c r="F132" s="32"/>
      <c r="G132" s="32">
        <v>-42485.99</v>
      </c>
      <c r="H132" s="15"/>
      <c r="I132" s="14"/>
      <c r="J132" s="15"/>
    </row>
    <row r="133" spans="3:12" ht="12.75" customHeight="1">
      <c r="C133" s="15" t="s">
        <v>22</v>
      </c>
      <c r="D133" s="15"/>
      <c r="E133" s="26">
        <v>44224</v>
      </c>
      <c r="F133" s="32"/>
      <c r="G133" s="32">
        <v>93091.16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44259</v>
      </c>
      <c r="F134" s="32"/>
      <c r="G134" s="32">
        <v>206439.50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44383</v>
      </c>
      <c r="F135" s="32"/>
      <c r="G135" s="32">
        <v>1572895.70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44441</v>
      </c>
      <c r="F136" s="32"/>
      <c r="G136" s="32">
        <v>79212.51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44502</v>
      </c>
      <c r="F137" s="32"/>
      <c r="G137" s="32">
        <v>359209.20</v>
      </c>
      <c r="H137" s="15"/>
      <c r="I137" s="14"/>
      <c r="J137" s="15"/>
      <c r="L137" s="10"/>
    </row>
    <row r="138" spans="3:12" ht="12.75" customHeight="1">
      <c r="C138" s="15"/>
      <c r="D138" s="15"/>
      <c r="E138" s="26">
        <v>44551</v>
      </c>
      <c r="F138" s="32"/>
      <c r="G138" s="32">
        <v>113569.17</v>
      </c>
      <c r="H138" s="15"/>
      <c r="I138" s="14"/>
      <c r="J138" s="15"/>
      <c r="L138" s="10"/>
    </row>
    <row r="139" spans="3:12" ht="12.75" customHeight="1">
      <c r="C139" s="15" t="s">
        <v>32</v>
      </c>
      <c r="D139" s="15"/>
      <c r="E139" s="26">
        <v>44651</v>
      </c>
      <c r="F139" s="32"/>
      <c r="G139" s="32">
        <v>-23571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44742</v>
      </c>
      <c r="F140" s="32"/>
      <c r="G140" s="32">
        <v>-20952</v>
      </c>
      <c r="H140" s="15"/>
      <c r="I140" s="14"/>
      <c r="J140" s="15"/>
      <c r="L140" s="10"/>
    </row>
    <row r="141" spans="3:12" ht="12.75" customHeight="1">
      <c r="C141" s="15"/>
      <c r="D141" s="15"/>
      <c r="E141" s="26">
        <v>44827</v>
      </c>
      <c r="F141" s="32"/>
      <c r="G141" s="32">
        <v>-19788</v>
      </c>
      <c r="H141" s="15"/>
      <c r="I141" s="14"/>
      <c r="J141" s="15"/>
      <c r="L141" s="10"/>
    </row>
    <row r="142" spans="3:12" ht="12.75" customHeight="1">
      <c r="C142" s="15" t="s">
        <v>23</v>
      </c>
      <c r="D142" s="15"/>
      <c r="E142" s="26">
        <v>44582</v>
      </c>
      <c r="F142" s="32"/>
      <c r="G142" s="32">
        <v>463062.55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44599</v>
      </c>
      <c r="F143" s="32"/>
      <c r="G143" s="32">
        <v>189520.29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44634</v>
      </c>
      <c r="F144" s="32"/>
      <c r="G144" s="32">
        <v>335690.32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44657</v>
      </c>
      <c r="F145" s="32"/>
      <c r="G145" s="32">
        <v>325222.55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44694</v>
      </c>
      <c r="F146" s="32"/>
      <c r="G146" s="32">
        <v>408724.47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44715</v>
      </c>
      <c r="F147" s="32"/>
      <c r="G147" s="32">
        <v>212586.08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44755</v>
      </c>
      <c r="F148" s="32"/>
      <c r="G148" s="32">
        <v>382541.50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44777</v>
      </c>
      <c r="F149" s="32"/>
      <c r="G149" s="32">
        <v>129234.45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44812</v>
      </c>
      <c r="F150" s="32"/>
      <c r="G150" s="32">
        <v>266992.18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44851</v>
      </c>
      <c r="F151" s="32"/>
      <c r="G151" s="32">
        <v>302546.41</v>
      </c>
      <c r="H151" s="15"/>
      <c r="I151" s="14"/>
      <c r="J151" s="15"/>
      <c r="L151" s="10"/>
    </row>
    <row r="152" spans="3:12" ht="12.75" customHeight="1">
      <c r="C152" s="15"/>
      <c r="D152" s="15"/>
      <c r="E152" s="26">
        <v>44869</v>
      </c>
      <c r="F152" s="32"/>
      <c r="G152" s="32">
        <v>121716.25</v>
      </c>
      <c r="H152" s="15"/>
      <c r="I152" s="14"/>
      <c r="J152" s="15"/>
      <c r="L152" s="10"/>
    </row>
    <row r="153" spans="3:12" ht="12.75" customHeight="1">
      <c r="C153" s="15" t="s">
        <v>24</v>
      </c>
      <c r="D153" s="15"/>
      <c r="E153" s="26">
        <v>44938</v>
      </c>
      <c r="F153" s="32"/>
      <c r="G153" s="32">
        <v>88024.19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44964</v>
      </c>
      <c r="F154" s="32"/>
      <c r="G154" s="32">
        <v>39355.74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45007</v>
      </c>
      <c r="F155" s="32"/>
      <c r="G155" s="32">
        <v>0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45037</v>
      </c>
      <c r="F156" s="32"/>
      <c r="G156" s="32">
        <v>0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45065</v>
      </c>
      <c r="F157" s="32"/>
      <c r="G157" s="32">
        <v>137423.3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45092</v>
      </c>
      <c r="F158" s="32"/>
      <c r="G158" s="32">
        <v>1227289.93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45119</v>
      </c>
      <c r="F159" s="32"/>
      <c r="G159" s="32">
        <v>47919.97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45142</v>
      </c>
      <c r="F160" s="32"/>
      <c r="G160" s="32">
        <v>36154.26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45180</v>
      </c>
      <c r="F161" s="32"/>
      <c r="G161" s="32">
        <v>51534.04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45190</v>
      </c>
      <c r="F162" s="32"/>
      <c r="G162" s="32">
        <v>320911.57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45196</v>
      </c>
      <c r="F163" s="32"/>
      <c r="G163" s="32">
        <v>19787.20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45239</v>
      </c>
      <c r="F164" s="32"/>
      <c r="G164" s="32">
        <v>84494.57</v>
      </c>
      <c r="H164" s="15"/>
      <c r="I164" s="14"/>
      <c r="J164" s="15"/>
      <c r="L164" s="10"/>
    </row>
    <row r="165" spans="3:12" ht="12.75" customHeight="1">
      <c r="C165" s="15"/>
      <c r="D165" s="15"/>
      <c r="E165" s="26">
        <v>45266</v>
      </c>
      <c r="F165" s="32"/>
      <c r="G165" s="32">
        <v>704460.57</v>
      </c>
      <c r="H165" s="15"/>
      <c r="I165" s="14"/>
      <c r="J165" s="15"/>
      <c r="L165" s="10"/>
    </row>
    <row r="166" spans="3:12" ht="12.75" customHeight="1">
      <c r="C166" s="15" t="s">
        <v>35</v>
      </c>
      <c r="D166" s="15"/>
      <c r="E166" s="26">
        <v>45301</v>
      </c>
      <c r="F166" s="32"/>
      <c r="G166" s="32">
        <v>1741357.88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45335</v>
      </c>
      <c r="F167" s="32"/>
      <c r="G167" s="32">
        <v>18625.36</v>
      </c>
      <c r="H167" s="15"/>
      <c r="I167" s="14"/>
      <c r="J167" s="15"/>
      <c r="L167" s="10"/>
    </row>
    <row r="168" spans="3:12" ht="12.75" customHeight="1">
      <c r="C168" s="15"/>
      <c r="D168" s="15"/>
      <c r="E168" s="26">
        <v>45359</v>
      </c>
      <c r="F168" s="32"/>
      <c r="G168" s="32">
        <v>56670.68</v>
      </c>
      <c r="H168" s="15"/>
      <c r="I168" s="14"/>
      <c r="J168" s="15"/>
      <c r="L168" s="10"/>
    </row>
    <row r="169" spans="3:12" ht="12.75" customHeight="1">
      <c r="C169" s="15"/>
      <c r="D169" s="15"/>
      <c r="E169" s="26">
        <v>45384</v>
      </c>
      <c r="F169" s="32"/>
      <c r="G169" s="32">
        <v>10025.31</v>
      </c>
      <c r="H169" s="15"/>
      <c r="I169" s="14"/>
      <c r="J169" s="15"/>
      <c r="L169" s="10"/>
    </row>
    <row r="170" spans="3:12" ht="12.75" customHeight="1">
      <c r="C170" s="15"/>
      <c r="D170" s="15"/>
      <c r="E170" s="26">
        <v>45432</v>
      </c>
      <c r="F170" s="32"/>
      <c r="G170" s="32">
        <v>72414.84</v>
      </c>
      <c r="H170" s="15"/>
      <c r="I170" s="14"/>
      <c r="J170" s="15"/>
      <c r="L170" s="10"/>
    </row>
    <row r="171" spans="3:12" ht="12.75" customHeight="1">
      <c r="C171" s="15"/>
      <c r="D171" s="15"/>
      <c r="E171" s="26">
        <v>45449</v>
      </c>
      <c r="F171" s="32"/>
      <c r="G171" s="32">
        <v>12175.55</v>
      </c>
      <c r="H171" s="15"/>
      <c r="I171" s="14"/>
      <c r="J171" s="15"/>
      <c r="L171" s="10"/>
    </row>
    <row r="172" spans="3:9" ht="4.5" customHeight="1">
      <c r="C172" s="15"/>
      <c r="D172" s="15"/>
      <c r="E172" s="26"/>
      <c r="F172" s="15"/>
      <c r="G172" s="32"/>
      <c r="H172" s="53"/>
      <c r="I172" s="14"/>
    </row>
    <row r="173" spans="3:13" ht="15.75">
      <c r="C173" s="15" t="s">
        <v>25</v>
      </c>
      <c r="D173" s="15"/>
      <c r="E173" s="26">
        <f>+E8</f>
        <v>45473</v>
      </c>
      <c r="F173" s="15"/>
      <c r="G173" s="33">
        <f>L173*C22</f>
        <v>3591041.2700739102</v>
      </c>
      <c r="H173" s="53"/>
      <c r="I173" s="32">
        <f>+SUMIF($G$23:$G$172,"&lt;0",$G$23:$G$172)</f>
        <v>-1.7271514209999997E7</v>
      </c>
      <c r="J173" s="15" t="s">
        <v>26</v>
      </c>
      <c r="L173" s="58">
        <v>268328945</v>
      </c>
      <c r="M173" s="10"/>
    </row>
    <row r="174" spans="3:12" ht="12.75">
      <c r="C174" s="15"/>
      <c r="D174" s="15"/>
      <c r="E174" s="15"/>
      <c r="F174" s="15"/>
      <c r="G174" s="15"/>
      <c r="H174" s="53"/>
      <c r="I174" s="32">
        <f>+SUMIF($G$23:$G$172,"&gt;0",$G$23:$G$172)</f>
        <v>2.2219098919999998E7</v>
      </c>
      <c r="J174" s="15" t="s">
        <v>27</v>
      </c>
      <c r="L174" s="121"/>
    </row>
    <row r="175" spans="3:8" ht="12.75">
      <c r="C175" s="36" t="s">
        <v>28</v>
      </c>
      <c r="G175" s="37">
        <f>+XIRR(G23:G173,E23:E173,0.1)</f>
        <v>0.09667920470237731</v>
      </c>
      <c r="H175" s="53"/>
    </row>
    <row r="176" spans="3:8" ht="12.75">
      <c r="C176" s="15"/>
      <c r="D176" s="15"/>
      <c r="E176" s="15"/>
      <c r="F176" s="15"/>
      <c r="G176" s="15"/>
      <c r="H176" s="53"/>
    </row>
    <row r="177" spans="3:8" ht="12.75">
      <c r="C177" s="15"/>
      <c r="D177" s="15"/>
      <c r="E177" s="15"/>
      <c r="F177" s="15"/>
      <c r="G177" s="14"/>
      <c r="H177" s="53"/>
    </row>
    <row r="178" spans="3:8" ht="12.75">
      <c r="C178" s="53"/>
      <c r="D178" s="15"/>
      <c r="E178" s="64"/>
      <c r="F178" s="15"/>
      <c r="G178" s="64"/>
      <c r="H178" s="53"/>
    </row>
    <row r="179" spans="3:8" ht="12.75">
      <c r="C179" s="65"/>
      <c r="D179" s="39"/>
      <c r="E179" s="64"/>
      <c r="F179" s="39"/>
      <c r="G179" s="64"/>
      <c r="H179" s="53"/>
    </row>
    <row r="180" spans="3:8" ht="12.75">
      <c r="C180" s="65"/>
      <c r="D180" s="39"/>
      <c r="E180" s="64"/>
      <c r="F180" s="39"/>
      <c r="G180" s="64"/>
      <c r="H180" s="53"/>
    </row>
    <row r="181" spans="3:8" ht="12.75">
      <c r="C181" s="39"/>
      <c r="D181" s="39"/>
      <c r="E181" s="123"/>
      <c r="F181" s="123"/>
      <c r="G181" s="123"/>
      <c r="H181" s="36"/>
    </row>
    <row r="182" spans="3:8" ht="12.75">
      <c r="C182" s="39"/>
      <c r="D182" s="39"/>
      <c r="E182" s="38"/>
      <c r="F182" s="38"/>
      <c r="G182" s="38"/>
      <c r="H182" s="36"/>
    </row>
    <row r="183" spans="3:8" ht="12.75">
      <c r="C183" s="39"/>
      <c r="D183" s="39"/>
      <c r="E183" s="39"/>
      <c r="F183" s="39"/>
      <c r="G183" s="39"/>
      <c r="H183" s="36"/>
    </row>
    <row r="184" spans="3:8" ht="12.75">
      <c r="C184" s="39"/>
      <c r="D184" s="39"/>
      <c r="E184" s="59"/>
      <c r="F184" s="15"/>
      <c r="G184" s="59"/>
      <c r="H184" s="53"/>
    </row>
    <row r="185" spans="3:8" ht="12.75">
      <c r="C185" s="39"/>
      <c r="D185" s="39"/>
      <c r="E185" s="41"/>
      <c r="F185" s="15"/>
      <c r="G185" s="41"/>
      <c r="H185" s="53"/>
    </row>
    <row r="186" spans="3:8" ht="12.75">
      <c r="C186" s="39"/>
      <c r="D186" s="39"/>
      <c r="E186" s="41"/>
      <c r="F186" s="15"/>
      <c r="G186" s="41"/>
      <c r="H186" s="53"/>
    </row>
    <row r="187" spans="3:8" ht="12.75">
      <c r="C187" s="42"/>
      <c r="D187" s="39"/>
      <c r="E187" s="41"/>
      <c r="F187" s="15"/>
      <c r="G187" s="41"/>
      <c r="H187" s="53"/>
    </row>
    <row r="188" spans="3:8" ht="12.75">
      <c r="C188" s="42"/>
      <c r="D188" s="39"/>
      <c r="E188" s="41"/>
      <c r="F188" s="15"/>
      <c r="G188" s="41"/>
      <c r="H188" s="53"/>
    </row>
    <row r="189" spans="3:8" ht="12.75">
      <c r="C189" s="43"/>
      <c r="D189" s="39"/>
      <c r="E189" s="41"/>
      <c r="F189" s="15"/>
      <c r="G189" s="41"/>
      <c r="H189" s="53"/>
    </row>
    <row r="190" spans="3:8" ht="12.75">
      <c r="C190" s="39"/>
      <c r="D190" s="39"/>
      <c r="E190" s="41"/>
      <c r="F190" s="15"/>
      <c r="G190" s="41"/>
      <c r="H190" s="53"/>
    </row>
    <row r="191" spans="3:8" ht="12.75">
      <c r="C191" s="39"/>
      <c r="D191" s="39"/>
      <c r="E191" s="41"/>
      <c r="F191" s="15"/>
      <c r="G191" s="41"/>
      <c r="H191" s="53"/>
    </row>
    <row r="192" spans="3:8" ht="12.75">
      <c r="C192" s="39"/>
      <c r="D192" s="39"/>
      <c r="E192" s="41"/>
      <c r="F192" s="15"/>
      <c r="G192" s="41"/>
      <c r="H192" s="53"/>
    </row>
    <row r="193" spans="3:8" ht="12.75">
      <c r="C193" s="39"/>
      <c r="D193" s="39"/>
      <c r="E193" s="41"/>
      <c r="F193" s="15"/>
      <c r="G193" s="41"/>
      <c r="H193" s="53"/>
    </row>
    <row r="194" spans="3:8" ht="12.75">
      <c r="C194" s="39"/>
      <c r="D194" s="39"/>
      <c r="E194" s="41"/>
      <c r="F194" s="15"/>
      <c r="G194" s="41"/>
      <c r="H194" s="53"/>
    </row>
    <row r="195" spans="3:8" ht="12.75">
      <c r="C195" s="39"/>
      <c r="D195" s="39"/>
      <c r="E195" s="41"/>
      <c r="F195" s="15"/>
      <c r="G195" s="41"/>
      <c r="H195" s="53"/>
    </row>
    <row r="196" spans="3:8" s="54" customFormat="1" ht="5.1" customHeight="1">
      <c r="C196" s="15"/>
      <c r="D196" s="15"/>
      <c r="E196" s="15"/>
      <c r="F196" s="15"/>
      <c r="G196" s="15"/>
      <c r="H196" s="53"/>
    </row>
    <row r="197" spans="3:8" ht="12.75">
      <c r="C197" s="15"/>
      <c r="D197" s="15"/>
      <c r="E197" s="15"/>
      <c r="F197" s="15"/>
      <c r="G197" s="15"/>
      <c r="H197" s="53"/>
    </row>
  </sheetData>
  <mergeCells count="1">
    <mergeCell ref="E181:G18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tabColor rgb="FF92D050"/>
    <pageSetUpPr fitToPage="1"/>
  </sheetPr>
  <dimension ref="B4:M198"/>
  <sheetViews>
    <sheetView showGridLines="0" view="pageLayout" zoomScaleNormal="100" workbookViewId="0" topLeftCell="A150">
      <selection pane="topLeft" activeCell="L173" sqref="L173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4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4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72"/>
      <c r="E4" s="1"/>
      <c r="F4" s="1"/>
    </row>
    <row r="6" spans="3:6" ht="12.75">
      <c r="C6" s="2"/>
      <c r="D6" s="73"/>
      <c r="E6" s="2"/>
      <c r="F6" s="2"/>
    </row>
    <row r="7" spans="2:6" ht="12.75">
      <c r="B7" s="3"/>
      <c r="C7" s="4"/>
      <c r="D7" s="74"/>
      <c r="E7" s="4"/>
      <c r="F7" s="4"/>
    </row>
    <row r="8" spans="3:8" ht="15.75">
      <c r="C8" s="69"/>
      <c r="D8" s="69"/>
      <c r="E8" s="75">
        <f>+'Fund IX'!E8</f>
        <v>45473</v>
      </c>
      <c r="F8" s="7"/>
      <c r="G8" s="8"/>
      <c r="H8" s="67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79"/>
      <c r="H10" s="68"/>
    </row>
    <row r="11" spans="3:8" ht="12.75">
      <c r="C11" s="11"/>
      <c r="D11" s="11"/>
      <c r="E11" s="12"/>
      <c r="F11" s="11"/>
      <c r="G11" s="12"/>
      <c r="H11" s="68"/>
    </row>
    <row r="12" spans="3:8" ht="15.75">
      <c r="C12" s="16"/>
      <c r="D12" s="16"/>
      <c r="E12" s="17"/>
      <c r="F12" s="16"/>
      <c r="G12" s="17"/>
      <c r="H12" s="69"/>
    </row>
    <row r="13" spans="3:8" ht="12.75">
      <c r="C13" s="11"/>
      <c r="D13" s="11"/>
      <c r="E13" s="18"/>
      <c r="F13" s="11"/>
      <c r="G13" s="79"/>
      <c r="H13" s="70"/>
    </row>
    <row r="14" spans="3:8" ht="12.75">
      <c r="C14" s="11"/>
      <c r="D14" s="11"/>
      <c r="E14" s="20"/>
      <c r="F14" s="11"/>
      <c r="G14" s="79"/>
      <c r="H14" s="71"/>
    </row>
    <row r="15" spans="3:8" ht="12.75">
      <c r="C15" s="11"/>
      <c r="D15" s="11"/>
      <c r="E15" s="12"/>
      <c r="F15" s="11"/>
      <c r="G15" s="12"/>
      <c r="H15" s="68"/>
    </row>
    <row r="16" spans="3:8" ht="15.75">
      <c r="C16" s="5"/>
      <c r="D16" s="5"/>
      <c r="E16" s="17"/>
      <c r="F16" s="5"/>
      <c r="G16" s="17"/>
      <c r="H16" s="69"/>
    </row>
    <row r="17" spans="3:8" ht="15.75">
      <c r="C17" s="16" t="s">
        <v>0</v>
      </c>
      <c r="D17" s="76"/>
      <c r="E17" s="17"/>
      <c r="F17" s="16"/>
      <c r="G17" s="17"/>
      <c r="H17" s="69"/>
    </row>
    <row r="18" spans="3:8" ht="12.75" customHeight="1">
      <c r="C18" s="11" t="s">
        <v>1</v>
      </c>
      <c r="D18" s="77"/>
      <c r="E18" s="19">
        <f>G175</f>
        <v>0.10905293822288512</v>
      </c>
      <c r="F18" s="11"/>
      <c r="G18" s="18"/>
      <c r="H18" s="70"/>
    </row>
    <row r="19" spans="3:8" ht="12.75">
      <c r="C19" s="11" t="s">
        <v>2</v>
      </c>
      <c r="D19" s="77"/>
      <c r="E19" s="23">
        <f>(G173+I174)/-I173</f>
        <v>1.5183513685206005</v>
      </c>
      <c r="F19" s="11"/>
      <c r="G19" s="12"/>
      <c r="H19" s="68"/>
    </row>
    <row r="20" spans="3:7" ht="12.75">
      <c r="C20" s="11"/>
      <c r="D20" s="77"/>
      <c r="E20" s="11"/>
      <c r="F20" s="11"/>
      <c r="G20" s="13"/>
    </row>
    <row r="21" spans="3:11" ht="15.75">
      <c r="C21" s="24" t="s">
        <v>29</v>
      </c>
      <c r="D21" s="78"/>
      <c r="E21" s="25"/>
      <c r="F21" s="25"/>
      <c r="I21" s="15"/>
      <c r="K21" s="27"/>
    </row>
    <row r="22" spans="3:9" ht="12.75">
      <c r="C22" s="28">
        <v>0.0030979701811262032</v>
      </c>
      <c r="D22" s="53"/>
      <c r="E22" s="15"/>
      <c r="F22" s="15"/>
      <c r="G22" s="29"/>
      <c r="H22" s="53"/>
      <c r="I22" s="15"/>
    </row>
    <row r="23" spans="3:9" ht="12.75">
      <c r="C23" s="15" t="s">
        <v>7</v>
      </c>
      <c r="D23" s="53"/>
      <c r="E23" s="26">
        <v>41282</v>
      </c>
      <c r="F23" s="32"/>
      <c r="G23" s="30">
        <v>-6000</v>
      </c>
      <c r="H23" s="53"/>
      <c r="I23" s="14"/>
    </row>
    <row r="24" spans="3:9" ht="12.75">
      <c r="C24" s="15"/>
      <c r="D24" s="53"/>
      <c r="E24" s="26">
        <v>41359</v>
      </c>
      <c r="F24" s="32"/>
      <c r="G24" s="30">
        <v>-4947</v>
      </c>
      <c r="H24" s="53"/>
      <c r="I24" s="14"/>
    </row>
    <row r="25" spans="3:9" ht="12.75">
      <c r="C25" s="15"/>
      <c r="D25" s="53"/>
      <c r="E25" s="26">
        <v>41381</v>
      </c>
      <c r="F25" s="32"/>
      <c r="G25" s="30">
        <v>-1920.60</v>
      </c>
      <c r="H25" s="53"/>
      <c r="I25" s="14"/>
    </row>
    <row r="26" spans="3:9" ht="12.75">
      <c r="C26" s="15"/>
      <c r="D26" s="53"/>
      <c r="E26" s="26">
        <v>41424</v>
      </c>
      <c r="F26" s="32"/>
      <c r="G26" s="30">
        <v>-1610.20</v>
      </c>
      <c r="H26" s="53"/>
      <c r="I26" s="14"/>
    </row>
    <row r="27" spans="3:9" ht="12.75">
      <c r="C27" s="15"/>
      <c r="D27" s="53"/>
      <c r="E27" s="26">
        <v>41446</v>
      </c>
      <c r="F27" s="32"/>
      <c r="G27" s="30">
        <v>-58665.60</v>
      </c>
      <c r="H27" s="53"/>
      <c r="I27" s="14"/>
    </row>
    <row r="28" spans="3:9" ht="12.75">
      <c r="C28" s="15"/>
      <c r="D28" s="53"/>
      <c r="E28" s="26">
        <v>41498</v>
      </c>
      <c r="F28" s="32"/>
      <c r="G28" s="30">
        <v>-3918.80</v>
      </c>
      <c r="H28" s="53"/>
      <c r="I28" s="14"/>
    </row>
    <row r="29" spans="3:9" ht="12.75">
      <c r="C29" s="15"/>
      <c r="D29" s="53"/>
      <c r="E29" s="26">
        <v>41527</v>
      </c>
      <c r="F29" s="32"/>
      <c r="G29" s="30">
        <v>-9855.2</v>
      </c>
      <c r="H29" s="53"/>
      <c r="I29" s="14"/>
    </row>
    <row r="30" spans="3:13" ht="12.75">
      <c r="C30" s="15"/>
      <c r="D30" s="53"/>
      <c r="E30" s="26">
        <v>41534</v>
      </c>
      <c r="F30" s="32"/>
      <c r="G30" s="30">
        <v>-5024.6</v>
      </c>
      <c r="H30" s="53"/>
      <c r="L30" s="62"/>
      <c r="M30" s="62"/>
    </row>
    <row r="31" spans="3:12" ht="12.75">
      <c r="C31" s="15"/>
      <c r="D31" s="53"/>
      <c r="E31" s="26">
        <v>41551</v>
      </c>
      <c r="F31" s="32"/>
      <c r="G31" s="30">
        <v>-4772.4</v>
      </c>
      <c r="H31" s="53"/>
      <c r="L31" s="62"/>
    </row>
    <row r="32" spans="3:12" ht="12.75">
      <c r="C32" s="15"/>
      <c r="D32" s="53"/>
      <c r="E32" s="26">
        <v>41585</v>
      </c>
      <c r="F32" s="32"/>
      <c r="G32" s="30">
        <v>-9137.40</v>
      </c>
      <c r="H32" s="53"/>
      <c r="L32" s="62"/>
    </row>
    <row r="33" spans="3:12" ht="12.75">
      <c r="C33" s="15"/>
      <c r="D33" s="53"/>
      <c r="E33" s="26">
        <v>41621</v>
      </c>
      <c r="F33" s="32"/>
      <c r="G33" s="30">
        <v>-16625.80</v>
      </c>
      <c r="H33" s="53"/>
      <c r="L33" s="62"/>
    </row>
    <row r="34" spans="3:12" ht="12.75">
      <c r="C34" s="15"/>
      <c r="D34" s="53"/>
      <c r="E34" s="26">
        <v>41635</v>
      </c>
      <c r="F34" s="32"/>
      <c r="G34" s="30">
        <v>-6770.60</v>
      </c>
      <c r="H34" s="53"/>
      <c r="L34" s="62"/>
    </row>
    <row r="35" spans="3:10" ht="12.75">
      <c r="C35" s="15" t="s">
        <v>9</v>
      </c>
      <c r="D35" s="53"/>
      <c r="E35" s="26">
        <v>41670</v>
      </c>
      <c r="F35" s="32"/>
      <c r="G35" s="32">
        <v>-5781.20</v>
      </c>
      <c r="H35" s="53"/>
      <c r="I35" s="14"/>
      <c r="J35" s="15"/>
    </row>
    <row r="36" spans="3:10" ht="12.75">
      <c r="C36" s="15"/>
      <c r="D36" s="53"/>
      <c r="E36" s="26">
        <v>41712</v>
      </c>
      <c r="F36" s="32"/>
      <c r="G36" s="32">
        <v>-14666.47</v>
      </c>
      <c r="H36" s="53"/>
      <c r="I36" s="14"/>
      <c r="J36" s="15"/>
    </row>
    <row r="37" spans="3:10" ht="12.75">
      <c r="C37" s="15"/>
      <c r="D37" s="53"/>
      <c r="E37" s="26">
        <v>41724</v>
      </c>
      <c r="F37" s="32"/>
      <c r="G37" s="32">
        <v>-5315.60</v>
      </c>
      <c r="H37" s="53"/>
      <c r="I37" s="14"/>
      <c r="J37" s="15"/>
    </row>
    <row r="38" spans="3:10" ht="12.75">
      <c r="C38" s="15"/>
      <c r="D38" s="53"/>
      <c r="E38" s="26">
        <v>41733</v>
      </c>
      <c r="F38" s="32"/>
      <c r="G38" s="32">
        <v>-8380.8</v>
      </c>
      <c r="H38" s="53"/>
      <c r="I38" s="14"/>
      <c r="J38" s="15"/>
    </row>
    <row r="39" spans="3:10" ht="12.75">
      <c r="C39" s="15"/>
      <c r="D39" s="53"/>
      <c r="E39" s="26">
        <v>41764</v>
      </c>
      <c r="F39" s="32"/>
      <c r="G39" s="32">
        <v>-7333.21</v>
      </c>
      <c r="H39" s="53"/>
      <c r="I39" s="14"/>
      <c r="J39" s="15"/>
    </row>
    <row r="40" spans="3:10" ht="12.75">
      <c r="C40" s="15"/>
      <c r="D40" s="53"/>
      <c r="E40" s="26">
        <v>41774</v>
      </c>
      <c r="F40" s="32"/>
      <c r="G40" s="32">
        <v>-10320.8</v>
      </c>
      <c r="H40" s="53"/>
      <c r="I40" s="14"/>
      <c r="J40" s="15"/>
    </row>
    <row r="41" spans="3:10" ht="12.75">
      <c r="C41" s="15"/>
      <c r="D41" s="53"/>
      <c r="E41" s="26">
        <v>41788</v>
      </c>
      <c r="F41" s="32"/>
      <c r="G41" s="32">
        <v>-8012.20</v>
      </c>
      <c r="H41" s="53"/>
      <c r="I41" s="14"/>
      <c r="J41" s="15"/>
    </row>
    <row r="42" spans="3:10" ht="12.75">
      <c r="C42" s="15"/>
      <c r="D42" s="53"/>
      <c r="E42" s="26">
        <v>41817</v>
      </c>
      <c r="F42" s="32"/>
      <c r="G42" s="32">
        <v>-14394.80</v>
      </c>
      <c r="H42" s="53"/>
      <c r="I42" s="14"/>
      <c r="J42" s="15"/>
    </row>
    <row r="43" spans="3:10" ht="12.75">
      <c r="C43" s="15"/>
      <c r="D43" s="53"/>
      <c r="E43" s="26">
        <v>41830</v>
      </c>
      <c r="F43" s="32"/>
      <c r="G43" s="32">
        <v>-9098.61</v>
      </c>
      <c r="H43" s="53"/>
      <c r="I43" s="14"/>
      <c r="J43" s="15"/>
    </row>
    <row r="44" spans="3:10" ht="12.75">
      <c r="C44" s="15"/>
      <c r="D44" s="53"/>
      <c r="E44" s="26">
        <v>41851</v>
      </c>
      <c r="F44" s="32"/>
      <c r="G44" s="32">
        <v>-5121.6</v>
      </c>
      <c r="H44" s="53"/>
      <c r="I44" s="14"/>
      <c r="J44" s="15"/>
    </row>
    <row r="45" spans="3:8" ht="12.75">
      <c r="C45" s="15"/>
      <c r="D45" s="53"/>
      <c r="E45" s="26">
        <v>41859</v>
      </c>
      <c r="F45" s="32"/>
      <c r="G45" s="32">
        <v>-9777.60</v>
      </c>
      <c r="H45" s="53"/>
    </row>
    <row r="46" spans="3:8" ht="12.75">
      <c r="C46" s="15"/>
      <c r="D46" s="53"/>
      <c r="E46" s="26">
        <v>41880</v>
      </c>
      <c r="F46" s="32"/>
      <c r="G46" s="32">
        <v>-6052.80</v>
      </c>
      <c r="H46" s="53"/>
    </row>
    <row r="47" spans="3:8" ht="12.75">
      <c r="C47" s="15"/>
      <c r="D47" s="53"/>
      <c r="E47" s="26">
        <v>41900</v>
      </c>
      <c r="F47" s="32"/>
      <c r="G47" s="32">
        <v>-24948.41</v>
      </c>
      <c r="H47" s="53"/>
    </row>
    <row r="48" spans="3:8" ht="12.75">
      <c r="C48" s="15"/>
      <c r="D48" s="53"/>
      <c r="E48" s="26">
        <v>41915</v>
      </c>
      <c r="F48" s="32"/>
      <c r="G48" s="32">
        <v>-25666.19</v>
      </c>
      <c r="H48" s="53"/>
    </row>
    <row r="49" spans="3:8" ht="12.75">
      <c r="C49" s="15"/>
      <c r="D49" s="53"/>
      <c r="E49" s="26">
        <v>41929</v>
      </c>
      <c r="F49" s="32"/>
      <c r="G49" s="32">
        <v>-19031.40</v>
      </c>
      <c r="H49" s="53"/>
    </row>
    <row r="50" spans="3:8" ht="12.75">
      <c r="C50" s="15"/>
      <c r="D50" s="53"/>
      <c r="E50" s="26">
        <v>41943</v>
      </c>
      <c r="F50" s="32"/>
      <c r="G50" s="32">
        <v>-12648.80</v>
      </c>
      <c r="H50" s="53"/>
    </row>
    <row r="51" spans="3:8" ht="12.75">
      <c r="C51" s="15"/>
      <c r="D51" s="53"/>
      <c r="E51" s="26">
        <v>41977</v>
      </c>
      <c r="F51" s="32"/>
      <c r="G51" s="32">
        <v>-19109</v>
      </c>
      <c r="H51" s="53"/>
    </row>
    <row r="52" spans="3:10" ht="12.75">
      <c r="C52" s="15" t="s">
        <v>10</v>
      </c>
      <c r="D52" s="53"/>
      <c r="E52" s="26">
        <v>41817</v>
      </c>
      <c r="F52" s="32"/>
      <c r="G52" s="32">
        <v>13980.57</v>
      </c>
      <c r="H52" s="53"/>
      <c r="I52" s="14"/>
      <c r="J52" s="15"/>
    </row>
    <row r="53" spans="3:10" ht="12.75">
      <c r="C53" s="15" t="s">
        <v>11</v>
      </c>
      <c r="D53" s="53"/>
      <c r="E53" s="26">
        <v>42009</v>
      </c>
      <c r="F53" s="32"/>
      <c r="G53" s="32">
        <v>-61672.60</v>
      </c>
      <c r="H53" s="53"/>
      <c r="I53" s="14"/>
      <c r="J53" s="15"/>
    </row>
    <row r="54" spans="3:10" ht="12.75">
      <c r="C54" s="15"/>
      <c r="D54" s="53"/>
      <c r="E54" s="26">
        <v>42027</v>
      </c>
      <c r="F54" s="32"/>
      <c r="G54" s="32">
        <v>-29216.40</v>
      </c>
      <c r="H54" s="53"/>
      <c r="I54" s="14"/>
      <c r="J54" s="15"/>
    </row>
    <row r="55" spans="3:10" ht="12.75">
      <c r="C55" s="15"/>
      <c r="D55" s="53"/>
      <c r="E55" s="26">
        <v>42048</v>
      </c>
      <c r="F55" s="32"/>
      <c r="G55" s="32">
        <v>-13075.61</v>
      </c>
      <c r="H55" s="53"/>
      <c r="I55" s="14"/>
      <c r="J55" s="15"/>
    </row>
    <row r="56" spans="3:10" ht="12.75">
      <c r="C56" s="15"/>
      <c r="D56" s="53"/>
      <c r="E56" s="26">
        <v>42061</v>
      </c>
      <c r="F56" s="32"/>
      <c r="G56" s="32">
        <v>-9525.40</v>
      </c>
      <c r="H56" s="53"/>
      <c r="I56" s="14"/>
      <c r="J56" s="15"/>
    </row>
    <row r="57" spans="3:10" ht="12.75">
      <c r="C57" s="15"/>
      <c r="D57" s="53"/>
      <c r="E57" s="26">
        <v>42088</v>
      </c>
      <c r="F57" s="32"/>
      <c r="G57" s="32">
        <v>-20331.20</v>
      </c>
      <c r="H57" s="53"/>
      <c r="I57" s="14"/>
      <c r="J57" s="15"/>
    </row>
    <row r="58" spans="3:10" ht="12.75">
      <c r="C58" s="15"/>
      <c r="D58" s="53"/>
      <c r="E58" s="26">
        <v>42111</v>
      </c>
      <c r="F58" s="32"/>
      <c r="G58" s="32">
        <v>-16431.80</v>
      </c>
      <c r="H58" s="53"/>
      <c r="I58" s="14"/>
      <c r="J58" s="15"/>
    </row>
    <row r="59" spans="3:10" ht="12.75">
      <c r="C59" s="15"/>
      <c r="D59" s="53"/>
      <c r="E59" s="26">
        <v>42138</v>
      </c>
      <c r="F59" s="32"/>
      <c r="G59" s="32">
        <v>-14200.80</v>
      </c>
      <c r="H59" s="53"/>
      <c r="I59" s="14"/>
      <c r="J59" s="15"/>
    </row>
    <row r="60" spans="3:10" ht="12.75">
      <c r="C60" s="15"/>
      <c r="D60" s="53"/>
      <c r="E60" s="26">
        <v>42156</v>
      </c>
      <c r="F60" s="32"/>
      <c r="G60" s="32">
        <v>-17440.60</v>
      </c>
      <c r="H60" s="53"/>
      <c r="I60" s="14"/>
      <c r="J60" s="15"/>
    </row>
    <row r="61" spans="3:8" ht="12.75">
      <c r="C61" s="15"/>
      <c r="D61" s="53"/>
      <c r="E61" s="26">
        <v>42187</v>
      </c>
      <c r="F61" s="32"/>
      <c r="G61" s="32">
        <v>-13812.80</v>
      </c>
      <c r="H61" s="53"/>
    </row>
    <row r="62" spans="3:8" ht="12.75">
      <c r="C62" s="15"/>
      <c r="D62" s="53"/>
      <c r="E62" s="26">
        <v>42230</v>
      </c>
      <c r="F62" s="32"/>
      <c r="G62" s="32">
        <v>-9292.60</v>
      </c>
      <c r="H62" s="53"/>
    </row>
    <row r="63" spans="3:8" ht="12.75">
      <c r="C63" s="15"/>
      <c r="D63" s="53"/>
      <c r="E63" s="26">
        <v>42258</v>
      </c>
      <c r="F63" s="32"/>
      <c r="G63" s="32">
        <v>-18410.59</v>
      </c>
      <c r="H63" s="53"/>
    </row>
    <row r="64" spans="3:8" ht="12.75">
      <c r="C64" s="15"/>
      <c r="D64" s="53"/>
      <c r="E64" s="26">
        <v>42272</v>
      </c>
      <c r="F64" s="32"/>
      <c r="G64" s="32">
        <v>-25743.81</v>
      </c>
      <c r="H64" s="53"/>
    </row>
    <row r="65" spans="3:8" ht="12.75">
      <c r="C65" s="15"/>
      <c r="D65" s="53"/>
      <c r="E65" s="26">
        <v>42293</v>
      </c>
      <c r="F65" s="32"/>
      <c r="G65" s="32">
        <v>-24579.80</v>
      </c>
      <c r="H65" s="53"/>
    </row>
    <row r="66" spans="3:8" ht="12.75">
      <c r="C66" s="15"/>
      <c r="D66" s="53"/>
      <c r="E66" s="26">
        <v>42345</v>
      </c>
      <c r="F66" s="32"/>
      <c r="G66" s="32">
        <v>-11523.60</v>
      </c>
      <c r="H66" s="53"/>
    </row>
    <row r="67" spans="3:8" ht="12.75">
      <c r="C67" s="15"/>
      <c r="D67" s="53"/>
      <c r="E67" s="26">
        <v>42361</v>
      </c>
      <c r="F67" s="32"/>
      <c r="G67" s="32">
        <v>-8865.81</v>
      </c>
      <c r="H67" s="53"/>
    </row>
    <row r="68" spans="3:10" ht="12.75">
      <c r="C68" s="15" t="s">
        <v>12</v>
      </c>
      <c r="D68" s="53"/>
      <c r="E68" s="26">
        <v>42249</v>
      </c>
      <c r="F68" s="32"/>
      <c r="G68" s="32">
        <v>19173.78</v>
      </c>
      <c r="H68" s="53"/>
      <c r="I68" s="14"/>
      <c r="J68" s="15"/>
    </row>
    <row r="69" spans="3:10" ht="12.75">
      <c r="C69" s="15" t="s">
        <v>13</v>
      </c>
      <c r="D69" s="53"/>
      <c r="E69" s="26">
        <v>42382</v>
      </c>
      <c r="F69" s="32"/>
      <c r="G69" s="32">
        <v>-16101.99</v>
      </c>
      <c r="H69" s="53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53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53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53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53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53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-18003.21</v>
      </c>
      <c r="H75" s="53"/>
      <c r="I75" s="14"/>
      <c r="J75" s="15"/>
    </row>
    <row r="76" spans="3:10" ht="12.75">
      <c r="C76" s="15"/>
      <c r="D76" s="15"/>
      <c r="E76" s="26">
        <v>42607</v>
      </c>
      <c r="F76" s="32"/>
      <c r="G76" s="32">
        <v>-31951.80</v>
      </c>
      <c r="H76" s="53"/>
      <c r="I76" s="14"/>
      <c r="J76" s="15"/>
    </row>
    <row r="77" spans="3:10" ht="12.75">
      <c r="C77" s="15"/>
      <c r="D77" s="15"/>
      <c r="E77" s="26">
        <v>42628</v>
      </c>
      <c r="F77" s="32"/>
      <c r="G77" s="32">
        <v>-18216.60</v>
      </c>
      <c r="H77" s="53"/>
      <c r="I77" s="14"/>
      <c r="J77" s="15"/>
    </row>
    <row r="78" spans="3:10" ht="12.75">
      <c r="C78" s="15"/>
      <c r="D78" s="15"/>
      <c r="E78" s="26">
        <v>42634</v>
      </c>
      <c r="F78" s="32"/>
      <c r="G78" s="32">
        <v>-11872.81</v>
      </c>
      <c r="H78" s="53"/>
      <c r="I78" s="14"/>
      <c r="J78" s="15"/>
    </row>
    <row r="79" spans="3:8" ht="12.75">
      <c r="C79" s="15"/>
      <c r="D79" s="15"/>
      <c r="E79" s="26">
        <v>42663</v>
      </c>
      <c r="F79" s="32"/>
      <c r="G79" s="32">
        <v>-21049</v>
      </c>
      <c r="H79" s="53"/>
    </row>
    <row r="80" spans="3:8" ht="12.75">
      <c r="C80" s="15"/>
      <c r="D80" s="15"/>
      <c r="E80" s="26">
        <v>42731</v>
      </c>
      <c r="F80" s="32"/>
      <c r="G80" s="32">
        <v>-23862</v>
      </c>
      <c r="H80" s="53"/>
    </row>
    <row r="81" spans="3:8" ht="12.75">
      <c r="C81" s="15" t="s">
        <v>14</v>
      </c>
      <c r="D81" s="15"/>
      <c r="E81" s="26">
        <v>42377</v>
      </c>
      <c r="F81" s="32"/>
      <c r="G81" s="32">
        <v>112925.78</v>
      </c>
      <c r="H81" s="53"/>
    </row>
    <row r="82" spans="3:8" ht="12.75">
      <c r="C82" s="15"/>
      <c r="D82" s="15"/>
      <c r="E82" s="26">
        <v>42542</v>
      </c>
      <c r="F82" s="32"/>
      <c r="G82" s="32">
        <v>14043.42</v>
      </c>
      <c r="H82" s="53"/>
    </row>
    <row r="83" spans="3:8" ht="12.75">
      <c r="C83" s="15"/>
      <c r="D83" s="15"/>
      <c r="E83" s="26">
        <v>42570</v>
      </c>
      <c r="F83" s="32"/>
      <c r="G83" s="32">
        <v>4460.6</v>
      </c>
      <c r="H83" s="53"/>
    </row>
    <row r="84" spans="3:8" ht="12.75">
      <c r="C84" s="15"/>
      <c r="D84" s="15"/>
      <c r="E84" s="26">
        <v>42586</v>
      </c>
      <c r="F84" s="32"/>
      <c r="G84" s="32">
        <v>52988.38</v>
      </c>
      <c r="H84" s="53"/>
    </row>
    <row r="85" spans="3:8" ht="12.75">
      <c r="C85" s="15"/>
      <c r="D85" s="15"/>
      <c r="E85" s="26">
        <v>42634</v>
      </c>
      <c r="F85" s="32"/>
      <c r="G85" s="32">
        <v>11280.90</v>
      </c>
      <c r="H85" s="53"/>
    </row>
    <row r="86" spans="3:10" ht="12.75">
      <c r="C86" s="15"/>
      <c r="D86" s="15"/>
      <c r="E86" s="26">
        <v>42677</v>
      </c>
      <c r="F86" s="32"/>
      <c r="G86" s="32">
        <v>7598.56</v>
      </c>
      <c r="H86" s="53"/>
      <c r="I86" s="14"/>
      <c r="J86" s="15"/>
    </row>
    <row r="87" spans="3:10" ht="12.75">
      <c r="C87" s="15"/>
      <c r="D87" s="15"/>
      <c r="E87" s="26">
        <v>42709</v>
      </c>
      <c r="F87" s="32"/>
      <c r="G87" s="32">
        <v>17704.01</v>
      </c>
      <c r="H87" s="53"/>
      <c r="I87" s="14"/>
      <c r="J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53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53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53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53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53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53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-8303.21</v>
      </c>
      <c r="H94" s="53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53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2" ht="15.75">
      <c r="C98" s="15"/>
      <c r="D98" s="15"/>
      <c r="E98" s="26">
        <v>43091</v>
      </c>
      <c r="F98" s="32"/>
      <c r="G98" s="32">
        <v>-8691.21</v>
      </c>
      <c r="H98" s="15"/>
      <c r="I98" s="14"/>
      <c r="J98" s="15"/>
      <c r="L98" s="10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53"/>
      <c r="I99" s="14"/>
      <c r="J99" s="15"/>
      <c r="L99" s="58"/>
    </row>
    <row r="100" spans="3:12" ht="12.75">
      <c r="C100" s="15"/>
      <c r="D100" s="15"/>
      <c r="E100" s="26">
        <v>42775</v>
      </c>
      <c r="F100" s="32"/>
      <c r="G100" s="32">
        <v>8650.21</v>
      </c>
      <c r="H100" s="53"/>
      <c r="I100" s="14"/>
      <c r="J100" s="15"/>
      <c r="L100" s="58"/>
    </row>
    <row r="101" spans="3:12" ht="12.75">
      <c r="C101" s="15"/>
      <c r="D101" s="15"/>
      <c r="E101" s="26">
        <v>42824</v>
      </c>
      <c r="F101" s="32"/>
      <c r="G101" s="32">
        <v>5425.33</v>
      </c>
      <c r="H101" s="53"/>
      <c r="I101" s="14"/>
      <c r="J101" s="15"/>
      <c r="L101" s="58"/>
    </row>
    <row r="102" spans="3:12" ht="12.75">
      <c r="C102" s="15"/>
      <c r="D102" s="15"/>
      <c r="E102" s="26">
        <v>42877</v>
      </c>
      <c r="F102" s="32"/>
      <c r="G102" s="32">
        <v>5979.52</v>
      </c>
      <c r="H102" s="53"/>
      <c r="I102" s="14"/>
      <c r="J102" s="15"/>
      <c r="L102" s="58"/>
    </row>
    <row r="103" spans="3:10" ht="12.75">
      <c r="C103" s="15"/>
      <c r="D103" s="15"/>
      <c r="E103" s="26">
        <v>42914</v>
      </c>
      <c r="F103" s="32"/>
      <c r="G103" s="32">
        <v>54363.16</v>
      </c>
      <c r="H103" s="53"/>
      <c r="I103" s="14"/>
      <c r="J103" s="15"/>
    </row>
    <row r="104" spans="3:10" ht="12.75">
      <c r="C104" s="15"/>
      <c r="D104" s="15"/>
      <c r="E104" s="26">
        <v>42936</v>
      </c>
      <c r="F104" s="32"/>
      <c r="G104" s="32">
        <v>5767.47</v>
      </c>
      <c r="H104" s="15"/>
      <c r="I104" s="14"/>
      <c r="J104" s="15"/>
    </row>
    <row r="105" spans="3:10" ht="12.75">
      <c r="C105" s="15"/>
      <c r="D105" s="15"/>
      <c r="E105" s="26">
        <v>43019</v>
      </c>
      <c r="F105" s="32"/>
      <c r="G105" s="32">
        <v>4812.14</v>
      </c>
      <c r="H105" s="15"/>
      <c r="I105" s="14"/>
      <c r="J105" s="15"/>
    </row>
    <row r="106" spans="3:10" ht="12.75">
      <c r="C106" s="15"/>
      <c r="D106" s="15"/>
      <c r="E106" s="26">
        <v>43052</v>
      </c>
      <c r="F106" s="32"/>
      <c r="G106" s="32">
        <v>3102.40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-10223.81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26087.71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8035.12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16037.40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17282.37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15331.47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5081.35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48961.84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5524.96</v>
      </c>
      <c r="H125" s="15"/>
      <c r="I125" s="14"/>
      <c r="J125" s="15"/>
    </row>
    <row r="126" spans="3:10" ht="12.75">
      <c r="C126" s="15" t="s">
        <v>21</v>
      </c>
      <c r="D126" s="15"/>
      <c r="E126" s="26">
        <v>43923</v>
      </c>
      <c r="F126" s="32"/>
      <c r="G126" s="32">
        <v>-5315.61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13187.27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8637.33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6183.64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13767.33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62582.64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5274.05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24015.59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30866.37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12638.01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27235.79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14139.90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8593.05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17789.17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3635.93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104031.66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3392.39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12" ht="12.75" customHeight="1">
      <c r="C165" s="15" t="s">
        <v>35</v>
      </c>
      <c r="D165" s="15"/>
      <c r="E165" s="26">
        <v>45301</v>
      </c>
      <c r="F165" s="32"/>
      <c r="G165" s="32">
        <v>116090.52</v>
      </c>
      <c r="H165" s="15"/>
      <c r="I165" s="14"/>
      <c r="J165" s="15"/>
      <c r="L165" s="10"/>
    </row>
    <row r="166" spans="3:12" ht="12.75" customHeight="1">
      <c r="C166" s="15"/>
      <c r="D166" s="15"/>
      <c r="E166" s="26">
        <v>45335</v>
      </c>
      <c r="F166" s="32"/>
      <c r="G166" s="32">
        <v>1241.69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45359</v>
      </c>
      <c r="F167" s="32"/>
      <c r="G167" s="32">
        <v>3778.04</v>
      </c>
      <c r="H167" s="15"/>
      <c r="I167" s="14"/>
      <c r="J167" s="15"/>
      <c r="L167" s="10"/>
    </row>
    <row r="168" spans="3:12" ht="12.75" customHeight="1">
      <c r="C168" s="15"/>
      <c r="D168" s="15"/>
      <c r="E168" s="26">
        <v>45384</v>
      </c>
      <c r="F168" s="32"/>
      <c r="G168" s="32">
        <v>668.35</v>
      </c>
      <c r="H168" s="15"/>
      <c r="I168" s="14"/>
      <c r="J168" s="15"/>
      <c r="L168" s="10"/>
    </row>
    <row r="169" spans="3:12" ht="12.75" customHeight="1">
      <c r="C169" s="15"/>
      <c r="D169" s="15"/>
      <c r="E169" s="26">
        <v>45432</v>
      </c>
      <c r="F169" s="32"/>
      <c r="G169" s="32">
        <v>4692.31</v>
      </c>
      <c r="H169" s="15"/>
      <c r="I169" s="14"/>
      <c r="J169" s="15"/>
      <c r="L169" s="10"/>
    </row>
    <row r="170" spans="3:12" ht="12.75" customHeight="1">
      <c r="C170" s="15"/>
      <c r="D170" s="15"/>
      <c r="E170" s="26">
        <v>45449</v>
      </c>
      <c r="F170" s="32"/>
      <c r="G170" s="32">
        <v>811.69</v>
      </c>
      <c r="H170" s="15"/>
      <c r="I170" s="14"/>
      <c r="J170" s="15"/>
      <c r="L170" s="10"/>
    </row>
    <row r="171" spans="3:12" ht="12.75" customHeight="1">
      <c r="C171" s="15"/>
      <c r="D171" s="15"/>
      <c r="E171" s="26"/>
      <c r="F171" s="32"/>
      <c r="G171" s="32"/>
      <c r="H171" s="15"/>
      <c r="I171" s="14"/>
      <c r="J171" s="15"/>
      <c r="L171" s="10"/>
    </row>
    <row r="172" spans="3:9" ht="4.5" customHeight="1">
      <c r="C172" s="15"/>
      <c r="D172" s="15"/>
      <c r="E172" s="26"/>
      <c r="F172" s="15"/>
      <c r="G172" s="32"/>
      <c r="H172" s="15"/>
      <c r="I172" s="14"/>
    </row>
    <row r="173" spans="3:12" ht="12.75">
      <c r="C173" s="15" t="s">
        <v>25</v>
      </c>
      <c r="D173" s="53"/>
      <c r="E173" s="26">
        <f>+E8</f>
        <v>45473</v>
      </c>
      <c r="F173" s="15"/>
      <c r="G173" s="33">
        <f>L173*C22</f>
        <v>231035.0018181832</v>
      </c>
      <c r="H173" s="53"/>
      <c r="I173" s="32">
        <f>+SUMIF($G$23:$G$172,"&lt;0",$G$23:$G$172)</f>
        <v>-1151434.39</v>
      </c>
      <c r="J173" s="15" t="s">
        <v>26</v>
      </c>
      <c r="L173" s="58">
        <v>74576251</v>
      </c>
    </row>
    <row r="174" spans="3:10" ht="12.75">
      <c r="C174" s="15"/>
      <c r="D174" s="53"/>
      <c r="E174" s="15"/>
      <c r="F174" s="15"/>
      <c r="G174" s="15"/>
      <c r="H174" s="53"/>
      <c r="I174" s="32">
        <f>+SUMIF($G$23:$G$172,"&gt;0",$G$23:$G$172)</f>
        <v>1517246.9799999995</v>
      </c>
      <c r="J174" s="15" t="s">
        <v>27</v>
      </c>
    </row>
    <row r="175" spans="3:8" ht="12.75">
      <c r="C175" s="36" t="s">
        <v>28</v>
      </c>
      <c r="G175" s="37">
        <f>+XIRR(G23:G173,E23:E173,0.1)</f>
        <v>0.10905293822288512</v>
      </c>
      <c r="H175" s="53"/>
    </row>
    <row r="176" spans="3:8" ht="12.75">
      <c r="C176" s="15"/>
      <c r="D176" s="53"/>
      <c r="E176" s="15"/>
      <c r="F176" s="15"/>
      <c r="G176" s="15"/>
      <c r="H176" s="53"/>
    </row>
    <row r="177" spans="3:8" ht="12.75">
      <c r="C177" s="15"/>
      <c r="D177" s="53"/>
      <c r="E177" s="15"/>
      <c r="F177" s="15"/>
      <c r="G177" s="15"/>
      <c r="H177" s="53"/>
    </row>
    <row r="178" spans="3:8" ht="12.75">
      <c r="C178" s="53"/>
      <c r="D178" s="53"/>
      <c r="E178" s="64"/>
      <c r="F178" s="15"/>
      <c r="G178" s="64"/>
      <c r="H178" s="53"/>
    </row>
    <row r="179" spans="3:8" ht="12.75">
      <c r="C179" s="65"/>
      <c r="D179" s="65"/>
      <c r="E179" s="64"/>
      <c r="F179" s="39"/>
      <c r="G179" s="64"/>
      <c r="H179" s="53"/>
    </row>
    <row r="180" spans="3:8" ht="12.75">
      <c r="C180" s="65"/>
      <c r="D180" s="65"/>
      <c r="E180" s="64"/>
      <c r="F180" s="39"/>
      <c r="G180" s="64"/>
      <c r="H180" s="53"/>
    </row>
    <row r="181" spans="3:8" ht="12.75">
      <c r="C181" s="39"/>
      <c r="D181" s="39"/>
      <c r="E181" s="123"/>
      <c r="F181" s="123"/>
      <c r="G181" s="123"/>
      <c r="H181" s="36"/>
    </row>
    <row r="182" spans="3:8" ht="12.75">
      <c r="C182" s="39"/>
      <c r="D182" s="39"/>
      <c r="E182" s="38"/>
      <c r="F182" s="38"/>
      <c r="G182" s="38"/>
      <c r="H182" s="36"/>
    </row>
    <row r="183" spans="3:8" ht="12.75">
      <c r="C183" s="39"/>
      <c r="D183" s="39"/>
      <c r="E183" s="39"/>
      <c r="F183" s="39"/>
      <c r="G183" s="39"/>
      <c r="H183" s="36"/>
    </row>
    <row r="184" spans="3:8" ht="12.75">
      <c r="C184" s="39"/>
      <c r="D184" s="39"/>
      <c r="E184" s="59"/>
      <c r="F184" s="48"/>
      <c r="G184" s="59"/>
      <c r="H184" s="53"/>
    </row>
    <row r="185" spans="3:8" s="54" customFormat="1" ht="12.75">
      <c r="C185" s="39"/>
      <c r="D185" s="39"/>
      <c r="E185" s="41"/>
      <c r="F185" s="15"/>
      <c r="G185" s="41"/>
      <c r="H185" s="53"/>
    </row>
    <row r="186" spans="3:8" s="54" customFormat="1" ht="12.75">
      <c r="C186" s="39"/>
      <c r="D186" s="39"/>
      <c r="E186" s="41"/>
      <c r="F186" s="15"/>
      <c r="G186" s="41"/>
      <c r="H186" s="53"/>
    </row>
    <row r="187" spans="3:8" ht="12.75">
      <c r="C187" s="42"/>
      <c r="D187" s="39"/>
      <c r="E187" s="41"/>
      <c r="F187" s="15"/>
      <c r="G187" s="41"/>
      <c r="H187" s="53"/>
    </row>
    <row r="188" spans="3:8" ht="12.75">
      <c r="C188" s="42"/>
      <c r="D188" s="39"/>
      <c r="E188" s="41"/>
      <c r="F188" s="15"/>
      <c r="G188" s="41"/>
      <c r="H188" s="53"/>
    </row>
    <row r="189" spans="3:8" ht="12.75">
      <c r="C189" s="43"/>
      <c r="D189" s="39"/>
      <c r="E189" s="41"/>
      <c r="F189" s="15"/>
      <c r="G189" s="41"/>
      <c r="H189" s="53"/>
    </row>
    <row r="190" spans="3:8" s="54" customFormat="1" ht="12.75">
      <c r="C190" s="39"/>
      <c r="D190" s="39"/>
      <c r="E190" s="41"/>
      <c r="F190" s="15"/>
      <c r="G190" s="41"/>
      <c r="H190" s="53"/>
    </row>
    <row r="191" spans="3:8" ht="12.75">
      <c r="C191" s="39"/>
      <c r="D191" s="39"/>
      <c r="E191" s="41"/>
      <c r="F191" s="15"/>
      <c r="G191" s="41"/>
      <c r="H191" s="53"/>
    </row>
    <row r="192" spans="3:8" ht="12.75">
      <c r="C192" s="39"/>
      <c r="D192" s="39"/>
      <c r="E192" s="41"/>
      <c r="F192" s="15"/>
      <c r="G192" s="41"/>
      <c r="H192" s="53"/>
    </row>
    <row r="193" spans="3:8" ht="12.75">
      <c r="C193" s="39"/>
      <c r="D193" s="39"/>
      <c r="E193" s="41"/>
      <c r="F193" s="15"/>
      <c r="G193" s="41"/>
      <c r="H193" s="53"/>
    </row>
    <row r="194" spans="3:8" ht="12.75">
      <c r="C194" s="39"/>
      <c r="D194" s="39"/>
      <c r="E194" s="41"/>
      <c r="F194" s="15"/>
      <c r="G194" s="41"/>
      <c r="H194" s="53"/>
    </row>
    <row r="195" spans="3:8" ht="12.75">
      <c r="C195" s="39"/>
      <c r="D195" s="39"/>
      <c r="E195" s="41"/>
      <c r="F195" s="15"/>
      <c r="G195" s="41"/>
      <c r="H195" s="53"/>
    </row>
    <row r="196" spans="3:8" ht="5.1" customHeight="1">
      <c r="C196" s="15"/>
      <c r="D196" s="15"/>
      <c r="E196" s="15"/>
      <c r="F196" s="15"/>
      <c r="G196" s="15"/>
      <c r="H196" s="53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53"/>
      <c r="E198" s="15"/>
      <c r="F198" s="15"/>
      <c r="G198" s="15"/>
      <c r="H198" s="53"/>
    </row>
  </sheetData>
  <mergeCells count="1">
    <mergeCell ref="E181:G18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tabColor rgb="FF92D050"/>
    <pageSetUpPr fitToPage="1"/>
  </sheetPr>
  <dimension ref="B4:Q205"/>
  <sheetViews>
    <sheetView showGridLines="0" view="pageLayout" zoomScaleNormal="100" workbookViewId="0" topLeftCell="A145">
      <selection pane="topLeft" activeCell="I182" sqref="I182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4" ht="12.75">
      <c r="C10" s="11"/>
      <c r="D10" s="11"/>
      <c r="E10" s="12"/>
      <c r="F10" s="11"/>
      <c r="G10" s="58"/>
      <c r="H10" s="13"/>
      <c r="I10" s="22"/>
      <c r="N10" s="55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G169</f>
        <v>0.16366394162178044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-(G167+J170)/J169</f>
        <v>2.0419293536591043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2.23846E-4</v>
      </c>
      <c r="D22" s="15"/>
      <c r="E22" s="15"/>
      <c r="F22" s="15"/>
      <c r="G22" s="29"/>
      <c r="H22" s="15"/>
      <c r="I22" s="15"/>
      <c r="J22" s="15"/>
    </row>
    <row r="23" spans="3:15" ht="12.75">
      <c r="C23" s="15"/>
      <c r="D23" s="15"/>
      <c r="E23" s="26"/>
      <c r="F23" s="32"/>
      <c r="G23" s="32"/>
      <c r="H23" s="15"/>
      <c r="I23" s="14"/>
      <c r="J23" s="14"/>
      <c r="N23" s="35"/>
      <c r="O23" s="35"/>
    </row>
    <row r="24" spans="3:17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5"/>
      <c r="Q24" s="49"/>
    </row>
    <row r="25" spans="3:17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Q25" s="49"/>
    </row>
    <row r="26" spans="3:17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Q26" s="49"/>
    </row>
    <row r="27" spans="3:17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Q27" s="49"/>
    </row>
    <row r="28" spans="3:17" ht="12.75">
      <c r="C28" s="15"/>
      <c r="D28" s="15"/>
      <c r="E28" s="26">
        <v>42271</v>
      </c>
      <c r="F28" s="32"/>
      <c r="G28" s="32">
        <v>-6961.62</v>
      </c>
      <c r="H28" s="15"/>
      <c r="I28" s="14"/>
      <c r="N28" s="35"/>
      <c r="Q28" s="49"/>
    </row>
    <row r="29" spans="3:17" ht="12.75">
      <c r="C29" s="15"/>
      <c r="D29" s="15"/>
      <c r="E29" s="26">
        <v>42324</v>
      </c>
      <c r="F29" s="32"/>
      <c r="G29" s="32">
        <v>-10587.93</v>
      </c>
      <c r="H29" s="15"/>
      <c r="I29" s="14"/>
      <c r="J29" s="14"/>
      <c r="K29" s="15"/>
      <c r="N29" s="35"/>
      <c r="Q29" s="49"/>
    </row>
    <row r="30" spans="3:17" ht="12.75">
      <c r="C30" s="15"/>
      <c r="D30" s="15"/>
      <c r="E30" s="26">
        <v>42367</v>
      </c>
      <c r="F30" s="32"/>
      <c r="G30" s="32">
        <v>-28316.54</v>
      </c>
      <c r="H30" s="15"/>
      <c r="I30" s="14"/>
      <c r="J30" s="14"/>
      <c r="K30" s="15"/>
      <c r="N30" s="35"/>
      <c r="Q30" s="49"/>
    </row>
    <row r="31" spans="3:17" ht="12.75">
      <c r="C31" s="15" t="s">
        <v>13</v>
      </c>
      <c r="D31" s="15"/>
      <c r="E31" s="26">
        <v>42396</v>
      </c>
      <c r="F31" s="32"/>
      <c r="G31" s="32">
        <v>-46425.69</v>
      </c>
      <c r="H31" s="15"/>
      <c r="I31" s="14"/>
      <c r="J31" s="14"/>
      <c r="K31" s="15"/>
      <c r="N31" s="35"/>
      <c r="Q31" s="49"/>
    </row>
    <row r="32" spans="3:17" ht="12.75">
      <c r="C32" s="15"/>
      <c r="D32" s="15"/>
      <c r="E32" s="26">
        <v>42453</v>
      </c>
      <c r="F32" s="32"/>
      <c r="G32" s="32">
        <v>-10319.32</v>
      </c>
      <c r="H32" s="15"/>
      <c r="I32" s="14"/>
      <c r="J32" s="14"/>
      <c r="K32" s="15"/>
      <c r="N32" s="35"/>
      <c r="Q32" s="49"/>
    </row>
    <row r="33" spans="3:17" ht="12.75">
      <c r="C33" s="15"/>
      <c r="D33" s="15"/>
      <c r="E33" s="26">
        <v>42461</v>
      </c>
      <c r="F33" s="32"/>
      <c r="G33" s="32">
        <v>-7476.46</v>
      </c>
      <c r="H33" s="15"/>
      <c r="I33" s="14"/>
      <c r="J33" s="14"/>
      <c r="K33" s="15"/>
      <c r="N33" s="35"/>
      <c r="Q33" s="49"/>
    </row>
    <row r="34" spans="3:17" ht="12.75">
      <c r="C34" s="15"/>
      <c r="D34" s="15"/>
      <c r="E34" s="26">
        <v>42500</v>
      </c>
      <c r="F34" s="32"/>
      <c r="G34" s="32">
        <v>-6446.76</v>
      </c>
      <c r="H34" s="15"/>
      <c r="I34" s="14"/>
      <c r="J34" s="14"/>
      <c r="K34" s="15"/>
      <c r="N34" s="35"/>
      <c r="Q34" s="49"/>
    </row>
    <row r="35" spans="3:17" ht="12.75">
      <c r="C35" s="15"/>
      <c r="D35" s="15"/>
      <c r="E35" s="26">
        <v>42513</v>
      </c>
      <c r="F35" s="32"/>
      <c r="G35" s="32">
        <v>-21354.92</v>
      </c>
      <c r="H35" s="15"/>
      <c r="I35" s="14"/>
      <c r="J35" s="14"/>
      <c r="K35" s="15"/>
      <c r="N35" s="35"/>
      <c r="Q35" s="49"/>
    </row>
    <row r="36" spans="3:17" ht="12.75">
      <c r="C36" s="15"/>
      <c r="D36" s="15"/>
      <c r="E36" s="26">
        <v>42524</v>
      </c>
      <c r="F36" s="32"/>
      <c r="G36" s="32">
        <v>-50052</v>
      </c>
      <c r="H36" s="15"/>
      <c r="I36" s="14"/>
      <c r="J36" s="14"/>
      <c r="K36" s="15"/>
      <c r="N36" s="35"/>
      <c r="Q36" s="49"/>
    </row>
    <row r="37" spans="3:17" ht="12.75">
      <c r="C37" s="15"/>
      <c r="D37" s="15"/>
      <c r="E37" s="26">
        <v>42544</v>
      </c>
      <c r="F37" s="32"/>
      <c r="G37" s="32">
        <v>-73690.16</v>
      </c>
      <c r="H37" s="15"/>
      <c r="I37" s="14"/>
      <c r="J37" s="14"/>
      <c r="K37" s="15"/>
      <c r="N37" s="35"/>
      <c r="Q37" s="49"/>
    </row>
    <row r="38" spans="3:17" ht="12.75">
      <c r="C38" s="15"/>
      <c r="D38" s="15"/>
      <c r="E38" s="26">
        <v>42564</v>
      </c>
      <c r="F38" s="32"/>
      <c r="G38" s="32">
        <v>-8058.46</v>
      </c>
      <c r="H38" s="15"/>
      <c r="I38" s="14"/>
      <c r="J38" s="14"/>
      <c r="K38" s="15"/>
      <c r="N38" s="35"/>
      <c r="Q38" s="49"/>
    </row>
    <row r="39" spans="3:17" ht="12.75">
      <c r="C39" s="15"/>
      <c r="D39" s="15"/>
      <c r="E39" s="26">
        <v>42585</v>
      </c>
      <c r="F39" s="32"/>
      <c r="G39" s="32">
        <v>-35860.15</v>
      </c>
      <c r="H39" s="15"/>
      <c r="I39" s="14"/>
      <c r="J39" s="14"/>
      <c r="K39" s="15"/>
      <c r="N39" s="35"/>
      <c r="Q39" s="49"/>
    </row>
    <row r="40" spans="3:17" ht="12.75">
      <c r="C40" s="15"/>
      <c r="D40" s="15"/>
      <c r="E40" s="26">
        <v>42614</v>
      </c>
      <c r="F40" s="32"/>
      <c r="G40" s="32">
        <v>-13676.99</v>
      </c>
      <c r="H40" s="15"/>
      <c r="I40" s="14"/>
      <c r="J40" s="14"/>
      <c r="K40" s="15"/>
      <c r="N40" s="35"/>
      <c r="Q40" s="49"/>
    </row>
    <row r="41" spans="3:17" ht="12.75">
      <c r="C41" s="15"/>
      <c r="D41" s="15"/>
      <c r="E41" s="26">
        <v>42641</v>
      </c>
      <c r="F41" s="32"/>
      <c r="G41" s="32">
        <v>-20952</v>
      </c>
      <c r="H41" s="15"/>
      <c r="I41" s="14"/>
      <c r="N41" s="35"/>
      <c r="Q41" s="49"/>
    </row>
    <row r="42" spans="3:17" ht="12.75">
      <c r="C42" s="15"/>
      <c r="D42" s="15"/>
      <c r="E42" s="26">
        <v>42656</v>
      </c>
      <c r="F42" s="32"/>
      <c r="G42" s="32">
        <v>-22362.23</v>
      </c>
      <c r="H42" s="15"/>
      <c r="I42" s="14"/>
      <c r="N42" s="35"/>
      <c r="Q42" s="49"/>
    </row>
    <row r="43" spans="3:17" ht="12.75">
      <c r="C43" s="15"/>
      <c r="D43" s="15"/>
      <c r="E43" s="26">
        <v>42704</v>
      </c>
      <c r="F43" s="32"/>
      <c r="G43" s="32">
        <v>-19183.62</v>
      </c>
      <c r="H43" s="15"/>
      <c r="I43" s="14"/>
      <c r="N43" s="35"/>
      <c r="Q43" s="49"/>
    </row>
    <row r="44" spans="3:17" ht="12.75">
      <c r="C44" s="15"/>
      <c r="D44" s="15"/>
      <c r="E44" s="26">
        <v>42719</v>
      </c>
      <c r="F44" s="32"/>
      <c r="G44" s="32">
        <v>-20593.85</v>
      </c>
      <c r="H44" s="15"/>
      <c r="I44" s="14"/>
      <c r="N44" s="35"/>
      <c r="Q44" s="49"/>
    </row>
    <row r="45" spans="3:17" ht="12.75">
      <c r="C45" s="15"/>
      <c r="D45" s="15"/>
      <c r="E45" s="26">
        <v>42733</v>
      </c>
      <c r="F45" s="32"/>
      <c r="G45" s="32">
        <v>-13318.84</v>
      </c>
      <c r="H45" s="15"/>
      <c r="I45" s="14"/>
      <c r="N45" s="35"/>
      <c r="Q45" s="49"/>
    </row>
    <row r="46" spans="3:17" ht="12.75">
      <c r="C46" s="15" t="s">
        <v>14</v>
      </c>
      <c r="D46" s="15"/>
      <c r="E46" s="26">
        <v>42716</v>
      </c>
      <c r="F46" s="32"/>
      <c r="G46" s="32">
        <v>17744.73</v>
      </c>
      <c r="H46" s="15"/>
      <c r="I46" s="14"/>
      <c r="N46" s="35"/>
      <c r="Q46" s="49"/>
    </row>
    <row r="47" spans="3:17" ht="12.75">
      <c r="C47" s="15" t="s">
        <v>15</v>
      </c>
      <c r="D47" s="15"/>
      <c r="E47" s="26">
        <v>42754</v>
      </c>
      <c r="F47" s="32"/>
      <c r="G47" s="32">
        <v>-12983.08</v>
      </c>
      <c r="H47" s="15"/>
      <c r="I47" s="14"/>
      <c r="N47" s="35"/>
      <c r="Q47" s="49"/>
    </row>
    <row r="48" spans="3:17" ht="12.75">
      <c r="C48" s="15"/>
      <c r="D48" s="15"/>
      <c r="E48" s="26">
        <v>42765</v>
      </c>
      <c r="F48" s="32"/>
      <c r="G48" s="32">
        <v>-13251.70</v>
      </c>
      <c r="H48" s="15"/>
      <c r="I48" s="14"/>
      <c r="J48" s="14"/>
      <c r="K48" s="15"/>
      <c r="N48" s="35"/>
      <c r="Q48" s="49"/>
    </row>
    <row r="49" spans="3:17" ht="12.75">
      <c r="C49" s="15"/>
      <c r="D49" s="15"/>
      <c r="E49" s="26">
        <v>42773</v>
      </c>
      <c r="F49" s="32"/>
      <c r="G49" s="32">
        <v>-22608.46</v>
      </c>
      <c r="H49" s="15"/>
      <c r="I49" s="14"/>
      <c r="J49" s="14"/>
      <c r="K49" s="15"/>
      <c r="N49" s="35"/>
      <c r="Q49" s="49"/>
    </row>
    <row r="50" spans="3:17" ht="12.75">
      <c r="C50" s="15"/>
      <c r="D50" s="15"/>
      <c r="E50" s="26">
        <v>42797</v>
      </c>
      <c r="F50" s="32"/>
      <c r="G50" s="32">
        <v>-31629.46</v>
      </c>
      <c r="H50" s="15"/>
      <c r="I50" s="14"/>
      <c r="J50" s="14"/>
      <c r="K50" s="15"/>
      <c r="N50" s="35"/>
      <c r="Q50" s="49"/>
    </row>
    <row r="51" spans="3:17" ht="12.75">
      <c r="C51" s="15"/>
      <c r="D51" s="15"/>
      <c r="E51" s="26">
        <v>42817</v>
      </c>
      <c r="F51" s="32"/>
      <c r="G51" s="32">
        <v>-18758.31</v>
      </c>
      <c r="H51" s="15"/>
      <c r="I51" s="14"/>
      <c r="J51" s="14"/>
      <c r="K51" s="15"/>
      <c r="N51" s="35"/>
      <c r="Q51" s="49"/>
    </row>
    <row r="52" spans="3:17" ht="12.75">
      <c r="C52" s="15"/>
      <c r="D52" s="15"/>
      <c r="E52" s="26">
        <v>42828</v>
      </c>
      <c r="F52" s="32"/>
      <c r="G52" s="32">
        <v>-16296</v>
      </c>
      <c r="H52" s="15"/>
      <c r="I52" s="14"/>
      <c r="J52" s="14"/>
      <c r="K52" s="15"/>
      <c r="N52" s="35"/>
      <c r="Q52" s="49"/>
    </row>
    <row r="53" spans="3:17" ht="12.75">
      <c r="C53" s="15"/>
      <c r="D53" s="15"/>
      <c r="E53" s="26">
        <v>42851</v>
      </c>
      <c r="F53" s="32"/>
      <c r="G53" s="32">
        <v>-71496.45</v>
      </c>
      <c r="H53" s="15"/>
      <c r="I53" s="14"/>
      <c r="J53" s="14"/>
      <c r="K53" s="15"/>
      <c r="N53" s="35"/>
      <c r="Q53" s="49"/>
    </row>
    <row r="54" spans="3:17" ht="12.75">
      <c r="C54" s="15"/>
      <c r="D54" s="15"/>
      <c r="E54" s="26">
        <v>42863</v>
      </c>
      <c r="F54" s="32"/>
      <c r="G54" s="32">
        <v>-15087.24</v>
      </c>
      <c r="H54" s="15"/>
      <c r="I54" s="14"/>
      <c r="J54" s="14"/>
      <c r="K54" s="15"/>
      <c r="N54" s="35"/>
      <c r="Q54" s="49"/>
    </row>
    <row r="55" spans="3:17" ht="12.75">
      <c r="C55" s="15"/>
      <c r="D55" s="15"/>
      <c r="E55" s="26">
        <v>42878</v>
      </c>
      <c r="F55" s="32"/>
      <c r="G55" s="32">
        <v>-17057.08</v>
      </c>
      <c r="H55" s="15"/>
      <c r="I55" s="14"/>
      <c r="N55" s="35"/>
      <c r="Q55" s="49"/>
    </row>
    <row r="56" spans="3:17" ht="12.75">
      <c r="C56" s="15"/>
      <c r="D56" s="15"/>
      <c r="E56" s="26">
        <v>42893</v>
      </c>
      <c r="F56" s="32"/>
      <c r="G56" s="32">
        <v>-32032.38</v>
      </c>
      <c r="H56" s="15"/>
      <c r="I56" s="14"/>
      <c r="N56" s="35"/>
      <c r="Q56" s="49"/>
    </row>
    <row r="57" spans="3:17" ht="12.75">
      <c r="C57" s="15"/>
      <c r="D57" s="15"/>
      <c r="E57" s="26">
        <v>42907</v>
      </c>
      <c r="F57" s="32"/>
      <c r="G57" s="32">
        <v>-16989.92</v>
      </c>
      <c r="H57" s="15"/>
      <c r="I57" s="14"/>
      <c r="N57" s="35"/>
      <c r="Q57" s="49"/>
    </row>
    <row r="58" spans="3:17" ht="12.75">
      <c r="C58" s="15"/>
      <c r="D58" s="15"/>
      <c r="E58" s="26">
        <v>42915</v>
      </c>
      <c r="F58" s="32"/>
      <c r="G58" s="32">
        <v>-38949.24</v>
      </c>
      <c r="H58" s="15"/>
      <c r="I58" s="14"/>
      <c r="N58" s="35"/>
      <c r="Q58" s="49"/>
    </row>
    <row r="59" spans="3:17" ht="12.75">
      <c r="C59" s="15"/>
      <c r="D59" s="15"/>
      <c r="E59" s="26">
        <v>42927</v>
      </c>
      <c r="F59" s="32"/>
      <c r="G59" s="32">
        <v>-13878.47</v>
      </c>
      <c r="H59" s="15"/>
      <c r="I59" s="14"/>
      <c r="N59" s="35"/>
      <c r="Q59" s="49"/>
    </row>
    <row r="60" spans="3:17" ht="12.75">
      <c r="C60" s="15"/>
      <c r="D60" s="15"/>
      <c r="E60" s="26">
        <v>42957</v>
      </c>
      <c r="F60" s="32"/>
      <c r="G60" s="32">
        <v>-21265.38</v>
      </c>
      <c r="H60" s="15"/>
      <c r="I60" s="14"/>
      <c r="N60" s="35"/>
      <c r="Q60" s="49"/>
    </row>
    <row r="61" spans="3:17" ht="12.75">
      <c r="C61" s="15"/>
      <c r="D61" s="15"/>
      <c r="E61" s="26">
        <v>42970</v>
      </c>
      <c r="F61" s="32"/>
      <c r="G61" s="32">
        <v>-45910.85</v>
      </c>
      <c r="H61" s="15"/>
      <c r="I61" s="14"/>
      <c r="N61" s="35"/>
      <c r="Q61" s="49"/>
    </row>
    <row r="62" spans="3:17" ht="12.75">
      <c r="C62" s="15"/>
      <c r="D62" s="15"/>
      <c r="E62" s="26">
        <v>42993</v>
      </c>
      <c r="F62" s="32"/>
      <c r="G62" s="32">
        <v>-16452.68</v>
      </c>
      <c r="H62" s="15"/>
      <c r="I62" s="14"/>
      <c r="J62" s="14"/>
      <c r="K62" s="15"/>
      <c r="N62" s="35"/>
      <c r="Q62" s="49"/>
    </row>
    <row r="63" spans="3:17" ht="12.75">
      <c r="C63" s="15"/>
      <c r="D63" s="15"/>
      <c r="E63" s="26">
        <v>43000</v>
      </c>
      <c r="F63" s="32"/>
      <c r="G63" s="32">
        <v>-23817.22</v>
      </c>
      <c r="H63" s="15"/>
      <c r="I63" s="14"/>
      <c r="J63" s="14"/>
      <c r="K63" s="15"/>
      <c r="N63" s="35"/>
      <c r="Q63" s="49"/>
    </row>
    <row r="64" spans="3:17" ht="15.75">
      <c r="C64" s="15"/>
      <c r="D64" s="15"/>
      <c r="E64" s="26">
        <v>43012</v>
      </c>
      <c r="F64" s="32"/>
      <c r="G64" s="32">
        <v>-23794.85</v>
      </c>
      <c r="H64" s="15"/>
      <c r="I64" s="14"/>
      <c r="J64" s="14"/>
      <c r="K64" s="15"/>
      <c r="L64" s="10"/>
      <c r="N64" s="35"/>
      <c r="Q64" s="49"/>
    </row>
    <row r="65" spans="3:17" ht="12.75">
      <c r="C65" s="15"/>
      <c r="D65" s="15"/>
      <c r="E65" s="26">
        <v>43027</v>
      </c>
      <c r="F65" s="32"/>
      <c r="G65" s="32">
        <v>-23347.15</v>
      </c>
      <c r="H65" s="15"/>
      <c r="I65" s="14"/>
      <c r="J65" s="14"/>
      <c r="K65" s="15"/>
      <c r="L65" s="58"/>
      <c r="N65" s="35"/>
      <c r="Q65" s="49"/>
    </row>
    <row r="66" spans="3:17" ht="12.75">
      <c r="C66" s="15"/>
      <c r="D66" s="15"/>
      <c r="E66" s="26">
        <v>43046</v>
      </c>
      <c r="F66" s="32"/>
      <c r="G66" s="32">
        <v>-23481.45</v>
      </c>
      <c r="H66" s="15"/>
      <c r="I66" s="14"/>
      <c r="J66" s="14"/>
      <c r="K66" s="15"/>
      <c r="L66" s="58"/>
      <c r="N66" s="35"/>
      <c r="Q66" s="49"/>
    </row>
    <row r="67" spans="3:17" ht="12.75">
      <c r="C67" s="15"/>
      <c r="D67" s="15"/>
      <c r="E67" s="26">
        <v>43056</v>
      </c>
      <c r="F67" s="32"/>
      <c r="G67" s="32">
        <v>-21713.07</v>
      </c>
      <c r="H67" s="15"/>
      <c r="I67" s="14"/>
      <c r="J67" s="14"/>
      <c r="K67" s="15"/>
      <c r="L67" s="58"/>
      <c r="N67" s="35"/>
      <c r="Q67" s="49"/>
    </row>
    <row r="68" spans="3:17" ht="12.75">
      <c r="C68" s="15"/>
      <c r="D68" s="15"/>
      <c r="E68" s="26">
        <v>43083</v>
      </c>
      <c r="F68" s="32"/>
      <c r="G68" s="32">
        <v>-20996.77</v>
      </c>
      <c r="H68" s="15"/>
      <c r="I68" s="14"/>
      <c r="J68" s="14"/>
      <c r="K68" s="15"/>
      <c r="L68" s="58"/>
      <c r="N68" s="35"/>
      <c r="Q68" s="49"/>
    </row>
    <row r="69" spans="3:17" ht="12.75">
      <c r="C69" s="15" t="s">
        <v>16</v>
      </c>
      <c r="D69" s="15"/>
      <c r="E69" s="26">
        <v>42780</v>
      </c>
      <c r="F69" s="32"/>
      <c r="G69" s="32">
        <v>101415.12</v>
      </c>
      <c r="H69" s="15"/>
      <c r="I69" s="14"/>
      <c r="J69" s="14"/>
      <c r="K69" s="15"/>
      <c r="N69" s="35"/>
      <c r="Q69" s="49"/>
    </row>
    <row r="70" spans="3:17" ht="12.75">
      <c r="C70" s="15"/>
      <c r="D70" s="15"/>
      <c r="E70" s="26">
        <v>42822</v>
      </c>
      <c r="F70" s="32"/>
      <c r="G70" s="32">
        <v>72434.42</v>
      </c>
      <c r="H70" s="15"/>
      <c r="I70" s="14"/>
      <c r="J70" s="14"/>
      <c r="K70" s="15"/>
      <c r="N70" s="35"/>
      <c r="Q70" s="49"/>
    </row>
    <row r="71" spans="3:17" ht="12.75">
      <c r="C71" s="15"/>
      <c r="D71" s="15"/>
      <c r="E71" s="26">
        <v>42906</v>
      </c>
      <c r="F71" s="32"/>
      <c r="G71" s="32">
        <v>12538.72</v>
      </c>
      <c r="H71" s="15"/>
      <c r="I71" s="14"/>
      <c r="J71" s="14"/>
      <c r="K71" s="15"/>
      <c r="N71" s="35"/>
      <c r="Q71" s="49"/>
    </row>
    <row r="72" spans="3:17" ht="12.75">
      <c r="C72" s="15"/>
      <c r="D72" s="15"/>
      <c r="E72" s="26">
        <v>42970</v>
      </c>
      <c r="F72" s="32"/>
      <c r="G72" s="32">
        <v>4971.53</v>
      </c>
      <c r="H72" s="15"/>
      <c r="I72" s="14"/>
      <c r="J72" s="14"/>
      <c r="K72" s="15"/>
      <c r="N72" s="35"/>
      <c r="Q72" s="49"/>
    </row>
    <row r="73" spans="3:17" ht="12.75">
      <c r="C73" s="15" t="s">
        <v>17</v>
      </c>
      <c r="D73" s="15"/>
      <c r="E73" s="26">
        <v>43104</v>
      </c>
      <c r="F73" s="32"/>
      <c r="G73" s="32">
        <v>-19586.53</v>
      </c>
      <c r="H73" s="15"/>
      <c r="I73" s="14"/>
      <c r="J73" s="14"/>
      <c r="K73" s="15"/>
      <c r="N73" s="35"/>
      <c r="Q73" s="49"/>
    </row>
    <row r="74" spans="3:17" ht="12.75">
      <c r="C74" s="15"/>
      <c r="D74" s="15"/>
      <c r="E74" s="26">
        <v>43157</v>
      </c>
      <c r="F74" s="32"/>
      <c r="G74" s="32">
        <v>-18825.46</v>
      </c>
      <c r="H74" s="15"/>
      <c r="I74" s="14"/>
      <c r="J74" s="14"/>
      <c r="K74" s="15"/>
      <c r="N74" s="35"/>
      <c r="Q74" s="49"/>
    </row>
    <row r="75" spans="3:17" ht="12.75">
      <c r="C75" s="15"/>
      <c r="D75" s="15"/>
      <c r="E75" s="26">
        <v>43181</v>
      </c>
      <c r="F75" s="32"/>
      <c r="G75" s="32">
        <v>-51798</v>
      </c>
      <c r="H75" s="15"/>
      <c r="I75" s="14"/>
      <c r="J75" s="14"/>
      <c r="K75" s="15"/>
      <c r="N75" s="35"/>
      <c r="Q75" s="49"/>
    </row>
    <row r="76" spans="3:17" ht="12.75">
      <c r="C76" s="15"/>
      <c r="D76" s="15"/>
      <c r="E76" s="26">
        <v>43256</v>
      </c>
      <c r="F76" s="32"/>
      <c r="G76" s="32">
        <v>-20772.92</v>
      </c>
      <c r="H76" s="15"/>
      <c r="I76" s="14"/>
      <c r="J76" s="14"/>
      <c r="K76" s="15"/>
      <c r="N76" s="35"/>
      <c r="Q76" s="49"/>
    </row>
    <row r="77" spans="3:17" ht="12.75">
      <c r="C77" s="15"/>
      <c r="D77" s="15"/>
      <c r="E77" s="26">
        <v>43278</v>
      </c>
      <c r="F77" s="32"/>
      <c r="G77" s="32">
        <v>-16564.61</v>
      </c>
      <c r="H77" s="15"/>
      <c r="I77" s="14"/>
      <c r="J77" s="14"/>
      <c r="K77" s="15"/>
      <c r="N77" s="35"/>
      <c r="Q77" s="49"/>
    </row>
    <row r="78" spans="3:17" ht="12.75">
      <c r="C78" s="15"/>
      <c r="D78" s="15"/>
      <c r="E78" s="26">
        <v>43336</v>
      </c>
      <c r="F78" s="32"/>
      <c r="G78" s="32">
        <v>-21511.63</v>
      </c>
      <c r="H78" s="15"/>
      <c r="I78" s="14"/>
      <c r="J78" s="14"/>
      <c r="K78" s="15"/>
      <c r="N78" s="35"/>
      <c r="Q78" s="49"/>
    </row>
    <row r="79" spans="3:17" ht="12.75">
      <c r="C79" s="15"/>
      <c r="D79" s="15"/>
      <c r="E79" s="26">
        <v>43367</v>
      </c>
      <c r="F79" s="32"/>
      <c r="G79" s="32">
        <v>-36509.3</v>
      </c>
      <c r="H79" s="15"/>
      <c r="I79" s="14"/>
      <c r="J79" s="14"/>
      <c r="K79" s="15"/>
      <c r="N79" s="35"/>
      <c r="Q79" s="49"/>
    </row>
    <row r="80" spans="3:17" ht="12.75">
      <c r="C80" s="15"/>
      <c r="D80" s="15"/>
      <c r="E80" s="26">
        <v>43439</v>
      </c>
      <c r="F80" s="32"/>
      <c r="G80" s="32">
        <v>-22787.54</v>
      </c>
      <c r="H80" s="15"/>
      <c r="I80" s="14"/>
      <c r="J80" s="14"/>
      <c r="K80" s="15"/>
      <c r="N80" s="35"/>
      <c r="Q80" s="49"/>
    </row>
    <row r="81" spans="3:17" ht="12.75">
      <c r="C81" s="15" t="s">
        <v>18</v>
      </c>
      <c r="D81" s="15"/>
      <c r="E81" s="26">
        <v>43167</v>
      </c>
      <c r="F81" s="32"/>
      <c r="G81" s="32">
        <v>5659.93</v>
      </c>
      <c r="H81" s="15"/>
      <c r="I81" s="14"/>
      <c r="J81" s="14"/>
      <c r="K81" s="15"/>
      <c r="N81" s="35"/>
      <c r="Q81" s="49"/>
    </row>
    <row r="82" spans="3:17" ht="12.75">
      <c r="C82" s="15"/>
      <c r="D82" s="15"/>
      <c r="E82" s="26">
        <v>43255</v>
      </c>
      <c r="F82" s="32"/>
      <c r="G82" s="32">
        <v>13720.21</v>
      </c>
      <c r="H82" s="15"/>
      <c r="I82" s="14"/>
      <c r="J82" s="14"/>
      <c r="K82" s="15"/>
      <c r="N82" s="35"/>
      <c r="Q82" s="49"/>
    </row>
    <row r="83" spans="3:17" ht="12.75">
      <c r="C83" s="15"/>
      <c r="D83" s="15"/>
      <c r="E83" s="26">
        <v>43444</v>
      </c>
      <c r="F83" s="32"/>
      <c r="G83" s="32">
        <v>8033.52</v>
      </c>
      <c r="H83" s="15"/>
      <c r="I83" s="14"/>
      <c r="J83" s="14"/>
      <c r="K83" s="15"/>
      <c r="N83" s="35"/>
      <c r="Q83" s="49"/>
    </row>
    <row r="84" spans="3:17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  <c r="N84" s="35"/>
      <c r="Q84" s="49"/>
    </row>
    <row r="85" spans="4:17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  <c r="N85" s="35"/>
      <c r="Q85" s="49"/>
    </row>
    <row r="86" spans="4:17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  <c r="N86" s="35"/>
      <c r="Q86" s="49"/>
    </row>
    <row r="87" spans="4:17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  <c r="N87" s="35"/>
      <c r="Q87" s="49"/>
    </row>
    <row r="88" spans="4:17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  <c r="N88" s="35"/>
      <c r="Q88" s="49"/>
    </row>
    <row r="89" spans="4:17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  <c r="N89" s="35"/>
      <c r="Q89" s="49"/>
    </row>
    <row r="90" spans="4:17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  <c r="N90" s="35"/>
      <c r="Q90" s="49"/>
    </row>
    <row r="91" spans="3:17" ht="12.75">
      <c r="C91" s="15" t="s">
        <v>20</v>
      </c>
      <c r="D91" s="15"/>
      <c r="E91" s="26">
        <v>43550</v>
      </c>
      <c r="F91" s="32"/>
      <c r="G91" s="32">
        <v>4511.33</v>
      </c>
      <c r="H91" s="15"/>
      <c r="I91" s="14"/>
      <c r="J91" s="14"/>
      <c r="K91" s="15"/>
      <c r="N91" s="35"/>
      <c r="Q91" s="49"/>
    </row>
    <row r="92" spans="3:17" ht="12.75">
      <c r="C92" s="15"/>
      <c r="D92" s="15"/>
      <c r="E92" s="26">
        <v>43629</v>
      </c>
      <c r="F92" s="32"/>
      <c r="G92" s="32">
        <v>5034.82</v>
      </c>
      <c r="H92" s="15"/>
      <c r="I92" s="14"/>
      <c r="J92" s="14"/>
      <c r="K92" s="15"/>
      <c r="N92" s="35"/>
      <c r="Q92" s="49"/>
    </row>
    <row r="93" spans="3:17" ht="12.75">
      <c r="C93" s="15"/>
      <c r="D93" s="15"/>
      <c r="E93" s="26">
        <v>43760</v>
      </c>
      <c r="F93" s="32"/>
      <c r="G93" s="32">
        <v>28035.04</v>
      </c>
      <c r="H93" s="15"/>
      <c r="I93" s="14"/>
      <c r="J93" s="14"/>
      <c r="K93" s="15"/>
      <c r="N93" s="35"/>
      <c r="Q93" s="49"/>
    </row>
    <row r="94" spans="3:17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  <c r="N94" s="35"/>
      <c r="Q94" s="49"/>
    </row>
    <row r="95" spans="3:17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  <c r="N95" s="35"/>
      <c r="Q95" s="49"/>
    </row>
    <row r="96" spans="3:17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  <c r="N96" s="35"/>
      <c r="Q96" s="49"/>
    </row>
    <row r="97" spans="3:17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  <c r="N97" s="35"/>
      <c r="Q97" s="49"/>
    </row>
    <row r="98" spans="3:17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  <c r="N98" s="35"/>
      <c r="Q98" s="49"/>
    </row>
    <row r="99" spans="3:17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  <c r="N99" s="35"/>
      <c r="Q99" s="49"/>
    </row>
    <row r="100" spans="3:17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  <c r="N100" s="35"/>
      <c r="Q100" s="49"/>
    </row>
    <row r="101" spans="3:17" ht="12.75">
      <c r="C101" s="15" t="s">
        <v>30</v>
      </c>
      <c r="D101" s="15"/>
      <c r="E101" s="26">
        <v>43885</v>
      </c>
      <c r="F101" s="32"/>
      <c r="G101" s="32">
        <v>16738.80</v>
      </c>
      <c r="H101" s="15"/>
      <c r="I101" s="14"/>
      <c r="J101" s="14"/>
      <c r="K101" s="15"/>
      <c r="N101" s="35"/>
      <c r="Q101" s="49"/>
    </row>
    <row r="102" spans="3:17" ht="12.75">
      <c r="C102" s="15"/>
      <c r="D102" s="15"/>
      <c r="E102" s="26">
        <v>44082</v>
      </c>
      <c r="F102" s="32"/>
      <c r="G102" s="32">
        <v>9918.10</v>
      </c>
      <c r="H102" s="15"/>
      <c r="I102" s="14"/>
      <c r="J102" s="14"/>
      <c r="K102" s="15"/>
      <c r="N102" s="35"/>
      <c r="Q102" s="49"/>
    </row>
    <row r="103" spans="3:17" ht="12.75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  <c r="N103" s="35"/>
      <c r="Q103" s="49"/>
    </row>
    <row r="104" spans="3:17" ht="12.75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N104" s="35"/>
      <c r="Q104" s="49"/>
    </row>
    <row r="105" spans="3:17" ht="12.75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N105" s="35"/>
      <c r="Q105" s="49"/>
    </row>
    <row r="106" spans="3:17" ht="12.75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N106" s="35"/>
      <c r="Q106" s="49"/>
    </row>
    <row r="107" spans="3:17" ht="12.75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N107" s="35"/>
      <c r="Q107" s="49"/>
    </row>
    <row r="108" spans="3:17" ht="12.75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N108" s="35"/>
      <c r="Q108" s="49"/>
    </row>
    <row r="109" spans="3:17" ht="12.75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N109" s="35"/>
      <c r="Q109" s="49"/>
    </row>
    <row r="110" spans="3:17" ht="12.75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N110" s="35"/>
      <c r="Q110" s="49"/>
    </row>
    <row r="111" spans="3:17" ht="12.75">
      <c r="C111" s="15" t="s">
        <v>22</v>
      </c>
      <c r="D111" s="15"/>
      <c r="E111" s="26">
        <v>44217</v>
      </c>
      <c r="F111" s="32"/>
      <c r="G111" s="32">
        <v>15809.21</v>
      </c>
      <c r="H111" s="15"/>
      <c r="I111" s="14"/>
      <c r="J111" s="14"/>
      <c r="K111" s="15"/>
      <c r="N111" s="35"/>
      <c r="Q111" s="49"/>
    </row>
    <row r="112" spans="3:17" ht="12.75">
      <c r="C112" s="15"/>
      <c r="D112" s="15"/>
      <c r="E112" s="26">
        <v>44256</v>
      </c>
      <c r="F112" s="32"/>
      <c r="G112" s="32">
        <v>127901.59</v>
      </c>
      <c r="H112" s="15"/>
      <c r="I112" s="14"/>
      <c r="J112" s="14"/>
      <c r="K112" s="15"/>
      <c r="N112" s="35"/>
      <c r="Q112" s="49"/>
    </row>
    <row r="113" spans="3:17" ht="12.75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N113" s="35"/>
      <c r="Q113" s="49"/>
    </row>
    <row r="114" spans="3:17" ht="12.75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N114" s="35"/>
      <c r="Q114" s="49"/>
    </row>
    <row r="115" spans="3:17" ht="12.75">
      <c r="C115" s="15"/>
      <c r="D115" s="15"/>
      <c r="E115" s="26">
        <v>44371</v>
      </c>
      <c r="F115" s="32"/>
      <c r="G115" s="32">
        <v>4987.34</v>
      </c>
      <c r="H115" s="15"/>
      <c r="I115" s="14"/>
      <c r="J115" s="14"/>
      <c r="K115" s="15"/>
      <c r="N115" s="35"/>
      <c r="Q115" s="49"/>
    </row>
    <row r="116" spans="3:17" ht="12.75">
      <c r="C116" s="15"/>
      <c r="D116" s="15"/>
      <c r="E116" s="26">
        <v>44386</v>
      </c>
      <c r="F116" s="32"/>
      <c r="G116" s="32">
        <v>8549.05</v>
      </c>
      <c r="H116" s="15"/>
      <c r="I116" s="14"/>
      <c r="J116" s="14"/>
      <c r="K116" s="15"/>
      <c r="N116" s="35"/>
      <c r="Q116" s="49"/>
    </row>
    <row r="117" spans="3:17" ht="12.75">
      <c r="C117" s="15"/>
      <c r="D117" s="15"/>
      <c r="E117" s="26">
        <v>44417</v>
      </c>
      <c r="F117" s="32"/>
      <c r="G117" s="32">
        <v>9288.05</v>
      </c>
      <c r="H117" s="15"/>
      <c r="I117" s="14"/>
      <c r="J117" s="14"/>
      <c r="K117" s="15"/>
      <c r="N117" s="35"/>
      <c r="Q117" s="49"/>
    </row>
    <row r="118" spans="3:17" ht="12.75">
      <c r="C118" s="15"/>
      <c r="D118" s="15"/>
      <c r="E118" s="26">
        <v>44446</v>
      </c>
      <c r="F118" s="32"/>
      <c r="G118" s="32">
        <v>8948.94</v>
      </c>
      <c r="H118" s="15"/>
      <c r="I118" s="14"/>
      <c r="J118" s="14"/>
      <c r="K118" s="15"/>
      <c r="N118" s="35"/>
      <c r="Q118" s="49"/>
    </row>
    <row r="119" spans="3:17" ht="12.75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N119" s="35"/>
      <c r="Q119" s="49"/>
    </row>
    <row r="120" spans="3:17" ht="12.75">
      <c r="C120" s="15"/>
      <c r="D120" s="15"/>
      <c r="E120" s="26">
        <v>44489</v>
      </c>
      <c r="F120" s="32"/>
      <c r="G120" s="32">
        <v>36522.88</v>
      </c>
      <c r="H120" s="15"/>
      <c r="I120" s="14"/>
      <c r="J120" s="14"/>
      <c r="K120" s="15"/>
      <c r="N120" s="35"/>
      <c r="Q120" s="49"/>
    </row>
    <row r="121" spans="3:17" ht="12.75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N121" s="35"/>
      <c r="Q121" s="49"/>
    </row>
    <row r="122" spans="3:17" ht="12.75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N122" s="35"/>
      <c r="Q122" s="49"/>
    </row>
    <row r="123" spans="3:17" ht="12.75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N123" s="35"/>
      <c r="Q123" s="49"/>
    </row>
    <row r="124" spans="3:17" ht="12.75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N124" s="35"/>
      <c r="Q124" s="49"/>
    </row>
    <row r="125" spans="3:17" ht="12.75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N125" s="35"/>
      <c r="Q125" s="49"/>
    </row>
    <row r="126" spans="3:17" ht="12.75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N126" s="35"/>
      <c r="Q126" s="49"/>
    </row>
    <row r="127" spans="3:17" ht="12.75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N127" s="35"/>
      <c r="Q127" s="49"/>
    </row>
    <row r="128" spans="3:17" ht="12.75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N128" s="35"/>
      <c r="Q128" s="49"/>
    </row>
    <row r="129" spans="3:17" ht="12.75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N129" s="35"/>
      <c r="Q129" s="49"/>
    </row>
    <row r="130" spans="3:17" ht="12.75">
      <c r="C130" s="15"/>
      <c r="D130" s="15"/>
      <c r="E130" s="26">
        <v>44595</v>
      </c>
      <c r="F130" s="32"/>
      <c r="G130" s="32">
        <v>34837.28</v>
      </c>
      <c r="H130" s="15"/>
      <c r="I130" s="14"/>
      <c r="J130" s="14"/>
      <c r="K130" s="15"/>
      <c r="N130" s="35"/>
      <c r="Q130" s="49"/>
    </row>
    <row r="131" spans="3:17" ht="12.75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N131" s="35"/>
      <c r="Q131" s="49"/>
    </row>
    <row r="132" spans="3:17" ht="12.75">
      <c r="C132" s="15"/>
      <c r="D132" s="15"/>
      <c r="E132" s="26">
        <v>44655</v>
      </c>
      <c r="F132" s="32"/>
      <c r="G132" s="32">
        <v>88493.71</v>
      </c>
      <c r="H132" s="15"/>
      <c r="I132" s="14"/>
      <c r="J132" s="14"/>
      <c r="K132" s="15"/>
      <c r="N132" s="35"/>
      <c r="Q132" s="49"/>
    </row>
    <row r="133" spans="3:17" ht="12.75">
      <c r="C133" s="15"/>
      <c r="D133" s="15"/>
      <c r="E133" s="26">
        <v>44690</v>
      </c>
      <c r="F133" s="32"/>
      <c r="G133" s="32">
        <v>44167.72</v>
      </c>
      <c r="H133" s="15"/>
      <c r="I133" s="14"/>
      <c r="J133" s="14"/>
      <c r="K133" s="15"/>
      <c r="N133" s="35"/>
      <c r="Q133" s="49"/>
    </row>
    <row r="134" spans="3:17" ht="12.75">
      <c r="C134" s="15"/>
      <c r="D134" s="15"/>
      <c r="E134" s="26">
        <v>44714</v>
      </c>
      <c r="F134" s="32"/>
      <c r="G134" s="32">
        <v>66332.74</v>
      </c>
      <c r="H134" s="15"/>
      <c r="I134" s="14"/>
      <c r="J134" s="14"/>
      <c r="K134" s="15"/>
      <c r="N134" s="35"/>
      <c r="Q134" s="49"/>
    </row>
    <row r="135" spans="3:17" ht="12.75">
      <c r="C135" s="15"/>
      <c r="D135" s="15"/>
      <c r="E135" s="26">
        <v>44754</v>
      </c>
      <c r="F135" s="32"/>
      <c r="G135" s="32">
        <v>63791.21</v>
      </c>
      <c r="H135" s="15"/>
      <c r="I135" s="14"/>
      <c r="J135" s="14"/>
      <c r="K135" s="15"/>
      <c r="N135" s="35"/>
      <c r="Q135" s="49"/>
    </row>
    <row r="136" spans="3:17" ht="12.75">
      <c r="C136" s="15"/>
      <c r="D136" s="15"/>
      <c r="E136" s="26">
        <v>44782</v>
      </c>
      <c r="F136" s="32"/>
      <c r="G136" s="32">
        <v>19406.66</v>
      </c>
      <c r="H136" s="15"/>
      <c r="I136" s="14"/>
      <c r="J136" s="14"/>
      <c r="K136" s="15"/>
      <c r="N136" s="35"/>
      <c r="Q136" s="49"/>
    </row>
    <row r="137" spans="3:17" ht="12.75">
      <c r="C137" s="15"/>
      <c r="D137" s="15"/>
      <c r="E137" s="26">
        <v>44806</v>
      </c>
      <c r="F137" s="32"/>
      <c r="G137" s="32">
        <v>57189.52</v>
      </c>
      <c r="H137" s="15"/>
      <c r="I137" s="14"/>
      <c r="J137" s="14"/>
      <c r="K137" s="15"/>
      <c r="N137" s="35"/>
      <c r="Q137" s="49"/>
    </row>
    <row r="138" spans="3:17" ht="12.75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N138" s="35"/>
      <c r="Q138" s="49"/>
    </row>
    <row r="139" spans="3:17" ht="12.75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N139" s="35"/>
      <c r="Q139" s="49"/>
    </row>
    <row r="140" spans="3:17" ht="12.75">
      <c r="C140" s="15"/>
      <c r="D140" s="15"/>
      <c r="E140" s="26">
        <v>44901</v>
      </c>
      <c r="F140" s="32"/>
      <c r="G140" s="32">
        <v>15195.14</v>
      </c>
      <c r="H140" s="15"/>
      <c r="I140" s="14"/>
      <c r="J140" s="14"/>
      <c r="K140" s="15"/>
      <c r="N140" s="35"/>
      <c r="Q140" s="49"/>
    </row>
    <row r="141" spans="3:17" ht="12.75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N141" s="35"/>
      <c r="Q141" s="49"/>
    </row>
    <row r="142" spans="3:17" ht="12.75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N142" s="35"/>
      <c r="Q142" s="49"/>
    </row>
    <row r="143" spans="3:17" ht="12.75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N143" s="35"/>
      <c r="Q143" s="49"/>
    </row>
    <row r="144" spans="3:17" ht="12.75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N144" s="35"/>
      <c r="Q144" s="49"/>
    </row>
    <row r="145" spans="3:17" ht="12.75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N145" s="35"/>
      <c r="Q145" s="49"/>
    </row>
    <row r="146" spans="3:17" ht="12.75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N146" s="35"/>
      <c r="Q146" s="49"/>
    </row>
    <row r="147" spans="3:17" ht="12.75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N147" s="35"/>
      <c r="Q147" s="49"/>
    </row>
    <row r="148" spans="3:17" ht="12.75">
      <c r="C148" s="15"/>
      <c r="D148" s="15"/>
      <c r="E148" s="26">
        <v>44994</v>
      </c>
      <c r="F148" s="32"/>
      <c r="G148" s="32">
        <v>23818.24</v>
      </c>
      <c r="H148" s="15"/>
      <c r="I148" s="14"/>
      <c r="J148" s="14"/>
      <c r="K148" s="15"/>
      <c r="N148" s="35"/>
      <c r="Q148" s="49"/>
    </row>
    <row r="149" spans="3:17" ht="12.75">
      <c r="C149" s="15"/>
      <c r="D149" s="15"/>
      <c r="E149" s="26">
        <v>45030</v>
      </c>
      <c r="F149" s="32"/>
      <c r="G149" s="32">
        <v>231560.75</v>
      </c>
      <c r="H149" s="15"/>
      <c r="I149" s="14"/>
      <c r="J149" s="14"/>
      <c r="K149" s="15"/>
      <c r="N149" s="35"/>
      <c r="Q149" s="49"/>
    </row>
    <row r="150" spans="3:17" ht="12.75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N150" s="35"/>
      <c r="Q150" s="49"/>
    </row>
    <row r="151" spans="3:17" ht="12.75">
      <c r="C151" s="15"/>
      <c r="D151" s="15"/>
      <c r="E151" s="26">
        <v>45091</v>
      </c>
      <c r="F151" s="32"/>
      <c r="G151" s="32">
        <v>180817.09</v>
      </c>
      <c r="H151" s="15"/>
      <c r="I151" s="14"/>
      <c r="J151" s="14"/>
      <c r="K151" s="15"/>
      <c r="N151" s="35"/>
      <c r="Q151" s="49"/>
    </row>
    <row r="152" spans="3:17" ht="12.75">
      <c r="C152" s="15"/>
      <c r="D152" s="15"/>
      <c r="E152" s="26">
        <v>45114</v>
      </c>
      <c r="F152" s="32"/>
      <c r="G152" s="32">
        <v>12667.34</v>
      </c>
      <c r="H152" s="15"/>
      <c r="I152" s="14"/>
      <c r="J152" s="14"/>
      <c r="K152" s="15"/>
      <c r="N152" s="35"/>
      <c r="Q152" s="49"/>
    </row>
    <row r="153" spans="3:17" ht="12.75">
      <c r="C153" s="15"/>
      <c r="D153" s="15"/>
      <c r="E153" s="26">
        <v>45154</v>
      </c>
      <c r="F153" s="32"/>
      <c r="G153" s="32">
        <v>162751.23</v>
      </c>
      <c r="H153" s="15"/>
      <c r="I153" s="14"/>
      <c r="J153" s="14"/>
      <c r="K153" s="15"/>
      <c r="N153" s="35"/>
      <c r="Q153" s="49"/>
    </row>
    <row r="154" spans="3:17" ht="12.75">
      <c r="C154" s="15"/>
      <c r="D154" s="15"/>
      <c r="E154" s="26">
        <v>45176</v>
      </c>
      <c r="F154" s="32"/>
      <c r="G154" s="32">
        <v>8633.45</v>
      </c>
      <c r="H154" s="15"/>
      <c r="I154" s="14"/>
      <c r="J154" s="14"/>
      <c r="K154" s="15"/>
      <c r="N154" s="35"/>
      <c r="Q154" s="49"/>
    </row>
    <row r="155" spans="3:17" ht="12.75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N155" s="35"/>
      <c r="Q155" s="49"/>
    </row>
    <row r="156" spans="3:17" ht="12.75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N156" s="35"/>
      <c r="Q156" s="49"/>
    </row>
    <row r="157" spans="3:17" ht="12.75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N157" s="35"/>
      <c r="Q157" s="49"/>
    </row>
    <row r="158" spans="3:17" ht="12.75">
      <c r="C158" s="15"/>
      <c r="D158" s="15"/>
      <c r="E158" s="26">
        <v>45267</v>
      </c>
      <c r="F158" s="32"/>
      <c r="G158" s="32">
        <v>33350.34</v>
      </c>
      <c r="H158" s="15"/>
      <c r="I158" s="14"/>
      <c r="J158" s="14"/>
      <c r="K158" s="15"/>
      <c r="N158" s="35"/>
      <c r="Q158" s="49"/>
    </row>
    <row r="159" spans="3:17" ht="12.75">
      <c r="C159" s="15" t="s">
        <v>36</v>
      </c>
      <c r="D159" s="15"/>
      <c r="E159" s="26">
        <v>45393</v>
      </c>
      <c r="F159" s="32"/>
      <c r="G159" s="32">
        <v>-4544.07</v>
      </c>
      <c r="H159" s="15"/>
      <c r="I159" s="14"/>
      <c r="J159" s="14"/>
      <c r="K159" s="15"/>
      <c r="N159" s="35"/>
      <c r="Q159" s="49"/>
    </row>
    <row r="160" spans="3:17" ht="12.75">
      <c r="C160" s="15" t="s">
        <v>35</v>
      </c>
      <c r="D160" s="15"/>
      <c r="E160" s="26">
        <v>45300</v>
      </c>
      <c r="F160" s="32"/>
      <c r="G160" s="32">
        <v>12086.92</v>
      </c>
      <c r="H160" s="15"/>
      <c r="I160" s="14"/>
      <c r="J160" s="14"/>
      <c r="K160" s="15"/>
      <c r="N160" s="35"/>
      <c r="Q160" s="49"/>
    </row>
    <row r="161" spans="3:17" ht="12.75">
      <c r="C161" s="15"/>
      <c r="D161" s="15"/>
      <c r="E161" s="26">
        <v>45327</v>
      </c>
      <c r="F161" s="32"/>
      <c r="G161" s="32">
        <v>5756.61</v>
      </c>
      <c r="H161" s="15"/>
      <c r="I161" s="14"/>
      <c r="J161" s="14"/>
      <c r="K161" s="15"/>
      <c r="N161" s="35"/>
      <c r="Q161" s="49"/>
    </row>
    <row r="162" spans="3:17" ht="12.75">
      <c r="C162" s="15"/>
      <c r="D162" s="15"/>
      <c r="E162" s="26">
        <v>45358</v>
      </c>
      <c r="F162" s="32"/>
      <c r="G162" s="32">
        <v>4247.26</v>
      </c>
      <c r="H162" s="15"/>
      <c r="I162" s="14"/>
      <c r="J162" s="14"/>
      <c r="K162" s="15"/>
      <c r="N162" s="35"/>
      <c r="Q162" s="49"/>
    </row>
    <row r="163" spans="3:17" ht="12.75">
      <c r="C163" s="15"/>
      <c r="D163" s="15"/>
      <c r="E163" s="26">
        <v>45385</v>
      </c>
      <c r="F163" s="32"/>
      <c r="G163" s="32">
        <v>1813.99</v>
      </c>
      <c r="H163" s="15"/>
      <c r="I163" s="14"/>
      <c r="J163" s="14"/>
      <c r="K163" s="15"/>
      <c r="N163" s="35"/>
      <c r="Q163" s="49"/>
    </row>
    <row r="164" spans="3:17" ht="12.75">
      <c r="C164" s="15"/>
      <c r="D164" s="15"/>
      <c r="E164" s="26">
        <v>45418</v>
      </c>
      <c r="F164" s="32"/>
      <c r="G164" s="32">
        <v>4298.84</v>
      </c>
      <c r="H164" s="15"/>
      <c r="I164" s="14"/>
      <c r="J164" s="14"/>
      <c r="K164" s="15"/>
      <c r="N164" s="35"/>
      <c r="Q164" s="49"/>
    </row>
    <row r="165" spans="3:17" ht="12.75">
      <c r="C165" s="15"/>
      <c r="D165" s="15"/>
      <c r="E165" s="26">
        <v>45450</v>
      </c>
      <c r="F165" s="32"/>
      <c r="G165" s="32">
        <v>6175.20</v>
      </c>
      <c r="H165" s="15"/>
      <c r="I165" s="14"/>
      <c r="J165" s="14"/>
      <c r="K165" s="15"/>
      <c r="N165" s="35"/>
      <c r="Q165" s="49"/>
    </row>
    <row r="166" spans="3:17" ht="4.5" customHeight="1">
      <c r="C166" s="15"/>
      <c r="D166" s="15"/>
      <c r="E166" s="26"/>
      <c r="F166" s="15"/>
      <c r="G166" s="32"/>
      <c r="H166" s="15"/>
      <c r="I166" s="14"/>
      <c r="J166" s="14"/>
      <c r="N166" s="35"/>
      <c r="Q166" s="49"/>
    </row>
    <row r="167" spans="3:17" ht="15.75">
      <c r="C167" s="15" t="s">
        <v>25</v>
      </c>
      <c r="D167" s="15"/>
      <c r="E167" s="26">
        <f>+E8</f>
        <v>45473</v>
      </c>
      <c r="F167" s="15"/>
      <c r="G167" s="33">
        <f>L167/0.97*C22</f>
        <v>1051855.27645953</v>
      </c>
      <c r="H167" s="15"/>
      <c r="I167" s="26"/>
      <c r="L167" s="58">
        <v>4.558042664E9</v>
      </c>
      <c r="M167" s="10"/>
      <c r="N167" s="35"/>
      <c r="Q167" s="49"/>
    </row>
    <row r="168" spans="3:14" ht="12.75">
      <c r="C168" s="15"/>
      <c r="D168" s="15"/>
      <c r="E168" s="15"/>
      <c r="F168" s="15"/>
      <c r="G168" s="15"/>
      <c r="H168" s="15"/>
      <c r="J168" s="14"/>
      <c r="N168" s="35"/>
    </row>
    <row r="169" spans="3:11" ht="12.75">
      <c r="C169" s="36" t="s">
        <v>28</v>
      </c>
      <c r="G169" s="37">
        <f>+XIRR(G24:G167,E24:E167,0.1)</f>
        <v>0.16366394162178044</v>
      </c>
      <c r="H169" s="15"/>
      <c r="J169" s="32">
        <f>+SUMIF($G$24:$G$166,"&lt;0",$G$24:$G$166)+23052.4</f>
        <v>-1566749.7999999996</v>
      </c>
      <c r="K169" s="15" t="s">
        <v>26</v>
      </c>
    </row>
    <row r="170" spans="3:11" ht="12.75">
      <c r="C170" s="15"/>
      <c r="D170" s="15"/>
      <c r="E170" s="15"/>
      <c r="F170" s="15"/>
      <c r="G170" s="15"/>
      <c r="H170" s="15"/>
      <c r="J170" s="32">
        <f>+SUMIF($G$24:$G$166,"&gt;0",$G$24:$G$166)-23052.4</f>
        <v>2147337.13</v>
      </c>
      <c r="K170" s="15" t="s">
        <v>27</v>
      </c>
    </row>
    <row r="171" spans="3:8" ht="12.75">
      <c r="C171" s="15"/>
      <c r="D171" s="15"/>
      <c r="E171" s="15"/>
      <c r="F171" s="15"/>
      <c r="G171" s="15"/>
      <c r="H171" s="15"/>
    </row>
    <row r="172" spans="3:11" ht="12.75">
      <c r="C172" s="15"/>
      <c r="D172" s="15"/>
      <c r="E172" s="38"/>
      <c r="F172" s="15"/>
      <c r="G172" s="38"/>
      <c r="H172" s="15"/>
      <c r="K172" s="38"/>
    </row>
    <row r="173" spans="3:11" ht="12.75">
      <c r="C173" s="39"/>
      <c r="D173" s="39"/>
      <c r="E173" s="38"/>
      <c r="F173" s="39"/>
      <c r="G173" s="38"/>
      <c r="H173" s="15"/>
      <c r="K173" s="38"/>
    </row>
    <row r="174" spans="3:11" ht="12.75">
      <c r="C174" s="39"/>
      <c r="D174" s="39"/>
      <c r="E174" s="38"/>
      <c r="F174" s="39"/>
      <c r="G174" s="38"/>
      <c r="H174" s="15"/>
      <c r="K174" s="38"/>
    </row>
    <row r="175" spans="3:11" ht="12.75">
      <c r="C175" s="39"/>
      <c r="D175" s="39"/>
      <c r="E175" s="39"/>
      <c r="F175" s="39"/>
      <c r="G175" s="39"/>
      <c r="H175" s="36"/>
      <c r="K175" s="38"/>
    </row>
    <row r="176" spans="3:11" ht="12.75">
      <c r="C176" s="39"/>
      <c r="D176" s="39"/>
      <c r="E176" s="38"/>
      <c r="F176" s="38"/>
      <c r="G176" s="38"/>
      <c r="H176" s="36"/>
      <c r="K176" s="38"/>
    </row>
    <row r="177" spans="3:11" ht="12.75">
      <c r="C177" s="39"/>
      <c r="D177" s="39"/>
      <c r="E177" s="39"/>
      <c r="F177" s="39"/>
      <c r="G177" s="39"/>
      <c r="H177" s="36"/>
      <c r="K177" s="35"/>
    </row>
    <row r="178" spans="3:8" ht="12.75">
      <c r="C178" s="39"/>
      <c r="D178" s="39"/>
      <c r="E178" s="59"/>
      <c r="F178" s="41"/>
      <c r="G178" s="59"/>
      <c r="H178" s="36"/>
    </row>
    <row r="179" spans="3:11" ht="12.75">
      <c r="C179" s="39"/>
      <c r="D179" s="39"/>
      <c r="E179" s="41"/>
      <c r="F179" s="41"/>
      <c r="G179" s="41"/>
      <c r="H179" s="36"/>
      <c r="K179" s="35"/>
    </row>
    <row r="180" spans="3:8" ht="12.75">
      <c r="C180" s="39"/>
      <c r="D180" s="39"/>
      <c r="E180" s="41"/>
      <c r="F180" s="41"/>
      <c r="G180" s="41"/>
      <c r="H180" s="36"/>
    </row>
    <row r="181" spans="3:8" ht="12.75">
      <c r="C181" s="42"/>
      <c r="D181" s="39"/>
      <c r="E181" s="41"/>
      <c r="F181" s="41"/>
      <c r="G181" s="41"/>
      <c r="H181" s="36"/>
    </row>
    <row r="182" spans="3:8" ht="12.75">
      <c r="C182" s="42"/>
      <c r="D182" s="39"/>
      <c r="E182" s="41"/>
      <c r="F182" s="41"/>
      <c r="G182" s="41"/>
      <c r="H182" s="36"/>
    </row>
    <row r="183" spans="3:8" ht="12.75">
      <c r="C183" s="43"/>
      <c r="D183" s="39"/>
      <c r="E183" s="41"/>
      <c r="F183" s="41"/>
      <c r="G183" s="41"/>
      <c r="H183" s="36"/>
    </row>
    <row r="184" spans="3:8" ht="12.75">
      <c r="C184" s="39"/>
      <c r="D184" s="39"/>
      <c r="E184" s="41"/>
      <c r="F184" s="41"/>
      <c r="G184" s="41"/>
      <c r="H184" s="36"/>
    </row>
    <row r="185" spans="3:8" ht="12.75">
      <c r="C185" s="39"/>
      <c r="D185" s="39"/>
      <c r="E185" s="41"/>
      <c r="F185" s="41"/>
      <c r="G185" s="41"/>
      <c r="H185" s="36"/>
    </row>
    <row r="186" spans="3:8" ht="12.75">
      <c r="C186" s="39"/>
      <c r="D186" s="39"/>
      <c r="E186" s="41"/>
      <c r="F186" s="41"/>
      <c r="G186" s="41"/>
      <c r="H186" s="36"/>
    </row>
    <row r="187" spans="3:8" ht="12.75">
      <c r="C187" s="39"/>
      <c r="D187" s="39"/>
      <c r="E187" s="41"/>
      <c r="F187" s="41"/>
      <c r="G187" s="41"/>
      <c r="H187" s="36"/>
    </row>
    <row r="188" spans="3:8" ht="12.75">
      <c r="C188" s="39"/>
      <c r="D188" s="39"/>
      <c r="E188" s="41"/>
      <c r="F188" s="41"/>
      <c r="G188" s="41"/>
      <c r="H188" s="36"/>
    </row>
    <row r="189" spans="3:8" ht="12.75">
      <c r="C189" s="39"/>
      <c r="D189" s="39"/>
      <c r="E189" s="41"/>
      <c r="F189" s="41"/>
      <c r="G189" s="41"/>
      <c r="H189" s="36"/>
    </row>
    <row r="190" spans="3:8" ht="5.1" customHeight="1">
      <c r="C190" s="36"/>
      <c r="D190" s="36"/>
      <c r="E190" s="85"/>
      <c r="F190" s="44"/>
      <c r="G190" s="85"/>
      <c r="H190" s="36"/>
    </row>
    <row r="191" spans="3:8" ht="12.75">
      <c r="C191" s="36"/>
      <c r="D191" s="36"/>
      <c r="E191" s="86"/>
      <c r="F191" s="45"/>
      <c r="G191" s="86"/>
      <c r="H191" s="36"/>
    </row>
    <row r="192" spans="3:8" ht="12.75">
      <c r="C192" s="15"/>
      <c r="D192" s="15"/>
      <c r="E192" s="46"/>
      <c r="F192" s="47"/>
      <c r="G192" s="46"/>
      <c r="H192" s="15"/>
    </row>
    <row r="193" spans="3:8" ht="12.75">
      <c r="C193" s="15"/>
      <c r="D193" s="15"/>
      <c r="E193" s="46"/>
      <c r="F193" s="47"/>
      <c r="G193" s="46"/>
      <c r="H193" s="15"/>
    </row>
    <row r="194" spans="3:8" ht="12.75">
      <c r="C194" s="15"/>
      <c r="D194" s="15"/>
      <c r="E194" s="46"/>
      <c r="F194" s="47"/>
      <c r="G194" s="46"/>
      <c r="H194" s="15"/>
    </row>
    <row r="195" spans="3:8" ht="12.75">
      <c r="C195" s="15"/>
      <c r="D195" s="15"/>
      <c r="E195" s="48"/>
      <c r="F195" s="48"/>
      <c r="G195" s="48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  <row r="202" spans="3:8" ht="12.75">
      <c r="C202" s="15"/>
      <c r="D202" s="15"/>
      <c r="E202" s="15"/>
      <c r="F202" s="15"/>
      <c r="G202" s="15"/>
      <c r="H202" s="15"/>
    </row>
    <row r="203" spans="3:8" ht="12.75">
      <c r="C203" s="15"/>
      <c r="D203" s="15"/>
      <c r="E203" s="15"/>
      <c r="F203" s="15"/>
      <c r="G203" s="15"/>
      <c r="H203" s="15"/>
    </row>
    <row r="204" spans="3:8" ht="12.75">
      <c r="C204" s="15"/>
      <c r="D204" s="15"/>
      <c r="E204" s="15"/>
      <c r="F204" s="15"/>
      <c r="G204" s="15"/>
      <c r="H204" s="15"/>
    </row>
    <row r="205" spans="3:8" ht="12.75">
      <c r="C205" s="15"/>
      <c r="D205" s="15"/>
      <c r="E205" s="15"/>
      <c r="F205" s="15"/>
      <c r="G205" s="15"/>
      <c r="H205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tabColor rgb="FF92D050"/>
    <pageSetUpPr fitToPage="1"/>
  </sheetPr>
  <dimension ref="B4:Q195"/>
  <sheetViews>
    <sheetView showGridLines="0" view="pageLayout" zoomScaleNormal="100" workbookViewId="0" topLeftCell="A132">
      <selection pane="topLeft" activeCell="L167" sqref="L167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+'Fund X'!E8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G169</f>
        <v>0.1491946041584015</v>
      </c>
      <c r="F18" s="11"/>
      <c r="G18" s="18"/>
      <c r="H18" s="19"/>
      <c r="I18" s="49"/>
    </row>
    <row r="19" spans="3:16" ht="12.75">
      <c r="C19" s="11" t="s">
        <v>2</v>
      </c>
      <c r="D19" s="11"/>
      <c r="E19" s="23">
        <f>-(G167+J170)/J169</f>
        <v>1.907700913717249</v>
      </c>
      <c r="F19" s="11"/>
      <c r="G19" s="12"/>
      <c r="H19" s="13"/>
      <c r="N19" s="35"/>
      <c r="O19" s="34"/>
      <c r="P19" s="35"/>
    </row>
    <row r="20" spans="3:16" ht="12.75">
      <c r="C20" s="11"/>
      <c r="D20" s="11"/>
      <c r="E20" s="11"/>
      <c r="F20" s="11"/>
      <c r="G20" s="13"/>
      <c r="N20" s="35"/>
      <c r="O20" s="34"/>
      <c r="P20" s="35"/>
    </row>
    <row r="21" spans="3:16" ht="15.75">
      <c r="C21" s="24" t="s">
        <v>29</v>
      </c>
      <c r="D21" s="25"/>
      <c r="E21" s="25"/>
      <c r="F21" s="25"/>
      <c r="I21" s="26"/>
      <c r="J21" s="15"/>
      <c r="L21" s="27"/>
      <c r="N21" s="35"/>
      <c r="O21" s="34"/>
      <c r="P21" s="35"/>
    </row>
    <row r="22" spans="3:17" ht="12.75">
      <c r="C22" s="28">
        <v>0.001086909</v>
      </c>
      <c r="D22" s="15"/>
      <c r="E22" s="15"/>
      <c r="F22" s="15"/>
      <c r="G22" s="29"/>
      <c r="H22" s="15"/>
      <c r="I22" s="15"/>
      <c r="J22" s="15"/>
      <c r="N22" s="35"/>
      <c r="O22" s="34"/>
      <c r="P22" s="35"/>
      <c r="Q22" s="55"/>
    </row>
    <row r="23" spans="3:16" ht="12.75">
      <c r="C23" s="15"/>
      <c r="D23" s="15"/>
      <c r="E23" s="26"/>
      <c r="F23" s="32"/>
      <c r="G23" s="32"/>
      <c r="H23" s="15"/>
      <c r="I23" s="14"/>
      <c r="N23" s="35"/>
      <c r="O23" s="34"/>
      <c r="P23" s="35"/>
    </row>
    <row r="24" spans="3:16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4"/>
      <c r="P24" s="35"/>
    </row>
    <row r="25" spans="3:16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O25" s="34"/>
      <c r="P25" s="35"/>
    </row>
    <row r="26" spans="3:16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O26" s="34"/>
      <c r="P26" s="35"/>
    </row>
    <row r="27" spans="3:16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O27" s="34"/>
      <c r="P27" s="35"/>
    </row>
    <row r="28" spans="3:16" ht="12.75">
      <c r="C28" s="15"/>
      <c r="E28" s="26">
        <v>42271</v>
      </c>
      <c r="G28" s="32">
        <v>-6961.62</v>
      </c>
      <c r="H28" s="15"/>
      <c r="I28" s="14"/>
      <c r="J28" s="14"/>
      <c r="K28" s="15"/>
      <c r="N28" s="35"/>
      <c r="O28" s="34"/>
      <c r="P28" s="35"/>
    </row>
    <row r="29" spans="3:11" ht="12.75">
      <c r="C29" s="15"/>
      <c r="E29" s="26">
        <v>42324</v>
      </c>
      <c r="G29" s="32">
        <v>-10587.93</v>
      </c>
      <c r="H29" s="15"/>
      <c r="I29" s="14"/>
      <c r="J29" s="14"/>
      <c r="K29" s="15"/>
    </row>
    <row r="30" spans="3:11" ht="12.75">
      <c r="C30" s="15"/>
      <c r="E30" s="26">
        <v>42367</v>
      </c>
      <c r="G30" s="32">
        <v>-28316.54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-46425.69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-10319.32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-7476.46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-6446.76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-21354.92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-50052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-73690.16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-8058.46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-35860.16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-13676.99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-20952</v>
      </c>
      <c r="H41" s="15"/>
      <c r="I41" s="14"/>
    </row>
    <row r="42" spans="3:9" ht="12.75">
      <c r="C42" s="15"/>
      <c r="D42" s="15"/>
      <c r="E42" s="26">
        <v>42656</v>
      </c>
      <c r="G42" s="32">
        <v>-22362.23</v>
      </c>
      <c r="H42" s="15"/>
      <c r="I42" s="14"/>
    </row>
    <row r="43" spans="3:9" ht="12.75">
      <c r="C43" s="15"/>
      <c r="D43" s="15"/>
      <c r="E43" s="26">
        <v>42704</v>
      </c>
      <c r="G43" s="32">
        <v>-19183.62</v>
      </c>
      <c r="H43" s="15"/>
      <c r="I43" s="14"/>
    </row>
    <row r="44" spans="3:9" ht="12.75">
      <c r="C44" s="15"/>
      <c r="D44" s="15"/>
      <c r="E44" s="26">
        <v>42719</v>
      </c>
      <c r="G44" s="32">
        <v>-20593.85</v>
      </c>
      <c r="H44" s="15"/>
      <c r="I44" s="14"/>
    </row>
    <row r="45" spans="3:9" ht="12.75">
      <c r="C45" s="15"/>
      <c r="D45" s="15"/>
      <c r="E45" s="26">
        <v>42733</v>
      </c>
      <c r="G45" s="32">
        <v>-13318.84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17585.47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-12983.08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-13251.70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-22608.46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-31629.46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-18758.31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-16296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-71496.45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-15087.24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-17057.08</v>
      </c>
      <c r="H55" s="15"/>
      <c r="I55" s="14"/>
    </row>
    <row r="56" spans="3:9" ht="12.75">
      <c r="C56" s="15"/>
      <c r="D56" s="15"/>
      <c r="E56" s="26">
        <v>42893</v>
      </c>
      <c r="G56" s="32">
        <v>-32032.38</v>
      </c>
      <c r="H56" s="15"/>
      <c r="I56" s="14"/>
    </row>
    <row r="57" spans="3:9" ht="12.75">
      <c r="C57" s="15"/>
      <c r="D57" s="15"/>
      <c r="E57" s="26">
        <v>42907</v>
      </c>
      <c r="G57" s="32">
        <v>-16989.92</v>
      </c>
      <c r="H57" s="15"/>
      <c r="I57" s="14"/>
    </row>
    <row r="58" spans="3:9" ht="12.75">
      <c r="C58" s="15"/>
      <c r="D58" s="15"/>
      <c r="E58" s="26">
        <v>42915</v>
      </c>
      <c r="G58" s="32">
        <v>-38949.24</v>
      </c>
      <c r="H58" s="15"/>
      <c r="I58" s="14"/>
    </row>
    <row r="59" spans="3:9" ht="12.75">
      <c r="C59" s="15"/>
      <c r="D59" s="15"/>
      <c r="E59" s="26">
        <v>42927</v>
      </c>
      <c r="G59" s="32">
        <v>-13878.47</v>
      </c>
      <c r="H59" s="15"/>
      <c r="I59" s="14"/>
    </row>
    <row r="60" spans="3:9" ht="12.75">
      <c r="C60" s="15"/>
      <c r="D60" s="15"/>
      <c r="E60" s="26">
        <v>42957</v>
      </c>
      <c r="G60" s="32">
        <v>-21265.38</v>
      </c>
      <c r="H60" s="15"/>
      <c r="I60" s="14"/>
    </row>
    <row r="61" spans="3:9" ht="12.75">
      <c r="C61" s="15"/>
      <c r="D61" s="15"/>
      <c r="E61" s="26">
        <v>42970</v>
      </c>
      <c r="G61" s="32">
        <v>-45910.85</v>
      </c>
      <c r="H61" s="15"/>
      <c r="I61" s="14"/>
    </row>
    <row r="62" spans="3:11" ht="12.75">
      <c r="C62" s="15"/>
      <c r="D62" s="15"/>
      <c r="E62" s="26">
        <v>42993</v>
      </c>
      <c r="G62" s="32">
        <v>-16452.68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-23817.22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-23794.85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-23347.15</v>
      </c>
      <c r="H65" s="15"/>
      <c r="I65" s="14"/>
      <c r="J65" s="14"/>
      <c r="K65" s="15"/>
      <c r="L65" s="10"/>
    </row>
    <row r="66" spans="3:12" ht="12.75">
      <c r="C66" s="15"/>
      <c r="D66" s="15"/>
      <c r="E66" s="26">
        <v>43046</v>
      </c>
      <c r="G66" s="32">
        <v>-23481.45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43056</v>
      </c>
      <c r="G67" s="32">
        <v>-21713.07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43083</v>
      </c>
      <c r="G68" s="32">
        <v>-20996.77</v>
      </c>
      <c r="H68" s="15"/>
      <c r="I68" s="14"/>
      <c r="J68" s="14"/>
      <c r="K68" s="15"/>
      <c r="L68" s="58"/>
    </row>
    <row r="69" spans="3:12" ht="12.75">
      <c r="C69" s="15" t="s">
        <v>16</v>
      </c>
      <c r="D69" s="15"/>
      <c r="E69" s="26">
        <v>42780</v>
      </c>
      <c r="G69" s="32">
        <v>101364.70</v>
      </c>
      <c r="H69" s="15"/>
      <c r="I69" s="14"/>
      <c r="J69" s="14"/>
      <c r="K69" s="15"/>
      <c r="L69" s="58"/>
    </row>
    <row r="70" spans="3:11" ht="12.75">
      <c r="C70" s="15"/>
      <c r="D70" s="15"/>
      <c r="E70" s="26">
        <v>42822</v>
      </c>
      <c r="G70" s="32">
        <v>70252.75</v>
      </c>
      <c r="H70" s="15"/>
      <c r="I70" s="14"/>
      <c r="J70" s="14"/>
      <c r="K70" s="15"/>
    </row>
    <row r="71" spans="3:11" ht="12.75">
      <c r="C71" s="15"/>
      <c r="D71" s="15"/>
      <c r="E71" s="26">
        <v>42906</v>
      </c>
      <c r="G71" s="32">
        <v>12442.49</v>
      </c>
      <c r="H71" s="15"/>
      <c r="I71" s="14"/>
      <c r="J71" s="14"/>
      <c r="K71" s="15"/>
    </row>
    <row r="72" spans="3:11" ht="12.75">
      <c r="C72" s="15"/>
      <c r="D72" s="15"/>
      <c r="E72" s="26">
        <v>42970</v>
      </c>
      <c r="G72" s="32">
        <v>4910.85</v>
      </c>
      <c r="H72" s="15"/>
      <c r="I72" s="14"/>
      <c r="J72" s="14"/>
      <c r="K72" s="15"/>
    </row>
    <row r="73" spans="3:11" ht="12.75">
      <c r="C73" s="15" t="s">
        <v>17</v>
      </c>
      <c r="D73" s="15"/>
      <c r="E73" s="26">
        <v>43104</v>
      </c>
      <c r="G73" s="32">
        <v>-19586.53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-18825.46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-51798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-20772.92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-16564.61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-21511.63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-36509.3</v>
      </c>
      <c r="H79" s="15"/>
      <c r="I79" s="14"/>
      <c r="J79" s="14"/>
      <c r="K79" s="15"/>
    </row>
    <row r="80" spans="3:11" ht="12.75">
      <c r="C80" s="15" t="s">
        <v>18</v>
      </c>
      <c r="D80" s="15"/>
      <c r="E80" s="26">
        <v>43439</v>
      </c>
      <c r="G80" s="32">
        <v>-22787.54</v>
      </c>
      <c r="H80" s="15"/>
      <c r="I80" s="14"/>
      <c r="J80" s="14"/>
      <c r="K80" s="15"/>
    </row>
    <row r="81" spans="4:11" ht="12.75">
      <c r="D81" s="15"/>
      <c r="E81" s="26">
        <v>43167</v>
      </c>
      <c r="G81" s="32">
        <v>4586.18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13656.12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9094.49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4493.27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5024.01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27971.27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16180.48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9793.01</v>
      </c>
      <c r="H102" s="15"/>
      <c r="I102" s="14"/>
      <c r="J102" s="14"/>
      <c r="K102" s="15"/>
    </row>
    <row r="103" spans="3:11" ht="12.75" customHeight="1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</row>
    <row r="104" spans="3:12" ht="12.75" customHeight="1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L104" s="10"/>
    </row>
    <row r="105" spans="3:12" ht="12.75" customHeight="1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L105" s="10"/>
    </row>
    <row r="106" spans="3:12" ht="12.75" customHeight="1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L106" s="10"/>
    </row>
    <row r="107" spans="3:12" ht="12.75" customHeight="1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L107" s="10"/>
    </row>
    <row r="108" spans="3:12" ht="12.75" customHeight="1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L108" s="10"/>
    </row>
    <row r="109" spans="3:12" ht="12.75" customHeight="1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L109" s="10"/>
    </row>
    <row r="110" spans="3:12" ht="12.75" customHeight="1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L110" s="10"/>
    </row>
    <row r="111" spans="3:12" ht="12.75" customHeight="1">
      <c r="C111" s="15" t="s">
        <v>22</v>
      </c>
      <c r="D111" s="15"/>
      <c r="E111" s="26">
        <v>44217</v>
      </c>
      <c r="F111" s="32"/>
      <c r="G111" s="32">
        <v>16848.9</v>
      </c>
      <c r="H111" s="15"/>
      <c r="I111" s="14"/>
      <c r="J111" s="14"/>
      <c r="K111" s="15"/>
      <c r="L111" s="10"/>
    </row>
    <row r="112" spans="3:12" ht="12.75" customHeight="1">
      <c r="C112" s="15"/>
      <c r="D112" s="15"/>
      <c r="E112" s="26">
        <v>44256</v>
      </c>
      <c r="F112" s="32"/>
      <c r="G112" s="32">
        <v>127881.02</v>
      </c>
      <c r="H112" s="15"/>
      <c r="I112" s="14"/>
      <c r="J112" s="14"/>
      <c r="K112" s="15"/>
      <c r="L112" s="10"/>
    </row>
    <row r="113" spans="3:12" ht="12.75" customHeight="1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L113" s="10"/>
    </row>
    <row r="114" spans="3:12" ht="12.75" customHeight="1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L114" s="10"/>
    </row>
    <row r="115" spans="3:12" ht="12.75" customHeight="1">
      <c r="C115" s="15"/>
      <c r="D115" s="15"/>
      <c r="E115" s="26">
        <v>44371</v>
      </c>
      <c r="F115" s="32"/>
      <c r="G115" s="32">
        <v>5986.33</v>
      </c>
      <c r="H115" s="15"/>
      <c r="I115" s="14"/>
      <c r="J115" s="14"/>
      <c r="K115" s="15"/>
      <c r="L115" s="10"/>
    </row>
    <row r="116" spans="3:12" ht="12.75" customHeight="1">
      <c r="C116" s="15"/>
      <c r="D116" s="15"/>
      <c r="E116" s="26">
        <v>44386</v>
      </c>
      <c r="F116" s="32"/>
      <c r="G116" s="32">
        <v>8536.12</v>
      </c>
      <c r="H116" s="15"/>
      <c r="I116" s="14"/>
      <c r="J116" s="14"/>
      <c r="K116" s="15"/>
      <c r="L116" s="10"/>
    </row>
    <row r="117" spans="3:12" ht="12.75" customHeight="1">
      <c r="C117" s="15"/>
      <c r="D117" s="15"/>
      <c r="E117" s="26">
        <v>44417</v>
      </c>
      <c r="F117" s="32"/>
      <c r="G117" s="32">
        <v>9278.22</v>
      </c>
      <c r="H117" s="15"/>
      <c r="I117" s="14"/>
      <c r="J117" s="14"/>
      <c r="K117" s="15"/>
      <c r="L117" s="10"/>
    </row>
    <row r="118" spans="3:12" ht="12.75" customHeight="1">
      <c r="C118" s="15"/>
      <c r="D118" s="15"/>
      <c r="E118" s="26">
        <v>44446</v>
      </c>
      <c r="F118" s="32"/>
      <c r="G118" s="32">
        <v>8939.64</v>
      </c>
      <c r="H118" s="15"/>
      <c r="I118" s="14"/>
      <c r="J118" s="14"/>
      <c r="K118" s="15"/>
      <c r="L118" s="10"/>
    </row>
    <row r="119" spans="3:12" ht="12.75" customHeight="1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L119" s="10"/>
    </row>
    <row r="120" spans="3:12" ht="12.75" customHeight="1">
      <c r="C120" s="15"/>
      <c r="D120" s="15"/>
      <c r="E120" s="26">
        <v>44489</v>
      </c>
      <c r="F120" s="32"/>
      <c r="G120" s="32">
        <v>36503.26</v>
      </c>
      <c r="H120" s="15"/>
      <c r="I120" s="14"/>
      <c r="J120" s="14"/>
      <c r="K120" s="15"/>
      <c r="L120" s="10"/>
    </row>
    <row r="121" spans="3:12" ht="12.75" customHeight="1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L121" s="10"/>
    </row>
    <row r="122" spans="3:12" ht="12.75" customHeight="1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L122" s="10"/>
    </row>
    <row r="123" spans="3:12" ht="12.75" customHeight="1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L123" s="10"/>
    </row>
    <row r="124" spans="3:12" ht="12.75" customHeight="1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L124" s="10"/>
    </row>
    <row r="125" spans="3:12" ht="12.75" customHeight="1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L125" s="10"/>
    </row>
    <row r="126" spans="3:12" ht="12.75" customHeight="1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L126" s="10"/>
    </row>
    <row r="127" spans="3:12" ht="12.75" customHeight="1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L127" s="10"/>
    </row>
    <row r="128" spans="3:12" ht="12.75" customHeight="1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L128" s="10"/>
    </row>
    <row r="129" spans="3:12" ht="12.75" customHeight="1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L129" s="10"/>
    </row>
    <row r="130" spans="3:12" ht="12.75" customHeight="1">
      <c r="C130" s="15"/>
      <c r="D130" s="15"/>
      <c r="E130" s="26">
        <v>44595</v>
      </c>
      <c r="F130" s="32"/>
      <c r="G130" s="32">
        <v>34793.75</v>
      </c>
      <c r="H130" s="15"/>
      <c r="I130" s="14"/>
      <c r="J130" s="14"/>
      <c r="K130" s="15"/>
      <c r="L130" s="10"/>
    </row>
    <row r="131" spans="3:12" ht="12.75" customHeight="1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L131" s="10"/>
    </row>
    <row r="132" spans="3:12" ht="12.75" customHeight="1">
      <c r="C132" s="15"/>
      <c r="D132" s="15"/>
      <c r="E132" s="26">
        <v>44655</v>
      </c>
      <c r="F132" s="32"/>
      <c r="G132" s="32">
        <v>87950.26</v>
      </c>
      <c r="H132" s="15"/>
      <c r="I132" s="14"/>
      <c r="J132" s="14"/>
      <c r="K132" s="15"/>
      <c r="L132" s="10"/>
    </row>
    <row r="133" spans="3:12" ht="12.75" customHeight="1">
      <c r="C133" s="15"/>
      <c r="D133" s="15"/>
      <c r="E133" s="26">
        <v>44690</v>
      </c>
      <c r="F133" s="32"/>
      <c r="G133" s="32">
        <v>44153.45</v>
      </c>
      <c r="H133" s="15"/>
      <c r="I133" s="14"/>
      <c r="J133" s="14"/>
      <c r="K133" s="15"/>
      <c r="L133" s="10"/>
    </row>
    <row r="134" spans="3:12" ht="12.75" customHeight="1">
      <c r="C134" s="15"/>
      <c r="D134" s="15"/>
      <c r="E134" s="26">
        <v>44714</v>
      </c>
      <c r="F134" s="32"/>
      <c r="G134" s="32">
        <v>63546.11</v>
      </c>
      <c r="H134" s="15"/>
      <c r="I134" s="14"/>
      <c r="J134" s="14"/>
      <c r="K134" s="15"/>
      <c r="L134" s="10"/>
    </row>
    <row r="135" spans="3:12" ht="12.75" customHeight="1">
      <c r="C135" s="15"/>
      <c r="D135" s="15"/>
      <c r="E135" s="26">
        <v>44754</v>
      </c>
      <c r="F135" s="32"/>
      <c r="G135" s="32">
        <v>63217.80</v>
      </c>
      <c r="H135" s="15"/>
      <c r="I135" s="14"/>
      <c r="J135" s="14"/>
      <c r="K135" s="15"/>
      <c r="L135" s="10"/>
    </row>
    <row r="136" spans="3:12" ht="12.75" customHeight="1">
      <c r="C136" s="15"/>
      <c r="D136" s="15"/>
      <c r="E136" s="26">
        <v>44782</v>
      </c>
      <c r="F136" s="32"/>
      <c r="G136" s="32">
        <v>13407.07</v>
      </c>
      <c r="H136" s="15"/>
      <c r="I136" s="14"/>
      <c r="J136" s="14"/>
      <c r="K136" s="15"/>
      <c r="L136" s="10"/>
    </row>
    <row r="137" spans="3:12" ht="12.75" customHeight="1">
      <c r="C137" s="15"/>
      <c r="D137" s="15"/>
      <c r="E137" s="26">
        <v>44806</v>
      </c>
      <c r="F137" s="32"/>
      <c r="G137" s="32">
        <v>62613.50</v>
      </c>
      <c r="H137" s="15"/>
      <c r="I137" s="14"/>
      <c r="J137" s="14"/>
      <c r="K137" s="15"/>
      <c r="L137" s="10"/>
    </row>
    <row r="138" spans="3:12" ht="12.75" customHeight="1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L138" s="10"/>
    </row>
    <row r="139" spans="3:12" ht="12.75" customHeight="1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L139" s="10"/>
    </row>
    <row r="140" spans="3:12" ht="12.75" customHeight="1">
      <c r="C140" s="15"/>
      <c r="D140" s="15"/>
      <c r="E140" s="26">
        <v>44901</v>
      </c>
      <c r="F140" s="32"/>
      <c r="G140" s="32">
        <v>9699.54</v>
      </c>
      <c r="H140" s="15"/>
      <c r="I140" s="14"/>
      <c r="J140" s="14"/>
      <c r="K140" s="15"/>
      <c r="L140" s="10"/>
    </row>
    <row r="141" spans="3:12" ht="12.75" customHeight="1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L141" s="10"/>
    </row>
    <row r="142" spans="3:12" ht="12.75" customHeight="1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L142" s="10"/>
    </row>
    <row r="143" spans="3:12" ht="12.75" customHeight="1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L143" s="10"/>
    </row>
    <row r="144" spans="3:12" ht="12.75" customHeight="1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L144" s="10"/>
    </row>
    <row r="145" spans="3:12" ht="12.75" customHeight="1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L145" s="10"/>
    </row>
    <row r="146" spans="3:12" ht="12.75" customHeight="1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L146" s="10"/>
    </row>
    <row r="147" spans="3:12" ht="12.75" customHeight="1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L147" s="10"/>
    </row>
    <row r="148" spans="3:12" ht="12.75" customHeight="1">
      <c r="C148" s="15"/>
      <c r="D148" s="15"/>
      <c r="E148" s="26">
        <v>44994</v>
      </c>
      <c r="F148" s="32"/>
      <c r="G148" s="32">
        <v>22712.60</v>
      </c>
      <c r="H148" s="15"/>
      <c r="I148" s="14"/>
      <c r="J148" s="14"/>
      <c r="K148" s="15"/>
      <c r="L148" s="10"/>
    </row>
    <row r="149" spans="3:12" ht="12.75" customHeight="1">
      <c r="C149" s="15"/>
      <c r="D149" s="15"/>
      <c r="E149" s="26">
        <v>45030</v>
      </c>
      <c r="F149" s="32"/>
      <c r="G149" s="32">
        <v>198953.47</v>
      </c>
      <c r="H149" s="15"/>
      <c r="I149" s="14"/>
      <c r="J149" s="14"/>
      <c r="K149" s="15"/>
      <c r="L149" s="10"/>
    </row>
    <row r="150" spans="3:12" ht="12.75" customHeight="1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L150" s="10"/>
    </row>
    <row r="151" spans="3:12" ht="12.75" customHeight="1">
      <c r="C151" s="15"/>
      <c r="D151" s="15"/>
      <c r="E151" s="26">
        <v>45091</v>
      </c>
      <c r="F151" s="32"/>
      <c r="G151" s="32">
        <v>148119.27</v>
      </c>
      <c r="H151" s="15"/>
      <c r="I151" s="14"/>
      <c r="J151" s="14"/>
      <c r="K151" s="15"/>
      <c r="L151" s="10"/>
    </row>
    <row r="152" spans="3:12" ht="12.75" customHeight="1">
      <c r="C152" s="15"/>
      <c r="D152" s="15"/>
      <c r="E152" s="26">
        <v>45114</v>
      </c>
      <c r="F152" s="32"/>
      <c r="G152" s="32">
        <v>12558.65</v>
      </c>
      <c r="H152" s="15"/>
      <c r="I152" s="14"/>
      <c r="J152" s="14"/>
      <c r="K152" s="15"/>
      <c r="L152" s="10"/>
    </row>
    <row r="153" spans="3:12" ht="12.75" customHeight="1">
      <c r="C153" s="15"/>
      <c r="D153" s="15"/>
      <c r="E153" s="26">
        <v>45154</v>
      </c>
      <c r="F153" s="32"/>
      <c r="G153" s="32">
        <v>117101.04</v>
      </c>
      <c r="H153" s="15"/>
      <c r="I153" s="14"/>
      <c r="J153" s="14"/>
      <c r="K153" s="15"/>
      <c r="L153" s="10"/>
    </row>
    <row r="154" spans="3:12" ht="12.75" customHeight="1">
      <c r="C154" s="15"/>
      <c r="D154" s="15"/>
      <c r="E154" s="26">
        <v>45176</v>
      </c>
      <c r="F154" s="32"/>
      <c r="G154" s="32">
        <v>23850.18</v>
      </c>
      <c r="H154" s="15"/>
      <c r="I154" s="14"/>
      <c r="J154" s="14"/>
      <c r="K154" s="15"/>
      <c r="L154" s="10"/>
    </row>
    <row r="155" spans="3:12" ht="12.75" customHeight="1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L155" s="10"/>
    </row>
    <row r="156" spans="3:12" ht="12.75" customHeight="1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L156" s="10"/>
    </row>
    <row r="157" spans="3:12" ht="12.75" customHeight="1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L157" s="10"/>
    </row>
    <row r="158" spans="3:12" ht="12.75" customHeight="1">
      <c r="C158" s="15"/>
      <c r="D158" s="15"/>
      <c r="E158" s="26">
        <v>45267</v>
      </c>
      <c r="F158" s="32"/>
      <c r="G158" s="32">
        <v>33350.35</v>
      </c>
      <c r="H158" s="15"/>
      <c r="I158" s="14"/>
      <c r="J158" s="14"/>
      <c r="K158" s="15"/>
      <c r="L158" s="10"/>
    </row>
    <row r="159" spans="3:12" ht="12.75" customHeight="1">
      <c r="C159" s="15" t="s">
        <v>36</v>
      </c>
      <c r="D159" s="15"/>
      <c r="E159" s="26">
        <v>45393</v>
      </c>
      <c r="F159" s="32"/>
      <c r="G159" s="32">
        <v>-4544.07</v>
      </c>
      <c r="H159" s="15"/>
      <c r="I159" s="14"/>
      <c r="J159" s="14"/>
      <c r="K159" s="15"/>
      <c r="L159" s="10"/>
    </row>
    <row r="160" spans="3:12" ht="12.75" customHeight="1">
      <c r="C160" s="15" t="s">
        <v>35</v>
      </c>
      <c r="D160" s="15"/>
      <c r="E160" s="26">
        <v>45300</v>
      </c>
      <c r="F160" s="32"/>
      <c r="G160" s="32">
        <v>12656.29</v>
      </c>
      <c r="H160" s="15"/>
      <c r="I160" s="14"/>
      <c r="J160" s="14"/>
      <c r="K160" s="15"/>
      <c r="L160" s="10"/>
    </row>
    <row r="161" spans="3:12" ht="12.75" customHeight="1">
      <c r="C161" s="15"/>
      <c r="D161" s="15"/>
      <c r="E161" s="26">
        <v>45327</v>
      </c>
      <c r="F161" s="32"/>
      <c r="G161" s="32">
        <v>5187.23</v>
      </c>
      <c r="H161" s="15"/>
      <c r="I161" s="14"/>
      <c r="J161" s="14"/>
      <c r="K161" s="15"/>
      <c r="L161" s="10"/>
    </row>
    <row r="162" spans="3:12" ht="12.75" customHeight="1">
      <c r="C162" s="15"/>
      <c r="D162" s="15"/>
      <c r="E162" s="26">
        <v>45358</v>
      </c>
      <c r="F162" s="32"/>
      <c r="G162" s="32">
        <v>4247.26</v>
      </c>
      <c r="H162" s="15"/>
      <c r="I162" s="14"/>
      <c r="J162" s="14"/>
      <c r="K162" s="15"/>
      <c r="L162" s="10"/>
    </row>
    <row r="163" spans="3:12" ht="12.75" customHeight="1">
      <c r="C163" s="15"/>
      <c r="D163" s="15"/>
      <c r="E163" s="26">
        <v>45385</v>
      </c>
      <c r="F163" s="32"/>
      <c r="G163" s="32">
        <v>1813.99</v>
      </c>
      <c r="H163" s="15"/>
      <c r="I163" s="14"/>
      <c r="J163" s="14"/>
      <c r="K163" s="15"/>
      <c r="L163" s="10"/>
    </row>
    <row r="164" spans="3:12" ht="12.75" customHeight="1">
      <c r="C164" s="15"/>
      <c r="D164" s="15"/>
      <c r="E164" s="26">
        <v>45418</v>
      </c>
      <c r="F164" s="32"/>
      <c r="G164" s="32">
        <v>4135.80</v>
      </c>
      <c r="H164" s="15"/>
      <c r="I164" s="14"/>
      <c r="J164" s="14"/>
      <c r="K164" s="15"/>
      <c r="L164" s="10"/>
    </row>
    <row r="165" spans="3:12" ht="12.75" customHeight="1">
      <c r="C165" s="15"/>
      <c r="D165" s="15"/>
      <c r="E165" s="26">
        <v>45450</v>
      </c>
      <c r="F165" s="32"/>
      <c r="G165" s="32">
        <v>6175.20</v>
      </c>
      <c r="H165" s="15"/>
      <c r="I165" s="14"/>
      <c r="J165" s="14"/>
      <c r="K165" s="15"/>
      <c r="L165" s="10"/>
    </row>
    <row r="166" spans="3:12" ht="4.5" customHeight="1">
      <c r="C166" s="15"/>
      <c r="D166" s="15"/>
      <c r="E166" s="26"/>
      <c r="F166" s="15"/>
      <c r="G166" s="32"/>
      <c r="H166" s="15"/>
      <c r="I166" s="14"/>
      <c r="J166" s="14"/>
      <c r="L166" s="10"/>
    </row>
    <row r="167" spans="3:13" ht="15.75">
      <c r="C167" s="15" t="s">
        <v>25</v>
      </c>
      <c r="D167" s="15"/>
      <c r="E167" s="26">
        <f>+E8</f>
        <v>45473</v>
      </c>
      <c r="F167" s="15"/>
      <c r="G167" s="33">
        <f>L167*C22</f>
        <v>950136.094103325</v>
      </c>
      <c r="H167" s="15"/>
      <c r="I167" s="26"/>
      <c r="L167" s="58">
        <v>8.74163425E8</v>
      </c>
      <c r="M167" s="10"/>
    </row>
    <row r="168" spans="3:8" ht="12.75">
      <c r="C168" s="15"/>
      <c r="D168" s="15"/>
      <c r="E168" s="15"/>
      <c r="F168" s="15"/>
      <c r="G168" s="15"/>
      <c r="H168" s="15"/>
    </row>
    <row r="169" spans="3:11" ht="12.75">
      <c r="C169" s="36" t="s">
        <v>28</v>
      </c>
      <c r="G169" s="37">
        <f>+XIRR(G24:G167,E24:E167,0.1)</f>
        <v>0.1491946041584015</v>
      </c>
      <c r="H169" s="15"/>
      <c r="J169" s="32">
        <f>+SUMIF($G$24:$G$166,"&lt;0",$G$24:$G$166)+23052.4</f>
        <v>-1566749.8099999996</v>
      </c>
      <c r="K169" s="15" t="s">
        <v>26</v>
      </c>
    </row>
    <row r="170" spans="3:11" ht="12.75">
      <c r="C170" s="15"/>
      <c r="D170" s="15"/>
      <c r="E170" s="15"/>
      <c r="F170" s="15"/>
      <c r="G170" s="15"/>
      <c r="H170" s="15"/>
      <c r="J170" s="32">
        <f>+SUMIF($G$24:$G$166,"&gt;0",$G$24:$G$166)-23052.4</f>
        <v>2038753.9500000004</v>
      </c>
      <c r="K170" s="15" t="s">
        <v>27</v>
      </c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39"/>
      <c r="D172" s="39"/>
      <c r="E172" s="38"/>
      <c r="F172" s="15"/>
      <c r="G172" s="38"/>
      <c r="H172" s="15"/>
    </row>
    <row r="173" spans="3:8" ht="12.75">
      <c r="C173" s="39"/>
      <c r="D173" s="39"/>
      <c r="E173" s="38"/>
      <c r="F173" s="39"/>
      <c r="G173" s="38"/>
      <c r="H173" s="15"/>
    </row>
    <row r="174" spans="3:8" ht="12.75">
      <c r="C174" s="39"/>
      <c r="D174" s="39"/>
      <c r="E174" s="38"/>
      <c r="F174" s="39"/>
      <c r="G174" s="38"/>
      <c r="H174" s="15"/>
    </row>
    <row r="175" spans="3:8" ht="12.75">
      <c r="C175" s="39"/>
      <c r="D175" s="39"/>
      <c r="E175" s="39"/>
      <c r="F175" s="39"/>
      <c r="G175" s="39"/>
      <c r="H175" s="36"/>
    </row>
    <row r="176" spans="3:8" ht="12.75">
      <c r="C176" s="39"/>
      <c r="D176" s="39"/>
      <c r="E176" s="38"/>
      <c r="F176" s="38"/>
      <c r="G176" s="38"/>
      <c r="H176" s="36"/>
    </row>
    <row r="177" spans="3:8" ht="12.75">
      <c r="C177" s="39"/>
      <c r="D177" s="39"/>
      <c r="E177" s="39"/>
      <c r="F177" s="39"/>
      <c r="G177" s="39"/>
      <c r="H177" s="36"/>
    </row>
    <row r="178" spans="3:8" ht="12.75">
      <c r="C178" s="39"/>
      <c r="D178" s="39"/>
      <c r="E178" s="59"/>
      <c r="F178" s="41"/>
      <c r="G178" s="59"/>
      <c r="H178" s="15"/>
    </row>
    <row r="179" spans="3:8" s="54" customFormat="1" ht="12.75">
      <c r="C179" s="39"/>
      <c r="D179" s="39"/>
      <c r="E179" s="41"/>
      <c r="F179" s="41"/>
      <c r="G179" s="41"/>
      <c r="H179" s="53"/>
    </row>
    <row r="180" spans="3:8" s="54" customFormat="1" ht="12.75">
      <c r="C180" s="39"/>
      <c r="D180" s="39"/>
      <c r="E180" s="41"/>
      <c r="F180" s="41"/>
      <c r="G180" s="41"/>
      <c r="H180" s="53"/>
    </row>
    <row r="181" spans="3:8" ht="12.75">
      <c r="C181" s="42"/>
      <c r="D181" s="39"/>
      <c r="E181" s="41"/>
      <c r="F181" s="41"/>
      <c r="G181" s="41"/>
      <c r="H181" s="15"/>
    </row>
    <row r="182" spans="3:8" ht="12.75">
      <c r="C182" s="42"/>
      <c r="D182" s="39"/>
      <c r="E182" s="41"/>
      <c r="F182" s="41"/>
      <c r="G182" s="41"/>
      <c r="H182" s="15"/>
    </row>
    <row r="183" spans="3:8" ht="12.75">
      <c r="C183" s="43"/>
      <c r="D183" s="39"/>
      <c r="E183" s="41"/>
      <c r="F183" s="41"/>
      <c r="G183" s="41"/>
      <c r="H183" s="15"/>
    </row>
    <row r="184" spans="3:8" s="54" customFormat="1" ht="12.75">
      <c r="C184" s="39"/>
      <c r="D184" s="39"/>
      <c r="E184" s="41"/>
      <c r="F184" s="41"/>
      <c r="G184" s="41"/>
      <c r="H184" s="53"/>
    </row>
    <row r="185" spans="3:8" ht="12.75">
      <c r="C185" s="39"/>
      <c r="D185" s="39"/>
      <c r="E185" s="41"/>
      <c r="F185" s="41"/>
      <c r="G185" s="41"/>
      <c r="H185" s="15"/>
    </row>
    <row r="186" spans="3:8" ht="12.75">
      <c r="C186" s="39"/>
      <c r="D186" s="39"/>
      <c r="E186" s="41"/>
      <c r="F186" s="41"/>
      <c r="G186" s="41"/>
      <c r="H186" s="15"/>
    </row>
    <row r="187" spans="3:8" ht="12.75">
      <c r="C187" s="39"/>
      <c r="D187" s="39"/>
      <c r="E187" s="41"/>
      <c r="F187" s="41"/>
      <c r="G187" s="41"/>
      <c r="H187" s="15"/>
    </row>
    <row r="188" spans="3:8" ht="12.75">
      <c r="C188" s="39"/>
      <c r="D188" s="39"/>
      <c r="E188" s="41"/>
      <c r="F188" s="41"/>
      <c r="G188" s="41"/>
      <c r="H188" s="15"/>
    </row>
    <row r="189" spans="3:8" ht="12.75">
      <c r="C189" s="39"/>
      <c r="D189" s="39"/>
      <c r="E189" s="41"/>
      <c r="F189" s="41"/>
      <c r="G189" s="41"/>
      <c r="H189" s="15"/>
    </row>
    <row r="190" spans="3:8" s="54" customFormat="1" ht="4.9" customHeight="1">
      <c r="C190" s="66"/>
      <c r="D190" s="36"/>
      <c r="E190" s="88"/>
      <c r="F190" s="44"/>
      <c r="G190" s="88"/>
      <c r="H190" s="53"/>
    </row>
    <row r="191" spans="3:8" ht="12.75">
      <c r="C191" s="15"/>
      <c r="D191" s="15"/>
      <c r="E191" s="15"/>
      <c r="F191" s="15"/>
      <c r="G191" s="15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tabColor rgb="FF92D050"/>
    <pageSetUpPr fitToPage="1"/>
  </sheetPr>
  <dimension ref="B4:O190"/>
  <sheetViews>
    <sheetView showGridLines="0" view="pageLayout" zoomScaleNormal="100" workbookViewId="0" topLeftCell="A142">
      <selection pane="topLeft" activeCell="A160" sqref="A160:XFD160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+'Fund X'!E8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5" ht="12.75" customHeight="1">
      <c r="C18" s="11" t="s">
        <v>1</v>
      </c>
      <c r="D18" s="11"/>
      <c r="E18" s="19">
        <f>G169</f>
        <v>0.16335826516151433</v>
      </c>
      <c r="F18" s="11"/>
      <c r="G18" s="18"/>
      <c r="H18" s="19"/>
      <c r="I18" s="49"/>
      <c r="M18" s="35"/>
      <c r="N18" s="34"/>
      <c r="O18" s="34"/>
    </row>
    <row r="19" spans="3:15" ht="12.75">
      <c r="C19" s="11" t="s">
        <v>2</v>
      </c>
      <c r="D19" s="11"/>
      <c r="E19" s="23">
        <f>-(G167+J170)/(J169)</f>
        <v>2.0406041662508128</v>
      </c>
      <c r="F19" s="11"/>
      <c r="G19" s="12"/>
      <c r="H19" s="13"/>
      <c r="M19" s="35"/>
      <c r="N19" s="34"/>
      <c r="O19" s="34"/>
    </row>
    <row r="20" spans="3:15" ht="12.75">
      <c r="C20" s="11"/>
      <c r="D20" s="11"/>
      <c r="E20" s="11"/>
      <c r="F20" s="11"/>
      <c r="G20" s="13"/>
      <c r="M20" s="35"/>
      <c r="N20" s="34"/>
      <c r="O20" s="34"/>
    </row>
    <row r="21" spans="3:15" ht="15.75">
      <c r="C21" s="24" t="s">
        <v>29</v>
      </c>
      <c r="D21" s="25"/>
      <c r="E21" s="25"/>
      <c r="F21" s="25"/>
      <c r="I21" s="26"/>
      <c r="J21" s="15"/>
      <c r="L21" s="27"/>
      <c r="M21" s="35"/>
      <c r="N21" s="34"/>
      <c r="O21" s="34"/>
    </row>
    <row r="22" spans="3:15" ht="12.75">
      <c r="C22" s="89">
        <v>0.009989242</v>
      </c>
      <c r="D22" s="15"/>
      <c r="E22" s="15"/>
      <c r="F22" s="15"/>
      <c r="G22" s="29"/>
      <c r="H22" s="15"/>
      <c r="I22" s="15"/>
      <c r="J22" s="15"/>
      <c r="M22" s="35"/>
      <c r="N22" s="34"/>
      <c r="O22" s="34"/>
    </row>
    <row r="23" spans="3:15" ht="12.75">
      <c r="C23" s="15"/>
      <c r="D23" s="15"/>
      <c r="E23" s="26"/>
      <c r="F23" s="32"/>
      <c r="G23" s="32"/>
      <c r="H23" s="15"/>
      <c r="I23" s="14"/>
      <c r="M23" s="35"/>
      <c r="N23" s="34"/>
      <c r="O23" s="34"/>
    </row>
    <row r="24" spans="3:15" ht="12.75">
      <c r="C24" s="15" t="s">
        <v>11</v>
      </c>
      <c r="D24" s="15"/>
      <c r="E24" s="26">
        <v>42089</v>
      </c>
      <c r="F24" s="32"/>
      <c r="G24" s="32">
        <v>-155350</v>
      </c>
      <c r="H24" s="15"/>
      <c r="I24" s="14"/>
      <c r="M24" s="35"/>
      <c r="N24" s="34"/>
      <c r="O24" s="34"/>
    </row>
    <row r="25" spans="3:15" ht="12.75">
      <c r="C25" s="15"/>
      <c r="D25" s="15"/>
      <c r="E25" s="26">
        <v>42118</v>
      </c>
      <c r="F25" s="32"/>
      <c r="G25" s="32">
        <v>49946.86</v>
      </c>
      <c r="H25" s="15"/>
      <c r="I25" s="14"/>
      <c r="M25" s="35"/>
      <c r="N25" s="34"/>
      <c r="O25" s="34"/>
    </row>
    <row r="26" spans="3:15" ht="12.75">
      <c r="C26" s="15"/>
      <c r="D26" s="15"/>
      <c r="E26" s="26">
        <v>42180</v>
      </c>
      <c r="F26" s="32"/>
      <c r="G26" s="32">
        <v>-15374.51</v>
      </c>
      <c r="H26" s="15"/>
      <c r="I26" s="14"/>
      <c r="M26" s="35"/>
      <c r="N26" s="34"/>
      <c r="O26" s="34"/>
    </row>
    <row r="27" spans="3:15" ht="12.75">
      <c r="C27" s="15"/>
      <c r="D27" s="15"/>
      <c r="E27" s="26">
        <v>42201</v>
      </c>
      <c r="F27" s="32"/>
      <c r="G27" s="32">
        <v>-4801.51</v>
      </c>
      <c r="H27" s="15"/>
      <c r="I27" s="14"/>
      <c r="M27" s="35"/>
      <c r="N27" s="34"/>
      <c r="O27" s="34"/>
    </row>
    <row r="28" spans="3:15" ht="12.75">
      <c r="C28" s="15"/>
      <c r="E28" s="26">
        <v>42271</v>
      </c>
      <c r="G28" s="32">
        <v>-15083.50</v>
      </c>
      <c r="H28" s="15"/>
      <c r="I28" s="14"/>
      <c r="J28" s="14"/>
      <c r="K28" s="15"/>
      <c r="M28" s="35"/>
      <c r="N28" s="34"/>
      <c r="O28" s="34"/>
    </row>
    <row r="29" spans="5:11" ht="12.75">
      <c r="E29" s="26">
        <v>42324</v>
      </c>
      <c r="G29" s="32">
        <v>-22940.50</v>
      </c>
      <c r="H29" s="15"/>
      <c r="I29" s="14"/>
      <c r="J29" s="14"/>
      <c r="K29" s="15"/>
    </row>
    <row r="30" spans="5:11" ht="12.75">
      <c r="E30" s="26">
        <v>42367</v>
      </c>
      <c r="G30" s="32">
        <v>-61352.50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-100589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-22358.50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-16199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-13968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-46268.99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-108446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-159662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-17460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-77697.02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-29633.49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-45396</v>
      </c>
      <c r="H41" s="15"/>
      <c r="I41" s="14"/>
    </row>
    <row r="42" spans="3:9" ht="12.75">
      <c r="C42" s="15"/>
      <c r="D42" s="15"/>
      <c r="E42" s="26">
        <v>42656</v>
      </c>
      <c r="G42" s="32">
        <v>-48451.50</v>
      </c>
      <c r="H42" s="15"/>
      <c r="I42" s="14"/>
    </row>
    <row r="43" spans="3:9" ht="12.75">
      <c r="C43" s="15"/>
      <c r="D43" s="15"/>
      <c r="E43" s="26">
        <v>42704</v>
      </c>
      <c r="G43" s="32">
        <v>-41564.50</v>
      </c>
      <c r="H43" s="15"/>
      <c r="I43" s="14"/>
    </row>
    <row r="44" spans="3:9" ht="12.75">
      <c r="C44" s="15"/>
      <c r="D44" s="15"/>
      <c r="E44" s="26">
        <v>42719</v>
      </c>
      <c r="G44" s="32">
        <v>-44620</v>
      </c>
      <c r="H44" s="15"/>
      <c r="I44" s="14"/>
    </row>
    <row r="45" spans="3:9" ht="12.75">
      <c r="C45" s="15"/>
      <c r="D45" s="15"/>
      <c r="E45" s="26">
        <v>42733</v>
      </c>
      <c r="G45" s="32">
        <v>-28857.49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37881.40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-28130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-28711.99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-48985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-68530.51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-40643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-35308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-154909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-32689.01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-36957</v>
      </c>
      <c r="H55" s="15"/>
      <c r="I55" s="14"/>
    </row>
    <row r="56" spans="3:9" ht="12.75">
      <c r="C56" s="15"/>
      <c r="D56" s="15"/>
      <c r="E56" s="26">
        <v>42893</v>
      </c>
      <c r="G56" s="32">
        <v>-69403.50</v>
      </c>
      <c r="H56" s="15"/>
      <c r="I56" s="14"/>
    </row>
    <row r="57" spans="3:9" ht="12.75">
      <c r="C57" s="15"/>
      <c r="D57" s="15"/>
      <c r="E57" s="26">
        <v>42907</v>
      </c>
      <c r="G57" s="32">
        <v>-36811.50</v>
      </c>
      <c r="H57" s="15"/>
      <c r="I57" s="14"/>
    </row>
    <row r="58" spans="3:9" ht="12.75">
      <c r="C58" s="15"/>
      <c r="D58" s="15"/>
      <c r="E58" s="26">
        <v>42915</v>
      </c>
      <c r="G58" s="32">
        <v>-84390</v>
      </c>
      <c r="H58" s="15"/>
      <c r="I58" s="14"/>
    </row>
    <row r="59" spans="3:9" ht="12.75">
      <c r="C59" s="15"/>
      <c r="D59" s="15"/>
      <c r="E59" s="26">
        <v>42927</v>
      </c>
      <c r="G59" s="32">
        <v>-30070</v>
      </c>
      <c r="H59" s="15"/>
      <c r="I59" s="14"/>
    </row>
    <row r="60" spans="3:9" ht="12.75">
      <c r="C60" s="15"/>
      <c r="D60" s="15"/>
      <c r="E60" s="26">
        <v>42957</v>
      </c>
      <c r="G60" s="32">
        <v>-46075</v>
      </c>
      <c r="H60" s="15"/>
      <c r="I60" s="14"/>
    </row>
    <row r="61" spans="3:9" ht="12.75">
      <c r="C61" s="15"/>
      <c r="D61" s="15"/>
      <c r="E61" s="26">
        <v>42970</v>
      </c>
      <c r="G61" s="32">
        <v>-99473.50</v>
      </c>
      <c r="H61" s="15"/>
      <c r="I61" s="14"/>
    </row>
    <row r="62" spans="3:11" ht="12.75">
      <c r="C62" s="15"/>
      <c r="D62" s="15"/>
      <c r="E62" s="26">
        <v>42993</v>
      </c>
      <c r="G62" s="32">
        <v>-35647.50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-51604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-51555.50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-50585.50</v>
      </c>
      <c r="H65" s="15"/>
      <c r="I65" s="14"/>
      <c r="J65" s="14"/>
      <c r="K65" s="15"/>
      <c r="L65" s="10"/>
    </row>
    <row r="66" spans="3:12" ht="12.75">
      <c r="C66" s="15"/>
      <c r="D66" s="15"/>
      <c r="E66" s="26">
        <v>43046</v>
      </c>
      <c r="G66" s="32">
        <v>-50876.49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43056</v>
      </c>
      <c r="G67" s="32">
        <v>-47045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43083</v>
      </c>
      <c r="G68" s="32">
        <v>-45493</v>
      </c>
      <c r="H68" s="15"/>
      <c r="I68" s="14"/>
      <c r="J68" s="14"/>
      <c r="K68" s="15"/>
      <c r="L68" s="58"/>
    </row>
    <row r="69" spans="3:12" ht="12.75">
      <c r="C69" s="15" t="s">
        <v>16</v>
      </c>
      <c r="D69" s="15"/>
      <c r="E69" s="26">
        <v>42780</v>
      </c>
      <c r="G69" s="32">
        <v>219636.89</v>
      </c>
      <c r="H69" s="15"/>
      <c r="I69" s="14"/>
      <c r="J69" s="14"/>
      <c r="K69" s="15"/>
      <c r="L69" s="58"/>
    </row>
    <row r="70" spans="3:11" ht="12.75">
      <c r="C70" s="15"/>
      <c r="D70" s="15"/>
      <c r="E70" s="26">
        <v>42822</v>
      </c>
      <c r="G70" s="32">
        <v>156941.24</v>
      </c>
      <c r="H70" s="15"/>
      <c r="I70" s="14"/>
      <c r="J70" s="14"/>
      <c r="K70" s="15"/>
    </row>
    <row r="71" spans="3:11" ht="12.75">
      <c r="C71" s="15"/>
      <c r="D71" s="15"/>
      <c r="E71" s="26">
        <v>42906</v>
      </c>
      <c r="G71" s="32">
        <v>26826.13</v>
      </c>
      <c r="H71" s="15"/>
      <c r="I71" s="14"/>
      <c r="J71" s="14"/>
      <c r="K71" s="15"/>
    </row>
    <row r="72" spans="3:11" ht="12.75">
      <c r="C72" s="15"/>
      <c r="D72" s="15"/>
      <c r="E72" s="26">
        <v>42970</v>
      </c>
      <c r="G72" s="32">
        <v>10515.41</v>
      </c>
      <c r="H72" s="15"/>
      <c r="I72" s="14"/>
      <c r="J72" s="14"/>
      <c r="K72" s="15"/>
    </row>
    <row r="73" spans="3:11" ht="12.75">
      <c r="C73" s="15" t="s">
        <v>17</v>
      </c>
      <c r="D73" s="15"/>
      <c r="E73" s="26">
        <v>43104</v>
      </c>
      <c r="G73" s="32">
        <v>-42437.51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-40788.50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-112229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-45007.99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-35890.01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-46608.51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-79103.50</v>
      </c>
      <c r="H79" s="15"/>
      <c r="I79" s="14"/>
      <c r="J79" s="14"/>
      <c r="K79" s="15"/>
    </row>
    <row r="80" spans="3:11" ht="12.75">
      <c r="C80" s="15"/>
      <c r="D80" s="15"/>
      <c r="E80" s="26">
        <v>43439</v>
      </c>
      <c r="G80" s="32">
        <v>-49373</v>
      </c>
      <c r="H80" s="15"/>
      <c r="I80" s="14"/>
      <c r="J80" s="14"/>
      <c r="K80" s="15"/>
    </row>
    <row r="81" spans="3:11" ht="12.75">
      <c r="C81" s="15" t="s">
        <v>18</v>
      </c>
      <c r="D81" s="15"/>
      <c r="E81" s="26">
        <v>43167</v>
      </c>
      <c r="G81" s="32">
        <v>11812.57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29353.12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17341.60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-28129.99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-31137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-27790.50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-43456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-74593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-34192.50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-34144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9634.96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10836.58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60129.25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11437.15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-21146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-15811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-20612.50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-17896.50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-12658.50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-24007.50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36192.72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21489.23</v>
      </c>
      <c r="H102" s="15"/>
      <c r="I102" s="14"/>
      <c r="J102" s="14"/>
      <c r="K102" s="15"/>
    </row>
    <row r="103" spans="3:11" ht="12.75">
      <c r="C103" s="15" t="s">
        <v>31</v>
      </c>
      <c r="D103" s="15"/>
      <c r="E103" s="26">
        <v>44201</v>
      </c>
      <c r="F103" s="32"/>
      <c r="G103" s="32">
        <v>-12804</v>
      </c>
      <c r="H103" s="15"/>
      <c r="I103" s="14"/>
      <c r="J103" s="14"/>
      <c r="K103" s="15"/>
    </row>
    <row r="104" spans="3:11" ht="12.75">
      <c r="C104" s="15"/>
      <c r="D104" s="15"/>
      <c r="E104" s="26">
        <v>44246</v>
      </c>
      <c r="F104" s="32"/>
      <c r="G104" s="32">
        <v>-72750</v>
      </c>
      <c r="H104" s="15"/>
      <c r="I104" s="14"/>
      <c r="J104" s="14"/>
      <c r="K104" s="15"/>
    </row>
    <row r="105" spans="3:11" ht="12.75">
      <c r="C105" s="15"/>
      <c r="D105" s="15"/>
      <c r="E105" s="26">
        <v>44267</v>
      </c>
      <c r="F105" s="32"/>
      <c r="G105" s="32">
        <v>-7226.50</v>
      </c>
      <c r="H105" s="15"/>
      <c r="I105" s="14"/>
      <c r="J105" s="14"/>
      <c r="K105" s="15"/>
    </row>
    <row r="106" spans="3:11" ht="12.75">
      <c r="C106" s="15"/>
      <c r="D106" s="15"/>
      <c r="E106" s="26">
        <v>44285</v>
      </c>
      <c r="F106" s="32"/>
      <c r="G106" s="32">
        <v>-9118</v>
      </c>
      <c r="H106" s="15"/>
      <c r="I106" s="14"/>
      <c r="J106" s="14"/>
      <c r="K106" s="15"/>
    </row>
    <row r="107" spans="3:11" ht="12.75">
      <c r="C107" s="15"/>
      <c r="D107" s="15"/>
      <c r="E107" s="26">
        <v>44308</v>
      </c>
      <c r="F107" s="32"/>
      <c r="G107" s="32">
        <v>-24153</v>
      </c>
      <c r="H107" s="15"/>
      <c r="I107" s="14"/>
      <c r="J107" s="14"/>
      <c r="K107" s="15"/>
    </row>
    <row r="108" spans="3:11" ht="12.75">
      <c r="C108" s="15"/>
      <c r="D108" s="15"/>
      <c r="E108" s="26">
        <v>44348</v>
      </c>
      <c r="F108" s="32"/>
      <c r="G108" s="32">
        <v>-53495.50</v>
      </c>
      <c r="H108" s="15"/>
      <c r="I108" s="14"/>
      <c r="J108" s="14"/>
      <c r="K108" s="15"/>
    </row>
    <row r="109" spans="3:11" ht="12.75">
      <c r="C109" s="15"/>
      <c r="D109" s="15"/>
      <c r="E109" s="26">
        <v>44467</v>
      </c>
      <c r="F109" s="32"/>
      <c r="G109" s="32">
        <v>-7857</v>
      </c>
      <c r="H109" s="15"/>
      <c r="I109" s="14"/>
      <c r="J109" s="14"/>
      <c r="K109" s="15"/>
    </row>
    <row r="110" spans="3:11" ht="12.75">
      <c r="C110" s="15"/>
      <c r="D110" s="15"/>
      <c r="E110" s="26">
        <v>44546</v>
      </c>
      <c r="F110" s="32"/>
      <c r="G110" s="32">
        <v>-35890</v>
      </c>
      <c r="H110" s="15"/>
      <c r="I110" s="14"/>
      <c r="J110" s="14"/>
      <c r="K110" s="15"/>
    </row>
    <row r="111" spans="3:11" ht="12.75">
      <c r="C111" s="15" t="s">
        <v>22</v>
      </c>
      <c r="D111" s="15"/>
      <c r="E111" s="26">
        <v>44217</v>
      </c>
      <c r="F111" s="32"/>
      <c r="G111" s="32">
        <v>33239.26</v>
      </c>
      <c r="H111" s="15"/>
      <c r="I111" s="14"/>
      <c r="J111" s="14"/>
      <c r="K111" s="15"/>
    </row>
    <row r="112" spans="3:11" ht="12.75">
      <c r="C112" s="15"/>
      <c r="D112" s="15"/>
      <c r="E112" s="26">
        <v>44256</v>
      </c>
      <c r="F112" s="32"/>
      <c r="G112" s="32">
        <v>276993.05</v>
      </c>
      <c r="H112" s="15"/>
      <c r="I112" s="14"/>
      <c r="J112" s="14"/>
      <c r="K112" s="15"/>
    </row>
    <row r="113" spans="3:11" ht="12.75">
      <c r="C113" s="15"/>
      <c r="D113" s="15"/>
      <c r="E113" s="26">
        <v>44279</v>
      </c>
      <c r="F113" s="32"/>
      <c r="G113" s="32">
        <v>59234.92</v>
      </c>
      <c r="H113" s="15"/>
      <c r="I113" s="14"/>
      <c r="J113" s="14"/>
      <c r="K113" s="15"/>
    </row>
    <row r="114" spans="3:11" ht="12.75">
      <c r="C114" s="15"/>
      <c r="D114" s="15"/>
      <c r="E114" s="26">
        <v>44295</v>
      </c>
      <c r="F114" s="32"/>
      <c r="G114" s="32">
        <v>77499.69</v>
      </c>
      <c r="H114" s="15"/>
      <c r="I114" s="14"/>
      <c r="J114" s="14"/>
      <c r="K114" s="15"/>
    </row>
    <row r="115" spans="3:11" ht="12.75">
      <c r="C115" s="15"/>
      <c r="D115" s="15"/>
      <c r="E115" s="26">
        <v>44371</v>
      </c>
      <c r="F115" s="32"/>
      <c r="G115" s="32">
        <v>10182.89</v>
      </c>
      <c r="H115" s="15"/>
      <c r="I115" s="14"/>
      <c r="J115" s="14"/>
      <c r="K115" s="15"/>
    </row>
    <row r="116" spans="3:11" ht="12.75">
      <c r="C116" s="15"/>
      <c r="D116" s="15"/>
      <c r="E116" s="26">
        <v>44386</v>
      </c>
      <c r="F116" s="32"/>
      <c r="G116" s="32">
        <v>18470.01</v>
      </c>
      <c r="H116" s="15"/>
      <c r="I116" s="14"/>
      <c r="J116" s="14"/>
      <c r="K116" s="15"/>
    </row>
    <row r="117" spans="3:11" ht="12.75">
      <c r="C117" s="15"/>
      <c r="D117" s="15"/>
      <c r="E117" s="26">
        <v>44417</v>
      </c>
      <c r="F117" s="32"/>
      <c r="G117" s="32">
        <v>20081.81</v>
      </c>
      <c r="H117" s="15"/>
      <c r="I117" s="14"/>
      <c r="J117" s="14"/>
      <c r="K117" s="15"/>
    </row>
    <row r="118" spans="3:11" ht="12.75">
      <c r="C118" s="15"/>
      <c r="D118" s="15"/>
      <c r="E118" s="26">
        <v>44446</v>
      </c>
      <c r="F118" s="32"/>
      <c r="G118" s="32">
        <v>19372.30</v>
      </c>
      <c r="H118" s="15"/>
      <c r="I118" s="14"/>
      <c r="J118" s="14"/>
      <c r="K118" s="15"/>
    </row>
    <row r="119" spans="3:11" ht="12.75">
      <c r="C119" s="15"/>
      <c r="D119" s="15"/>
      <c r="E119" s="26">
        <v>44473</v>
      </c>
      <c r="F119" s="32"/>
      <c r="G119" s="32">
        <v>30429</v>
      </c>
      <c r="H119" s="15"/>
      <c r="I119" s="14"/>
      <c r="J119" s="14"/>
      <c r="K119" s="15"/>
    </row>
    <row r="120" spans="3:11" ht="12.75">
      <c r="C120" s="15"/>
      <c r="D120" s="15"/>
      <c r="E120" s="26">
        <v>44489</v>
      </c>
      <c r="F120" s="32"/>
      <c r="G120" s="32">
        <v>79017.88</v>
      </c>
      <c r="H120" s="15"/>
      <c r="I120" s="14"/>
      <c r="J120" s="14"/>
      <c r="K120" s="15"/>
    </row>
    <row r="121" spans="3:11" ht="12.75">
      <c r="C121" s="15"/>
      <c r="D121" s="15"/>
      <c r="E121" s="26">
        <v>44496</v>
      </c>
      <c r="F121" s="32"/>
      <c r="G121" s="32">
        <v>162908.57</v>
      </c>
      <c r="H121" s="15"/>
      <c r="I121" s="14"/>
      <c r="J121" s="14"/>
      <c r="K121" s="15"/>
    </row>
    <row r="122" spans="3:11" ht="12.75">
      <c r="C122" s="15"/>
      <c r="D122" s="15"/>
      <c r="E122" s="26">
        <v>44505</v>
      </c>
      <c r="F122" s="32"/>
      <c r="G122" s="32">
        <v>16441.85</v>
      </c>
      <c r="H122" s="15"/>
      <c r="I122" s="14"/>
      <c r="J122" s="14"/>
      <c r="K122" s="15"/>
    </row>
    <row r="123" spans="3:11" ht="12.75">
      <c r="C123" s="15"/>
      <c r="D123" s="15"/>
      <c r="E123" s="26">
        <v>44547</v>
      </c>
      <c r="F123" s="32"/>
      <c r="G123" s="32">
        <v>124440.06</v>
      </c>
      <c r="H123" s="15"/>
      <c r="I123" s="14"/>
      <c r="J123" s="14"/>
      <c r="K123" s="15"/>
    </row>
    <row r="124" spans="3:11" ht="12.75">
      <c r="C124" s="15" t="s">
        <v>32</v>
      </c>
      <c r="D124" s="15"/>
      <c r="E124" s="26">
        <v>44585</v>
      </c>
      <c r="F124" s="32"/>
      <c r="G124" s="32">
        <v>-14889.50</v>
      </c>
      <c r="H124" s="15"/>
      <c r="I124" s="14"/>
      <c r="J124" s="14"/>
      <c r="K124" s="15"/>
    </row>
    <row r="125" spans="3:11" ht="12.75">
      <c r="C125" s="15"/>
      <c r="D125" s="15"/>
      <c r="E125" s="26">
        <v>44630</v>
      </c>
      <c r="F125" s="32"/>
      <c r="G125" s="32">
        <v>-17945</v>
      </c>
      <c r="H125" s="15"/>
      <c r="I125" s="14"/>
      <c r="J125" s="14"/>
      <c r="K125" s="15"/>
    </row>
    <row r="126" spans="3:11" ht="12.75">
      <c r="C126" s="15"/>
      <c r="D126" s="15"/>
      <c r="E126" s="26">
        <v>44741</v>
      </c>
      <c r="F126" s="32"/>
      <c r="G126" s="32">
        <v>-7566</v>
      </c>
      <c r="H126" s="15"/>
      <c r="I126" s="14"/>
      <c r="J126" s="14"/>
      <c r="K126" s="15"/>
    </row>
    <row r="127" spans="3:11" ht="12.75">
      <c r="C127" s="15"/>
      <c r="D127" s="15"/>
      <c r="E127" s="26">
        <v>44830</v>
      </c>
      <c r="F127" s="32"/>
      <c r="G127" s="32">
        <v>-7420.50</v>
      </c>
      <c r="H127" s="15"/>
      <c r="I127" s="14"/>
      <c r="J127" s="14"/>
      <c r="K127" s="15"/>
    </row>
    <row r="128" spans="3:11" ht="12.75">
      <c r="C128" s="15"/>
      <c r="D128" s="15"/>
      <c r="E128" s="26">
        <v>44925</v>
      </c>
      <c r="F128" s="32"/>
      <c r="G128" s="32">
        <v>-12222</v>
      </c>
      <c r="H128" s="15"/>
      <c r="I128" s="14"/>
      <c r="J128" s="14"/>
      <c r="K128" s="15"/>
    </row>
    <row r="129" spans="3:11" ht="12.75">
      <c r="C129" s="15" t="s">
        <v>23</v>
      </c>
      <c r="D129" s="15"/>
      <c r="E129" s="26">
        <v>44580</v>
      </c>
      <c r="F129" s="32"/>
      <c r="G129" s="32">
        <v>195953.50</v>
      </c>
      <c r="H129" s="15"/>
      <c r="I129" s="14"/>
      <c r="J129" s="14"/>
      <c r="K129" s="15"/>
    </row>
    <row r="130" spans="3:11" ht="12.75">
      <c r="C130" s="15"/>
      <c r="D130" s="15"/>
      <c r="E130" s="26">
        <v>44595</v>
      </c>
      <c r="F130" s="32"/>
      <c r="G130" s="32">
        <v>75341.20</v>
      </c>
      <c r="H130" s="15"/>
      <c r="I130" s="14"/>
      <c r="J130" s="14"/>
      <c r="K130" s="15"/>
    </row>
    <row r="131" spans="3:11" ht="12.75">
      <c r="C131" s="15"/>
      <c r="D131" s="15"/>
      <c r="E131" s="26">
        <v>44630</v>
      </c>
      <c r="F131" s="32"/>
      <c r="G131" s="32">
        <v>105615.95</v>
      </c>
      <c r="H131" s="15"/>
      <c r="I131" s="14"/>
      <c r="J131" s="14"/>
      <c r="K131" s="15"/>
    </row>
    <row r="132" spans="3:11" ht="12.75">
      <c r="C132" s="15"/>
      <c r="D132" s="15"/>
      <c r="E132" s="26">
        <v>44655</v>
      </c>
      <c r="F132" s="32"/>
      <c r="G132" s="32">
        <v>191736.38</v>
      </c>
      <c r="H132" s="15"/>
      <c r="I132" s="14"/>
      <c r="J132" s="14"/>
      <c r="K132" s="15"/>
    </row>
    <row r="133" spans="3:11" ht="12.75">
      <c r="C133" s="15"/>
      <c r="D133" s="15"/>
      <c r="E133" s="26">
        <v>44690</v>
      </c>
      <c r="F133" s="32"/>
      <c r="G133" s="32">
        <v>95616.97</v>
      </c>
      <c r="H133" s="15"/>
      <c r="I133" s="14"/>
      <c r="J133" s="14"/>
      <c r="K133" s="15"/>
    </row>
    <row r="134" spans="3:11" ht="12.75">
      <c r="C134" s="15"/>
      <c r="D134" s="15"/>
      <c r="E134" s="26">
        <v>44714</v>
      </c>
      <c r="F134" s="32"/>
      <c r="G134" s="32">
        <v>143347.05</v>
      </c>
      <c r="H134" s="15"/>
      <c r="I134" s="14"/>
      <c r="J134" s="14"/>
      <c r="K134" s="15"/>
    </row>
    <row r="135" spans="3:11" ht="12.75">
      <c r="C135" s="15"/>
      <c r="D135" s="15"/>
      <c r="E135" s="26">
        <v>44754</v>
      </c>
      <c r="F135" s="32"/>
      <c r="G135" s="32">
        <v>138214.31</v>
      </c>
      <c r="H135" s="15"/>
      <c r="I135" s="14"/>
      <c r="J135" s="14"/>
      <c r="K135" s="15"/>
    </row>
    <row r="136" spans="3:11" ht="12.75">
      <c r="C136" s="15"/>
      <c r="D136" s="15"/>
      <c r="E136" s="26">
        <v>44782</v>
      </c>
      <c r="F136" s="32"/>
      <c r="G136" s="32">
        <v>41814.62</v>
      </c>
      <c r="H136" s="15"/>
      <c r="I136" s="14"/>
      <c r="J136" s="14"/>
      <c r="K136" s="15"/>
    </row>
    <row r="137" spans="3:11" ht="12.75">
      <c r="C137" s="15"/>
      <c r="D137" s="15"/>
      <c r="E137" s="26">
        <v>44806</v>
      </c>
      <c r="F137" s="32"/>
      <c r="G137" s="32">
        <v>123851.67</v>
      </c>
      <c r="H137" s="15"/>
      <c r="I137" s="14"/>
      <c r="J137" s="14"/>
      <c r="K137" s="15"/>
    </row>
    <row r="138" spans="3:11" ht="12.75">
      <c r="C138" s="15"/>
      <c r="D138" s="15"/>
      <c r="E138" s="26">
        <v>44846</v>
      </c>
      <c r="F138" s="32"/>
      <c r="G138" s="32">
        <v>103742.78</v>
      </c>
      <c r="H138" s="15"/>
      <c r="I138" s="14"/>
      <c r="J138" s="14"/>
      <c r="K138" s="15"/>
    </row>
    <row r="139" spans="3:11" ht="12.75">
      <c r="C139" s="15"/>
      <c r="D139" s="15"/>
      <c r="E139" s="26">
        <v>44868</v>
      </c>
      <c r="F139" s="32"/>
      <c r="G139" s="32">
        <v>50764.98</v>
      </c>
      <c r="H139" s="15"/>
      <c r="I139" s="14"/>
      <c r="J139" s="14"/>
      <c r="K139" s="15"/>
    </row>
    <row r="140" spans="3:11" ht="12.75">
      <c r="C140" s="15"/>
      <c r="D140" s="15"/>
      <c r="E140" s="26">
        <v>44901</v>
      </c>
      <c r="F140" s="32"/>
      <c r="G140" s="32">
        <v>33198.13</v>
      </c>
      <c r="H140" s="15"/>
      <c r="I140" s="14"/>
      <c r="J140" s="14"/>
      <c r="K140" s="15"/>
    </row>
    <row r="141" spans="3:11" ht="12.75">
      <c r="C141" s="15" t="s">
        <v>33</v>
      </c>
      <c r="D141" s="15"/>
      <c r="E141" s="26">
        <v>44965</v>
      </c>
      <c r="F141" s="32"/>
      <c r="G141" s="32">
        <v>-12125</v>
      </c>
      <c r="H141" s="15"/>
      <c r="I141" s="14"/>
      <c r="J141" s="14"/>
      <c r="K141" s="15"/>
    </row>
    <row r="142" spans="3:11" ht="12.75">
      <c r="C142" s="15"/>
      <c r="D142" s="15"/>
      <c r="E142" s="26">
        <v>45009</v>
      </c>
      <c r="F142" s="32"/>
      <c r="G142" s="32">
        <v>-7275</v>
      </c>
      <c r="H142" s="15"/>
      <c r="I142" s="14"/>
      <c r="J142" s="14"/>
      <c r="K142" s="15"/>
    </row>
    <row r="143" spans="3:11" ht="12.75">
      <c r="C143" s="15"/>
      <c r="D143" s="15"/>
      <c r="E143" s="26">
        <v>45022</v>
      </c>
      <c r="F143" s="32"/>
      <c r="G143" s="32">
        <v>-8584.50</v>
      </c>
      <c r="H143" s="15"/>
      <c r="I143" s="14"/>
      <c r="J143" s="14"/>
      <c r="K143" s="15"/>
    </row>
    <row r="144" spans="3:11" ht="12.75">
      <c r="C144" s="15"/>
      <c r="D144" s="15"/>
      <c r="E144" s="26">
        <v>45084</v>
      </c>
      <c r="F144" s="32"/>
      <c r="G144" s="32">
        <v>-20515.50</v>
      </c>
      <c r="H144" s="15"/>
      <c r="I144" s="14"/>
      <c r="J144" s="14"/>
      <c r="K144" s="15"/>
    </row>
    <row r="145" spans="3:11" ht="12.75">
      <c r="C145" s="15"/>
      <c r="D145" s="15"/>
      <c r="E145" s="26">
        <v>45279</v>
      </c>
      <c r="F145" s="32"/>
      <c r="G145" s="32">
        <v>-15908.01</v>
      </c>
      <c r="H145" s="15"/>
      <c r="I145" s="14"/>
      <c r="J145" s="14"/>
      <c r="K145" s="15"/>
    </row>
    <row r="146" spans="3:11" ht="12.75">
      <c r="C146" s="15" t="s">
        <v>24</v>
      </c>
      <c r="D146" s="15"/>
      <c r="E146" s="26">
        <v>44937</v>
      </c>
      <c r="F146" s="32"/>
      <c r="G146" s="32">
        <v>45190.86</v>
      </c>
      <c r="H146" s="15"/>
      <c r="I146" s="14"/>
      <c r="J146" s="14"/>
      <c r="K146" s="15"/>
    </row>
    <row r="147" spans="3:11" ht="12.75">
      <c r="C147" s="15"/>
      <c r="D147" s="15"/>
      <c r="E147" s="26">
        <v>44960</v>
      </c>
      <c r="F147" s="32"/>
      <c r="G147" s="32">
        <v>21940.34</v>
      </c>
      <c r="H147" s="15"/>
      <c r="I147" s="14"/>
      <c r="J147" s="14"/>
      <c r="K147" s="15"/>
    </row>
    <row r="148" spans="3:11" ht="12.75">
      <c r="C148" s="15"/>
      <c r="D148" s="15"/>
      <c r="E148" s="26">
        <v>44994</v>
      </c>
      <c r="F148" s="32"/>
      <c r="G148" s="32">
        <v>51513.14</v>
      </c>
      <c r="H148" s="15"/>
      <c r="I148" s="14"/>
      <c r="J148" s="14"/>
      <c r="K148" s="15"/>
    </row>
    <row r="149" spans="3:11" ht="12.75">
      <c r="C149" s="15"/>
      <c r="D149" s="15"/>
      <c r="E149" s="26">
        <v>45030</v>
      </c>
      <c r="F149" s="32"/>
      <c r="G149" s="32">
        <v>501714.97</v>
      </c>
      <c r="H149" s="15"/>
      <c r="I149" s="14"/>
      <c r="J149" s="14"/>
      <c r="K149" s="15"/>
    </row>
    <row r="150" spans="3:11" ht="12.75">
      <c r="C150" s="15"/>
      <c r="D150" s="15"/>
      <c r="E150" s="26">
        <v>45049</v>
      </c>
      <c r="F150" s="32"/>
      <c r="G150" s="32">
        <v>40930.68</v>
      </c>
      <c r="H150" s="15"/>
      <c r="I150" s="14"/>
      <c r="J150" s="14"/>
      <c r="K150" s="15"/>
    </row>
    <row r="151" spans="3:11" ht="12.75">
      <c r="C151" s="15"/>
      <c r="D151" s="15"/>
      <c r="E151" s="26">
        <v>45091</v>
      </c>
      <c r="F151" s="32"/>
      <c r="G151" s="32">
        <v>391060.28</v>
      </c>
      <c r="H151" s="15"/>
      <c r="I151" s="14"/>
      <c r="J151" s="14"/>
      <c r="K151" s="15"/>
    </row>
    <row r="152" spans="3:11" ht="12.75">
      <c r="C152" s="15"/>
      <c r="D152" s="15"/>
      <c r="E152" s="26">
        <v>45114</v>
      </c>
      <c r="F152" s="32"/>
      <c r="G152" s="32">
        <v>26446.97</v>
      </c>
      <c r="H152" s="15"/>
      <c r="I152" s="14"/>
      <c r="J152" s="14"/>
      <c r="K152" s="15"/>
    </row>
    <row r="153" spans="3:11" ht="12.75">
      <c r="C153" s="15"/>
      <c r="D153" s="15"/>
      <c r="E153" s="26">
        <v>45154</v>
      </c>
      <c r="F153" s="32"/>
      <c r="G153" s="32">
        <v>352627.63</v>
      </c>
      <c r="H153" s="15"/>
      <c r="I153" s="14"/>
      <c r="J153" s="14"/>
      <c r="K153" s="15"/>
    </row>
    <row r="154" spans="3:11" ht="12.75">
      <c r="C154" s="15"/>
      <c r="D154" s="15"/>
      <c r="E154" s="26">
        <v>45176</v>
      </c>
      <c r="F154" s="32"/>
      <c r="G154" s="32">
        <v>18705.79</v>
      </c>
      <c r="H154" s="15"/>
      <c r="I154" s="14"/>
      <c r="J154" s="14"/>
      <c r="K154" s="15"/>
    </row>
    <row r="155" spans="3:11" ht="12.75">
      <c r="C155" s="15"/>
      <c r="D155" s="15"/>
      <c r="E155" s="26">
        <v>45191</v>
      </c>
      <c r="F155" s="32"/>
      <c r="G155" s="32">
        <v>89977.53</v>
      </c>
      <c r="H155" s="15"/>
      <c r="I155" s="14"/>
      <c r="J155" s="14"/>
      <c r="K155" s="15"/>
    </row>
    <row r="156" spans="3:11" ht="12.75">
      <c r="C156" s="15"/>
      <c r="D156" s="15"/>
      <c r="E156" s="26">
        <v>45198</v>
      </c>
      <c r="F156" s="32"/>
      <c r="G156" s="32">
        <v>40516.94</v>
      </c>
      <c r="H156" s="15"/>
      <c r="I156" s="14"/>
      <c r="J156" s="14"/>
      <c r="K156" s="15"/>
    </row>
    <row r="157" spans="3:11" ht="12.75">
      <c r="C157" s="15"/>
      <c r="D157" s="15"/>
      <c r="E157" s="26">
        <v>45238</v>
      </c>
      <c r="F157" s="32"/>
      <c r="G157" s="32">
        <v>30204.13</v>
      </c>
      <c r="H157" s="15"/>
      <c r="I157" s="14"/>
      <c r="J157" s="14"/>
      <c r="K157" s="15"/>
    </row>
    <row r="158" spans="3:11" ht="12.75">
      <c r="C158" s="15"/>
      <c r="D158" s="15"/>
      <c r="E158" s="26">
        <v>45267</v>
      </c>
      <c r="F158" s="32"/>
      <c r="G158" s="32">
        <v>72259.09</v>
      </c>
      <c r="H158" s="15"/>
      <c r="I158" s="14"/>
      <c r="J158" s="14"/>
      <c r="K158" s="15"/>
    </row>
    <row r="159" spans="3:11" ht="12.75">
      <c r="C159" s="15" t="s">
        <v>36</v>
      </c>
      <c r="D159" s="15"/>
      <c r="E159" s="26">
        <v>45393</v>
      </c>
      <c r="F159" s="32"/>
      <c r="G159" s="32">
        <v>-9845.50</v>
      </c>
      <c r="H159" s="15"/>
      <c r="I159" s="14"/>
      <c r="J159" s="14"/>
      <c r="K159" s="15"/>
    </row>
    <row r="160" spans="3:11" ht="12.75">
      <c r="C160" s="15" t="s">
        <v>35</v>
      </c>
      <c r="D160" s="15"/>
      <c r="E160" s="26">
        <v>45300</v>
      </c>
      <c r="F160" s="32"/>
      <c r="G160" s="32">
        <v>27421.97</v>
      </c>
      <c r="H160" s="15"/>
      <c r="I160" s="14"/>
      <c r="J160" s="14"/>
      <c r="K160" s="15"/>
    </row>
    <row r="161" spans="3:11" ht="12.75">
      <c r="C161" s="15"/>
      <c r="D161" s="15"/>
      <c r="E161" s="26">
        <v>45327</v>
      </c>
      <c r="F161" s="32"/>
      <c r="G161" s="32">
        <v>11239.01</v>
      </c>
      <c r="H161" s="15"/>
      <c r="I161" s="14"/>
      <c r="J161" s="14"/>
      <c r="K161" s="15"/>
    </row>
    <row r="162" spans="3:11" ht="12.75">
      <c r="C162" s="15"/>
      <c r="D162" s="15"/>
      <c r="E162" s="26">
        <v>45358</v>
      </c>
      <c r="F162" s="32"/>
      <c r="G162" s="32">
        <v>9202.38</v>
      </c>
      <c r="H162" s="15"/>
      <c r="I162" s="14"/>
      <c r="J162" s="14"/>
      <c r="K162" s="15"/>
    </row>
    <row r="163" spans="3:11" ht="12.75">
      <c r="C163" s="15"/>
      <c r="D163" s="15"/>
      <c r="E163" s="26">
        <v>45385</v>
      </c>
      <c r="F163" s="32"/>
      <c r="G163" s="32">
        <v>3930.31</v>
      </c>
      <c r="H163" s="15"/>
      <c r="I163" s="14"/>
      <c r="J163" s="14"/>
      <c r="K163" s="15"/>
    </row>
    <row r="164" spans="3:11" ht="12.75">
      <c r="C164" s="15"/>
      <c r="D164" s="15"/>
      <c r="E164" s="26">
        <v>45418</v>
      </c>
      <c r="F164" s="32"/>
      <c r="G164" s="32">
        <v>8315.23</v>
      </c>
      <c r="H164" s="15"/>
      <c r="I164" s="14"/>
      <c r="J164" s="14"/>
      <c r="K164" s="15"/>
    </row>
    <row r="165" spans="3:11" ht="12.75">
      <c r="C165" s="15"/>
      <c r="D165" s="15"/>
      <c r="E165" s="26">
        <v>45450</v>
      </c>
      <c r="F165" s="32"/>
      <c r="G165" s="32">
        <v>13379.63</v>
      </c>
      <c r="H165" s="15"/>
      <c r="I165" s="14"/>
      <c r="J165" s="14"/>
      <c r="K165" s="15"/>
    </row>
    <row r="166" spans="3:10" ht="4.5" customHeight="1">
      <c r="C166" s="15"/>
      <c r="D166" s="15"/>
      <c r="E166" s="26"/>
      <c r="F166" s="15"/>
      <c r="G166" s="32"/>
      <c r="H166" s="15"/>
      <c r="I166" s="14"/>
      <c r="J166" s="14"/>
    </row>
    <row r="167" spans="3:12" ht="12.75">
      <c r="C167" s="15" t="s">
        <v>25</v>
      </c>
      <c r="D167" s="15"/>
      <c r="E167" s="26">
        <f>+E8</f>
        <v>45473</v>
      </c>
      <c r="F167" s="15"/>
      <c r="G167" s="33">
        <f>L167*C22</f>
        <v>2282971.28445979</v>
      </c>
      <c r="H167" s="15"/>
      <c r="I167" s="26"/>
      <c r="L167" s="58">
        <v>228542995</v>
      </c>
    </row>
    <row r="168" spans="3:8" ht="12.75">
      <c r="C168" s="15"/>
      <c r="D168" s="15"/>
      <c r="E168" s="15"/>
      <c r="F168" s="15"/>
      <c r="G168" s="15"/>
      <c r="H168" s="15"/>
    </row>
    <row r="169" spans="3:11" ht="12.75">
      <c r="C169" s="36" t="s">
        <v>28</v>
      </c>
      <c r="G169" s="37">
        <f>+XIRR(G24:G167,E24:E167,0.1)</f>
        <v>0.16335826516151433</v>
      </c>
      <c r="H169" s="15"/>
      <c r="J169" s="32">
        <f>+SUMIF($G$24:$G$166,"&lt;0",$G$24:$G$166)+49946.86</f>
        <v>-3394624.67</v>
      </c>
      <c r="K169" s="15" t="s">
        <v>26</v>
      </c>
    </row>
    <row r="170" spans="3:11" ht="12.75">
      <c r="C170" s="15"/>
      <c r="D170" s="15"/>
      <c r="E170" s="15"/>
      <c r="F170" s="15"/>
      <c r="G170" s="15"/>
      <c r="H170" s="15"/>
      <c r="J170" s="32">
        <f>+SUMIF($G$24:$G$166,"&gt;0",$G$24:$G$166)-49946.86</f>
        <v>4644113.96</v>
      </c>
      <c r="K170" s="15" t="s">
        <v>27</v>
      </c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39"/>
      <c r="D172" s="39"/>
      <c r="E172" s="38"/>
      <c r="F172" s="15"/>
      <c r="G172" s="38"/>
      <c r="H172" s="15"/>
    </row>
    <row r="173" spans="3:8" ht="12.75">
      <c r="C173" s="39"/>
      <c r="D173" s="39"/>
      <c r="E173" s="38"/>
      <c r="F173" s="39"/>
      <c r="G173" s="38"/>
      <c r="H173" s="15"/>
    </row>
    <row r="174" spans="3:8" ht="12.75">
      <c r="C174" s="39"/>
      <c r="D174" s="39"/>
      <c r="E174" s="38"/>
      <c r="F174" s="39"/>
      <c r="G174" s="38"/>
      <c r="H174" s="15"/>
    </row>
    <row r="175" spans="3:8" ht="12.75">
      <c r="C175" s="39"/>
      <c r="D175" s="39"/>
      <c r="E175" s="39"/>
      <c r="F175" s="39"/>
      <c r="G175" s="39"/>
      <c r="H175" s="36"/>
    </row>
    <row r="176" spans="3:8" ht="12.75">
      <c r="C176" s="39"/>
      <c r="D176" s="39"/>
      <c r="E176" s="38"/>
      <c r="F176" s="38"/>
      <c r="G176" s="38"/>
      <c r="H176" s="36"/>
    </row>
    <row r="177" spans="3:8" ht="12.75">
      <c r="C177" s="39"/>
      <c r="D177" s="39"/>
      <c r="E177" s="39"/>
      <c r="F177" s="39"/>
      <c r="G177" s="39"/>
      <c r="H177" s="36"/>
    </row>
    <row r="178" spans="3:8" ht="12.75">
      <c r="C178" s="39"/>
      <c r="D178" s="39"/>
      <c r="E178" s="59"/>
      <c r="F178" s="41"/>
      <c r="G178" s="59"/>
      <c r="H178" s="15"/>
    </row>
    <row r="179" spans="3:8" ht="12.75">
      <c r="C179" s="39"/>
      <c r="D179" s="39"/>
      <c r="E179" s="41"/>
      <c r="F179" s="41"/>
      <c r="G179" s="41"/>
      <c r="H179" s="15"/>
    </row>
    <row r="180" spans="3:8" ht="12.75">
      <c r="C180" s="39"/>
      <c r="D180" s="39"/>
      <c r="E180" s="41"/>
      <c r="F180" s="41"/>
      <c r="G180" s="41"/>
      <c r="H180" s="15"/>
    </row>
    <row r="181" spans="3:8" ht="12.75">
      <c r="C181" s="42"/>
      <c r="D181" s="39"/>
      <c r="E181" s="41"/>
      <c r="F181" s="41"/>
      <c r="G181" s="41"/>
      <c r="H181" s="15"/>
    </row>
    <row r="182" spans="3:8" ht="12.75">
      <c r="C182" s="42"/>
      <c r="D182" s="39"/>
      <c r="E182" s="41"/>
      <c r="F182" s="41"/>
      <c r="G182" s="41"/>
      <c r="H182" s="15"/>
    </row>
    <row r="183" spans="3:8" ht="12.75">
      <c r="C183" s="43"/>
      <c r="D183" s="39"/>
      <c r="E183" s="41"/>
      <c r="F183" s="41"/>
      <c r="G183" s="41"/>
      <c r="H183" s="15"/>
    </row>
    <row r="184" spans="3:8" ht="12.75">
      <c r="C184" s="39"/>
      <c r="D184" s="39"/>
      <c r="E184" s="41"/>
      <c r="F184" s="41"/>
      <c r="G184" s="41"/>
      <c r="H184" s="15"/>
    </row>
    <row r="185" spans="3:8" ht="12.75">
      <c r="C185" s="39"/>
      <c r="D185" s="39"/>
      <c r="E185" s="41"/>
      <c r="F185" s="41"/>
      <c r="G185" s="41"/>
      <c r="H185" s="15"/>
    </row>
    <row r="186" spans="3:8" ht="12.75">
      <c r="C186" s="39"/>
      <c r="D186" s="39"/>
      <c r="E186" s="41"/>
      <c r="F186" s="41"/>
      <c r="G186" s="41"/>
      <c r="H186" s="15"/>
    </row>
    <row r="187" spans="3:8" ht="12.75">
      <c r="C187" s="39"/>
      <c r="D187" s="39"/>
      <c r="E187" s="41"/>
      <c r="F187" s="41"/>
      <c r="G187" s="41"/>
      <c r="H187" s="15"/>
    </row>
    <row r="188" spans="3:8" ht="12.75">
      <c r="C188" s="39"/>
      <c r="D188" s="39"/>
      <c r="E188" s="41"/>
      <c r="F188" s="41"/>
      <c r="G188" s="41"/>
      <c r="H188" s="15"/>
    </row>
    <row r="189" spans="3:8" ht="12.75">
      <c r="C189" s="39"/>
      <c r="D189" s="39"/>
      <c r="E189" s="41"/>
      <c r="F189" s="41"/>
      <c r="G189" s="41"/>
      <c r="H189" s="15"/>
    </row>
    <row r="190" spans="3:8" ht="4.9" customHeight="1">
      <c r="C190" s="15"/>
      <c r="D190" s="15"/>
      <c r="E190" s="15"/>
      <c r="F190" s="15"/>
      <c r="G190" s="15"/>
      <c r="H190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tabColor rgb="FF92D050"/>
    <pageSetUpPr fitToPage="1"/>
  </sheetPr>
  <dimension ref="B4:N172"/>
  <sheetViews>
    <sheetView showGridLines="0" view="pageLayout" zoomScaleNormal="100" workbookViewId="0" topLeftCell="A110">
      <selection pane="topLeft" activeCell="L134" sqref="L134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G136</f>
        <v>0.22160022854804992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-(G134+J137)/J136</f>
        <v>1.8470877548214417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3" ht="12.75">
      <c r="C22" s="28">
        <f>2000000/6961190721.65</f>
        <v>2.8730716912837915E-4</v>
      </c>
      <c r="D22" s="15"/>
      <c r="E22" s="15"/>
      <c r="F22" s="15"/>
      <c r="G22" s="29"/>
      <c r="H22" s="15"/>
      <c r="I22" s="15"/>
      <c r="J22" s="14"/>
      <c r="K22" s="15"/>
      <c r="L22" s="58"/>
      <c r="M22" s="90"/>
    </row>
    <row r="23" spans="3:14" ht="12.75">
      <c r="C23" s="15"/>
      <c r="D23" s="15"/>
      <c r="E23" s="26"/>
      <c r="F23" s="32"/>
      <c r="G23" s="32"/>
      <c r="H23" s="15"/>
      <c r="I23" s="14"/>
      <c r="J23" s="14"/>
      <c r="K23" s="15"/>
      <c r="L23" s="58"/>
      <c r="M23" s="90"/>
      <c r="N23" s="91"/>
    </row>
    <row r="24" spans="3:14" ht="12.75">
      <c r="C24" s="15" t="s">
        <v>15</v>
      </c>
      <c r="D24" s="15"/>
      <c r="E24" s="26">
        <v>42933</v>
      </c>
      <c r="F24" s="32"/>
      <c r="G24" s="32">
        <v>-33800</v>
      </c>
      <c r="H24" s="15"/>
      <c r="I24" s="14"/>
      <c r="J24" s="14"/>
      <c r="K24" s="15"/>
      <c r="L24" s="58"/>
      <c r="M24" s="90"/>
      <c r="N24" s="35"/>
    </row>
    <row r="25" spans="3:14" ht="12.75">
      <c r="C25" s="15"/>
      <c r="D25" s="15"/>
      <c r="E25" s="26">
        <v>43010</v>
      </c>
      <c r="F25" s="32"/>
      <c r="G25" s="32">
        <v>-8200</v>
      </c>
      <c r="H25" s="15"/>
      <c r="I25" s="14"/>
      <c r="J25" s="14"/>
      <c r="K25" s="15"/>
      <c r="L25" s="58"/>
      <c r="M25" s="90"/>
      <c r="N25" s="35"/>
    </row>
    <row r="26" spans="3:14" ht="12.75">
      <c r="C26" s="15"/>
      <c r="D26" s="15"/>
      <c r="E26" s="26">
        <v>43052</v>
      </c>
      <c r="F26" s="32"/>
      <c r="G26" s="32">
        <v>-3600</v>
      </c>
      <c r="H26" s="15"/>
      <c r="I26" s="14"/>
      <c r="J26" s="14"/>
      <c r="K26" s="15"/>
      <c r="L26" s="91"/>
      <c r="M26" s="91"/>
      <c r="N26" s="35"/>
    </row>
    <row r="27" spans="3:14" ht="12.75">
      <c r="C27" s="15"/>
      <c r="D27" s="15"/>
      <c r="E27" s="26">
        <v>43087</v>
      </c>
      <c r="F27" s="32"/>
      <c r="G27" s="32">
        <v>-15835.83</v>
      </c>
      <c r="H27" s="15"/>
      <c r="I27" s="14"/>
      <c r="J27" s="14"/>
      <c r="N27" s="35"/>
    </row>
    <row r="28" spans="3:14" ht="12.75">
      <c r="C28" s="15"/>
      <c r="D28" s="15"/>
      <c r="E28" s="26">
        <v>43096</v>
      </c>
      <c r="F28" s="32"/>
      <c r="G28" s="32">
        <v>-9710.99</v>
      </c>
      <c r="H28" s="15"/>
      <c r="I28" s="14"/>
      <c r="J28" s="14"/>
      <c r="K28" s="15"/>
      <c r="N28" s="35"/>
    </row>
    <row r="29" spans="3:14" ht="12.75">
      <c r="C29" s="15" t="s">
        <v>17</v>
      </c>
      <c r="D29" s="15"/>
      <c r="E29" s="26">
        <v>43182</v>
      </c>
      <c r="F29" s="32"/>
      <c r="G29" s="32">
        <v>-70246.61</v>
      </c>
      <c r="H29" s="15"/>
      <c r="I29" s="14"/>
      <c r="J29" s="14"/>
      <c r="K29" s="15"/>
      <c r="N29" s="35"/>
    </row>
    <row r="30" spans="3:14" ht="12.75">
      <c r="C30" s="15"/>
      <c r="D30" s="15"/>
      <c r="E30" s="26">
        <v>43276</v>
      </c>
      <c r="F30" s="32"/>
      <c r="G30" s="32">
        <v>-24938.27</v>
      </c>
      <c r="H30" s="15"/>
      <c r="I30" s="14"/>
      <c r="J30" s="14"/>
      <c r="K30" s="15"/>
      <c r="N30" s="35"/>
    </row>
    <row r="31" spans="3:14" ht="12.75">
      <c r="C31" s="15"/>
      <c r="D31" s="15"/>
      <c r="E31" s="26">
        <v>43363</v>
      </c>
      <c r="F31" s="32"/>
      <c r="G31" s="32">
        <v>-18588.78</v>
      </c>
      <c r="H31" s="15"/>
      <c r="I31" s="14"/>
      <c r="J31" s="14"/>
      <c r="K31" s="15"/>
      <c r="N31" s="35"/>
    </row>
    <row r="32" spans="3:14" ht="12.75">
      <c r="C32" s="15"/>
      <c r="D32" s="15"/>
      <c r="E32" s="26">
        <v>43398</v>
      </c>
      <c r="F32" s="32"/>
      <c r="G32" s="32">
        <v>-16290.31</v>
      </c>
      <c r="H32" s="15"/>
      <c r="I32" s="14"/>
      <c r="J32" s="14"/>
      <c r="K32" s="15"/>
      <c r="N32" s="35"/>
    </row>
    <row r="33" spans="3:14" ht="12.75">
      <c r="C33" s="15"/>
      <c r="D33" s="15"/>
      <c r="E33" s="26">
        <v>43433</v>
      </c>
      <c r="F33" s="32"/>
      <c r="G33" s="32">
        <v>-13216.14</v>
      </c>
      <c r="H33" s="15"/>
      <c r="I33" s="14"/>
      <c r="J33" s="14"/>
      <c r="K33" s="15"/>
      <c r="N33" s="35"/>
    </row>
    <row r="34" spans="3:14" ht="12.75">
      <c r="C34" s="15" t="s">
        <v>19</v>
      </c>
      <c r="D34" s="15"/>
      <c r="E34" s="26">
        <v>43468</v>
      </c>
      <c r="F34" s="32"/>
      <c r="G34" s="32">
        <v>-22438.69</v>
      </c>
      <c r="H34" s="15"/>
      <c r="I34" s="14"/>
      <c r="J34" s="14"/>
      <c r="K34" s="15"/>
      <c r="N34" s="35"/>
    </row>
    <row r="35" spans="3:14" ht="12.75">
      <c r="C35" s="15"/>
      <c r="D35" s="15"/>
      <c r="E35" s="26">
        <v>43495</v>
      </c>
      <c r="F35" s="32"/>
      <c r="G35" s="32">
        <v>-36976.44</v>
      </c>
      <c r="H35" s="15"/>
      <c r="I35" s="14"/>
      <c r="J35" s="14"/>
      <c r="K35" s="15"/>
      <c r="N35" s="35"/>
    </row>
    <row r="36" spans="3:14" ht="12.75">
      <c r="C36" s="15"/>
      <c r="D36" s="15"/>
      <c r="E36" s="26">
        <v>43510</v>
      </c>
      <c r="F36" s="32"/>
      <c r="G36" s="32">
        <v>-14853.79</v>
      </c>
      <c r="H36" s="15"/>
      <c r="I36" s="14"/>
      <c r="J36" s="14"/>
      <c r="K36" s="15"/>
      <c r="N36" s="35"/>
    </row>
    <row r="37" spans="3:14" ht="12.75">
      <c r="C37" s="15"/>
      <c r="D37" s="15"/>
      <c r="E37" s="26">
        <v>43559</v>
      </c>
      <c r="F37" s="32"/>
      <c r="G37" s="32">
        <v>-20599.93</v>
      </c>
      <c r="H37" s="15"/>
      <c r="I37" s="14"/>
      <c r="J37" s="14"/>
      <c r="K37" s="15"/>
      <c r="N37" s="35"/>
    </row>
    <row r="38" spans="3:14" ht="12.75">
      <c r="C38" s="15"/>
      <c r="D38" s="15"/>
      <c r="E38" s="26">
        <v>43593</v>
      </c>
      <c r="F38" s="32"/>
      <c r="G38" s="32">
        <v>-20542.46</v>
      </c>
      <c r="H38" s="15"/>
      <c r="I38" s="14"/>
      <c r="J38" s="14"/>
      <c r="K38" s="15"/>
      <c r="N38" s="35"/>
    </row>
    <row r="39" spans="3:14" ht="12.75">
      <c r="C39" s="15"/>
      <c r="D39" s="15"/>
      <c r="E39" s="26">
        <v>43642</v>
      </c>
      <c r="F39" s="32"/>
      <c r="G39" s="32">
        <v>-32810.49</v>
      </c>
      <c r="H39" s="15"/>
      <c r="I39" s="14"/>
      <c r="J39" s="14"/>
      <c r="K39" s="15"/>
      <c r="N39" s="35"/>
    </row>
    <row r="40" spans="3:14" ht="12.75">
      <c r="C40" s="15"/>
      <c r="D40" s="15"/>
      <c r="E40" s="26">
        <v>43656</v>
      </c>
      <c r="F40" s="32"/>
      <c r="G40" s="32">
        <v>-24363.64</v>
      </c>
      <c r="H40" s="15"/>
      <c r="I40" s="14"/>
      <c r="J40" s="14"/>
      <c r="K40" s="15"/>
      <c r="N40" s="35"/>
    </row>
    <row r="41" spans="3:14" ht="12.75">
      <c r="C41" s="15"/>
      <c r="D41" s="15"/>
      <c r="E41" s="26">
        <v>43684</v>
      </c>
      <c r="F41" s="32"/>
      <c r="G41" s="32">
        <v>-21260.73</v>
      </c>
      <c r="H41" s="15"/>
      <c r="I41" s="14"/>
      <c r="J41" s="14"/>
      <c r="K41" s="15"/>
      <c r="N41" s="35"/>
    </row>
    <row r="42" spans="3:14" ht="12.75">
      <c r="C42" s="15"/>
      <c r="D42" s="15"/>
      <c r="E42" s="26">
        <v>43768</v>
      </c>
      <c r="F42" s="32"/>
      <c r="G42" s="32">
        <v>-21030.88</v>
      </c>
      <c r="H42" s="15"/>
      <c r="I42" s="14"/>
      <c r="J42" s="14"/>
      <c r="K42" s="15"/>
      <c r="N42" s="35"/>
    </row>
    <row r="43" spans="3:14" ht="12.75">
      <c r="C43" s="15"/>
      <c r="D43" s="15"/>
      <c r="E43" s="26">
        <v>43817</v>
      </c>
      <c r="F43" s="32"/>
      <c r="G43" s="32">
        <v>-161696.48</v>
      </c>
      <c r="H43" s="15"/>
      <c r="I43" s="14"/>
      <c r="J43" s="14"/>
      <c r="K43" s="15"/>
      <c r="N43" s="35"/>
    </row>
    <row r="44" spans="3:14" ht="12.75">
      <c r="C44" s="15" t="s">
        <v>21</v>
      </c>
      <c r="D44" s="15"/>
      <c r="E44" s="26">
        <v>44006</v>
      </c>
      <c r="F44" s="32"/>
      <c r="G44" s="32">
        <v>-11980.70</v>
      </c>
      <c r="H44" s="15"/>
      <c r="I44" s="14"/>
      <c r="J44" s="14"/>
      <c r="K44" s="15"/>
      <c r="N44" s="35"/>
    </row>
    <row r="45" spans="3:14" ht="12.75">
      <c r="C45" s="15"/>
      <c r="D45" s="15"/>
      <c r="E45" s="26">
        <v>44026</v>
      </c>
      <c r="F45" s="32"/>
      <c r="G45" s="32">
        <v>-29621.37</v>
      </c>
      <c r="H45" s="15"/>
      <c r="I45" s="14"/>
      <c r="J45" s="14"/>
      <c r="K45" s="15"/>
      <c r="N45" s="35"/>
    </row>
    <row r="46" spans="3:14" ht="12.75">
      <c r="C46" s="15"/>
      <c r="D46" s="15"/>
      <c r="E46" s="26">
        <v>44106</v>
      </c>
      <c r="F46" s="32"/>
      <c r="G46" s="32">
        <v>-10170.67</v>
      </c>
      <c r="H46" s="15"/>
      <c r="I46" s="14"/>
      <c r="J46" s="14"/>
      <c r="K46" s="15"/>
      <c r="N46" s="35"/>
    </row>
    <row r="47" spans="3:14" ht="12.75">
      <c r="C47" s="15"/>
      <c r="D47" s="15"/>
      <c r="E47" s="26">
        <v>44182</v>
      </c>
      <c r="F47" s="32"/>
      <c r="G47" s="32">
        <v>-41228.58</v>
      </c>
      <c r="H47" s="15"/>
      <c r="I47" s="14"/>
      <c r="J47" s="14"/>
      <c r="K47" s="15"/>
      <c r="N47" s="35"/>
    </row>
    <row r="48" spans="3:14" ht="12.75">
      <c r="C48" s="15"/>
      <c r="D48" s="15"/>
      <c r="E48" s="26">
        <v>44188</v>
      </c>
      <c r="F48" s="32"/>
      <c r="G48" s="32">
        <v>-9596.06</v>
      </c>
      <c r="H48" s="15"/>
      <c r="I48" s="14"/>
      <c r="J48" s="14"/>
      <c r="K48" s="15"/>
      <c r="N48" s="35"/>
    </row>
    <row r="49" spans="3:14" ht="12.75">
      <c r="C49" s="15" t="s">
        <v>31</v>
      </c>
      <c r="D49" s="15"/>
      <c r="E49" s="26">
        <v>44246</v>
      </c>
      <c r="F49" s="32"/>
      <c r="G49" s="32">
        <v>-8849.07</v>
      </c>
      <c r="H49" s="15"/>
      <c r="I49" s="14"/>
      <c r="J49" s="14"/>
      <c r="K49" s="15"/>
      <c r="N49" s="35"/>
    </row>
    <row r="50" spans="3:14" ht="12.75">
      <c r="C50" s="15"/>
      <c r="D50" s="15"/>
      <c r="E50" s="26">
        <v>44250</v>
      </c>
      <c r="F50" s="32"/>
      <c r="G50" s="32">
        <v>-9337.48</v>
      </c>
      <c r="H50" s="15"/>
      <c r="I50" s="14"/>
      <c r="J50" s="14"/>
      <c r="K50" s="15"/>
      <c r="N50" s="35"/>
    </row>
    <row r="51" spans="3:14" ht="12.75">
      <c r="C51" s="15"/>
      <c r="D51" s="15"/>
      <c r="E51" s="26">
        <v>44274</v>
      </c>
      <c r="F51" s="32"/>
      <c r="G51" s="32">
        <v>-14710.13</v>
      </c>
      <c r="H51" s="15"/>
      <c r="I51" s="14"/>
      <c r="J51" s="14"/>
      <c r="K51" s="15"/>
      <c r="N51" s="35"/>
    </row>
    <row r="52" spans="3:14" ht="12.75">
      <c r="C52" s="15"/>
      <c r="D52" s="15"/>
      <c r="E52" s="26">
        <v>44305</v>
      </c>
      <c r="F52" s="32"/>
      <c r="G52" s="32">
        <v>-163880.01</v>
      </c>
      <c r="H52" s="15"/>
      <c r="I52" s="14"/>
      <c r="J52" s="14"/>
      <c r="K52" s="15"/>
      <c r="N52" s="35"/>
    </row>
    <row r="53" spans="3:14" ht="12.75">
      <c r="C53" s="15"/>
      <c r="D53" s="15"/>
      <c r="E53" s="26">
        <v>44362</v>
      </c>
      <c r="F53" s="32"/>
      <c r="G53" s="32">
        <v>25713.99</v>
      </c>
      <c r="H53" s="15"/>
      <c r="I53" s="14"/>
      <c r="J53" s="14"/>
      <c r="K53" s="15"/>
      <c r="N53" s="35"/>
    </row>
    <row r="54" spans="3:14" ht="12.75">
      <c r="C54" s="15"/>
      <c r="D54" s="15"/>
      <c r="E54" s="26">
        <v>44400</v>
      </c>
      <c r="F54" s="32"/>
      <c r="G54" s="32">
        <v>-20111.50</v>
      </c>
      <c r="H54" s="15"/>
      <c r="I54" s="14"/>
      <c r="J54" s="14"/>
      <c r="K54" s="15"/>
      <c r="N54" s="35"/>
    </row>
    <row r="55" spans="3:14" ht="12.75">
      <c r="C55" s="15"/>
      <c r="D55" s="15"/>
      <c r="E55" s="26">
        <v>44407</v>
      </c>
      <c r="F55" s="32"/>
      <c r="G55" s="32">
        <v>-21548.04</v>
      </c>
      <c r="H55" s="15"/>
      <c r="I55" s="14"/>
      <c r="J55" s="14"/>
      <c r="K55" s="15"/>
      <c r="N55" s="35"/>
    </row>
    <row r="56" spans="3:14" ht="12.75">
      <c r="C56" s="15"/>
      <c r="D56" s="15"/>
      <c r="E56" s="26">
        <v>44440</v>
      </c>
      <c r="F56" s="32"/>
      <c r="G56" s="32">
        <v>-10285.59</v>
      </c>
      <c r="H56" s="15"/>
      <c r="I56" s="14"/>
      <c r="J56" s="14"/>
      <c r="K56" s="15"/>
      <c r="N56" s="35"/>
    </row>
    <row r="57" spans="3:14" ht="12.75">
      <c r="C57" s="15"/>
      <c r="D57" s="15"/>
      <c r="E57" s="26">
        <v>44453</v>
      </c>
      <c r="F57" s="32"/>
      <c r="G57" s="32">
        <v>-16979.85</v>
      </c>
      <c r="H57" s="15"/>
      <c r="I57" s="14"/>
      <c r="J57" s="14"/>
      <c r="K57" s="15"/>
      <c r="N57" s="35"/>
    </row>
    <row r="58" spans="3:14" ht="12.75">
      <c r="C58" s="15"/>
      <c r="D58" s="15"/>
      <c r="E58" s="26">
        <v>44473</v>
      </c>
      <c r="F58" s="32"/>
      <c r="G58" s="32">
        <v>-10831.48</v>
      </c>
      <c r="H58" s="15"/>
      <c r="I58" s="14"/>
      <c r="J58" s="14"/>
      <c r="K58" s="15"/>
      <c r="N58" s="35"/>
    </row>
    <row r="59" spans="3:14" ht="12.75">
      <c r="C59" s="15"/>
      <c r="D59" s="15"/>
      <c r="E59" s="26">
        <v>44496</v>
      </c>
      <c r="F59" s="32"/>
      <c r="G59" s="32">
        <v>-12354.21</v>
      </c>
      <c r="H59" s="15"/>
      <c r="I59" s="14"/>
      <c r="J59" s="14"/>
      <c r="K59" s="15"/>
      <c r="N59" s="35"/>
    </row>
    <row r="60" spans="3:14" ht="12.75">
      <c r="C60" s="15"/>
      <c r="D60" s="15"/>
      <c r="E60" s="26">
        <v>44537</v>
      </c>
      <c r="F60" s="32"/>
      <c r="G60" s="32">
        <v>-48928.42</v>
      </c>
      <c r="H60" s="15"/>
      <c r="I60" s="14"/>
      <c r="J60" s="14"/>
      <c r="K60" s="15"/>
      <c r="N60" s="35"/>
    </row>
    <row r="61" spans="3:14" ht="12.75">
      <c r="C61" s="15"/>
      <c r="D61" s="15"/>
      <c r="E61" s="26">
        <v>44550</v>
      </c>
      <c r="F61" s="32"/>
      <c r="G61" s="32">
        <v>-115928.44</v>
      </c>
      <c r="H61" s="15"/>
      <c r="I61" s="14"/>
      <c r="J61" s="14"/>
      <c r="K61" s="15"/>
      <c r="N61" s="35"/>
    </row>
    <row r="62" spans="3:14" ht="12.75">
      <c r="C62" s="15" t="s">
        <v>22</v>
      </c>
      <c r="D62" s="15"/>
      <c r="E62" s="26">
        <v>44396</v>
      </c>
      <c r="F62" s="32"/>
      <c r="G62" s="32">
        <v>5204.69</v>
      </c>
      <c r="H62" s="15"/>
      <c r="I62" s="14"/>
      <c r="J62" s="14"/>
      <c r="K62" s="15"/>
      <c r="N62" s="35"/>
    </row>
    <row r="63" spans="3:14" ht="12.75">
      <c r="C63" s="15"/>
      <c r="D63" s="15"/>
      <c r="E63" s="26">
        <v>44476</v>
      </c>
      <c r="F63" s="32"/>
      <c r="G63" s="32">
        <v>4954.93</v>
      </c>
      <c r="H63" s="15"/>
      <c r="I63" s="14"/>
      <c r="J63" s="14"/>
      <c r="K63" s="15"/>
      <c r="N63" s="35"/>
    </row>
    <row r="64" spans="3:14" ht="12.75">
      <c r="C64" s="15"/>
      <c r="D64" s="15"/>
      <c r="E64" s="26">
        <v>44512</v>
      </c>
      <c r="F64" s="32"/>
      <c r="G64" s="32">
        <v>15882.82</v>
      </c>
      <c r="H64" s="15"/>
      <c r="I64" s="14"/>
      <c r="J64" s="14"/>
      <c r="K64" s="15"/>
      <c r="N64" s="35"/>
    </row>
    <row r="65" spans="3:14" ht="12.75">
      <c r="C65" s="15" t="s">
        <v>32</v>
      </c>
      <c r="D65" s="15"/>
      <c r="E65" s="26">
        <v>44565</v>
      </c>
      <c r="F65" s="32"/>
      <c r="G65" s="32">
        <v>-5717.42</v>
      </c>
      <c r="H65" s="15"/>
      <c r="I65" s="14"/>
      <c r="J65" s="14"/>
      <c r="K65" s="15"/>
      <c r="N65" s="35"/>
    </row>
    <row r="66" spans="3:14" ht="12.75">
      <c r="C66" s="15"/>
      <c r="D66" s="15"/>
      <c r="E66" s="26">
        <v>44602</v>
      </c>
      <c r="F66" s="32"/>
      <c r="G66" s="32">
        <v>-17669.40</v>
      </c>
      <c r="H66" s="15"/>
      <c r="I66" s="14"/>
      <c r="J66" s="14"/>
      <c r="K66" s="15"/>
      <c r="N66" s="35"/>
    </row>
    <row r="67" spans="3:14" ht="12.75">
      <c r="C67" s="15"/>
      <c r="D67" s="15"/>
      <c r="E67" s="26">
        <v>44628</v>
      </c>
      <c r="F67" s="32"/>
      <c r="G67" s="32">
        <v>-13158.66</v>
      </c>
      <c r="H67" s="15"/>
      <c r="I67" s="14"/>
      <c r="J67" s="14"/>
      <c r="K67" s="15"/>
      <c r="N67" s="35"/>
    </row>
    <row r="68" spans="3:14" ht="12.75">
      <c r="C68" s="15"/>
      <c r="D68" s="15"/>
      <c r="E68" s="26">
        <v>44641</v>
      </c>
      <c r="F68" s="32"/>
      <c r="G68" s="32">
        <v>-86192.15</v>
      </c>
      <c r="H68" s="15"/>
      <c r="I68" s="14"/>
      <c r="J68" s="14"/>
      <c r="K68" s="15"/>
      <c r="N68" s="35"/>
    </row>
    <row r="69" spans="3:14" ht="12.75">
      <c r="C69" s="15"/>
      <c r="D69" s="15"/>
      <c r="E69" s="26">
        <v>44645</v>
      </c>
      <c r="F69" s="32"/>
      <c r="G69" s="32">
        <v>-186088.86</v>
      </c>
      <c r="H69" s="15"/>
      <c r="I69" s="14"/>
      <c r="J69" s="14"/>
      <c r="K69" s="15"/>
      <c r="N69" s="35"/>
    </row>
    <row r="70" spans="3:14" ht="12.75">
      <c r="C70" s="15"/>
      <c r="D70" s="15"/>
      <c r="E70" s="26">
        <v>44670</v>
      </c>
      <c r="F70" s="32"/>
      <c r="G70" s="32">
        <v>77659.12</v>
      </c>
      <c r="H70" s="15"/>
      <c r="I70" s="14"/>
      <c r="J70" s="14"/>
      <c r="K70" s="15"/>
      <c r="N70" s="35"/>
    </row>
    <row r="71" spans="3:14" ht="12.75">
      <c r="C71" s="15"/>
      <c r="D71" s="15"/>
      <c r="E71" s="26">
        <v>44694</v>
      </c>
      <c r="F71" s="32"/>
      <c r="G71" s="32">
        <v>-3936.11</v>
      </c>
      <c r="H71" s="15"/>
      <c r="I71" s="14"/>
      <c r="J71" s="14"/>
      <c r="K71" s="15"/>
      <c r="N71" s="35"/>
    </row>
    <row r="72" spans="3:14" ht="12.75">
      <c r="C72" s="15"/>
      <c r="D72" s="15"/>
      <c r="E72" s="26">
        <v>44701</v>
      </c>
      <c r="F72" s="32"/>
      <c r="G72" s="32">
        <v>-10027.02</v>
      </c>
      <c r="H72" s="15"/>
      <c r="I72" s="14"/>
      <c r="J72" s="14"/>
      <c r="K72" s="15"/>
      <c r="N72" s="35"/>
    </row>
    <row r="73" spans="3:14" ht="12.75">
      <c r="C73" s="15"/>
      <c r="D73" s="15"/>
      <c r="E73" s="26">
        <v>44727</v>
      </c>
      <c r="F73" s="32"/>
      <c r="G73" s="32">
        <v>-32207.13</v>
      </c>
      <c r="H73" s="15"/>
      <c r="I73" s="14"/>
      <c r="J73" s="14"/>
      <c r="K73" s="15"/>
      <c r="N73" s="35"/>
    </row>
    <row r="74" spans="3:14" ht="12.75">
      <c r="C74" s="15"/>
      <c r="D74" s="15"/>
      <c r="E74" s="26">
        <v>44750</v>
      </c>
      <c r="F74" s="32"/>
      <c r="G74" s="32">
        <v>-31316.48</v>
      </c>
      <c r="H74" s="15"/>
      <c r="I74" s="14"/>
      <c r="J74" s="14"/>
      <c r="K74" s="15"/>
      <c r="N74" s="35"/>
    </row>
    <row r="75" spans="3:14" ht="12.75">
      <c r="C75" s="15"/>
      <c r="D75" s="15"/>
      <c r="E75" s="26">
        <v>44764</v>
      </c>
      <c r="F75" s="32"/>
      <c r="G75" s="32">
        <v>-4539.45</v>
      </c>
      <c r="H75" s="15"/>
      <c r="I75" s="14"/>
      <c r="J75" s="14"/>
      <c r="K75" s="15"/>
      <c r="N75" s="35"/>
    </row>
    <row r="76" spans="3:14" ht="12.75">
      <c r="C76" s="15"/>
      <c r="D76" s="15"/>
      <c r="E76" s="26">
        <v>44790</v>
      </c>
      <c r="F76" s="32"/>
      <c r="G76" s="32">
        <v>-5343.92</v>
      </c>
      <c r="H76" s="15"/>
      <c r="I76" s="14"/>
      <c r="J76" s="14"/>
      <c r="K76" s="15"/>
      <c r="N76" s="35"/>
    </row>
    <row r="77" spans="3:14" ht="12.75">
      <c r="C77" s="15"/>
      <c r="D77" s="15"/>
      <c r="E77" s="26">
        <v>44797</v>
      </c>
      <c r="F77" s="32"/>
      <c r="G77" s="32">
        <v>-15485.86</v>
      </c>
      <c r="H77" s="15"/>
      <c r="I77" s="14"/>
      <c r="J77" s="14"/>
      <c r="K77" s="15"/>
      <c r="N77" s="35"/>
    </row>
    <row r="78" spans="3:14" ht="12.75">
      <c r="C78" s="15"/>
      <c r="D78" s="15"/>
      <c r="E78" s="26">
        <v>44806</v>
      </c>
      <c r="F78" s="32"/>
      <c r="G78" s="32">
        <v>-13733.29</v>
      </c>
      <c r="H78" s="15"/>
      <c r="I78" s="14"/>
      <c r="J78" s="14"/>
      <c r="K78" s="15"/>
      <c r="N78" s="35"/>
    </row>
    <row r="79" spans="3:14" ht="12.75">
      <c r="C79" s="15"/>
      <c r="D79" s="15"/>
      <c r="E79" s="26">
        <v>44818</v>
      </c>
      <c r="F79" s="32"/>
      <c r="G79" s="32">
        <v>-39677.12</v>
      </c>
      <c r="H79" s="15"/>
      <c r="I79" s="14"/>
      <c r="J79" s="14"/>
      <c r="K79" s="15"/>
      <c r="N79" s="35"/>
    </row>
    <row r="80" spans="3:14" ht="12.75">
      <c r="C80" s="15"/>
      <c r="D80" s="15"/>
      <c r="E80" s="26">
        <v>44833</v>
      </c>
      <c r="F80" s="32"/>
      <c r="G80" s="32">
        <v>-14078.05</v>
      </c>
      <c r="H80" s="15"/>
      <c r="I80" s="14"/>
      <c r="J80" s="14"/>
      <c r="K80" s="15"/>
      <c r="N80" s="35"/>
    </row>
    <row r="81" spans="3:14" ht="12.75">
      <c r="C81" s="15"/>
      <c r="D81" s="15"/>
      <c r="E81" s="26">
        <v>44838</v>
      </c>
      <c r="F81" s="32"/>
      <c r="G81" s="32">
        <v>-30454.57</v>
      </c>
      <c r="H81" s="15"/>
      <c r="I81" s="14"/>
      <c r="J81" s="14"/>
      <c r="K81" s="15"/>
      <c r="N81" s="35"/>
    </row>
    <row r="82" spans="3:14" ht="12.75">
      <c r="C82" s="15"/>
      <c r="D82" s="15"/>
      <c r="E82" s="26">
        <v>44847</v>
      </c>
      <c r="F82" s="32"/>
      <c r="G82" s="32">
        <v>-17382.09</v>
      </c>
      <c r="H82" s="15"/>
      <c r="I82" s="14"/>
      <c r="J82" s="14"/>
      <c r="K82" s="15"/>
      <c r="N82" s="35"/>
    </row>
    <row r="83" spans="3:14" ht="12.75">
      <c r="C83" s="15"/>
      <c r="D83" s="15"/>
      <c r="E83" s="26">
        <v>44858</v>
      </c>
      <c r="F83" s="32"/>
      <c r="G83" s="32">
        <v>-9050.17</v>
      </c>
      <c r="H83" s="15"/>
      <c r="I83" s="14"/>
      <c r="J83" s="14"/>
      <c r="K83" s="15"/>
      <c r="N83" s="35"/>
    </row>
    <row r="84" spans="3:14" ht="12.75">
      <c r="C84" s="15"/>
      <c r="D84" s="15"/>
      <c r="E84" s="26">
        <v>44866</v>
      </c>
      <c r="F84" s="32"/>
      <c r="G84" s="32">
        <v>-5372.65</v>
      </c>
      <c r="H84" s="15"/>
      <c r="I84" s="14"/>
      <c r="J84" s="14"/>
      <c r="K84" s="15"/>
      <c r="N84" s="35"/>
    </row>
    <row r="85" spans="3:14" ht="12.75">
      <c r="C85" s="15"/>
      <c r="D85" s="15"/>
      <c r="E85" s="26">
        <v>44893</v>
      </c>
      <c r="F85" s="32"/>
      <c r="G85" s="32">
        <v>-25685.26</v>
      </c>
      <c r="H85" s="15"/>
      <c r="I85" s="14"/>
      <c r="J85" s="14"/>
      <c r="K85" s="15"/>
      <c r="N85" s="35"/>
    </row>
    <row r="86" spans="3:14" ht="12.75">
      <c r="C86" s="15"/>
      <c r="D86" s="15"/>
      <c r="E86" s="26">
        <v>44902</v>
      </c>
      <c r="F86" s="32"/>
      <c r="G86" s="32">
        <v>-14336.63</v>
      </c>
      <c r="H86" s="15"/>
      <c r="I86" s="14"/>
      <c r="J86" s="14"/>
      <c r="K86" s="15"/>
      <c r="N86" s="35"/>
    </row>
    <row r="87" spans="3:14" ht="12.75">
      <c r="C87" s="15"/>
      <c r="D87" s="15"/>
      <c r="E87" s="26">
        <v>44909</v>
      </c>
      <c r="F87" s="32"/>
      <c r="G87" s="32">
        <v>-55996.17</v>
      </c>
      <c r="H87" s="15"/>
      <c r="I87" s="14"/>
      <c r="J87" s="14"/>
      <c r="K87" s="15"/>
      <c r="N87" s="35"/>
    </row>
    <row r="88" spans="3:14" ht="12.75">
      <c r="C88" s="15" t="s">
        <v>23</v>
      </c>
      <c r="D88" s="15"/>
      <c r="E88" s="26">
        <v>44575</v>
      </c>
      <c r="F88" s="32"/>
      <c r="G88" s="32">
        <v>20090.68</v>
      </c>
      <c r="H88" s="15"/>
      <c r="I88" s="14"/>
      <c r="J88" s="14"/>
      <c r="K88" s="15"/>
      <c r="N88" s="35"/>
    </row>
    <row r="89" spans="3:14" ht="12.75">
      <c r="C89" s="15"/>
      <c r="D89" s="15"/>
      <c r="E89" s="26">
        <v>44601</v>
      </c>
      <c r="F89" s="32"/>
      <c r="G89" s="32">
        <v>15699.90</v>
      </c>
      <c r="H89" s="15"/>
      <c r="I89" s="14"/>
      <c r="J89" s="14"/>
      <c r="K89" s="15"/>
      <c r="N89" s="35"/>
    </row>
    <row r="90" spans="3:14" ht="12.75">
      <c r="C90" s="15"/>
      <c r="D90" s="15"/>
      <c r="E90" s="26">
        <v>44628</v>
      </c>
      <c r="F90" s="32"/>
      <c r="G90" s="32">
        <v>40970.06</v>
      </c>
      <c r="H90" s="15"/>
      <c r="I90" s="14"/>
      <c r="J90" s="14"/>
      <c r="K90" s="15"/>
      <c r="N90" s="35"/>
    </row>
    <row r="91" spans="3:14" ht="12.75">
      <c r="C91" s="15"/>
      <c r="D91" s="15"/>
      <c r="E91" s="26">
        <v>44659</v>
      </c>
      <c r="F91" s="32"/>
      <c r="G91" s="32">
        <v>20791.02</v>
      </c>
      <c r="H91" s="15"/>
      <c r="I91" s="14"/>
      <c r="J91" s="14"/>
      <c r="K91" s="15"/>
      <c r="N91" s="35"/>
    </row>
    <row r="92" spans="3:14" ht="12.75">
      <c r="C92" s="15"/>
      <c r="D92" s="15"/>
      <c r="E92" s="26">
        <v>44692</v>
      </c>
      <c r="F92" s="32"/>
      <c r="G92" s="32">
        <v>17582.41</v>
      </c>
      <c r="H92" s="15"/>
      <c r="I92" s="14"/>
      <c r="J92" s="14"/>
      <c r="K92" s="15"/>
      <c r="N92" s="35"/>
    </row>
    <row r="93" spans="3:14" ht="12.75">
      <c r="C93" s="15"/>
      <c r="D93" s="15"/>
      <c r="E93" s="26">
        <v>44719</v>
      </c>
      <c r="F93" s="32"/>
      <c r="G93" s="32">
        <v>21829.37</v>
      </c>
      <c r="H93" s="15"/>
      <c r="I93" s="14"/>
      <c r="J93" s="14"/>
      <c r="K93" s="15"/>
      <c r="N93" s="35"/>
    </row>
    <row r="94" spans="3:14" ht="12.75">
      <c r="C94" s="15"/>
      <c r="D94" s="15"/>
      <c r="E94" s="26">
        <v>44761</v>
      </c>
      <c r="F94" s="32"/>
      <c r="G94" s="32">
        <v>33935.96</v>
      </c>
      <c r="H94" s="15"/>
      <c r="I94" s="14"/>
      <c r="J94" s="14"/>
      <c r="K94" s="15"/>
      <c r="N94" s="35"/>
    </row>
    <row r="95" spans="3:14" ht="12.75">
      <c r="C95" s="15"/>
      <c r="D95" s="15"/>
      <c r="E95" s="26">
        <v>44776</v>
      </c>
      <c r="F95" s="32"/>
      <c r="G95" s="32">
        <v>29980.31</v>
      </c>
      <c r="H95" s="15"/>
      <c r="I95" s="14"/>
      <c r="J95" s="14"/>
      <c r="K95" s="15"/>
      <c r="N95" s="35"/>
    </row>
    <row r="96" spans="3:14" ht="12.75">
      <c r="C96" s="15"/>
      <c r="D96" s="15"/>
      <c r="E96" s="26">
        <v>44817</v>
      </c>
      <c r="F96" s="32"/>
      <c r="G96" s="32">
        <v>10413.17</v>
      </c>
      <c r="H96" s="15"/>
      <c r="I96" s="14"/>
      <c r="J96" s="14"/>
      <c r="K96" s="15"/>
      <c r="N96" s="35"/>
    </row>
    <row r="97" spans="3:14" ht="12.75">
      <c r="C97" s="15"/>
      <c r="D97" s="15"/>
      <c r="E97" s="26">
        <v>44841</v>
      </c>
      <c r="F97" s="32"/>
      <c r="G97" s="32">
        <v>7569.79</v>
      </c>
      <c r="H97" s="15"/>
      <c r="I97" s="14"/>
      <c r="J97" s="14"/>
      <c r="K97" s="15"/>
      <c r="N97" s="35"/>
    </row>
    <row r="98" spans="3:14" ht="12.75">
      <c r="C98" s="15"/>
      <c r="D98" s="15"/>
      <c r="E98" s="26">
        <v>44872</v>
      </c>
      <c r="F98" s="32"/>
      <c r="G98" s="32">
        <v>5737.35</v>
      </c>
      <c r="H98" s="15"/>
      <c r="I98" s="14"/>
      <c r="J98" s="14"/>
      <c r="K98" s="15"/>
      <c r="N98" s="35"/>
    </row>
    <row r="99" spans="3:14" ht="12.75">
      <c r="C99" s="15"/>
      <c r="D99" s="15"/>
      <c r="E99" s="26">
        <v>44902</v>
      </c>
      <c r="F99" s="32"/>
      <c r="G99" s="32">
        <v>9742.93</v>
      </c>
      <c r="H99" s="15"/>
      <c r="I99" s="14"/>
      <c r="J99" s="14"/>
      <c r="K99" s="15"/>
      <c r="N99" s="35"/>
    </row>
    <row r="100" spans="3:14" ht="12.75">
      <c r="C100" s="15" t="s">
        <v>33</v>
      </c>
      <c r="D100" s="15"/>
      <c r="E100" s="26">
        <v>44960</v>
      </c>
      <c r="F100" s="32"/>
      <c r="G100" s="32">
        <v>-9596.06</v>
      </c>
      <c r="H100" s="15"/>
      <c r="I100" s="14"/>
      <c r="J100" s="14"/>
      <c r="K100" s="15"/>
      <c r="N100" s="35"/>
    </row>
    <row r="101" spans="3:14" ht="12.75">
      <c r="C101" s="15"/>
      <c r="D101" s="15"/>
      <c r="E101" s="26">
        <v>44979</v>
      </c>
      <c r="F101" s="32"/>
      <c r="G101" s="32">
        <v>-11176.25</v>
      </c>
      <c r="H101" s="15"/>
      <c r="I101" s="14"/>
      <c r="J101" s="14"/>
      <c r="K101" s="15"/>
      <c r="N101" s="35"/>
    </row>
    <row r="102" spans="3:14" ht="12.75">
      <c r="C102" s="15"/>
      <c r="D102" s="15"/>
      <c r="E102" s="26">
        <v>45013</v>
      </c>
      <c r="F102" s="32"/>
      <c r="G102" s="32">
        <v>-22984.57</v>
      </c>
      <c r="H102" s="15"/>
      <c r="I102" s="14"/>
      <c r="J102" s="14"/>
      <c r="K102" s="15"/>
      <c r="N102" s="35"/>
    </row>
    <row r="103" spans="3:14" ht="12.75">
      <c r="C103" s="15"/>
      <c r="D103" s="15"/>
      <c r="E103" s="26">
        <v>45022</v>
      </c>
      <c r="F103" s="32"/>
      <c r="G103" s="32">
        <v>-13819.48</v>
      </c>
      <c r="H103" s="15"/>
      <c r="I103" s="14"/>
      <c r="J103" s="14"/>
      <c r="K103" s="15"/>
      <c r="N103" s="35"/>
    </row>
    <row r="104" spans="3:14" ht="12.75">
      <c r="C104" s="15"/>
      <c r="D104" s="15"/>
      <c r="E104" s="26">
        <v>45028</v>
      </c>
      <c r="F104" s="32"/>
      <c r="G104" s="32">
        <v>-4194.69</v>
      </c>
      <c r="H104" s="15"/>
      <c r="I104" s="14"/>
      <c r="J104" s="14"/>
      <c r="K104" s="15"/>
      <c r="N104" s="35"/>
    </row>
    <row r="105" spans="3:14" ht="12.75">
      <c r="C105" s="15"/>
      <c r="D105" s="15"/>
      <c r="E105" s="26">
        <v>45047</v>
      </c>
      <c r="F105" s="32"/>
      <c r="G105" s="32">
        <v>-49876.52</v>
      </c>
      <c r="H105" s="15"/>
      <c r="I105" s="14"/>
      <c r="J105" s="14"/>
      <c r="K105" s="15"/>
      <c r="N105" s="35"/>
    </row>
    <row r="106" spans="3:14" ht="12.75">
      <c r="C106" s="15"/>
      <c r="D106" s="15"/>
      <c r="E106" s="26">
        <v>45061</v>
      </c>
      <c r="F106" s="32"/>
      <c r="G106" s="32">
        <v>-15083.62</v>
      </c>
      <c r="H106" s="15"/>
      <c r="I106" s="14"/>
      <c r="J106" s="14"/>
      <c r="K106" s="15"/>
      <c r="N106" s="35"/>
    </row>
    <row r="107" spans="3:14" ht="12.75">
      <c r="C107" s="15"/>
      <c r="D107" s="15"/>
      <c r="E107" s="26">
        <v>45182</v>
      </c>
      <c r="F107" s="32"/>
      <c r="G107" s="32">
        <v>-9050.18</v>
      </c>
      <c r="H107" s="15"/>
      <c r="I107" s="14"/>
      <c r="J107" s="14"/>
      <c r="K107" s="15"/>
      <c r="N107" s="35"/>
    </row>
    <row r="108" spans="3:14" ht="12.75">
      <c r="C108" s="15"/>
      <c r="D108" s="15"/>
      <c r="E108" s="26">
        <v>45198</v>
      </c>
      <c r="F108" s="32"/>
      <c r="G108" s="32">
        <v>-5257.72</v>
      </c>
      <c r="H108" s="15"/>
      <c r="I108" s="14"/>
      <c r="J108" s="14"/>
      <c r="K108" s="15"/>
      <c r="N108" s="35"/>
    </row>
    <row r="109" spans="3:14" ht="12.75">
      <c r="C109" s="15"/>
      <c r="D109" s="15"/>
      <c r="E109" s="26">
        <v>45229</v>
      </c>
      <c r="F109" s="32"/>
      <c r="G109" s="32">
        <v>-27495.30</v>
      </c>
      <c r="H109" s="15"/>
      <c r="I109" s="14"/>
      <c r="J109" s="14"/>
      <c r="K109" s="15"/>
      <c r="N109" s="35"/>
    </row>
    <row r="110" spans="3:14" ht="12.75">
      <c r="C110" s="15"/>
      <c r="D110" s="15"/>
      <c r="E110" s="26">
        <v>45244</v>
      </c>
      <c r="F110" s="32"/>
      <c r="G110" s="32">
        <v>-15600.79</v>
      </c>
      <c r="H110" s="15"/>
      <c r="I110" s="14"/>
      <c r="J110" s="14"/>
      <c r="K110" s="15"/>
      <c r="N110" s="35"/>
    </row>
    <row r="111" spans="3:14" ht="12.75">
      <c r="C111" s="15"/>
      <c r="D111" s="15"/>
      <c r="E111" s="26">
        <v>45280</v>
      </c>
      <c r="F111" s="32"/>
      <c r="G111" s="32">
        <v>-13129.94</v>
      </c>
      <c r="H111" s="15"/>
      <c r="I111" s="14"/>
      <c r="J111" s="14"/>
      <c r="K111" s="15"/>
      <c r="N111" s="35"/>
    </row>
    <row r="112" spans="3:14" ht="12.75">
      <c r="C112" s="15" t="s">
        <v>24</v>
      </c>
      <c r="D112" s="15"/>
      <c r="E112" s="26">
        <v>44939</v>
      </c>
      <c r="F112" s="32"/>
      <c r="G112" s="32">
        <v>8083.49</v>
      </c>
      <c r="H112" s="15"/>
      <c r="I112" s="14"/>
      <c r="J112" s="14"/>
      <c r="K112" s="15"/>
      <c r="N112" s="35"/>
    </row>
    <row r="113" spans="3:14" ht="12.75">
      <c r="C113" s="15"/>
      <c r="D113" s="15"/>
      <c r="E113" s="26">
        <v>44966</v>
      </c>
      <c r="F113" s="32"/>
      <c r="G113" s="32">
        <v>8423.23</v>
      </c>
      <c r="H113" s="15"/>
      <c r="I113" s="14"/>
      <c r="J113" s="14"/>
      <c r="K113" s="15"/>
      <c r="N113" s="35"/>
    </row>
    <row r="114" spans="3:14" ht="12.75">
      <c r="C114" s="15"/>
      <c r="D114" s="15"/>
      <c r="E114" s="26">
        <v>44995</v>
      </c>
      <c r="F114" s="32"/>
      <c r="G114" s="32">
        <v>12010.54</v>
      </c>
      <c r="H114" s="15"/>
      <c r="I114" s="14"/>
      <c r="J114" s="14"/>
      <c r="K114" s="15"/>
      <c r="N114" s="35"/>
    </row>
    <row r="115" spans="3:14" ht="12.75">
      <c r="C115" s="15"/>
      <c r="D115" s="15"/>
      <c r="E115" s="26">
        <v>45027</v>
      </c>
      <c r="F115" s="32"/>
      <c r="G115" s="32">
        <v>17176.38</v>
      </c>
      <c r="H115" s="15"/>
      <c r="I115" s="14"/>
      <c r="J115" s="14"/>
      <c r="K115" s="15"/>
      <c r="N115" s="35"/>
    </row>
    <row r="116" spans="3:14" ht="12.75">
      <c r="C116" s="15"/>
      <c r="D116" s="15"/>
      <c r="E116" s="26">
        <v>45055</v>
      </c>
      <c r="F116" s="32"/>
      <c r="G116" s="32">
        <v>10405.26</v>
      </c>
      <c r="H116" s="15"/>
      <c r="I116" s="14"/>
      <c r="J116" s="14"/>
      <c r="K116" s="15"/>
      <c r="N116" s="35"/>
    </row>
    <row r="117" spans="3:14" ht="12.75">
      <c r="C117" s="15"/>
      <c r="D117" s="15"/>
      <c r="E117" s="26">
        <v>45090</v>
      </c>
      <c r="F117" s="32"/>
      <c r="G117" s="32">
        <v>335778.39</v>
      </c>
      <c r="H117" s="15"/>
      <c r="I117" s="14"/>
      <c r="J117" s="14"/>
      <c r="K117" s="15"/>
      <c r="N117" s="35"/>
    </row>
    <row r="118" spans="3:14" ht="12.75">
      <c r="C118" s="15"/>
      <c r="D118" s="15"/>
      <c r="E118" s="26">
        <v>45113</v>
      </c>
      <c r="F118" s="32"/>
      <c r="G118" s="32">
        <v>125016.43</v>
      </c>
      <c r="H118" s="15"/>
      <c r="I118" s="14"/>
      <c r="J118" s="14"/>
      <c r="K118" s="15"/>
      <c r="N118" s="35"/>
    </row>
    <row r="119" spans="3:14" ht="12.75">
      <c r="C119" s="15"/>
      <c r="D119" s="15"/>
      <c r="E119" s="26">
        <v>45141</v>
      </c>
      <c r="F119" s="32"/>
      <c r="G119" s="32">
        <v>10153.36</v>
      </c>
      <c r="H119" s="15"/>
      <c r="I119" s="14"/>
      <c r="J119" s="14"/>
      <c r="K119" s="15"/>
      <c r="N119" s="35"/>
    </row>
    <row r="120" spans="3:14" ht="12.75">
      <c r="C120" s="15"/>
      <c r="D120" s="15"/>
      <c r="E120" s="26">
        <v>45177</v>
      </c>
      <c r="F120" s="32"/>
      <c r="G120" s="32">
        <v>16426.35</v>
      </c>
      <c r="H120" s="15"/>
      <c r="I120" s="14"/>
      <c r="J120" s="14"/>
      <c r="K120" s="15"/>
      <c r="N120" s="35"/>
    </row>
    <row r="121" spans="3:14" ht="12.75">
      <c r="C121" s="15"/>
      <c r="D121" s="15"/>
      <c r="E121" s="26">
        <v>45189</v>
      </c>
      <c r="F121" s="32"/>
      <c r="G121" s="32">
        <v>68757.99</v>
      </c>
      <c r="H121" s="15"/>
      <c r="I121" s="14"/>
      <c r="J121" s="14"/>
      <c r="K121" s="15"/>
      <c r="N121" s="35"/>
    </row>
    <row r="122" spans="3:14" ht="12.75">
      <c r="C122" s="15"/>
      <c r="D122" s="15"/>
      <c r="E122" s="26">
        <v>45197</v>
      </c>
      <c r="F122" s="32"/>
      <c r="G122" s="32">
        <v>15314.73</v>
      </c>
      <c r="H122" s="15"/>
      <c r="I122" s="14"/>
      <c r="J122" s="14"/>
      <c r="K122" s="15"/>
      <c r="N122" s="35"/>
    </row>
    <row r="123" spans="3:14" ht="12.75">
      <c r="C123" s="15"/>
      <c r="D123" s="15"/>
      <c r="E123" s="26">
        <v>45243</v>
      </c>
      <c r="F123" s="32"/>
      <c r="G123" s="32">
        <v>22020.61</v>
      </c>
      <c r="H123" s="15"/>
      <c r="I123" s="14"/>
      <c r="J123" s="14"/>
      <c r="K123" s="15"/>
      <c r="N123" s="35"/>
    </row>
    <row r="124" spans="3:14" ht="12.75">
      <c r="C124" s="15"/>
      <c r="D124" s="15"/>
      <c r="E124" s="26">
        <v>45273</v>
      </c>
      <c r="F124" s="32"/>
      <c r="G124" s="32">
        <v>68229.75</v>
      </c>
      <c r="H124" s="15"/>
      <c r="I124" s="14"/>
      <c r="J124" s="14"/>
      <c r="K124" s="15"/>
      <c r="N124" s="35"/>
    </row>
    <row r="125" spans="3:14" ht="12.75">
      <c r="C125" s="15" t="s">
        <v>36</v>
      </c>
      <c r="D125" s="15"/>
      <c r="E125" s="26">
        <v>45390</v>
      </c>
      <c r="F125" s="32"/>
      <c r="G125" s="32">
        <v>-12555.33</v>
      </c>
      <c r="H125" s="15"/>
      <c r="I125" s="14"/>
      <c r="J125" s="14"/>
      <c r="K125" s="15"/>
      <c r="N125" s="35"/>
    </row>
    <row r="126" spans="3:14" ht="12.75">
      <c r="C126" s="15"/>
      <c r="D126" s="15"/>
      <c r="E126" s="26">
        <v>45432</v>
      </c>
      <c r="F126" s="32"/>
      <c r="G126" s="32">
        <v>-42521.48</v>
      </c>
      <c r="H126" s="15"/>
      <c r="I126" s="14"/>
      <c r="J126" s="14"/>
      <c r="K126" s="15"/>
      <c r="N126" s="35"/>
    </row>
    <row r="127" spans="3:14" ht="12.75">
      <c r="C127" s="15" t="s">
        <v>35</v>
      </c>
      <c r="D127" s="15"/>
      <c r="E127" s="26">
        <v>45303</v>
      </c>
      <c r="F127" s="32"/>
      <c r="G127" s="32">
        <v>59885.87</v>
      </c>
      <c r="H127" s="15"/>
      <c r="I127" s="14"/>
      <c r="J127" s="14"/>
      <c r="K127" s="15"/>
      <c r="N127" s="35"/>
    </row>
    <row r="128" spans="3:14" ht="12.75">
      <c r="C128" s="15"/>
      <c r="D128" s="15"/>
      <c r="E128" s="26">
        <v>45331</v>
      </c>
      <c r="F128" s="32"/>
      <c r="G128" s="32">
        <v>14665.67</v>
      </c>
      <c r="H128" s="15"/>
      <c r="I128" s="14"/>
      <c r="J128" s="14"/>
      <c r="K128" s="15"/>
      <c r="N128" s="35"/>
    </row>
    <row r="129" spans="3:14" ht="12.75">
      <c r="C129" s="15"/>
      <c r="D129" s="15"/>
      <c r="E129" s="26">
        <v>45362</v>
      </c>
      <c r="F129" s="32"/>
      <c r="G129" s="32">
        <v>28244.71</v>
      </c>
      <c r="H129" s="15"/>
      <c r="I129" s="14"/>
      <c r="J129" s="14"/>
      <c r="K129" s="15"/>
      <c r="N129" s="35"/>
    </row>
    <row r="130" spans="3:14" ht="12.75">
      <c r="C130" s="15"/>
      <c r="D130" s="15"/>
      <c r="E130" s="26">
        <v>45386</v>
      </c>
      <c r="F130" s="32"/>
      <c r="G130" s="32">
        <v>17461.42</v>
      </c>
      <c r="H130" s="15"/>
      <c r="I130" s="14"/>
      <c r="J130" s="14"/>
      <c r="K130" s="15"/>
      <c r="N130" s="35"/>
    </row>
    <row r="131" spans="3:14" ht="12.75">
      <c r="C131" s="15"/>
      <c r="D131" s="15"/>
      <c r="E131" s="26">
        <v>45419</v>
      </c>
      <c r="F131" s="32"/>
      <c r="G131" s="32">
        <v>19642.60</v>
      </c>
      <c r="H131" s="15"/>
      <c r="I131" s="14"/>
      <c r="J131" s="14"/>
      <c r="K131" s="15"/>
      <c r="N131" s="35"/>
    </row>
    <row r="132" spans="3:14" ht="12.75">
      <c r="C132" s="15"/>
      <c r="D132" s="15"/>
      <c r="E132" s="26">
        <v>45448</v>
      </c>
      <c r="F132" s="32"/>
      <c r="G132" s="32">
        <v>35036.73</v>
      </c>
      <c r="H132" s="15"/>
      <c r="I132" s="14"/>
      <c r="J132" s="14"/>
      <c r="K132" s="15"/>
      <c r="N132" s="35"/>
    </row>
    <row r="133" spans="3:9" ht="4.5" customHeight="1">
      <c r="C133" s="15"/>
      <c r="D133" s="15"/>
      <c r="E133" s="26"/>
      <c r="F133" s="15"/>
      <c r="G133" s="32"/>
      <c r="H133" s="15"/>
      <c r="I133" s="14"/>
    </row>
    <row r="134" spans="3:14" ht="12.75">
      <c r="C134" s="15" t="s">
        <v>25</v>
      </c>
      <c r="D134" s="15"/>
      <c r="E134" s="26">
        <f>+E8</f>
        <v>45473</v>
      </c>
      <c r="F134" s="15"/>
      <c r="G134" s="33">
        <f>L134/0.97*C22</f>
        <v>2418704.297685592</v>
      </c>
      <c r="H134" s="15"/>
      <c r="I134" s="26"/>
      <c r="L134" s="58">
        <v>8.165975029E9</v>
      </c>
      <c r="N134" s="35"/>
    </row>
    <row r="135" spans="3:10" ht="12.75">
      <c r="C135" s="15"/>
      <c r="D135" s="15"/>
      <c r="E135" s="15"/>
      <c r="F135" s="15"/>
      <c r="G135" s="15"/>
      <c r="H135" s="15"/>
      <c r="J135" s="14"/>
    </row>
    <row r="136" spans="3:11" ht="12.75">
      <c r="C136" s="36" t="s">
        <v>28</v>
      </c>
      <c r="G136" s="37">
        <f>XIRR(G24:G134,E24:E134,0.1)</f>
        <v>0.22160022854804992</v>
      </c>
      <c r="H136" s="15"/>
      <c r="J136" s="32">
        <f>+SUMIF($G$24:$G$133,"&lt;0",$G$24:$G$133)+G53+G70</f>
        <v>-1933759.3399999994</v>
      </c>
      <c r="K136" s="15" t="s">
        <v>26</v>
      </c>
    </row>
    <row r="137" spans="3:11" ht="12.75">
      <c r="C137" s="15"/>
      <c r="D137" s="15"/>
      <c r="E137" s="15"/>
      <c r="F137" s="15"/>
      <c r="G137" s="15"/>
      <c r="H137" s="15"/>
      <c r="J137" s="32">
        <f>+SUMIF($G$24:$G$133,"&gt;0",$G$24:$G$133)-G53-G70</f>
        <v>1153118.9</v>
      </c>
      <c r="K137" s="15" t="s">
        <v>27</v>
      </c>
    </row>
    <row r="138" spans="3:8" ht="12.75">
      <c r="C138" s="15"/>
      <c r="D138" s="15"/>
      <c r="E138" s="15"/>
      <c r="F138" s="15"/>
      <c r="G138" s="15"/>
      <c r="H138" s="15"/>
    </row>
    <row r="139" spans="3:11" ht="12.75">
      <c r="C139" s="15"/>
      <c r="D139" s="15"/>
      <c r="E139" s="9"/>
      <c r="F139" s="15"/>
      <c r="G139" s="39"/>
      <c r="H139" s="15"/>
      <c r="K139" s="38"/>
    </row>
    <row r="140" spans="4:11" ht="12.75">
      <c r="D140" s="39"/>
      <c r="E140" s="9"/>
      <c r="F140" s="39"/>
      <c r="G140" s="38"/>
      <c r="H140" s="15"/>
      <c r="K140" s="38"/>
    </row>
    <row r="141" spans="3:11" ht="12.75">
      <c r="C141" s="39"/>
      <c r="D141" s="39"/>
      <c r="E141" s="38"/>
      <c r="F141" s="39"/>
      <c r="G141" s="38"/>
      <c r="H141" s="15"/>
      <c r="K141" s="38"/>
    </row>
    <row r="142" spans="3:11" ht="12.75">
      <c r="C142" s="39"/>
      <c r="D142" s="39"/>
      <c r="E142" s="123"/>
      <c r="F142" s="123"/>
      <c r="G142" s="123"/>
      <c r="H142" s="36"/>
      <c r="K142" s="38"/>
    </row>
    <row r="143" spans="3:11" ht="12.75">
      <c r="C143" s="39"/>
      <c r="D143" s="39"/>
      <c r="E143" s="38"/>
      <c r="F143" s="38"/>
      <c r="G143" s="38"/>
      <c r="H143" s="36"/>
      <c r="K143" s="38"/>
    </row>
    <row r="144" spans="3:11" ht="12.75">
      <c r="C144" s="39"/>
      <c r="D144" s="39"/>
      <c r="E144" s="39"/>
      <c r="F144" s="39"/>
      <c r="G144" s="39"/>
      <c r="H144" s="36"/>
      <c r="K144" s="35"/>
    </row>
    <row r="145" spans="3:8" ht="12.75">
      <c r="C145" s="39"/>
      <c r="D145" s="39"/>
      <c r="E145" s="59"/>
      <c r="F145" s="40"/>
      <c r="G145" s="59"/>
      <c r="H145" s="36"/>
    </row>
    <row r="146" spans="3:11" ht="12.75">
      <c r="C146" s="39"/>
      <c r="D146" s="39"/>
      <c r="E146" s="41"/>
      <c r="F146" s="40"/>
      <c r="G146" s="41"/>
      <c r="H146" s="36"/>
      <c r="K146" s="35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42"/>
      <c r="D148" s="39"/>
      <c r="E148" s="41"/>
      <c r="F148" s="40"/>
      <c r="G148" s="41"/>
      <c r="H148" s="36"/>
    </row>
    <row r="149" spans="3:8" ht="12.75">
      <c r="C149" s="42"/>
      <c r="D149" s="39"/>
      <c r="E149" s="41"/>
      <c r="F149" s="40"/>
      <c r="G149" s="41"/>
      <c r="H149" s="36"/>
    </row>
    <row r="150" spans="3:8" ht="12.75">
      <c r="C150" s="43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12.75">
      <c r="C152" s="39"/>
      <c r="D152" s="39"/>
      <c r="E152" s="41"/>
      <c r="F152" s="40"/>
      <c r="G152" s="41"/>
      <c r="H152" s="36"/>
    </row>
    <row r="153" spans="3:8" ht="12.75">
      <c r="C153" s="39"/>
      <c r="D153" s="39"/>
      <c r="E153" s="41"/>
      <c r="F153" s="40"/>
      <c r="G153" s="41"/>
      <c r="H153" s="36"/>
    </row>
    <row r="154" spans="3:8" ht="12.75">
      <c r="C154" s="39"/>
      <c r="D154" s="39"/>
      <c r="E154" s="41"/>
      <c r="F154" s="40"/>
      <c r="G154" s="41"/>
      <c r="H154" s="36"/>
    </row>
    <row r="155" spans="3:8" ht="12.75">
      <c r="C155" s="39"/>
      <c r="D155" s="39"/>
      <c r="E155" s="41"/>
      <c r="F155" s="40"/>
      <c r="G155" s="41"/>
      <c r="H155" s="36"/>
    </row>
    <row r="156" spans="3:8" ht="12.75">
      <c r="C156" s="39"/>
      <c r="D156" s="39"/>
      <c r="E156" s="41"/>
      <c r="F156" s="40"/>
      <c r="G156" s="41"/>
      <c r="H156" s="36"/>
    </row>
    <row r="157" spans="3:8" ht="5.1" customHeight="1">
      <c r="C157" s="36"/>
      <c r="D157" s="36"/>
      <c r="E157" s="85"/>
      <c r="F157" s="44"/>
      <c r="G157" s="85"/>
      <c r="H157" s="36"/>
    </row>
    <row r="158" spans="3:8" ht="12.75">
      <c r="C158" s="36"/>
      <c r="D158" s="36"/>
      <c r="E158" s="86"/>
      <c r="F158" s="45"/>
      <c r="G158" s="86"/>
      <c r="H158" s="36"/>
    </row>
    <row r="159" spans="3:8" ht="12.75">
      <c r="C159" s="15"/>
      <c r="D159" s="15"/>
      <c r="E159" s="46"/>
      <c r="F159" s="47"/>
      <c r="G159" s="46"/>
      <c r="H159" s="15"/>
    </row>
    <row r="160" spans="3:8" ht="12.75">
      <c r="C160" s="15"/>
      <c r="D160" s="15"/>
      <c r="E160" s="46"/>
      <c r="F160" s="47"/>
      <c r="G160" s="46"/>
      <c r="H160" s="15"/>
    </row>
    <row r="161" spans="3:8" ht="12.75">
      <c r="C161" s="15"/>
      <c r="D161" s="15"/>
      <c r="E161" s="46"/>
      <c r="F161" s="47"/>
      <c r="G161" s="46"/>
      <c r="H161" s="15"/>
    </row>
    <row r="162" spans="3:8" ht="12.75">
      <c r="C162" s="15"/>
      <c r="D162" s="15"/>
      <c r="E162" s="48"/>
      <c r="F162" s="48"/>
      <c r="G162" s="48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</sheetData>
  <mergeCells count="1">
    <mergeCell ref="E142:G14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tabColor rgb="FF92D050"/>
    <pageSetUpPr fitToPage="1"/>
  </sheetPr>
  <dimension ref="B4:L172"/>
  <sheetViews>
    <sheetView showGridLines="0" view="pageLayout" zoomScaleNormal="100" workbookViewId="0" topLeftCell="A102">
      <selection pane="topLeft" activeCell="C125" sqref="C125:E132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f>'Fund XI'!E8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G136</f>
        <v>0.20284774899482727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-(G134+J137)/J136</f>
        <v>1.7493065004923005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2" ht="12.75">
      <c r="C22" s="28">
        <v>0.027350044</v>
      </c>
      <c r="D22" s="15"/>
      <c r="E22" s="15"/>
      <c r="F22" s="15"/>
      <c r="G22" s="29"/>
      <c r="H22" s="15"/>
      <c r="I22" s="15"/>
      <c r="J22" s="14"/>
      <c r="K22" s="15"/>
      <c r="L22" s="58"/>
    </row>
    <row r="23" spans="3:12" ht="12.75">
      <c r="C23" s="15"/>
      <c r="D23" s="15"/>
      <c r="E23" s="26"/>
      <c r="F23" s="32"/>
      <c r="G23" s="32"/>
      <c r="H23" s="15"/>
      <c r="I23" s="14"/>
      <c r="J23" s="14"/>
      <c r="K23" s="15"/>
      <c r="L23" s="58"/>
    </row>
    <row r="24" spans="3:12" ht="12.75">
      <c r="C24" s="15" t="s">
        <v>15</v>
      </c>
      <c r="D24" s="15"/>
      <c r="E24" s="26">
        <v>42933</v>
      </c>
      <c r="F24" s="32"/>
      <c r="G24" s="32">
        <v>-422500</v>
      </c>
      <c r="H24" s="15"/>
      <c r="I24" s="14"/>
      <c r="J24" s="14"/>
      <c r="K24" s="15"/>
      <c r="L24" s="58"/>
    </row>
    <row r="25" spans="3:12" ht="12.75">
      <c r="C25" s="15"/>
      <c r="D25" s="15"/>
      <c r="E25" s="26">
        <v>43010</v>
      </c>
      <c r="F25" s="32"/>
      <c r="G25" s="32">
        <v>-102500</v>
      </c>
      <c r="H25" s="15"/>
      <c r="I25" s="14"/>
      <c r="J25" s="14"/>
      <c r="K25" s="15"/>
      <c r="L25" s="58"/>
    </row>
    <row r="26" spans="3:11" ht="12.75">
      <c r="C26" s="15"/>
      <c r="D26" s="15"/>
      <c r="E26" s="26">
        <v>43052</v>
      </c>
      <c r="F26" s="32"/>
      <c r="G26" s="32">
        <v>-45000</v>
      </c>
      <c r="H26" s="15"/>
      <c r="I26" s="14"/>
      <c r="J26" s="14"/>
      <c r="K26" s="15"/>
    </row>
    <row r="27" spans="3:10" ht="12.75">
      <c r="C27" s="15"/>
      <c r="D27" s="15"/>
      <c r="E27" s="26">
        <v>43087</v>
      </c>
      <c r="F27" s="32"/>
      <c r="G27" s="32">
        <v>-197947.88</v>
      </c>
      <c r="H27" s="15"/>
      <c r="I27" s="14"/>
      <c r="J27" s="14"/>
    </row>
    <row r="28" spans="3:11" ht="12.75">
      <c r="C28" s="15"/>
      <c r="D28" s="15"/>
      <c r="E28" s="26">
        <v>43096</v>
      </c>
      <c r="F28" s="32"/>
      <c r="G28" s="32">
        <v>-121387.29</v>
      </c>
      <c r="H28" s="15"/>
      <c r="I28" s="14"/>
      <c r="J28" s="14"/>
      <c r="K28" s="15"/>
    </row>
    <row r="29" spans="3:11" ht="12.75">
      <c r="C29" s="15" t="s">
        <v>17</v>
      </c>
      <c r="D29" s="15"/>
      <c r="E29" s="26">
        <v>43182</v>
      </c>
      <c r="F29" s="32"/>
      <c r="G29" s="32">
        <v>-878082.53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-311728.27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-232359.67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-203628.95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-165201.61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-280483.64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-462205.41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-185672.25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-257499.03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-256780.77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-410130.99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-304545.62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-265759.16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-262886.05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-2021205.94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-149758.87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-370267.11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-127133.42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-515357.25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-119950.73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-110613.25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-116718.53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-183876.57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-2048500.12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321424.89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-251393.78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-269350.47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-128569.95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-212248.17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-135393.50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-154427.59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-611605.14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-1449105.54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58254.94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53658.19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198424.12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-71467.65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-220867.36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-164483.36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-1077401.87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-2326110.68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970739.10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-49201.35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-125337.73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-402589.17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-391456.02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-56743.17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-66798.92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-193573.22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-171666.04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-495963.99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-175975.64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-380682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-217276.05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-113127.21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-67158.05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-321065.76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-179207.84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-699952.10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251133.34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195115.32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512125.65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259887.72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219484.73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271197.35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424199.43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373876.58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129981.04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94622.35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71716.91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120626.61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-119950.76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-139703.11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-287307.18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-172743.44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-52433.55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-623456.56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-188545.35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-113127.18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-65721.52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-343691.20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-195009.75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-164124.22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101043.53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105290.37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150131.69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206979.39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130065.72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4187884.91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1532931.51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126916.88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205329.37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859474.96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191434.24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275257.70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724115.57</v>
      </c>
      <c r="H124" s="15"/>
      <c r="I124" s="14"/>
      <c r="J124" s="14"/>
      <c r="K124" s="15"/>
    </row>
    <row r="125" spans="3:11" ht="12.75">
      <c r="C125" s="15" t="s">
        <v>36</v>
      </c>
      <c r="D125" s="15"/>
      <c r="E125" s="26">
        <v>45390</v>
      </c>
      <c r="F125" s="32"/>
      <c r="G125" s="32">
        <v>-156941.57</v>
      </c>
      <c r="H125" s="15"/>
      <c r="I125" s="14"/>
      <c r="J125" s="14"/>
      <c r="K125" s="15"/>
    </row>
    <row r="126" spans="3:11" ht="12.75">
      <c r="C126" s="15"/>
      <c r="D126" s="15"/>
      <c r="E126" s="26">
        <v>45432</v>
      </c>
      <c r="F126" s="32"/>
      <c r="G126" s="32">
        <v>-531518.27</v>
      </c>
      <c r="H126" s="15"/>
      <c r="I126" s="14"/>
      <c r="J126" s="14"/>
      <c r="K126" s="15"/>
    </row>
    <row r="127" spans="3:11" ht="12.75">
      <c r="C127" s="15" t="s">
        <v>35</v>
      </c>
      <c r="D127" s="15"/>
      <c r="E127" s="26">
        <v>45303</v>
      </c>
      <c r="F127" s="32"/>
      <c r="G127" s="32">
        <v>748573.45</v>
      </c>
      <c r="H127" s="15"/>
      <c r="I127" s="14"/>
      <c r="J127" s="14"/>
      <c r="K127" s="15"/>
    </row>
    <row r="128" spans="3:11" ht="12.75">
      <c r="C128" s="15"/>
      <c r="D128" s="15"/>
      <c r="E128" s="26">
        <v>45331</v>
      </c>
      <c r="F128" s="32"/>
      <c r="G128" s="32">
        <v>183320.82</v>
      </c>
      <c r="H128" s="15"/>
      <c r="I128" s="14"/>
      <c r="J128" s="14"/>
      <c r="K128" s="15"/>
    </row>
    <row r="129" spans="3:11" ht="12.75">
      <c r="C129" s="15"/>
      <c r="D129" s="15"/>
      <c r="E129" s="26">
        <v>45362</v>
      </c>
      <c r="F129" s="32"/>
      <c r="G129" s="32">
        <v>353058.90</v>
      </c>
      <c r="H129" s="15"/>
      <c r="I129" s="14"/>
      <c r="J129" s="14"/>
      <c r="K129" s="15"/>
    </row>
    <row r="130" spans="3:11" ht="12.75">
      <c r="C130" s="15"/>
      <c r="D130" s="15"/>
      <c r="E130" s="26">
        <v>45386</v>
      </c>
      <c r="F130" s="32"/>
      <c r="G130" s="32">
        <v>192516.59</v>
      </c>
      <c r="H130" s="15"/>
      <c r="I130" s="14"/>
      <c r="J130" s="14"/>
      <c r="K130" s="15"/>
    </row>
    <row r="131" spans="3:11" ht="12.75">
      <c r="C131" s="15"/>
      <c r="D131" s="15"/>
      <c r="E131" s="26">
        <v>45419</v>
      </c>
      <c r="F131" s="32"/>
      <c r="G131" s="32">
        <v>237291.02</v>
      </c>
      <c r="H131" s="15"/>
      <c r="I131" s="14"/>
      <c r="J131" s="14"/>
      <c r="K131" s="15"/>
    </row>
    <row r="132" spans="3:11" ht="12.75">
      <c r="C132" s="15"/>
      <c r="D132" s="15"/>
      <c r="E132" s="26">
        <v>45448</v>
      </c>
      <c r="F132" s="32"/>
      <c r="G132" s="32">
        <v>437959.01</v>
      </c>
      <c r="H132" s="15"/>
      <c r="I132" s="14"/>
      <c r="J132" s="14"/>
      <c r="K132" s="15"/>
    </row>
    <row r="133" spans="3:9" ht="5.25" customHeight="1">
      <c r="C133" s="15"/>
      <c r="D133" s="15"/>
      <c r="E133" s="26"/>
      <c r="F133" s="15"/>
      <c r="G133" s="32"/>
      <c r="H133" s="15"/>
      <c r="I133" s="14"/>
    </row>
    <row r="134" spans="3:12" ht="12.75">
      <c r="C134" s="15" t="s">
        <v>25</v>
      </c>
      <c r="D134" s="15"/>
      <c r="E134" s="26">
        <f>+E8</f>
        <v>45473</v>
      </c>
      <c r="F134" s="15"/>
      <c r="G134" s="33">
        <f>L134*C22</f>
        <v>2.8100339151904244E7</v>
      </c>
      <c r="H134" s="15"/>
      <c r="I134" s="26"/>
      <c r="L134" s="58">
        <v>1.027433051E9</v>
      </c>
    </row>
    <row r="135" spans="3:10" ht="12.75">
      <c r="C135" s="15"/>
      <c r="D135" s="15"/>
      <c r="E135" s="15"/>
      <c r="F135" s="15"/>
      <c r="G135" s="15"/>
      <c r="H135" s="15"/>
      <c r="J135" s="14"/>
    </row>
    <row r="136" spans="3:11" ht="12.75">
      <c r="C136" s="36" t="s">
        <v>28</v>
      </c>
      <c r="G136" s="37">
        <f>+XIRR(G24:G134,E24:E134,0.1)</f>
        <v>0.20284774899482727</v>
      </c>
      <c r="H136" s="15"/>
      <c r="J136" s="32">
        <f>+SUMIF($G$24:$G$133,"&lt;0",$G$24:$G$133)+G53+G70</f>
        <v>-2.4171989900000006E7</v>
      </c>
      <c r="K136" s="15" t="s">
        <v>26</v>
      </c>
    </row>
    <row r="137" spans="3:11" ht="12.75">
      <c r="C137" s="15"/>
      <c r="D137" s="15"/>
      <c r="E137" s="15"/>
      <c r="F137" s="15"/>
      <c r="G137" s="15"/>
      <c r="H137" s="15"/>
      <c r="J137" s="32">
        <f>+SUMIF($G$24:$G$133,"&gt;0",$G$24:$G$133)-G53-G70</f>
        <v>1.418387991E7</v>
      </c>
      <c r="K137" s="15" t="s">
        <v>27</v>
      </c>
    </row>
    <row r="138" spans="3:8" ht="12.75">
      <c r="C138" s="15"/>
      <c r="D138" s="15"/>
      <c r="E138" s="15"/>
      <c r="F138" s="15"/>
      <c r="G138" s="14"/>
      <c r="H138" s="15"/>
    </row>
    <row r="139" spans="3:11" ht="12.75">
      <c r="C139" s="15"/>
      <c r="D139" s="15"/>
      <c r="E139" s="38"/>
      <c r="F139" s="15"/>
      <c r="G139" s="38"/>
      <c r="H139" s="15"/>
      <c r="K139" s="38"/>
    </row>
    <row r="140" spans="3:11" ht="12.75">
      <c r="C140" s="39"/>
      <c r="D140" s="39"/>
      <c r="E140" s="38"/>
      <c r="F140" s="39"/>
      <c r="G140" s="38"/>
      <c r="H140" s="15"/>
      <c r="K140" s="38"/>
    </row>
    <row r="141" spans="3:11" ht="12.75">
      <c r="C141" s="39"/>
      <c r="D141" s="39"/>
      <c r="E141" s="38"/>
      <c r="F141" s="39"/>
      <c r="G141" s="38"/>
      <c r="H141" s="15"/>
      <c r="K141" s="38"/>
    </row>
    <row r="142" spans="3:11" ht="12.75">
      <c r="C142" s="39"/>
      <c r="D142" s="123"/>
      <c r="E142" s="123"/>
      <c r="F142" s="123"/>
      <c r="G142" s="123"/>
      <c r="H142" s="36"/>
      <c r="K142" s="38"/>
    </row>
    <row r="143" spans="3:11" ht="12.75">
      <c r="C143" s="39"/>
      <c r="D143" s="39"/>
      <c r="E143" s="38"/>
      <c r="F143" s="38"/>
      <c r="G143" s="38"/>
      <c r="H143" s="36"/>
      <c r="K143" s="38"/>
    </row>
    <row r="144" spans="3:11" ht="12.75">
      <c r="C144" s="39"/>
      <c r="D144" s="39"/>
      <c r="E144" s="39"/>
      <c r="F144" s="39"/>
      <c r="G144" s="39"/>
      <c r="H144" s="36"/>
      <c r="K144" s="35"/>
    </row>
    <row r="145" spans="3:8" ht="12.75">
      <c r="C145" s="39"/>
      <c r="D145" s="39"/>
      <c r="E145" s="59"/>
      <c r="F145" s="40"/>
      <c r="G145" s="59"/>
      <c r="H145" s="36"/>
    </row>
    <row r="146" spans="3:11" ht="12.75">
      <c r="C146" s="39"/>
      <c r="D146" s="39"/>
      <c r="E146" s="41"/>
      <c r="F146" s="40"/>
      <c r="G146" s="41"/>
      <c r="H146" s="36"/>
      <c r="K146" s="35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42"/>
      <c r="D148" s="39"/>
      <c r="E148" s="41"/>
      <c r="F148" s="40"/>
      <c r="G148" s="41"/>
      <c r="H148" s="36"/>
    </row>
    <row r="149" spans="3:8" ht="12.75">
      <c r="C149" s="42"/>
      <c r="D149" s="39"/>
      <c r="E149" s="41"/>
      <c r="F149" s="40"/>
      <c r="G149" s="41"/>
      <c r="H149" s="36"/>
    </row>
    <row r="150" spans="3:8" ht="12.75">
      <c r="C150" s="43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12.75">
      <c r="C152" s="39"/>
      <c r="D152" s="39"/>
      <c r="E152" s="41"/>
      <c r="F152" s="40"/>
      <c r="G152" s="41"/>
      <c r="H152" s="36"/>
    </row>
    <row r="153" spans="3:8" ht="12.75">
      <c r="C153" s="39"/>
      <c r="D153" s="39"/>
      <c r="E153" s="41"/>
      <c r="F153" s="40"/>
      <c r="G153" s="41"/>
      <c r="H153" s="36"/>
    </row>
    <row r="154" spans="3:8" ht="12.75">
      <c r="C154" s="39"/>
      <c r="D154" s="39"/>
      <c r="E154" s="41"/>
      <c r="F154" s="40"/>
      <c r="G154" s="41"/>
      <c r="H154" s="36"/>
    </row>
    <row r="155" spans="3:8" ht="12.75">
      <c r="C155" s="39"/>
      <c r="D155" s="39"/>
      <c r="E155" s="41"/>
      <c r="F155" s="40"/>
      <c r="G155" s="41"/>
      <c r="H155" s="36"/>
    </row>
    <row r="156" spans="3:8" ht="12.75">
      <c r="C156" s="39"/>
      <c r="D156" s="39"/>
      <c r="E156" s="41"/>
      <c r="F156" s="40"/>
      <c r="G156" s="41"/>
      <c r="H156" s="36"/>
    </row>
    <row r="157" spans="3:8" ht="5.1" customHeight="1">
      <c r="C157" s="36"/>
      <c r="D157" s="36"/>
      <c r="E157" s="85"/>
      <c r="F157" s="44"/>
      <c r="G157" s="85"/>
      <c r="H157" s="36"/>
    </row>
    <row r="158" spans="3:8" ht="12.75">
      <c r="C158" s="36"/>
      <c r="D158" s="36"/>
      <c r="E158" s="86"/>
      <c r="F158" s="45"/>
      <c r="G158" s="86"/>
      <c r="H158" s="36"/>
    </row>
    <row r="159" spans="3:8" ht="12.75">
      <c r="C159" s="15"/>
      <c r="D159" s="15"/>
      <c r="E159" s="46"/>
      <c r="F159" s="47"/>
      <c r="G159" s="46"/>
      <c r="H159" s="15"/>
    </row>
    <row r="160" spans="3:8" ht="12.75">
      <c r="C160" s="15"/>
      <c r="D160" s="15"/>
      <c r="E160" s="46"/>
      <c r="F160" s="47"/>
      <c r="G160" s="46"/>
      <c r="H160" s="15"/>
    </row>
    <row r="161" spans="3:8" ht="12.75">
      <c r="C161" s="15"/>
      <c r="D161" s="15"/>
      <c r="E161" s="46"/>
      <c r="F161" s="47"/>
      <c r="G161" s="46"/>
      <c r="H161" s="15"/>
    </row>
    <row r="162" spans="3:8" ht="12.75">
      <c r="C162" s="15"/>
      <c r="D162" s="15"/>
      <c r="E162" s="48"/>
      <c r="F162" s="48"/>
      <c r="G162" s="48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</sheetData>
  <mergeCells count="1">
    <mergeCell ref="D142:G14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tabColor rgb="FF92D050"/>
    <pageSetUpPr fitToPage="1"/>
  </sheetPr>
  <dimension ref="B4:L172"/>
  <sheetViews>
    <sheetView showGridLines="0" view="pageLayout" zoomScaleNormal="100" workbookViewId="0" topLeftCell="A113">
      <selection pane="topLeft" activeCell="L134" sqref="L134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f>'Fund XI'!E8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G136</f>
        <v>0.22131164669990538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-(G134+J137)/J136</f>
        <v>1.8461387202127084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2" ht="12.75">
      <c r="C22" s="28">
        <v>0.012144909</v>
      </c>
      <c r="D22" s="15"/>
      <c r="E22" s="15"/>
      <c r="F22" s="15"/>
      <c r="G22" s="29"/>
      <c r="H22" s="15"/>
      <c r="I22" s="15"/>
      <c r="J22" s="14"/>
      <c r="K22" s="15"/>
      <c r="L22" s="58"/>
    </row>
    <row r="23" spans="3:12" ht="12.75">
      <c r="C23" s="15"/>
      <c r="D23" s="15"/>
      <c r="E23" s="26"/>
      <c r="F23" s="32"/>
      <c r="G23" s="32"/>
      <c r="H23" s="15"/>
      <c r="I23" s="14"/>
      <c r="J23" s="14"/>
      <c r="K23" s="15"/>
      <c r="L23" s="58"/>
    </row>
    <row r="24" spans="3:12" ht="12.75">
      <c r="C24" s="15" t="s">
        <v>15</v>
      </c>
      <c r="D24" s="15"/>
      <c r="E24" s="26">
        <v>42933</v>
      </c>
      <c r="F24" s="32"/>
      <c r="G24" s="32">
        <v>-118300</v>
      </c>
      <c r="H24" s="15"/>
      <c r="I24" s="14"/>
      <c r="J24" s="14"/>
      <c r="K24" s="15"/>
      <c r="L24" s="58"/>
    </row>
    <row r="25" spans="3:12" ht="12.75">
      <c r="C25" s="15"/>
      <c r="D25" s="15"/>
      <c r="E25" s="26">
        <v>43010</v>
      </c>
      <c r="F25" s="32"/>
      <c r="G25" s="32">
        <v>-28700</v>
      </c>
      <c r="H25" s="15"/>
      <c r="I25" s="14"/>
      <c r="J25" s="14"/>
      <c r="K25" s="15"/>
      <c r="L25" s="58"/>
    </row>
    <row r="26" spans="3:11" ht="12.75">
      <c r="C26" s="15"/>
      <c r="D26" s="15"/>
      <c r="E26" s="26">
        <v>43052</v>
      </c>
      <c r="F26" s="32"/>
      <c r="G26" s="32">
        <v>-12600</v>
      </c>
      <c r="H26" s="15"/>
      <c r="I26" s="14"/>
      <c r="J26" s="14"/>
      <c r="K26" s="15"/>
    </row>
    <row r="27" spans="3:10" ht="12.75">
      <c r="C27" s="15"/>
      <c r="D27" s="15"/>
      <c r="E27" s="26">
        <v>43087</v>
      </c>
      <c r="F27" s="32"/>
      <c r="G27" s="32">
        <v>-55425.40</v>
      </c>
      <c r="H27" s="15"/>
      <c r="I27" s="14"/>
      <c r="J27" s="14"/>
    </row>
    <row r="28" spans="3:11" ht="12.75">
      <c r="C28" s="15"/>
      <c r="D28" s="15"/>
      <c r="E28" s="26">
        <v>43096</v>
      </c>
      <c r="F28" s="32"/>
      <c r="G28" s="32">
        <v>-33988.44</v>
      </c>
      <c r="H28" s="15"/>
      <c r="I28" s="14"/>
      <c r="J28" s="14"/>
      <c r="K28" s="15"/>
    </row>
    <row r="29" spans="3:11" ht="12.75">
      <c r="C29" s="15" t="s">
        <v>17</v>
      </c>
      <c r="D29" s="15"/>
      <c r="E29" s="26">
        <v>43182</v>
      </c>
      <c r="F29" s="32"/>
      <c r="G29" s="32">
        <v>-245863.11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-87283.92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-65060.71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-57016.11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-46256.45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-78535.4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-129417.52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-51988.23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-72099.73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-71898.61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-114836.68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-85272.77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-74412.54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-73608.09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-565937.67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-41932.49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-103674.79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-35597.36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-144300.02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-33586.21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-30971.71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-32681.18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-51485.45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-573580.03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89998.97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-70390.26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-75418.13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-35999.59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-59429.49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-37910.19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-43239.73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-171249.44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-405749.55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14478.55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17147.06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55569.08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-20010.94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-61842.87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-46055.35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-301672.53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-651310.98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271806.95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-13776.38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-35094.57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-112724.96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-109607.68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-15888.08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-18703.69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-54200.49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-48066.50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-138869.93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-49273.18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-106590.96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-60837.30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-31675.62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-18804.25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-89898.41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-50178.20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-195986.58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70317.36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54777.98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143395.19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72768.56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61434.59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76039.47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118775.84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104734.96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36369.32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26494.26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20080.73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33882.87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-33586.21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-39116.87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-80446.01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-48368.16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-14681.39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-174567.84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-52792.69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-31675.62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-18402.02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-96233.53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-54602.72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-45954.78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28292.19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29481.31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42036.88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60117.34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36418.40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1174373.9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436343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35536.73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57492.22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240652.99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53601.58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77072.16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238804.16</v>
      </c>
      <c r="H124" s="15"/>
      <c r="I124" s="14"/>
      <c r="J124" s="14"/>
      <c r="K124" s="15"/>
    </row>
    <row r="125" spans="3:11" ht="12.75">
      <c r="C125" s="15" t="s">
        <v>36</v>
      </c>
      <c r="D125" s="15"/>
      <c r="E125" s="26">
        <v>45390</v>
      </c>
      <c r="F125" s="32"/>
      <c r="G125" s="32">
        <v>-43943.63</v>
      </c>
      <c r="H125" s="15"/>
      <c r="I125" s="14"/>
      <c r="J125" s="14"/>
      <c r="K125" s="15"/>
    </row>
    <row r="126" spans="3:11" ht="12.75">
      <c r="C126" s="15"/>
      <c r="D126" s="15"/>
      <c r="E126" s="26">
        <v>45432</v>
      </c>
      <c r="F126" s="32"/>
      <c r="G126" s="32">
        <v>-148825.11</v>
      </c>
      <c r="H126" s="15"/>
      <c r="I126" s="14"/>
      <c r="J126" s="14"/>
      <c r="K126" s="15"/>
    </row>
    <row r="127" spans="3:11" ht="12.75">
      <c r="C127" s="15" t="s">
        <v>35</v>
      </c>
      <c r="D127" s="15"/>
      <c r="E127" s="26">
        <v>45303</v>
      </c>
      <c r="F127" s="32"/>
      <c r="G127" s="32">
        <v>209600.57</v>
      </c>
      <c r="H127" s="15"/>
      <c r="I127" s="14"/>
      <c r="J127" s="14"/>
      <c r="K127" s="15"/>
    </row>
    <row r="128" spans="3:11" ht="12.75">
      <c r="C128" s="15"/>
      <c r="D128" s="15"/>
      <c r="E128" s="26">
        <v>45331</v>
      </c>
      <c r="F128" s="32"/>
      <c r="G128" s="32">
        <v>51329.82</v>
      </c>
      <c r="H128" s="15"/>
      <c r="I128" s="14"/>
      <c r="J128" s="14"/>
      <c r="K128" s="15"/>
    </row>
    <row r="129" spans="3:11" ht="12.75">
      <c r="C129" s="15"/>
      <c r="D129" s="15"/>
      <c r="E129" s="26">
        <v>45362</v>
      </c>
      <c r="F129" s="32"/>
      <c r="G129" s="32">
        <v>98856.50</v>
      </c>
      <c r="H129" s="15"/>
      <c r="I129" s="14"/>
      <c r="J129" s="14"/>
      <c r="K129" s="15"/>
    </row>
    <row r="130" spans="3:11" ht="12.75">
      <c r="C130" s="15"/>
      <c r="D130" s="15"/>
      <c r="E130" s="26">
        <v>45386</v>
      </c>
      <c r="F130" s="32"/>
      <c r="G130" s="32">
        <v>61115</v>
      </c>
      <c r="H130" s="15"/>
      <c r="I130" s="14"/>
      <c r="J130" s="14"/>
      <c r="K130" s="15"/>
    </row>
    <row r="131" spans="3:11" ht="12.75">
      <c r="C131" s="15"/>
      <c r="D131" s="15"/>
      <c r="E131" s="26">
        <v>45419</v>
      </c>
      <c r="F131" s="32"/>
      <c r="G131" s="32">
        <v>67766.70</v>
      </c>
      <c r="H131" s="15"/>
      <c r="I131" s="14"/>
      <c r="J131" s="14"/>
      <c r="K131" s="15"/>
    </row>
    <row r="132" spans="3:11" ht="12.75">
      <c r="C132" s="15"/>
      <c r="D132" s="15"/>
      <c r="E132" s="26">
        <v>45448</v>
      </c>
      <c r="F132" s="32"/>
      <c r="G132" s="32">
        <v>122628.52</v>
      </c>
      <c r="H132" s="15"/>
      <c r="I132" s="14"/>
      <c r="J132" s="14"/>
      <c r="K132" s="15"/>
    </row>
    <row r="133" spans="3:9" ht="4.5" customHeight="1">
      <c r="C133" s="15"/>
      <c r="D133" s="15"/>
      <c r="E133" s="26"/>
      <c r="F133" s="15"/>
      <c r="G133" s="32"/>
      <c r="H133" s="15"/>
      <c r="I133" s="14"/>
    </row>
    <row r="134" spans="3:12" ht="12.75">
      <c r="C134" s="15" t="s">
        <v>25</v>
      </c>
      <c r="D134" s="15"/>
      <c r="E134" s="26">
        <f>+E8</f>
        <v>45473</v>
      </c>
      <c r="F134" s="15"/>
      <c r="G134" s="33">
        <f>L134*C22</f>
        <v>8467171.115253942</v>
      </c>
      <c r="H134" s="15"/>
      <c r="I134" s="26"/>
      <c r="L134" s="58">
        <v>6.97178638E8</v>
      </c>
    </row>
    <row r="135" spans="3:10" ht="12.75">
      <c r="C135" s="15"/>
      <c r="D135" s="15"/>
      <c r="E135" s="15"/>
      <c r="F135" s="15"/>
      <c r="G135" s="15"/>
      <c r="H135" s="15"/>
      <c r="J135" s="14"/>
    </row>
    <row r="136" spans="3:11" ht="12.75">
      <c r="C136" s="36" t="s">
        <v>28</v>
      </c>
      <c r="G136" s="37">
        <f>+XIRR(G24:G134,E24:E134,0.1)</f>
        <v>0.22131164669990538</v>
      </c>
      <c r="H136" s="15"/>
      <c r="J136" s="32">
        <f>+SUMIF($G$24:$G$133,"&lt;0",$G$24:$G$133)+G53+G70</f>
        <v>-6768157.11</v>
      </c>
      <c r="K136" s="15" t="s">
        <v>26</v>
      </c>
    </row>
    <row r="137" spans="3:11" ht="12.75">
      <c r="C137" s="15"/>
      <c r="D137" s="15"/>
      <c r="E137" s="15"/>
      <c r="F137" s="15"/>
      <c r="G137" s="15"/>
      <c r="H137" s="15"/>
      <c r="J137" s="32">
        <f>+SUMIF($G$24:$G$133,"&gt;0",$G$24:$G$133)-G53-G70</f>
        <v>4027785.79</v>
      </c>
      <c r="K137" s="15" t="s">
        <v>27</v>
      </c>
    </row>
    <row r="138" spans="3:8" ht="12.75">
      <c r="C138" s="15"/>
      <c r="D138" s="15"/>
      <c r="E138" s="15"/>
      <c r="F138" s="15"/>
      <c r="G138" s="14"/>
      <c r="H138" s="15"/>
    </row>
    <row r="139" spans="3:11" ht="12.75">
      <c r="C139" s="15"/>
      <c r="D139" s="15"/>
      <c r="E139" s="38"/>
      <c r="F139" s="15"/>
      <c r="G139" s="38"/>
      <c r="H139" s="15"/>
      <c r="K139" s="38"/>
    </row>
    <row r="140" spans="3:11" ht="12.75">
      <c r="C140" s="39"/>
      <c r="D140" s="39"/>
      <c r="E140" s="38"/>
      <c r="F140" s="39"/>
      <c r="G140" s="38"/>
      <c r="H140" s="15"/>
      <c r="K140" s="38"/>
    </row>
    <row r="141" spans="3:11" ht="12.75">
      <c r="C141" s="39"/>
      <c r="D141" s="39"/>
      <c r="E141" s="38"/>
      <c r="F141" s="39"/>
      <c r="G141" s="38"/>
      <c r="H141" s="15"/>
      <c r="K141" s="38"/>
    </row>
    <row r="142" spans="3:11" ht="12.75">
      <c r="C142" s="39"/>
      <c r="D142" s="39"/>
      <c r="E142" s="123"/>
      <c r="F142" s="123"/>
      <c r="G142" s="123"/>
      <c r="H142" s="36"/>
      <c r="K142" s="38"/>
    </row>
    <row r="143" spans="3:11" ht="12.75">
      <c r="C143" s="39"/>
      <c r="D143" s="39"/>
      <c r="E143" s="38"/>
      <c r="F143" s="38"/>
      <c r="G143" s="38"/>
      <c r="H143" s="36"/>
      <c r="K143" s="38"/>
    </row>
    <row r="144" spans="3:11" ht="12.75">
      <c r="C144" s="39"/>
      <c r="D144" s="39"/>
      <c r="E144" s="39"/>
      <c r="F144" s="39"/>
      <c r="G144" s="39"/>
      <c r="H144" s="36"/>
      <c r="K144" s="35"/>
    </row>
    <row r="145" spans="3:8" ht="12.75">
      <c r="C145" s="39"/>
      <c r="D145" s="39"/>
      <c r="E145" s="59"/>
      <c r="F145" s="40"/>
      <c r="G145" s="59"/>
      <c r="H145" s="36"/>
    </row>
    <row r="146" spans="3:11" ht="12.75">
      <c r="C146" s="39"/>
      <c r="D146" s="39"/>
      <c r="E146" s="41"/>
      <c r="F146" s="40"/>
      <c r="G146" s="41"/>
      <c r="H146" s="36"/>
      <c r="K146" s="35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42"/>
      <c r="D148" s="39"/>
      <c r="E148" s="41"/>
      <c r="F148" s="40"/>
      <c r="G148" s="41"/>
      <c r="H148" s="36"/>
    </row>
    <row r="149" spans="3:8" ht="12.75">
      <c r="C149" s="42"/>
      <c r="D149" s="39"/>
      <c r="E149" s="41"/>
      <c r="F149" s="40"/>
      <c r="G149" s="41"/>
      <c r="H149" s="36"/>
    </row>
    <row r="150" spans="3:8" ht="12.75">
      <c r="C150" s="43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12.75">
      <c r="C152" s="39"/>
      <c r="D152" s="39"/>
      <c r="E152" s="41"/>
      <c r="F152" s="40"/>
      <c r="G152" s="41"/>
      <c r="H152" s="36"/>
    </row>
    <row r="153" spans="3:8" ht="12.75">
      <c r="C153" s="39"/>
      <c r="D153" s="39"/>
      <c r="E153" s="41"/>
      <c r="F153" s="40"/>
      <c r="G153" s="41"/>
      <c r="H153" s="36"/>
    </row>
    <row r="154" spans="3:8" ht="12.75">
      <c r="C154" s="39"/>
      <c r="D154" s="39"/>
      <c r="E154" s="41"/>
      <c r="F154" s="40"/>
      <c r="G154" s="41"/>
      <c r="H154" s="36"/>
    </row>
    <row r="155" spans="3:8" ht="12.75">
      <c r="C155" s="39"/>
      <c r="D155" s="39"/>
      <c r="E155" s="41"/>
      <c r="F155" s="40"/>
      <c r="G155" s="41"/>
      <c r="H155" s="36"/>
    </row>
    <row r="156" spans="3:8" ht="12.75">
      <c r="C156" s="39"/>
      <c r="D156" s="39"/>
      <c r="E156" s="41"/>
      <c r="F156" s="40"/>
      <c r="G156" s="41"/>
      <c r="H156" s="36"/>
    </row>
    <row r="157" spans="3:8" ht="5.1" customHeight="1">
      <c r="C157" s="36"/>
      <c r="D157" s="36"/>
      <c r="E157" s="85"/>
      <c r="F157" s="44"/>
      <c r="G157" s="85"/>
      <c r="H157" s="36"/>
    </row>
    <row r="158" spans="3:8" ht="12.75">
      <c r="C158" s="36"/>
      <c r="D158" s="36"/>
      <c r="E158" s="86"/>
      <c r="F158" s="45"/>
      <c r="G158" s="86"/>
      <c r="H158" s="36"/>
    </row>
    <row r="159" spans="3:8" ht="12.75">
      <c r="C159" s="15"/>
      <c r="D159" s="15"/>
      <c r="E159" s="46"/>
      <c r="F159" s="47"/>
      <c r="G159" s="46"/>
      <c r="H159" s="15"/>
    </row>
    <row r="160" spans="3:8" ht="12.75">
      <c r="C160" s="15"/>
      <c r="D160" s="15"/>
      <c r="E160" s="46"/>
      <c r="F160" s="47"/>
      <c r="G160" s="46"/>
      <c r="H160" s="15"/>
    </row>
    <row r="161" spans="3:8" ht="12.75">
      <c r="C161" s="15"/>
      <c r="D161" s="15"/>
      <c r="E161" s="46"/>
      <c r="F161" s="47"/>
      <c r="G161" s="46"/>
      <c r="H161" s="15"/>
    </row>
    <row r="162" spans="3:8" ht="12.75">
      <c r="C162" s="15"/>
      <c r="D162" s="15"/>
      <c r="E162" s="48"/>
      <c r="F162" s="48"/>
      <c r="G162" s="48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</sheetData>
  <mergeCells count="1">
    <mergeCell ref="E142:G14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tabColor rgb="FF92D050"/>
    <pageSetUpPr fitToPage="1"/>
  </sheetPr>
  <dimension ref="B4:S74"/>
  <sheetViews>
    <sheetView showGridLines="0" view="pageLayout" zoomScaleNormal="100" workbookViewId="0" topLeftCell="A4">
      <selection pane="topLeft" activeCell="C21" sqref="C21:C22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5.571428571428571" customWidth="1"/>
    <col min="8" max="8" width="2.4285714285714284" customWidth="1"/>
    <col min="9" max="9" width="16.857142857142858" bestFit="1" customWidth="1"/>
    <col min="10" max="10" width="23" bestFit="1" customWidth="1"/>
    <col min="11" max="11" width="19" customWidth="1"/>
    <col min="12" max="12" width="24" bestFit="1" customWidth="1"/>
    <col min="13" max="13" width="5.142857142857143" customWidth="1"/>
    <col min="14" max="14" width="11.285714285714286" bestFit="1" customWidth="1"/>
    <col min="16" max="16" width="17.714285714285715" bestFit="1" customWidth="1"/>
    <col min="17" max="17" width="17.285714285714285" bestFit="1" customWidth="1"/>
    <col min="18" max="19" width="12.857142857142858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12" ht="15.75">
      <c r="C8" s="5"/>
      <c r="D8" s="5"/>
      <c r="E8" s="61">
        <v>45473</v>
      </c>
      <c r="F8" s="7"/>
      <c r="G8" s="8"/>
      <c r="H8" s="8"/>
      <c r="I8" s="93"/>
      <c r="J8" s="93"/>
      <c r="K8" s="93"/>
      <c r="L8" s="93"/>
    </row>
    <row r="9" spans="3:17" ht="15.75">
      <c r="C9" s="5"/>
      <c r="D9" s="5"/>
      <c r="E9" s="5"/>
      <c r="F9" s="5"/>
      <c r="G9" s="10"/>
      <c r="I9" s="93"/>
      <c r="J9" s="93"/>
      <c r="K9" s="94"/>
      <c r="L9" s="93"/>
      <c r="Q9" s="95"/>
    </row>
    <row r="10" spans="3:18" ht="12.75">
      <c r="C10" s="11"/>
      <c r="D10" s="11"/>
      <c r="E10" s="12"/>
      <c r="F10" s="11"/>
      <c r="G10" s="58"/>
      <c r="H10" s="13"/>
      <c r="I10" s="96"/>
      <c r="J10" s="92"/>
      <c r="K10" s="92"/>
      <c r="L10" s="92"/>
      <c r="R10" s="97"/>
    </row>
    <row r="11" spans="3:18" ht="12.75">
      <c r="C11" s="11"/>
      <c r="D11" s="11"/>
      <c r="E11" s="12"/>
      <c r="F11" s="11"/>
      <c r="G11" s="12"/>
      <c r="H11" s="13"/>
      <c r="I11" s="98"/>
      <c r="R11" s="97"/>
    </row>
    <row r="12" spans="3:9" ht="15.75">
      <c r="C12" s="16"/>
      <c r="D12" s="16"/>
      <c r="E12" s="17"/>
      <c r="F12" s="16"/>
      <c r="G12" s="17"/>
      <c r="H12" s="5"/>
      <c r="I12" s="98"/>
    </row>
    <row r="13" spans="3:12" ht="12.75">
      <c r="C13" s="11"/>
      <c r="D13" s="11"/>
      <c r="E13" s="18"/>
      <c r="F13" s="11"/>
      <c r="G13" s="58"/>
      <c r="H13" s="19"/>
      <c r="I13" s="98"/>
      <c r="J13" s="92"/>
      <c r="K13" s="92"/>
      <c r="L13" s="9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17" ht="15.75">
      <c r="C16" s="5"/>
      <c r="D16" s="5"/>
      <c r="E16" s="17"/>
      <c r="F16" s="5"/>
      <c r="G16" s="17"/>
      <c r="H16" s="5"/>
      <c r="I16" s="22"/>
      <c r="Q16" s="95"/>
    </row>
    <row r="17" spans="3:19" ht="15.75">
      <c r="C17" s="16" t="s">
        <v>0</v>
      </c>
      <c r="D17" s="16"/>
      <c r="E17" s="17"/>
      <c r="F17" s="16"/>
      <c r="G17" s="17"/>
      <c r="H17" s="5"/>
      <c r="I17" s="49"/>
      <c r="R17" s="99"/>
      <c r="S17" s="99"/>
    </row>
    <row r="18" spans="3:19" ht="12.75" customHeight="1">
      <c r="C18" s="11" t="s">
        <v>1</v>
      </c>
      <c r="D18" s="11"/>
      <c r="E18" s="19">
        <f>G38</f>
        <v>0.6920944809913636</v>
      </c>
      <c r="F18" s="11"/>
      <c r="G18" s="18"/>
      <c r="H18" s="19"/>
      <c r="I18" s="49"/>
      <c r="Q18" s="36"/>
      <c r="R18" s="98"/>
      <c r="S18" s="92"/>
    </row>
    <row r="19" spans="3:19" ht="12.75">
      <c r="C19" s="11" t="s">
        <v>2</v>
      </c>
      <c r="D19" s="11"/>
      <c r="E19" s="23">
        <f>-(G36+J39)/J38</f>
        <v>1.4204930133822131</v>
      </c>
      <c r="F19" s="11"/>
      <c r="G19" s="12"/>
      <c r="H19" s="13"/>
      <c r="Q19" s="36"/>
      <c r="R19" s="98"/>
      <c r="S19" s="92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6" ht="12.75">
      <c r="C22" s="28">
        <v>1</v>
      </c>
      <c r="D22" s="15"/>
      <c r="E22" s="15"/>
      <c r="F22" s="15"/>
      <c r="G22" s="29"/>
      <c r="H22" s="15"/>
      <c r="I22" s="15"/>
      <c r="J22" s="14"/>
      <c r="K22" s="15"/>
      <c r="L22" s="58"/>
      <c r="M22" s="58"/>
      <c r="N22" s="100"/>
      <c r="O22" s="100"/>
      <c r="P22" s="100"/>
    </row>
    <row r="23" spans="3:14" ht="12.75">
      <c r="C23" s="15"/>
      <c r="D23" s="15"/>
      <c r="E23" s="26"/>
      <c r="F23" s="32"/>
      <c r="G23" s="32"/>
      <c r="H23" s="15"/>
      <c r="I23" s="14"/>
      <c r="J23" s="14"/>
      <c r="K23" s="15"/>
      <c r="L23" s="58"/>
      <c r="M23" s="58"/>
      <c r="N23" s="97"/>
    </row>
    <row r="24" spans="3:16" ht="12.75">
      <c r="C24" s="15" t="s">
        <v>33</v>
      </c>
      <c r="D24" s="15"/>
      <c r="E24" s="26">
        <v>45083</v>
      </c>
      <c r="F24" s="32"/>
      <c r="G24" s="32">
        <v>-5.0081107933E8</v>
      </c>
      <c r="H24" s="15"/>
      <c r="I24" s="14"/>
      <c r="J24" s="14"/>
      <c r="K24" s="15"/>
      <c r="L24" s="58"/>
      <c r="M24" s="58"/>
      <c r="N24" s="97"/>
      <c r="P24" s="92"/>
    </row>
    <row r="25" spans="3:16" ht="12.75">
      <c r="C25" s="15"/>
      <c r="D25" s="15"/>
      <c r="E25" s="26">
        <v>45119</v>
      </c>
      <c r="F25" s="32"/>
      <c r="G25" s="32">
        <v>-4.419350796E7</v>
      </c>
      <c r="H25" s="15"/>
      <c r="I25" s="14"/>
      <c r="J25" s="14"/>
      <c r="K25" s="15"/>
      <c r="L25" s="58"/>
      <c r="M25" s="58"/>
      <c r="N25" s="97"/>
      <c r="P25" s="92"/>
    </row>
    <row r="26" spans="3:16" ht="12.75">
      <c r="C26" s="15"/>
      <c r="D26" s="15"/>
      <c r="E26" s="26">
        <v>45142</v>
      </c>
      <c r="F26" s="32"/>
      <c r="G26" s="32">
        <f>-198857476.16-3845352.53</f>
        <v>-2.0270282869E8</v>
      </c>
      <c r="H26" s="15"/>
      <c r="I26" s="14"/>
      <c r="J26" s="14"/>
      <c r="K26" s="15"/>
      <c r="L26" s="91"/>
      <c r="M26" s="91"/>
      <c r="N26" s="97"/>
      <c r="P26" s="92"/>
    </row>
    <row r="27" spans="3:16" ht="12.75">
      <c r="C27" s="15"/>
      <c r="D27" s="15"/>
      <c r="E27" s="26">
        <v>45146</v>
      </c>
      <c r="F27" s="32"/>
      <c r="G27" s="32">
        <v>2.5920488867E8</v>
      </c>
      <c r="H27" s="15"/>
      <c r="I27" s="14"/>
      <c r="J27" s="14"/>
      <c r="P27" s="92"/>
    </row>
    <row r="28" spans="3:16" ht="12.75">
      <c r="C28" s="15"/>
      <c r="D28" s="15"/>
      <c r="E28" s="26">
        <v>45239</v>
      </c>
      <c r="F28" s="32"/>
      <c r="G28" s="32">
        <f>-87193668.87+3105142.88</f>
        <v>-8.408852599000001E7</v>
      </c>
      <c r="H28" s="15"/>
      <c r="I28" s="14"/>
      <c r="J28" s="14"/>
      <c r="P28" s="98"/>
    </row>
    <row r="29" spans="3:17" ht="12.75">
      <c r="C29" s="15" t="s">
        <v>36</v>
      </c>
      <c r="D29" s="15"/>
      <c r="E29" s="26">
        <v>45327</v>
      </c>
      <c r="F29" s="32"/>
      <c r="G29" s="32">
        <v>-6.84266224E7</v>
      </c>
      <c r="H29" s="15"/>
      <c r="I29" s="14"/>
      <c r="J29" s="14"/>
      <c r="K29" s="15"/>
      <c r="P29" s="101"/>
      <c r="Q29" s="102"/>
    </row>
    <row r="30" spans="3:17" ht="12.75">
      <c r="C30" s="15"/>
      <c r="D30" s="15"/>
      <c r="E30" s="26">
        <v>45357</v>
      </c>
      <c r="F30" s="32"/>
      <c r="G30" s="32">
        <v>9.907881551E7</v>
      </c>
      <c r="H30" s="15"/>
      <c r="I30" s="14"/>
      <c r="J30" s="14"/>
      <c r="K30" s="15"/>
      <c r="P30" s="101"/>
      <c r="Q30" s="102"/>
    </row>
    <row r="31" spans="3:17" ht="12.75">
      <c r="C31" s="15"/>
      <c r="D31" s="15"/>
      <c r="E31" s="26">
        <v>45383</v>
      </c>
      <c r="F31" s="32"/>
      <c r="G31" s="32">
        <v>-80702625</v>
      </c>
      <c r="H31" s="15"/>
      <c r="I31" s="14"/>
      <c r="J31" s="14"/>
      <c r="K31" s="15"/>
      <c r="P31" s="101"/>
      <c r="Q31" s="102"/>
    </row>
    <row r="32" spans="3:17" ht="12.75">
      <c r="C32" s="15"/>
      <c r="D32" s="15"/>
      <c r="E32" s="26">
        <v>45407</v>
      </c>
      <c r="F32" s="32"/>
      <c r="G32" s="32">
        <v>-52042125</v>
      </c>
      <c r="H32" s="15"/>
      <c r="I32" s="14"/>
      <c r="J32" s="14"/>
      <c r="K32" s="15"/>
      <c r="P32" s="101"/>
      <c r="Q32" s="102"/>
    </row>
    <row r="33" spans="3:17" ht="12.75">
      <c r="C33" s="15"/>
      <c r="D33" s="15"/>
      <c r="E33" s="26">
        <v>45413</v>
      </c>
      <c r="F33" s="32"/>
      <c r="G33" s="32">
        <v>-3.841311381E7</v>
      </c>
      <c r="H33" s="15"/>
      <c r="I33" s="14"/>
      <c r="J33" s="14"/>
      <c r="K33" s="15"/>
      <c r="P33" s="101"/>
      <c r="Q33" s="102"/>
    </row>
    <row r="34" spans="3:17" ht="12.75">
      <c r="C34" s="15"/>
      <c r="D34" s="15"/>
      <c r="E34" s="26">
        <v>45443</v>
      </c>
      <c r="F34" s="32"/>
      <c r="G34" s="32">
        <v>-3.3661150801E8</v>
      </c>
      <c r="H34" s="15"/>
      <c r="I34" s="14"/>
      <c r="J34" s="14"/>
      <c r="K34" s="15"/>
      <c r="P34" s="101"/>
      <c r="Q34" s="102"/>
    </row>
    <row r="35" spans="3:9" ht="4.5" customHeight="1">
      <c r="C35" s="15"/>
      <c r="D35" s="15"/>
      <c r="E35" s="26"/>
      <c r="F35" s="15"/>
      <c r="G35" s="32"/>
      <c r="H35" s="15"/>
      <c r="I35" s="14"/>
    </row>
    <row r="36" spans="3:12" ht="12.75">
      <c r="C36" s="15" t="s">
        <v>25</v>
      </c>
      <c r="D36" s="15"/>
      <c r="E36" s="26">
        <f>+E8</f>
        <v>45473</v>
      </c>
      <c r="F36" s="15"/>
      <c r="G36" s="33">
        <v>1.49110320966E9</v>
      </c>
      <c r="H36" s="15"/>
      <c r="I36" s="26"/>
      <c r="L36" s="58"/>
    </row>
    <row r="37" spans="3:10" ht="12.75">
      <c r="C37" s="15"/>
      <c r="D37" s="15"/>
      <c r="E37" s="15"/>
      <c r="F37" s="15"/>
      <c r="G37" s="15"/>
      <c r="H37" s="15"/>
      <c r="J37" s="14"/>
    </row>
    <row r="38" spans="3:14" ht="12.75">
      <c r="C38" s="36" t="s">
        <v>28</v>
      </c>
      <c r="G38" s="37">
        <f>XIRR(G24:G36,E24:E36,0.1)</f>
        <v>0.6920944809913636</v>
      </c>
      <c r="H38" s="15"/>
      <c r="J38" s="32">
        <f>+SUMIF($G$24:$G$35,"&lt;0",$G$24:$G$35)+G27+G30</f>
        <v>-1.04970823201E9</v>
      </c>
      <c r="K38" s="15" t="s">
        <v>26</v>
      </c>
      <c r="N38" s="35"/>
    </row>
    <row r="39" spans="3:11" ht="12.75">
      <c r="C39" s="15"/>
      <c r="D39" s="15"/>
      <c r="E39" s="15"/>
      <c r="F39" s="15"/>
      <c r="G39" s="15"/>
      <c r="H39" s="15"/>
      <c r="J39" s="32">
        <f>+SUMIF($G$24:$G$35,"&gt;0",$G$24:$G$35)-G27-G30</f>
        <v>0</v>
      </c>
      <c r="K39" s="15" t="s">
        <v>27</v>
      </c>
    </row>
    <row r="40" spans="3:8" ht="12.75">
      <c r="C40" s="15"/>
      <c r="D40" s="15"/>
      <c r="E40" s="15"/>
      <c r="F40" s="15"/>
      <c r="G40" s="15"/>
      <c r="H40" s="15"/>
    </row>
    <row r="41" spans="3:11" ht="12.75">
      <c r="C41" s="15"/>
      <c r="D41" s="15"/>
      <c r="E41" s="9"/>
      <c r="F41" s="15"/>
      <c r="G41" s="39"/>
      <c r="H41" s="15"/>
      <c r="K41" s="38"/>
    </row>
    <row r="42" spans="4:11" ht="12.75">
      <c r="D42" s="39"/>
      <c r="E42" s="9"/>
      <c r="F42" s="39"/>
      <c r="G42" s="38"/>
      <c r="H42" s="15"/>
      <c r="K42" s="38"/>
    </row>
    <row r="43" spans="3:11" ht="12.75">
      <c r="C43" s="39"/>
      <c r="D43" s="39"/>
      <c r="E43" s="38"/>
      <c r="F43" s="39"/>
      <c r="G43" s="38"/>
      <c r="H43" s="15"/>
      <c r="K43" s="38"/>
    </row>
    <row r="44" spans="3:11" ht="12.75">
      <c r="C44" s="39"/>
      <c r="D44" s="39"/>
      <c r="E44" s="123"/>
      <c r="F44" s="123"/>
      <c r="G44" s="123"/>
      <c r="H44" s="36"/>
      <c r="K44" s="38"/>
    </row>
    <row r="45" spans="3:11" ht="12.75">
      <c r="C45" s="39"/>
      <c r="D45" s="39"/>
      <c r="E45" s="38"/>
      <c r="F45" s="38"/>
      <c r="G45" s="38"/>
      <c r="H45" s="36"/>
      <c r="K45" s="38"/>
    </row>
    <row r="46" spans="3:11" ht="12.75">
      <c r="C46" s="39"/>
      <c r="D46" s="39"/>
      <c r="E46" s="39"/>
      <c r="F46" s="39"/>
      <c r="G46" s="39"/>
      <c r="H46" s="36"/>
      <c r="K46" s="35"/>
    </row>
    <row r="47" spans="3:8" ht="12.75">
      <c r="C47" s="39"/>
      <c r="D47" s="39"/>
      <c r="E47" s="59"/>
      <c r="F47" s="40"/>
      <c r="G47" s="59"/>
      <c r="H47" s="36"/>
    </row>
    <row r="48" spans="3:11" ht="12.75">
      <c r="C48" s="39"/>
      <c r="D48" s="39"/>
      <c r="E48" s="41"/>
      <c r="F48" s="40"/>
      <c r="G48" s="41"/>
      <c r="H48" s="36"/>
      <c r="K48" s="35"/>
    </row>
    <row r="49" spans="3:8" ht="12.75">
      <c r="C49" s="39"/>
      <c r="D49" s="39"/>
      <c r="E49" s="41"/>
      <c r="F49" s="40"/>
      <c r="G49" s="41"/>
      <c r="H49" s="36"/>
    </row>
    <row r="50" spans="3:8" ht="12.75">
      <c r="C50" s="42"/>
      <c r="D50" s="39"/>
      <c r="E50" s="41"/>
      <c r="F50" s="40"/>
      <c r="G50" s="41"/>
      <c r="H50" s="36"/>
    </row>
    <row r="51" spans="3:8" ht="12.75">
      <c r="C51" s="42"/>
      <c r="D51" s="39"/>
      <c r="E51" s="41"/>
      <c r="F51" s="40"/>
      <c r="G51" s="41"/>
      <c r="H51" s="36"/>
    </row>
    <row r="52" spans="3:8" ht="12.75">
      <c r="C52" s="43"/>
      <c r="D52" s="39"/>
      <c r="E52" s="41"/>
      <c r="F52" s="40"/>
      <c r="G52" s="41"/>
      <c r="H52" s="36"/>
    </row>
    <row r="53" spans="3:8" ht="12.75">
      <c r="C53" s="39"/>
      <c r="D53" s="39"/>
      <c r="E53" s="41"/>
      <c r="F53" s="40"/>
      <c r="G53" s="41"/>
      <c r="H53" s="36"/>
    </row>
    <row r="54" spans="3:8" ht="12.75">
      <c r="C54" s="39"/>
      <c r="D54" s="39"/>
      <c r="E54" s="41"/>
      <c r="F54" s="40"/>
      <c r="G54" s="41"/>
      <c r="H54" s="36"/>
    </row>
    <row r="55" spans="3:8" ht="12.75">
      <c r="C55" s="39"/>
      <c r="D55" s="39"/>
      <c r="E55" s="41"/>
      <c r="F55" s="40"/>
      <c r="G55" s="41"/>
      <c r="H55" s="36"/>
    </row>
    <row r="56" spans="3:8" ht="12.75">
      <c r="C56" s="39"/>
      <c r="D56" s="39"/>
      <c r="E56" s="41"/>
      <c r="F56" s="40"/>
      <c r="G56" s="41"/>
      <c r="H56" s="36"/>
    </row>
    <row r="57" spans="3:8" ht="12.75">
      <c r="C57" s="39"/>
      <c r="D57" s="39"/>
      <c r="E57" s="41"/>
      <c r="F57" s="40"/>
      <c r="G57" s="41"/>
      <c r="H57" s="36"/>
    </row>
    <row r="58" spans="3:8" ht="12.75">
      <c r="C58" s="39"/>
      <c r="D58" s="39"/>
      <c r="E58" s="41"/>
      <c r="F58" s="40"/>
      <c r="G58" s="41"/>
      <c r="H58" s="36"/>
    </row>
    <row r="59" spans="3:8" ht="5.1" customHeight="1">
      <c r="C59" s="36"/>
      <c r="D59" s="36"/>
      <c r="E59" s="85"/>
      <c r="F59" s="44"/>
      <c r="G59" s="85"/>
      <c r="H59" s="36"/>
    </row>
    <row r="60" spans="3:8" ht="12.75">
      <c r="C60" s="36"/>
      <c r="D60" s="36"/>
      <c r="E60" s="86"/>
      <c r="F60" s="45"/>
      <c r="G60" s="86"/>
      <c r="H60" s="36"/>
    </row>
    <row r="61" spans="3:8" ht="12.75">
      <c r="C61" s="15"/>
      <c r="D61" s="15"/>
      <c r="E61" s="46"/>
      <c r="F61" s="47"/>
      <c r="G61" s="46"/>
      <c r="H61" s="15"/>
    </row>
    <row r="62" spans="3:8" ht="12.75">
      <c r="C62" s="15"/>
      <c r="D62" s="15"/>
      <c r="E62" s="46"/>
      <c r="F62" s="47"/>
      <c r="G62" s="46"/>
      <c r="H62" s="15"/>
    </row>
    <row r="63" spans="3:8" ht="12.75">
      <c r="C63" s="15"/>
      <c r="D63" s="15"/>
      <c r="E63" s="46"/>
      <c r="F63" s="47"/>
      <c r="G63" s="46"/>
      <c r="H63" s="15"/>
    </row>
    <row r="64" spans="3:8" ht="12.75">
      <c r="C64" s="15"/>
      <c r="D64" s="15"/>
      <c r="E64" s="48"/>
      <c r="F64" s="48"/>
      <c r="G64" s="48"/>
      <c r="H64" s="15"/>
    </row>
    <row r="65" spans="3:8" ht="12.75">
      <c r="C65" s="15"/>
      <c r="D65" s="15"/>
      <c r="E65" s="15"/>
      <c r="F65" s="15"/>
      <c r="G65" s="15"/>
      <c r="H65" s="15"/>
    </row>
    <row r="66" spans="3:8" ht="12.75">
      <c r="C66" s="15"/>
      <c r="D66" s="15"/>
      <c r="E66" s="15"/>
      <c r="F66" s="15"/>
      <c r="G66" s="15"/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15"/>
      <c r="D69" s="15"/>
      <c r="E69" s="15"/>
      <c r="F69" s="15"/>
      <c r="G69" s="15"/>
      <c r="H69" s="15"/>
    </row>
    <row r="70" spans="3:8" ht="12.75">
      <c r="C70" s="15"/>
      <c r="D70" s="15"/>
      <c r="E70" s="15"/>
      <c r="F70" s="15"/>
      <c r="G70" s="15"/>
      <c r="H70" s="15"/>
    </row>
    <row r="71" spans="3:8" ht="12.75">
      <c r="C71" s="15"/>
      <c r="D71" s="15"/>
      <c r="E71" s="15"/>
      <c r="F71" s="15"/>
      <c r="G71" s="15"/>
      <c r="H71" s="15"/>
    </row>
    <row r="72" spans="3:8" ht="12.75">
      <c r="C72" s="15"/>
      <c r="D72" s="15"/>
      <c r="E72" s="15"/>
      <c r="F72" s="15"/>
      <c r="G72" s="15"/>
      <c r="H72" s="15"/>
    </row>
    <row r="73" spans="3:8" ht="12.75">
      <c r="C73" s="15"/>
      <c r="D73" s="15"/>
      <c r="E73" s="15"/>
      <c r="F73" s="15"/>
      <c r="G73" s="15"/>
      <c r="H73" s="15"/>
    </row>
    <row r="74" spans="3:8" ht="12.75">
      <c r="C74" s="15"/>
      <c r="D74" s="15"/>
      <c r="E74" s="15"/>
      <c r="F74" s="15"/>
      <c r="G74" s="15"/>
      <c r="H74" s="15"/>
    </row>
  </sheetData>
  <mergeCells count="1">
    <mergeCell ref="E44:G44"/>
  </mergeCells>
  <pageMargins left="0.75" right="0.33" top="1" bottom="1" header="0.5" footer="0.5"/>
  <pageSetup orientation="landscape" paperSize="1" scale="65" r:id="rId4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sheetPr>
    <tabColor rgb="FF92D050"/>
  </sheetPr>
  <dimension ref="B4:Q101"/>
  <sheetViews>
    <sheetView showGridLines="0" view="pageLayout" zoomScaleNormal="100" workbookViewId="0" topLeftCell="B64">
      <selection pane="topLeft" activeCell="E9" sqref="E9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45473</v>
      </c>
      <c r="F8" s="7"/>
      <c r="G8" s="8"/>
      <c r="H8" s="8"/>
      <c r="I8" s="10"/>
    </row>
    <row r="9" spans="3:13" ht="15.75">
      <c r="C9" s="5"/>
      <c r="D9" s="5"/>
      <c r="E9" s="5"/>
      <c r="F9" s="5"/>
      <c r="G9" s="10"/>
      <c r="I9" s="103"/>
      <c r="J9" s="10"/>
      <c r="M9" s="35"/>
    </row>
    <row r="10" spans="3:15" ht="12.75">
      <c r="C10" s="11"/>
      <c r="D10" s="11"/>
      <c r="E10" s="12"/>
      <c r="F10" s="11"/>
      <c r="G10" s="58"/>
      <c r="H10" s="13"/>
      <c r="I10" s="49"/>
      <c r="J10" s="58"/>
      <c r="O10" s="104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15" ht="12.75">
      <c r="C13" s="11"/>
      <c r="D13" s="11"/>
      <c r="E13" s="18"/>
      <c r="F13" s="11"/>
      <c r="G13" s="58"/>
      <c r="H13" s="19"/>
      <c r="I13" s="49"/>
      <c r="J13" s="92"/>
      <c r="O13" s="104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22"/>
    </row>
    <row r="17" spans="3:15" ht="15.75">
      <c r="C17" s="16" t="s">
        <v>0</v>
      </c>
      <c r="D17" s="16"/>
      <c r="E17" s="17"/>
      <c r="F17" s="16"/>
      <c r="G17" s="17"/>
      <c r="H17" s="5"/>
      <c r="I17" s="49"/>
      <c r="J17" s="54"/>
      <c r="K17" s="54"/>
      <c r="L17" s="54"/>
      <c r="M17" s="54"/>
      <c r="N17" s="54"/>
      <c r="O17" s="91"/>
    </row>
    <row r="18" spans="3:15" ht="12.75" customHeight="1">
      <c r="C18" s="11" t="s">
        <v>1</v>
      </c>
      <c r="D18" s="11"/>
      <c r="E18" s="19">
        <f>G83</f>
        <v>0.2314280092716217</v>
      </c>
      <c r="F18" s="11"/>
      <c r="G18" s="18"/>
      <c r="H18" s="19"/>
      <c r="I18" s="49"/>
      <c r="J18" s="105"/>
      <c r="K18" s="54"/>
      <c r="L18" s="106"/>
      <c r="M18" s="107"/>
      <c r="N18" s="54"/>
      <c r="O18" s="91"/>
    </row>
    <row r="19" spans="3:14" ht="15.75">
      <c r="C19" s="11" t="s">
        <v>2</v>
      </c>
      <c r="D19" s="11"/>
      <c r="E19" s="23">
        <f>-(G81+I82)/I81</f>
        <v>1.394736416084002</v>
      </c>
      <c r="F19" s="11"/>
      <c r="G19" s="12"/>
      <c r="H19" s="13"/>
      <c r="J19" s="10"/>
      <c r="K19" s="54"/>
      <c r="L19" s="106"/>
      <c r="M19" s="107"/>
      <c r="N19" s="108"/>
    </row>
    <row r="20" spans="3:14" ht="15.75">
      <c r="C20" s="11"/>
      <c r="D20" s="11"/>
      <c r="E20" s="11"/>
      <c r="F20" s="11"/>
      <c r="G20" s="13"/>
      <c r="J20" s="10"/>
      <c r="L20" s="106"/>
      <c r="M20" s="107"/>
      <c r="N20" s="54"/>
    </row>
    <row r="21" spans="3:15" ht="15.75">
      <c r="C21" s="24" t="s">
        <v>29</v>
      </c>
      <c r="D21" s="25"/>
      <c r="E21" s="25"/>
      <c r="F21" s="25"/>
      <c r="I21" s="26"/>
      <c r="J21" s="33"/>
      <c r="K21" s="15"/>
      <c r="L21" s="106"/>
      <c r="M21" s="107"/>
      <c r="N21" s="108"/>
      <c r="O21" s="91"/>
    </row>
    <row r="22" spans="3:15" ht="12.75">
      <c r="C22" s="28">
        <v>1</v>
      </c>
      <c r="D22" s="15"/>
      <c r="E22" s="15"/>
      <c r="F22" s="15"/>
      <c r="G22" s="29"/>
      <c r="H22" s="15"/>
      <c r="I22" s="15"/>
      <c r="J22" s="33"/>
      <c r="K22" s="15"/>
      <c r="L22" s="106"/>
      <c r="M22" s="107"/>
      <c r="N22" s="54"/>
      <c r="O22" s="91"/>
    </row>
    <row r="23" spans="3:15" ht="12.75">
      <c r="C23" s="15"/>
      <c r="D23" s="15"/>
      <c r="E23" s="26"/>
      <c r="F23" s="32"/>
      <c r="G23" s="32"/>
      <c r="H23" s="15"/>
      <c r="I23" s="14"/>
      <c r="J23" s="33"/>
      <c r="K23" s="15"/>
      <c r="L23" s="106"/>
      <c r="M23" s="107"/>
      <c r="N23" s="54"/>
      <c r="O23" s="91"/>
    </row>
    <row r="24" spans="3:16" ht="12.75">
      <c r="C24" s="15" t="s">
        <v>21</v>
      </c>
      <c r="D24" s="15"/>
      <c r="E24" s="26">
        <v>43857</v>
      </c>
      <c r="F24" s="32"/>
      <c r="G24" s="32">
        <f>-8355693.57*193814409.75/213814409.75</f>
        <v>-7574109.804923568</v>
      </c>
      <c r="H24" s="15"/>
      <c r="I24" s="14"/>
      <c r="J24" s="33"/>
      <c r="K24" s="15"/>
      <c r="L24" s="106"/>
      <c r="M24" s="107"/>
      <c r="N24" s="54"/>
      <c r="O24" s="14"/>
      <c r="P24" s="91"/>
    </row>
    <row r="25" spans="3:15" ht="12.75">
      <c r="C25" s="15"/>
      <c r="D25" s="15"/>
      <c r="E25" s="26">
        <v>43985</v>
      </c>
      <c r="F25" s="32"/>
      <c r="G25" s="32">
        <f>-8946403.4*193814409.75/213814409.75</f>
        <v>-8109565.189660437</v>
      </c>
      <c r="H25" s="15"/>
      <c r="I25" s="14"/>
      <c r="J25" s="33"/>
      <c r="K25" s="15"/>
      <c r="L25" s="106"/>
      <c r="M25" s="107"/>
      <c r="N25" s="54"/>
      <c r="O25" s="14"/>
    </row>
    <row r="26" spans="3:16" ht="12.75">
      <c r="C26" s="15"/>
      <c r="D26" s="15"/>
      <c r="E26" s="26">
        <v>44076</v>
      </c>
      <c r="F26" s="32"/>
      <c r="G26" s="32">
        <f>-8101403.91*193814409.75/213814409.75-1912477.07</f>
        <v>-9256083.231992982</v>
      </c>
      <c r="H26" s="15"/>
      <c r="I26" s="14"/>
      <c r="J26" s="33"/>
      <c r="K26" s="15"/>
      <c r="L26" s="106"/>
      <c r="M26" s="107"/>
      <c r="N26" s="54"/>
      <c r="O26" s="14"/>
      <c r="P26" s="91"/>
    </row>
    <row r="27" spans="3:16" ht="12.75">
      <c r="C27" s="15"/>
      <c r="D27" s="15"/>
      <c r="E27" s="26">
        <v>44117</v>
      </c>
      <c r="F27" s="32"/>
      <c r="G27" s="32">
        <f>-10183965.83*193814409.75/213814409.75</f>
        <v>-9231367.186914392</v>
      </c>
      <c r="H27" s="15"/>
      <c r="I27" s="14"/>
      <c r="J27" s="33"/>
      <c r="K27" s="15"/>
      <c r="L27" s="106"/>
      <c r="M27" s="107"/>
      <c r="N27" s="54"/>
      <c r="O27" s="14"/>
      <c r="P27" s="91"/>
    </row>
    <row r="28" spans="3:16" ht="12.75">
      <c r="C28" s="15"/>
      <c r="D28" s="15"/>
      <c r="E28" s="26">
        <v>44141</v>
      </c>
      <c r="F28" s="32"/>
      <c r="G28" s="32">
        <f>-9094491.06*193814409.75/213814409.75</f>
        <v>-8243800.86838629</v>
      </c>
      <c r="H28" s="15"/>
      <c r="I28" s="14"/>
      <c r="J28" s="33"/>
      <c r="K28" s="15"/>
      <c r="L28" s="106"/>
      <c r="M28" s="107"/>
      <c r="N28" s="54"/>
      <c r="O28" s="14"/>
      <c r="P28" s="91"/>
    </row>
    <row r="29" spans="3:16" ht="12.75">
      <c r="C29" s="15"/>
      <c r="D29" s="15"/>
      <c r="E29" s="26">
        <v>44148</v>
      </c>
      <c r="F29" s="32"/>
      <c r="G29" s="32">
        <f>-4743875.63*193814409.75/213814409.75</f>
        <v>-4300137.938462117</v>
      </c>
      <c r="H29" s="15"/>
      <c r="I29" s="14"/>
      <c r="J29" s="33"/>
      <c r="K29" s="15"/>
      <c r="L29" s="106"/>
      <c r="M29" s="107"/>
      <c r="N29" s="54"/>
      <c r="O29" s="14"/>
      <c r="P29" s="91"/>
    </row>
    <row r="30" spans="3:15" ht="12.75">
      <c r="C30" s="15"/>
      <c r="D30" s="15"/>
      <c r="E30" s="26">
        <v>44187</v>
      </c>
      <c r="F30" s="32"/>
      <c r="G30" s="32">
        <f>-4000309.07*193814409.75/213814409.75-294804.35</f>
        <v>-3920928.24934875</v>
      </c>
      <c r="H30" s="15"/>
      <c r="I30" s="14"/>
      <c r="J30" s="33"/>
      <c r="K30" s="15"/>
      <c r="L30" s="106"/>
      <c r="M30" s="107"/>
      <c r="N30" s="54"/>
      <c r="O30" s="14"/>
    </row>
    <row r="31" spans="3:16" ht="12.75">
      <c r="C31" s="15" t="s">
        <v>31</v>
      </c>
      <c r="D31" s="15"/>
      <c r="E31" s="26">
        <v>44203</v>
      </c>
      <c r="F31" s="32"/>
      <c r="G31" s="32">
        <f>-17965219.19*193814409.75/213814409.75-492157.19</f>
        <v>-1.6776926572056223E7</v>
      </c>
      <c r="H31" s="15"/>
      <c r="I31" s="14"/>
      <c r="J31" s="33"/>
      <c r="K31" s="15"/>
      <c r="L31" s="106"/>
      <c r="M31" s="107"/>
      <c r="N31" s="54"/>
      <c r="P31" s="91"/>
    </row>
    <row r="32" spans="3:16" ht="12.75">
      <c r="C32" s="15"/>
      <c r="D32" s="15"/>
      <c r="E32" s="26">
        <v>44217</v>
      </c>
      <c r="F32" s="32"/>
      <c r="G32" s="32">
        <f>-2420477.32*193814409.75/213814409.75</f>
        <v>-2194068.134311335</v>
      </c>
      <c r="H32" s="15"/>
      <c r="I32" s="14"/>
      <c r="J32" s="33"/>
      <c r="K32" s="15"/>
      <c r="L32" s="106"/>
      <c r="M32" s="107"/>
      <c r="N32" s="54"/>
      <c r="P32" s="91"/>
    </row>
    <row r="33" spans="3:14" ht="12.75">
      <c r="C33" s="15"/>
      <c r="D33" s="15"/>
      <c r="E33" s="26">
        <v>44250</v>
      </c>
      <c r="F33" s="32"/>
      <c r="G33" s="32">
        <f>8743624.8*193814409.75/213814409.75</f>
        <v>7925754.310333436</v>
      </c>
      <c r="H33" s="15"/>
      <c r="I33" s="14"/>
      <c r="J33" s="14"/>
      <c r="K33" s="15"/>
      <c r="L33" s="54"/>
      <c r="M33" s="54"/>
      <c r="N33" s="54"/>
    </row>
    <row r="34" spans="3:15" ht="12.75">
      <c r="C34" s="15"/>
      <c r="D34" s="15"/>
      <c r="E34" s="26">
        <v>44265</v>
      </c>
      <c r="F34" s="32"/>
      <c r="G34" s="32">
        <f>-5278462.5*193814409.75/213814409.75-155480.19</f>
        <v>-4940200.242409889</v>
      </c>
      <c r="H34" s="15"/>
      <c r="I34" s="14"/>
      <c r="J34" s="14"/>
      <c r="K34" s="15"/>
      <c r="L34" s="54"/>
      <c r="M34" s="54"/>
      <c r="N34" s="54"/>
      <c r="O34" s="91"/>
    </row>
    <row r="35" spans="3:14" ht="12.75">
      <c r="C35" s="15"/>
      <c r="D35" s="15"/>
      <c r="E35" s="26">
        <v>44291</v>
      </c>
      <c r="F35" s="32"/>
      <c r="G35" s="32">
        <f>-12658173.89*193814409.75/213814409.75-268874.97</f>
        <v>-1.174301510803722E7</v>
      </c>
      <c r="H35" s="15"/>
      <c r="I35" s="14"/>
      <c r="J35" s="14"/>
      <c r="K35" s="15"/>
      <c r="L35" s="54"/>
      <c r="M35" s="54"/>
      <c r="N35" s="54"/>
    </row>
    <row r="36" spans="3:14" ht="12.75">
      <c r="C36" s="15"/>
      <c r="D36" s="15"/>
      <c r="E36" s="26">
        <v>44307</v>
      </c>
      <c r="F36" s="32"/>
      <c r="G36" s="32">
        <f>-28503534.36*193814409.75/213814409.75-795428.94</f>
        <v>-2.6632769342976484E7</v>
      </c>
      <c r="H36" s="15"/>
      <c r="I36" s="14"/>
      <c r="J36" s="14"/>
      <c r="K36" s="15"/>
      <c r="L36" s="54"/>
      <c r="M36" s="54"/>
      <c r="N36" s="54"/>
    </row>
    <row r="37" spans="3:14" ht="12.75">
      <c r="C37" s="15"/>
      <c r="D37" s="15"/>
      <c r="E37" s="26">
        <v>44319</v>
      </c>
      <c r="F37" s="32"/>
      <c r="G37" s="32">
        <f>29772852.87*193814409.75/213814409.75</f>
        <v>2.6987928046194952E7</v>
      </c>
      <c r="H37" s="15"/>
      <c r="I37" s="14"/>
      <c r="J37" s="109"/>
      <c r="K37" s="15"/>
      <c r="L37" s="54"/>
      <c r="M37" s="54"/>
      <c r="N37" s="54"/>
    </row>
    <row r="38" spans="3:14" ht="12.75">
      <c r="C38" s="15"/>
      <c r="D38" s="15"/>
      <c r="E38" s="26">
        <v>44335</v>
      </c>
      <c r="F38" s="32"/>
      <c r="G38" s="32">
        <f>-13567083.21*193814409.75/213814409.75-457505.62</f>
        <v>-1.275553654995366E7</v>
      </c>
      <c r="H38" s="15"/>
      <c r="I38" s="14"/>
      <c r="J38" s="14"/>
      <c r="K38" s="15"/>
      <c r="L38" s="54"/>
      <c r="M38" s="54"/>
      <c r="N38" s="54"/>
    </row>
    <row r="39" spans="3:14" ht="12.75">
      <c r="C39" s="15"/>
      <c r="D39" s="15"/>
      <c r="E39" s="26">
        <v>44344</v>
      </c>
      <c r="F39" s="32"/>
      <c r="G39" s="32">
        <f>16251618.18*193814409.75/213814409.75</f>
        <v>1.473145700854275E7</v>
      </c>
      <c r="H39" s="15"/>
      <c r="I39" s="14"/>
      <c r="J39" s="14"/>
      <c r="K39" s="15"/>
      <c r="L39" s="54"/>
      <c r="M39" s="54"/>
      <c r="N39" s="54"/>
    </row>
    <row r="40" spans="3:14" ht="12.75">
      <c r="C40" s="15"/>
      <c r="D40" s="15"/>
      <c r="E40" s="26">
        <v>44361</v>
      </c>
      <c r="F40" s="32"/>
      <c r="G40" s="32">
        <f>416746.8*193814409.75/213814409.75+67984.53</f>
        <v>445749.2239307901</v>
      </c>
      <c r="H40" s="15"/>
      <c r="I40" s="14"/>
      <c r="J40" s="110"/>
      <c r="K40" s="15"/>
      <c r="L40" s="54"/>
      <c r="M40" s="54"/>
      <c r="N40" s="54"/>
    </row>
    <row r="41" spans="3:14" ht="12.75">
      <c r="C41" s="15"/>
      <c r="D41" s="15"/>
      <c r="E41" s="26">
        <v>44375</v>
      </c>
      <c r="F41" s="32"/>
      <c r="G41" s="32">
        <v>-6218476.1</v>
      </c>
      <c r="H41" s="15"/>
      <c r="I41" s="14"/>
      <c r="J41" s="109"/>
      <c r="K41" s="15"/>
      <c r="L41" s="54"/>
      <c r="M41" s="54"/>
      <c r="N41" s="54"/>
    </row>
    <row r="42" spans="3:14" ht="12.75">
      <c r="C42" s="15"/>
      <c r="D42" s="15"/>
      <c r="E42" s="26">
        <v>44405</v>
      </c>
      <c r="F42" s="32"/>
      <c r="G42" s="32">
        <v>-3521085.97</v>
      </c>
      <c r="H42" s="15"/>
      <c r="I42" s="14"/>
      <c r="J42" s="14"/>
      <c r="K42" s="15"/>
      <c r="L42" s="54"/>
      <c r="M42" s="108"/>
      <c r="N42" s="54"/>
    </row>
    <row r="43" spans="3:14" ht="12.75">
      <c r="C43" s="15"/>
      <c r="D43" s="15"/>
      <c r="E43" s="26">
        <v>44468</v>
      </c>
      <c r="F43" s="32"/>
      <c r="G43" s="32">
        <v>-1653652.87</v>
      </c>
      <c r="H43" s="15"/>
      <c r="I43" s="14"/>
      <c r="J43" s="14"/>
      <c r="K43" s="15"/>
      <c r="L43" s="54"/>
      <c r="M43" s="108"/>
      <c r="N43" s="54"/>
    </row>
    <row r="44" spans="3:14" ht="12.75">
      <c r="C44" s="15"/>
      <c r="D44" s="15"/>
      <c r="E44" s="26">
        <v>44475</v>
      </c>
      <c r="F44" s="32"/>
      <c r="G44" s="32">
        <v>-4024098.30</v>
      </c>
      <c r="H44" s="15"/>
      <c r="I44" s="14"/>
      <c r="J44" s="14"/>
      <c r="K44" s="15"/>
      <c r="L44" s="54"/>
      <c r="M44" s="54"/>
      <c r="N44" s="54"/>
    </row>
    <row r="45" spans="3:14" ht="12.75">
      <c r="C45" s="15"/>
      <c r="D45" s="15"/>
      <c r="E45" s="26">
        <v>44483</v>
      </c>
      <c r="F45" s="32"/>
      <c r="G45" s="32">
        <v>-4703164.88</v>
      </c>
      <c r="H45" s="15"/>
      <c r="I45" s="14"/>
      <c r="J45" s="14"/>
      <c r="K45" s="15"/>
      <c r="L45" s="54"/>
      <c r="M45" s="54"/>
      <c r="N45" s="54"/>
    </row>
    <row r="46" spans="3:14" ht="12.75">
      <c r="C46" s="15"/>
      <c r="D46" s="15"/>
      <c r="E46" s="26">
        <v>44505</v>
      </c>
      <c r="F46" s="32"/>
      <c r="G46" s="32">
        <v>-4225303.20</v>
      </c>
      <c r="H46" s="15"/>
      <c r="I46" s="14"/>
      <c r="J46" s="14"/>
      <c r="K46" s="15"/>
      <c r="L46" s="54"/>
      <c r="M46" s="54"/>
      <c r="N46" s="54"/>
    </row>
    <row r="47" spans="3:14" ht="12.75">
      <c r="C47" s="15"/>
      <c r="D47" s="15"/>
      <c r="E47" s="26">
        <v>44551</v>
      </c>
      <c r="F47" s="32"/>
      <c r="G47" s="32">
        <v>-2584225.62</v>
      </c>
      <c r="H47" s="15"/>
      <c r="I47" s="14"/>
      <c r="J47" s="14"/>
      <c r="K47" s="15"/>
      <c r="L47" s="54"/>
      <c r="M47" s="54"/>
      <c r="N47" s="54"/>
    </row>
    <row r="48" spans="3:14" ht="12.75">
      <c r="C48" s="15" t="s">
        <v>22</v>
      </c>
      <c r="D48" s="15"/>
      <c r="E48" s="26">
        <v>44558</v>
      </c>
      <c r="F48" s="32"/>
      <c r="G48" s="32">
        <v>4.111236031E7</v>
      </c>
      <c r="H48" s="15"/>
      <c r="I48" s="14"/>
      <c r="J48" s="14"/>
      <c r="K48" s="15"/>
      <c r="L48" s="54"/>
      <c r="M48" s="54"/>
      <c r="N48" s="54"/>
    </row>
    <row r="49" spans="3:14" ht="12.75">
      <c r="C49" s="15" t="s">
        <v>32</v>
      </c>
      <c r="D49" s="15"/>
      <c r="E49" s="26">
        <v>44599</v>
      </c>
      <c r="F49" s="32"/>
      <c r="G49" s="32">
        <v>-1735392.37</v>
      </c>
      <c r="H49" s="15"/>
      <c r="I49" s="14"/>
      <c r="J49" s="14"/>
      <c r="K49" s="15"/>
      <c r="L49" s="54"/>
      <c r="M49" s="54"/>
      <c r="N49" s="54"/>
    </row>
    <row r="50" spans="3:14" ht="12.75">
      <c r="C50" s="15"/>
      <c r="D50" s="15"/>
      <c r="E50" s="26">
        <v>44635</v>
      </c>
      <c r="F50" s="32"/>
      <c r="G50" s="32">
        <v>-5023835.19</v>
      </c>
      <c r="H50" s="15"/>
      <c r="I50" s="14"/>
      <c r="J50" s="14"/>
      <c r="K50" s="15"/>
      <c r="L50" s="54"/>
      <c r="M50" s="54"/>
      <c r="N50" s="54"/>
    </row>
    <row r="51" spans="3:14" ht="12.75">
      <c r="C51" s="15"/>
      <c r="D51" s="15"/>
      <c r="E51" s="26">
        <v>44676</v>
      </c>
      <c r="F51" s="32"/>
      <c r="G51" s="32">
        <v>-2842019.40</v>
      </c>
      <c r="H51" s="15"/>
      <c r="I51" s="14"/>
      <c r="J51" s="14"/>
      <c r="K51" s="15"/>
      <c r="L51" s="54"/>
      <c r="M51" s="54"/>
      <c r="N51" s="54"/>
    </row>
    <row r="52" spans="3:14" ht="12.75">
      <c r="C52" s="15"/>
      <c r="D52" s="15"/>
      <c r="E52" s="26">
        <v>44686</v>
      </c>
      <c r="F52" s="32"/>
      <c r="G52" s="32">
        <v>-6312804.13</v>
      </c>
      <c r="H52" s="15"/>
      <c r="I52" s="14"/>
      <c r="J52" s="14"/>
      <c r="K52" s="15"/>
      <c r="L52" s="54"/>
      <c r="M52" s="54"/>
      <c r="N52" s="54"/>
    </row>
    <row r="53" spans="3:14" ht="12.75">
      <c r="C53" s="15"/>
      <c r="D53" s="15"/>
      <c r="E53" s="26">
        <v>44701</v>
      </c>
      <c r="F53" s="32"/>
      <c r="G53" s="32">
        <v>-6438557.24</v>
      </c>
      <c r="H53" s="15"/>
      <c r="I53" s="14"/>
      <c r="J53" s="14"/>
      <c r="K53" s="15"/>
      <c r="L53" s="54"/>
      <c r="M53" s="54"/>
      <c r="N53" s="54"/>
    </row>
    <row r="54" spans="3:14" ht="12.75">
      <c r="C54" s="15"/>
      <c r="D54" s="15"/>
      <c r="E54" s="26">
        <v>44728</v>
      </c>
      <c r="F54" s="32"/>
      <c r="G54" s="32">
        <v>-3414195.91</v>
      </c>
      <c r="H54" s="15"/>
      <c r="I54" s="14"/>
      <c r="J54" s="14"/>
      <c r="K54" s="15"/>
      <c r="L54" s="54"/>
      <c r="M54" s="54"/>
      <c r="N54" s="54"/>
    </row>
    <row r="55" spans="3:14" ht="12.75">
      <c r="C55" s="15"/>
      <c r="D55" s="15"/>
      <c r="E55" s="26">
        <v>44781</v>
      </c>
      <c r="F55" s="32"/>
      <c r="G55" s="32">
        <v>-8173949.63</v>
      </c>
      <c r="H55" s="15"/>
      <c r="I55" s="14"/>
      <c r="J55" s="14"/>
      <c r="K55" s="15"/>
      <c r="L55" s="54"/>
      <c r="M55" s="54"/>
      <c r="N55" s="54"/>
    </row>
    <row r="56" spans="3:14" ht="12.75">
      <c r="C56" s="15"/>
      <c r="D56" s="15"/>
      <c r="E56" s="26">
        <v>44817</v>
      </c>
      <c r="F56" s="32"/>
      <c r="G56" s="32">
        <v>-1.177166708E7</v>
      </c>
      <c r="H56" s="15"/>
      <c r="I56" s="14"/>
      <c r="J56" s="14"/>
      <c r="K56" s="15"/>
      <c r="L56" s="54"/>
      <c r="M56" s="54"/>
      <c r="N56" s="54"/>
    </row>
    <row r="57" spans="3:14" ht="12.75">
      <c r="C57" s="15"/>
      <c r="D57" s="15"/>
      <c r="E57" s="26">
        <v>44852</v>
      </c>
      <c r="F57" s="32"/>
      <c r="G57" s="32">
        <v>-2791718.17</v>
      </c>
      <c r="H57" s="15"/>
      <c r="I57" s="14"/>
      <c r="J57" s="14"/>
      <c r="K57" s="15"/>
      <c r="L57" s="54"/>
      <c r="M57" s="54"/>
      <c r="N57" s="54"/>
    </row>
    <row r="58" spans="3:14" ht="12.75">
      <c r="C58" s="15"/>
      <c r="D58" s="15"/>
      <c r="E58" s="26">
        <v>44859</v>
      </c>
      <c r="F58" s="32"/>
      <c r="G58" s="32">
        <v>-1.453705506E7</v>
      </c>
      <c r="H58" s="15"/>
      <c r="I58" s="14"/>
      <c r="J58" s="14"/>
      <c r="K58" s="15"/>
      <c r="L58" s="54"/>
      <c r="M58" s="54"/>
      <c r="N58" s="54"/>
    </row>
    <row r="59" spans="3:14" ht="12.75">
      <c r="C59" s="15"/>
      <c r="D59" s="15"/>
      <c r="E59" s="26">
        <v>44902</v>
      </c>
      <c r="F59" s="32"/>
      <c r="G59" s="32">
        <v>-5860093.13</v>
      </c>
      <c r="H59" s="15"/>
      <c r="I59" s="14"/>
      <c r="J59" s="14"/>
      <c r="K59" s="15"/>
      <c r="L59" s="54"/>
      <c r="M59" s="54"/>
      <c r="N59" s="54"/>
    </row>
    <row r="60" spans="3:14" ht="12.75">
      <c r="C60" s="15" t="s">
        <v>23</v>
      </c>
      <c r="D60" s="15"/>
      <c r="E60" s="26">
        <v>44861</v>
      </c>
      <c r="F60" s="32"/>
      <c r="G60" s="32">
        <v>4795541.16</v>
      </c>
      <c r="H60" s="15"/>
      <c r="I60" s="14"/>
      <c r="J60" s="14"/>
      <c r="K60" s="15"/>
      <c r="L60" s="54"/>
      <c r="M60" s="54"/>
      <c r="N60" s="54"/>
    </row>
    <row r="61" spans="3:14" ht="12.75">
      <c r="C61" s="15"/>
      <c r="D61" s="15"/>
      <c r="E61" s="26">
        <v>44917</v>
      </c>
      <c r="F61" s="32"/>
      <c r="G61" s="32">
        <v>8.072480342E7</v>
      </c>
      <c r="H61" s="15"/>
      <c r="I61" s="14"/>
      <c r="J61" s="14"/>
      <c r="K61" s="15"/>
      <c r="L61" s="54"/>
      <c r="M61" s="54"/>
      <c r="N61" s="54"/>
    </row>
    <row r="62" spans="3:14" ht="12.75">
      <c r="C62" s="15" t="s">
        <v>33</v>
      </c>
      <c r="D62" s="15"/>
      <c r="E62" s="26">
        <v>44932</v>
      </c>
      <c r="F62" s="32"/>
      <c r="G62" s="32">
        <v>-7772124.59</v>
      </c>
      <c r="H62" s="15"/>
      <c r="I62" s="14"/>
      <c r="J62" s="14"/>
      <c r="K62" s="15"/>
      <c r="L62" s="54"/>
      <c r="M62" s="54"/>
      <c r="N62" s="54"/>
    </row>
    <row r="63" spans="3:14" ht="12.75">
      <c r="C63" s="15"/>
      <c r="D63" s="15"/>
      <c r="E63" s="26">
        <v>44984</v>
      </c>
      <c r="F63" s="32"/>
      <c r="G63" s="32">
        <v>-915285.33</v>
      </c>
      <c r="H63" s="15"/>
      <c r="I63" s="14"/>
      <c r="J63" s="14"/>
      <c r="K63" s="15"/>
      <c r="L63" s="54"/>
      <c r="M63" s="54"/>
      <c r="N63" s="54"/>
    </row>
    <row r="64" spans="3:14" ht="12.75">
      <c r="C64" s="15"/>
      <c r="D64" s="15"/>
      <c r="E64" s="26">
        <v>45049</v>
      </c>
      <c r="F64" s="32"/>
      <c r="G64" s="32">
        <v>-1796240.08</v>
      </c>
      <c r="H64" s="15"/>
      <c r="I64" s="14"/>
      <c r="J64" s="14"/>
      <c r="K64" s="15"/>
      <c r="L64" s="54"/>
      <c r="M64" s="54"/>
      <c r="N64" s="54"/>
    </row>
    <row r="65" spans="3:14" ht="12.75">
      <c r="C65" s="15"/>
      <c r="D65" s="15"/>
      <c r="E65" s="26">
        <v>45089</v>
      </c>
      <c r="F65" s="32"/>
      <c r="G65" s="32">
        <v>-2400061.68</v>
      </c>
      <c r="H65" s="15"/>
      <c r="I65" s="14"/>
      <c r="J65" s="14"/>
      <c r="K65" s="15"/>
      <c r="L65" s="54"/>
      <c r="M65" s="54"/>
      <c r="N65" s="54"/>
    </row>
    <row r="66" spans="3:14" ht="12.75">
      <c r="C66" s="15"/>
      <c r="D66" s="15"/>
      <c r="E66" s="26">
        <v>45110</v>
      </c>
      <c r="F66" s="32"/>
      <c r="G66" s="32">
        <v>-2037199.77</v>
      </c>
      <c r="H66" s="15"/>
      <c r="I66" s="14"/>
      <c r="J66" s="14"/>
      <c r="K66" s="15"/>
      <c r="L66" s="54"/>
      <c r="M66" s="54"/>
      <c r="N66" s="54"/>
    </row>
    <row r="67" spans="3:14" ht="12.75">
      <c r="C67" s="15"/>
      <c r="D67" s="15"/>
      <c r="E67" s="26">
        <v>45125</v>
      </c>
      <c r="F67" s="32"/>
      <c r="G67" s="32">
        <v>-1886296.08</v>
      </c>
      <c r="H67" s="15"/>
      <c r="I67" s="14"/>
      <c r="J67" s="14"/>
      <c r="K67" s="15"/>
      <c r="L67" s="54"/>
      <c r="M67" s="54"/>
      <c r="N67" s="54"/>
    </row>
    <row r="68" spans="3:14" ht="12.75">
      <c r="C68" s="15"/>
      <c r="D68" s="15"/>
      <c r="E68" s="26">
        <v>45133</v>
      </c>
      <c r="F68" s="32"/>
      <c r="G68" s="32">
        <v>-2137802.21</v>
      </c>
      <c r="H68" s="15"/>
      <c r="I68" s="14"/>
      <c r="J68" s="14"/>
      <c r="K68" s="15"/>
      <c r="L68" s="54"/>
      <c r="M68" s="54"/>
      <c r="N68" s="54"/>
    </row>
    <row r="69" spans="3:14" ht="12.75">
      <c r="C69" s="15"/>
      <c r="D69" s="15"/>
      <c r="E69" s="26">
        <v>45148</v>
      </c>
      <c r="F69" s="32"/>
      <c r="G69" s="32">
        <v>-880271.47</v>
      </c>
      <c r="H69" s="15"/>
      <c r="I69" s="14"/>
      <c r="J69" s="14"/>
      <c r="K69" s="15"/>
      <c r="L69" s="54"/>
      <c r="M69" s="54"/>
      <c r="N69" s="54"/>
    </row>
    <row r="70" spans="3:14" ht="12.75">
      <c r="C70" s="15"/>
      <c r="D70" s="15"/>
      <c r="E70" s="26">
        <v>45177</v>
      </c>
      <c r="F70" s="32"/>
      <c r="G70" s="32">
        <v>-2012049.14</v>
      </c>
      <c r="H70" s="15"/>
      <c r="I70" s="14"/>
      <c r="J70" s="14"/>
      <c r="K70" s="15"/>
      <c r="L70" s="54"/>
      <c r="M70" s="54"/>
      <c r="N70" s="54"/>
    </row>
    <row r="71" spans="3:14" ht="12.75">
      <c r="C71" s="15"/>
      <c r="D71" s="15"/>
      <c r="E71" s="26">
        <v>45243</v>
      </c>
      <c r="F71" s="32"/>
      <c r="G71" s="32">
        <v>-1746997.48</v>
      </c>
      <c r="H71" s="15"/>
      <c r="I71" s="14"/>
      <c r="J71" s="14"/>
      <c r="K71" s="15"/>
      <c r="L71" s="54"/>
      <c r="M71" s="54"/>
      <c r="N71" s="54"/>
    </row>
    <row r="72" spans="3:14" ht="12.75">
      <c r="C72" s="15" t="s">
        <v>24</v>
      </c>
      <c r="D72" s="15"/>
      <c r="E72" s="26">
        <v>44980</v>
      </c>
      <c r="F72" s="32"/>
      <c r="G72" s="32">
        <v>1627036.49</v>
      </c>
      <c r="H72" s="15"/>
      <c r="I72" s="14"/>
      <c r="J72" s="14"/>
      <c r="K72" s="15"/>
      <c r="L72" s="54"/>
      <c r="M72" s="54"/>
      <c r="N72" s="54"/>
    </row>
    <row r="73" spans="3:14" ht="12.75">
      <c r="C73" s="15"/>
      <c r="D73" s="15"/>
      <c r="E73" s="26">
        <v>45042</v>
      </c>
      <c r="F73" s="32"/>
      <c r="G73" s="32">
        <v>3481451.18</v>
      </c>
      <c r="H73" s="15"/>
      <c r="I73" s="14"/>
      <c r="J73" s="14"/>
      <c r="K73" s="15"/>
      <c r="L73" s="54"/>
      <c r="M73" s="54"/>
      <c r="N73" s="54"/>
    </row>
    <row r="74" spans="3:14" ht="12.75">
      <c r="C74" s="15"/>
      <c r="D74" s="15"/>
      <c r="E74" s="26">
        <v>45222</v>
      </c>
      <c r="F74" s="32"/>
      <c r="G74" s="32">
        <v>5.615951041E7</v>
      </c>
      <c r="H74" s="15"/>
      <c r="I74" s="14"/>
      <c r="J74" s="14"/>
      <c r="K74" s="15"/>
      <c r="L74" s="54"/>
      <c r="M74" s="54"/>
      <c r="N74" s="54"/>
    </row>
    <row r="75" spans="3:14" ht="12.75">
      <c r="C75" s="15" t="s">
        <v>36</v>
      </c>
      <c r="D75" s="15"/>
      <c r="E75" s="26">
        <v>45296</v>
      </c>
      <c r="F75" s="32"/>
      <c r="G75" s="32">
        <v>-464316.20</v>
      </c>
      <c r="H75" s="15"/>
      <c r="I75" s="14"/>
      <c r="J75" s="14"/>
      <c r="K75" s="15"/>
      <c r="L75" s="54"/>
      <c r="M75" s="54"/>
      <c r="N75" s="54"/>
    </row>
    <row r="76" spans="3:14" ht="12.75">
      <c r="C76" s="15"/>
      <c r="D76" s="15"/>
      <c r="E76" s="26">
        <v>45401</v>
      </c>
      <c r="F76" s="32"/>
      <c r="G76" s="32">
        <v>-736621.26</v>
      </c>
      <c r="H76" s="15"/>
      <c r="I76" s="14"/>
      <c r="J76" s="14"/>
      <c r="K76" s="15"/>
      <c r="L76" s="54"/>
      <c r="M76" s="54"/>
      <c r="N76" s="54"/>
    </row>
    <row r="77" spans="3:14" ht="12.75">
      <c r="C77" s="15"/>
      <c r="D77" s="15"/>
      <c r="E77" s="26">
        <v>45455</v>
      </c>
      <c r="F77" s="32"/>
      <c r="G77" s="32">
        <v>-1760543</v>
      </c>
      <c r="H77" s="15"/>
      <c r="I77" s="14"/>
      <c r="J77" s="14"/>
      <c r="K77" s="15"/>
      <c r="L77" s="54"/>
      <c r="M77" s="54"/>
      <c r="N77" s="54"/>
    </row>
    <row r="78" spans="3:14" ht="12.75">
      <c r="C78" s="15" t="s">
        <v>35</v>
      </c>
      <c r="D78" s="15"/>
      <c r="E78" s="26">
        <v>45310</v>
      </c>
      <c r="F78" s="32"/>
      <c r="G78" s="32">
        <v>1.503512429E7</v>
      </c>
      <c r="H78" s="15"/>
      <c r="I78" s="14"/>
      <c r="J78" s="14"/>
      <c r="K78" s="15"/>
      <c r="L78" s="54"/>
      <c r="M78" s="54"/>
      <c r="N78" s="54"/>
    </row>
    <row r="79" spans="3:14" ht="12.75">
      <c r="C79" s="15"/>
      <c r="D79" s="15"/>
      <c r="E79" s="26">
        <v>45348</v>
      </c>
      <c r="F79" s="32"/>
      <c r="G79" s="32">
        <v>4436627.13</v>
      </c>
      <c r="H79" s="15"/>
      <c r="I79" s="14"/>
      <c r="J79" s="14"/>
      <c r="K79" s="15"/>
      <c r="L79" s="54"/>
      <c r="M79" s="54"/>
      <c r="N79" s="54"/>
    </row>
    <row r="80" spans="3:15" ht="4.5" customHeight="1">
      <c r="C80" s="15"/>
      <c r="D80" s="15"/>
      <c r="E80" s="26"/>
      <c r="F80" s="15"/>
      <c r="G80" s="32"/>
      <c r="H80" s="15"/>
      <c r="I80" s="14"/>
      <c r="J80" s="14"/>
      <c r="O80" s="34"/>
    </row>
    <row r="81" spans="3:13" ht="12.75">
      <c r="C81" s="15" t="s">
        <v>25</v>
      </c>
      <c r="D81" s="15"/>
      <c r="E81" s="26">
        <f>+E8</f>
        <v>45473</v>
      </c>
      <c r="F81" s="15"/>
      <c r="G81" s="33">
        <v>68736153</v>
      </c>
      <c r="H81" s="15"/>
      <c r="I81" s="32">
        <f>+SUMIF($G$24:$G$80,"&lt;0",$G$24:$G$80)+G33+G37+G39+G40</f>
        <v>-1.9796472237043148E8</v>
      </c>
      <c r="J81" s="15" t="s">
        <v>26</v>
      </c>
      <c r="M81" s="34"/>
    </row>
    <row r="82" spans="3:15" ht="12.75">
      <c r="C82" s="15"/>
      <c r="D82" s="15"/>
      <c r="E82" s="15"/>
      <c r="F82" s="15"/>
      <c r="G82" s="15"/>
      <c r="H82" s="15"/>
      <c r="I82" s="32">
        <f>+SUMIF($G$24:$G$80,"&gt;0",$G$24:$G$80)-G33-G37-G39-G40</f>
        <v>2.0737245439000005E8</v>
      </c>
      <c r="J82" s="15" t="s">
        <v>27</v>
      </c>
      <c r="M82" s="34"/>
      <c r="O82" s="91"/>
    </row>
    <row r="83" spans="3:13" ht="12.75">
      <c r="C83" s="36" t="s">
        <v>28</v>
      </c>
      <c r="G83" s="37">
        <f>+XIRR(G24:G81,E24:E81,0.1)</f>
        <v>0.2314280092716217</v>
      </c>
      <c r="H83" s="15"/>
      <c r="M83" s="35"/>
    </row>
    <row r="84" spans="3:15" ht="12.75">
      <c r="C84" s="15"/>
      <c r="D84" s="15"/>
      <c r="E84" s="15"/>
      <c r="F84" s="15"/>
      <c r="G84" s="14"/>
      <c r="H84" s="15"/>
      <c r="I84" s="35"/>
      <c r="O84" s="91"/>
    </row>
    <row r="85" spans="3:13" ht="12.75">
      <c r="C85" s="15"/>
      <c r="D85" s="15"/>
      <c r="E85" s="15"/>
      <c r="F85" s="15"/>
      <c r="G85" s="15"/>
      <c r="H85" s="15"/>
      <c r="I85" s="35"/>
      <c r="M85" s="35"/>
    </row>
    <row r="86" spans="3:15" ht="12.75">
      <c r="C86" s="39"/>
      <c r="D86" s="39"/>
      <c r="E86" s="38"/>
      <c r="F86" s="39"/>
      <c r="G86" s="38"/>
      <c r="H86" s="15"/>
      <c r="I86" s="35"/>
      <c r="M86" s="35"/>
      <c r="O86" s="91"/>
    </row>
    <row r="87" spans="3:15" ht="12.75">
      <c r="C87" s="39"/>
      <c r="D87" s="39"/>
      <c r="E87" s="38"/>
      <c r="F87" s="39"/>
      <c r="G87" s="38"/>
      <c r="H87" s="15"/>
      <c r="M87" s="35"/>
      <c r="O87" s="91"/>
    </row>
    <row r="88" spans="3:15" ht="12.75">
      <c r="C88" s="39"/>
      <c r="D88" s="39"/>
      <c r="E88" s="38"/>
      <c r="F88" s="39"/>
      <c r="G88" s="38"/>
      <c r="H88" s="15"/>
      <c r="M88" s="35"/>
      <c r="O88" s="91"/>
    </row>
    <row r="89" spans="3:8" ht="12.75">
      <c r="C89" s="39"/>
      <c r="D89" s="39"/>
      <c r="E89" s="38"/>
      <c r="F89" s="39"/>
      <c r="G89" s="38"/>
      <c r="H89" s="36"/>
    </row>
    <row r="90" spans="3:8" ht="12.75">
      <c r="C90" s="39"/>
      <c r="D90" s="39"/>
      <c r="E90" s="38"/>
      <c r="F90" s="38"/>
      <c r="G90" s="38"/>
      <c r="H90" s="36"/>
    </row>
    <row r="91" spans="3:17" ht="12.75">
      <c r="C91" s="39"/>
      <c r="D91" s="39"/>
      <c r="E91" s="39"/>
      <c r="F91" s="39"/>
      <c r="G91" s="39"/>
      <c r="H91" s="36"/>
      <c r="O91" s="91"/>
      <c r="Q91" s="111"/>
    </row>
    <row r="92" spans="3:17" ht="12.75">
      <c r="C92" s="39"/>
      <c r="D92" s="39"/>
      <c r="E92" s="59"/>
      <c r="F92" s="41"/>
      <c r="G92" s="59"/>
      <c r="H92" s="36"/>
      <c r="O92" s="91"/>
      <c r="Q92" s="111"/>
    </row>
    <row r="93" spans="3:17" ht="12.75">
      <c r="C93" s="39"/>
      <c r="D93" s="39"/>
      <c r="E93" s="41"/>
      <c r="F93" s="41"/>
      <c r="G93" s="41"/>
      <c r="H93" s="36"/>
      <c r="Q93" s="111"/>
    </row>
    <row r="94" spans="3:17" ht="12.75">
      <c r="C94" s="39"/>
      <c r="D94" s="39"/>
      <c r="E94" s="41"/>
      <c r="F94" s="41"/>
      <c r="G94" s="41"/>
      <c r="H94" s="36"/>
      <c r="Q94" s="111"/>
    </row>
    <row r="95" spans="3:17" ht="12.75">
      <c r="C95" s="42"/>
      <c r="D95" s="39"/>
      <c r="E95" s="41"/>
      <c r="F95" s="41"/>
      <c r="G95" s="41"/>
      <c r="H95" s="36"/>
      <c r="Q95" s="111"/>
    </row>
    <row r="96" spans="3:17" ht="12.75">
      <c r="C96" s="42"/>
      <c r="D96" s="39"/>
      <c r="E96" s="41"/>
      <c r="F96" s="41"/>
      <c r="G96" s="41"/>
      <c r="H96" s="36"/>
      <c r="Q96" s="111"/>
    </row>
    <row r="97" spans="3:17" ht="12.75">
      <c r="C97" s="43"/>
      <c r="D97" s="39"/>
      <c r="E97" s="41"/>
      <c r="F97" s="41"/>
      <c r="G97" s="41"/>
      <c r="H97" s="36"/>
      <c r="Q97" s="111"/>
    </row>
    <row r="98" spans="3:17" ht="12.75">
      <c r="C98" s="39"/>
      <c r="D98" s="39"/>
      <c r="E98" s="41"/>
      <c r="F98" s="41"/>
      <c r="G98" s="41"/>
      <c r="H98" s="36"/>
      <c r="Q98" s="111"/>
    </row>
    <row r="99" spans="3:8" ht="12.75">
      <c r="C99" s="39"/>
      <c r="D99" s="39"/>
      <c r="E99" s="41"/>
      <c r="F99" s="41"/>
      <c r="G99" s="41"/>
      <c r="H99" s="36"/>
    </row>
    <row r="100" spans="3:8" ht="5.1" customHeight="1">
      <c r="C100" s="66"/>
      <c r="D100" s="36"/>
      <c r="E100" s="44"/>
      <c r="F100" s="44"/>
      <c r="G100" s="44"/>
      <c r="H100" s="36"/>
    </row>
    <row r="101" spans="3:8" ht="12.75">
      <c r="C101" s="66"/>
      <c r="D101" s="36"/>
      <c r="E101" s="45"/>
      <c r="F101" s="45"/>
      <c r="G101" s="45"/>
      <c r="H101" s="36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tabColor rgb="FF92D050"/>
    <pageSetUpPr fitToPage="1"/>
  </sheetPr>
  <dimension ref="B4:O133"/>
  <sheetViews>
    <sheetView showGridLines="0" view="pageLayout" zoomScaleNormal="100" workbookViewId="0" topLeftCell="A79">
      <selection pane="topLeft" activeCell="L97" sqref="L97"/>
    </sheetView>
  </sheetViews>
  <sheetFormatPr defaultRowHeight="12.75"/>
  <cols>
    <col min="2" max="2" width="4.714285714285714" customWidth="1"/>
    <col min="3" max="3" width="50.42857142857143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5.714285714285714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15" ht="12.75">
      <c r="C14" s="11"/>
      <c r="D14" s="11"/>
      <c r="E14" s="20"/>
      <c r="F14" s="11"/>
      <c r="G14" s="58"/>
      <c r="H14" s="21"/>
      <c r="I14" s="22"/>
      <c r="O14" s="104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0.2584863603115083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1.6337398552668998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0.0056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-94080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-273280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-97440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-62720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-136640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-136080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-150640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-94640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-83440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-59920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-61600</v>
      </c>
      <c r="H37" s="15"/>
      <c r="I37" s="14"/>
      <c r="J37" s="14"/>
      <c r="K37" s="15"/>
    </row>
    <row r="38" spans="3:9" ht="12.75">
      <c r="C38" s="15"/>
      <c r="D38" s="15"/>
      <c r="E38" s="26">
        <v>41701</v>
      </c>
      <c r="F38" s="32"/>
      <c r="G38" s="32">
        <v>-89599.99</v>
      </c>
      <c r="H38" s="15"/>
      <c r="I38" s="14"/>
    </row>
    <row r="39" spans="3:9" ht="12.75">
      <c r="C39" s="15"/>
      <c r="D39" s="15"/>
      <c r="E39" s="26">
        <v>41729</v>
      </c>
      <c r="F39" s="32"/>
      <c r="G39" s="32">
        <v>-115360</v>
      </c>
      <c r="H39" s="15"/>
      <c r="I39" s="14"/>
    </row>
    <row r="40" spans="3:9" ht="12.75">
      <c r="C40" s="15"/>
      <c r="D40" s="15"/>
      <c r="E40" s="26">
        <v>41751</v>
      </c>
      <c r="F40" s="32"/>
      <c r="G40" s="32">
        <v>-81200</v>
      </c>
      <c r="H40" s="15"/>
      <c r="I40" s="14"/>
    </row>
    <row r="41" spans="3:9" ht="12.75">
      <c r="C41" s="15"/>
      <c r="D41" s="15"/>
      <c r="E41" s="26">
        <v>41782</v>
      </c>
      <c r="F41" s="32"/>
      <c r="G41" s="32">
        <v>-138320</v>
      </c>
      <c r="H41" s="15"/>
      <c r="I41" s="14"/>
    </row>
    <row r="42" spans="3:9" ht="12.75">
      <c r="C42" s="15"/>
      <c r="D42" s="15"/>
      <c r="E42" s="26">
        <v>41808</v>
      </c>
      <c r="F42" s="32"/>
      <c r="G42" s="32">
        <v>-332080</v>
      </c>
      <c r="H42" s="15"/>
      <c r="I42" s="14"/>
    </row>
    <row r="43" spans="3:11" ht="12.75">
      <c r="C43" s="15"/>
      <c r="D43" s="15"/>
      <c r="E43" s="26">
        <v>41894</v>
      </c>
      <c r="F43" s="32"/>
      <c r="G43" s="32">
        <v>-69440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-98560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-218960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-257600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950190.04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-216720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-188160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-157360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-196560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-563360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-423920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-105840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167083.98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-152880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-192080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-149520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-130480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-1252720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-119280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1368658.03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182010.75</v>
      </c>
      <c r="H63" s="15"/>
      <c r="I63" s="14"/>
      <c r="J63" s="14"/>
      <c r="K63" s="15"/>
    </row>
    <row r="64" spans="3:11" ht="12.75">
      <c r="C64" s="15"/>
      <c r="D64" s="15"/>
      <c r="E64" s="26">
        <v>42640</v>
      </c>
      <c r="F64" s="32"/>
      <c r="G64" s="32">
        <v>267565.96</v>
      </c>
      <c r="H64" s="15"/>
      <c r="I64" s="14"/>
      <c r="J64" s="14"/>
      <c r="K64" s="15"/>
    </row>
    <row r="65" spans="3:12" ht="15.75">
      <c r="C65" s="15"/>
      <c r="D65" s="15"/>
      <c r="E65" s="26">
        <v>42654</v>
      </c>
      <c r="F65" s="32"/>
      <c r="G65" s="32">
        <v>109364.79</v>
      </c>
      <c r="H65" s="15"/>
      <c r="I65" s="14"/>
      <c r="J65" s="14"/>
      <c r="K65" s="15"/>
      <c r="L65" s="10"/>
    </row>
    <row r="66" spans="3:12" ht="12.75">
      <c r="C66" s="15" t="s">
        <v>15</v>
      </c>
      <c r="D66" s="15"/>
      <c r="E66" s="26">
        <v>42793</v>
      </c>
      <c r="F66" s="32"/>
      <c r="G66" s="32">
        <v>-118720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-119840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42992</v>
      </c>
      <c r="F68" s="32"/>
      <c r="G68" s="32">
        <v>-113120</v>
      </c>
      <c r="H68" s="15"/>
      <c r="I68" s="14"/>
      <c r="J68" s="14"/>
      <c r="K68" s="15"/>
      <c r="L68" s="58"/>
    </row>
    <row r="69" spans="3:12" ht="12.75">
      <c r="C69" s="15"/>
      <c r="D69" s="15"/>
      <c r="E69" s="26">
        <v>43048</v>
      </c>
      <c r="F69" s="32"/>
      <c r="G69" s="32">
        <v>-217280</v>
      </c>
      <c r="H69" s="15"/>
      <c r="I69" s="14"/>
      <c r="J69" s="14"/>
      <c r="K69" s="15"/>
      <c r="L69" s="58"/>
    </row>
    <row r="70" spans="3:11" ht="12.75">
      <c r="C70" s="15" t="s">
        <v>16</v>
      </c>
      <c r="D70" s="15"/>
      <c r="E70" s="26">
        <v>42746</v>
      </c>
      <c r="F70" s="32"/>
      <c r="G70" s="32">
        <v>405584.79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606119.09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224558.85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5827248.31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397158.17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-150080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1706867.46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423504.53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-146720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-166320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-454160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-111440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-66080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177644.72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-90160</v>
      </c>
      <c r="H87" s="15"/>
      <c r="I87" s="14"/>
      <c r="J87" s="14"/>
      <c r="K87" s="15"/>
    </row>
    <row r="88" spans="3:11" ht="12.75">
      <c r="C88" s="15" t="s">
        <v>30</v>
      </c>
      <c r="D88" s="15"/>
      <c r="E88" s="26">
        <v>44084</v>
      </c>
      <c r="F88" s="32"/>
      <c r="G88" s="32">
        <v>98641.36</v>
      </c>
      <c r="H88" s="15"/>
      <c r="I88" s="14"/>
      <c r="J88" s="14"/>
      <c r="K88" s="15"/>
    </row>
    <row r="89" spans="3:12" ht="15.75">
      <c r="C89" s="15"/>
      <c r="D89" s="15"/>
      <c r="E89" s="26">
        <v>44158</v>
      </c>
      <c r="F89" s="32"/>
      <c r="G89" s="32">
        <v>456197.97</v>
      </c>
      <c r="H89" s="15"/>
      <c r="I89" s="14"/>
      <c r="J89" s="14"/>
      <c r="K89" s="15"/>
      <c r="L89" s="10"/>
    </row>
    <row r="90" spans="3:12" ht="15.75">
      <c r="C90" s="15" t="s">
        <v>31</v>
      </c>
      <c r="D90" s="15"/>
      <c r="E90" s="26">
        <v>44203</v>
      </c>
      <c r="F90" s="32"/>
      <c r="G90" s="32">
        <v>-56000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52464.24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86158.79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753227.11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93829.53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96650.84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45473</v>
      </c>
      <c r="F97" s="15"/>
      <c r="G97" s="33">
        <f>L97/0.98*C22</f>
        <v>1055749.135942857</v>
      </c>
      <c r="H97" s="15"/>
      <c r="I97" s="26"/>
      <c r="K97" s="112"/>
      <c r="L97" s="58">
        <v>1.8475609878999996E8</v>
      </c>
      <c r="M97" s="10"/>
    </row>
    <row r="98" spans="3:14" ht="12.75">
      <c r="C98" s="15"/>
      <c r="D98" s="15"/>
      <c r="E98" s="15"/>
      <c r="F98" s="15"/>
      <c r="G98" s="15"/>
      <c r="H98" s="15"/>
      <c r="J98" s="14"/>
      <c r="N98" s="91"/>
    </row>
    <row r="99" spans="3:14" ht="12.75">
      <c r="C99" s="36" t="s">
        <v>28</v>
      </c>
      <c r="G99" s="37">
        <f>+XIRR(G23:G97,E23:E97,0.1)</f>
        <v>0.2584863603115083</v>
      </c>
      <c r="H99" s="15"/>
      <c r="J99" s="32">
        <f>+SUMIF($G$23:$G$96,"&lt;0",$G$23:$G$96)</f>
        <v>-9491399.99</v>
      </c>
      <c r="K99" s="15" t="s">
        <v>26</v>
      </c>
      <c r="N99" s="91"/>
    </row>
    <row r="100" spans="3:14" ht="12.75">
      <c r="C100" s="15"/>
      <c r="D100" s="15"/>
      <c r="E100" s="15"/>
      <c r="F100" s="15"/>
      <c r="G100" s="15"/>
      <c r="H100" s="15"/>
      <c r="J100" s="32">
        <f>+SUMIF($G$23:$G$96,"&gt;0",$G$23:$G$96)</f>
        <v>1.4450729309999997E7</v>
      </c>
      <c r="K100" s="15" t="s">
        <v>27</v>
      </c>
      <c r="N100" s="91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36"/>
    </row>
    <row r="109" spans="3:8" ht="12.75">
      <c r="C109" s="39"/>
      <c r="D109" s="39"/>
      <c r="E109" s="41"/>
      <c r="F109" s="41"/>
      <c r="G109" s="41"/>
      <c r="H109" s="36"/>
    </row>
    <row r="110" spans="3:8" ht="12.75">
      <c r="C110" s="39"/>
      <c r="D110" s="39"/>
      <c r="E110" s="41"/>
      <c r="F110" s="41"/>
      <c r="G110" s="41"/>
      <c r="H110" s="36"/>
    </row>
    <row r="111" spans="3:8" ht="12.75">
      <c r="C111" s="42"/>
      <c r="D111" s="39"/>
      <c r="E111" s="41"/>
      <c r="F111" s="41"/>
      <c r="G111" s="41"/>
      <c r="H111" s="36"/>
    </row>
    <row r="112" spans="3:8" ht="12.75">
      <c r="C112" s="42"/>
      <c r="D112" s="39"/>
      <c r="E112" s="41"/>
      <c r="F112" s="41"/>
      <c r="G112" s="41"/>
      <c r="H112" s="36"/>
    </row>
    <row r="113" spans="3:8" ht="12.75">
      <c r="C113" s="43"/>
      <c r="D113" s="39"/>
      <c r="E113" s="41"/>
      <c r="F113" s="41"/>
      <c r="G113" s="41"/>
      <c r="H113" s="36"/>
    </row>
    <row r="114" spans="3:8" ht="12.75">
      <c r="C114" s="39"/>
      <c r="D114" s="39"/>
      <c r="E114" s="41"/>
      <c r="F114" s="41"/>
      <c r="G114" s="41"/>
      <c r="H114" s="36"/>
    </row>
    <row r="115" spans="3:8" ht="12.75">
      <c r="C115" s="39"/>
      <c r="D115" s="39"/>
      <c r="E115" s="41"/>
      <c r="F115" s="41"/>
      <c r="G115" s="41"/>
      <c r="H115" s="36"/>
    </row>
    <row r="116" spans="3:8" ht="12.75">
      <c r="C116" s="39"/>
      <c r="D116" s="39"/>
      <c r="E116" s="41"/>
      <c r="F116" s="41"/>
      <c r="G116" s="41"/>
      <c r="H116" s="36"/>
    </row>
    <row r="117" spans="3:8" ht="12.75">
      <c r="C117" s="39"/>
      <c r="D117" s="39"/>
      <c r="E117" s="41"/>
      <c r="F117" s="41"/>
      <c r="G117" s="41"/>
      <c r="H117" s="36"/>
    </row>
    <row r="118" spans="3:8" ht="12.75">
      <c r="C118" s="39"/>
      <c r="D118" s="39"/>
      <c r="E118" s="41"/>
      <c r="F118" s="41"/>
      <c r="G118" s="41"/>
      <c r="H118" s="36"/>
    </row>
    <row r="119" spans="3:8" ht="12.75">
      <c r="C119" s="39"/>
      <c r="D119" s="39"/>
      <c r="E119" s="41"/>
      <c r="F119" s="41"/>
      <c r="G119" s="41"/>
      <c r="H119" s="36"/>
    </row>
    <row r="120" spans="3:8" ht="5.1" customHeight="1">
      <c r="C120" s="36"/>
      <c r="D120" s="36"/>
      <c r="E120" s="44"/>
      <c r="F120" s="44"/>
      <c r="G120" s="44"/>
      <c r="H120" s="36"/>
    </row>
    <row r="121" spans="3:8" ht="12.75">
      <c r="C121" s="36"/>
      <c r="D121" s="36"/>
      <c r="E121" s="45"/>
      <c r="F121" s="45"/>
      <c r="G121" s="45"/>
      <c r="H121" s="36"/>
    </row>
    <row r="123" spans="3:10" ht="12.75">
      <c r="C123" s="39"/>
      <c r="D123" s="39"/>
      <c r="E123" s="123"/>
      <c r="F123" s="123"/>
      <c r="G123" s="123"/>
      <c r="H123" s="36"/>
      <c r="J123" s="113"/>
    </row>
    <row r="124" spans="3:8" ht="12.75">
      <c r="C124" s="39"/>
      <c r="D124" s="39"/>
      <c r="E124" s="38"/>
      <c r="F124" s="38"/>
      <c r="G124" s="38"/>
      <c r="H124" s="36"/>
    </row>
    <row r="125" spans="3:8" ht="12.75">
      <c r="C125" s="39"/>
      <c r="D125" s="39"/>
      <c r="E125" s="39"/>
      <c r="F125" s="39"/>
      <c r="G125" s="39"/>
      <c r="H125" s="36"/>
    </row>
    <row r="126" spans="3:8" ht="12.75">
      <c r="C126" s="39"/>
      <c r="D126" s="39"/>
      <c r="E126" s="59"/>
      <c r="F126" s="41"/>
      <c r="G126" s="59"/>
      <c r="H126" s="36"/>
    </row>
    <row r="127" spans="3:8" ht="12.75">
      <c r="C127" s="39"/>
      <c r="D127" s="39"/>
      <c r="E127" s="41"/>
      <c r="F127" s="41"/>
      <c r="G127" s="41"/>
      <c r="H127" s="36"/>
    </row>
    <row r="128" spans="3:8" ht="12.75">
      <c r="C128" s="39"/>
      <c r="D128" s="39"/>
      <c r="E128" s="41"/>
      <c r="F128" s="41"/>
      <c r="G128" s="41"/>
      <c r="H128" s="36"/>
    </row>
    <row r="129" spans="3:8" ht="12.75">
      <c r="C129" s="39"/>
      <c r="D129" s="39"/>
      <c r="E129" s="41"/>
      <c r="F129" s="41"/>
      <c r="G129" s="41"/>
      <c r="H129" s="36"/>
    </row>
    <row r="130" spans="3:8" ht="12.75">
      <c r="C130" s="39"/>
      <c r="D130" s="39"/>
      <c r="E130" s="41"/>
      <c r="F130" s="41"/>
      <c r="G130" s="41"/>
      <c r="H130" s="36"/>
    </row>
    <row r="131" spans="3:8" ht="12.75">
      <c r="C131" s="39"/>
      <c r="D131" s="39"/>
      <c r="E131" s="41"/>
      <c r="F131" s="41"/>
      <c r="G131" s="41"/>
      <c r="H131" s="36"/>
    </row>
    <row r="132" spans="3:8" ht="12.75">
      <c r="C132" s="39"/>
      <c r="D132" s="39"/>
      <c r="E132" s="41"/>
      <c r="F132" s="41"/>
      <c r="G132" s="41"/>
      <c r="H132" s="36"/>
    </row>
    <row r="133" spans="3:8" ht="12.75">
      <c r="C133" s="39"/>
      <c r="D133" s="39"/>
      <c r="E133" s="41"/>
      <c r="F133" s="41"/>
      <c r="G133" s="41"/>
      <c r="H133" s="36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tabColor rgb="FF92D050"/>
    <pageSetUpPr fitToPage="1"/>
  </sheetPr>
  <dimension ref="B4:M125"/>
  <sheetViews>
    <sheetView showGridLines="0" view="pageLayout" zoomScaleNormal="100" workbookViewId="0" topLeftCell="A70">
      <selection pane="topLeft" activeCell="L97" sqref="L97"/>
    </sheetView>
  </sheetViews>
  <sheetFormatPr defaultRowHeight="12.75"/>
  <cols>
    <col min="2" max="2" width="4.714285714285714" customWidth="1"/>
    <col min="3" max="3" width="47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9.7142857142857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0.20748522877693176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1.5275372236332967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0.01538501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-22500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-28224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-81984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-29232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-42000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-18816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-40992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-17640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-40824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-45192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-28392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-105840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-25032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-17976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-18480</v>
      </c>
      <c r="H37" s="15"/>
      <c r="I37" s="14"/>
      <c r="J37" s="52"/>
      <c r="K37" s="53"/>
    </row>
    <row r="38" spans="3:11" ht="12.75">
      <c r="C38" s="114"/>
      <c r="D38" s="15"/>
      <c r="E38" s="26">
        <v>41701</v>
      </c>
      <c r="F38" s="32"/>
      <c r="G38" s="32">
        <v>-26880</v>
      </c>
      <c r="H38" s="15"/>
      <c r="I38" s="14"/>
      <c r="J38" s="52"/>
      <c r="K38" s="53"/>
    </row>
    <row r="39" spans="3:11" ht="12.75">
      <c r="C39" s="15"/>
      <c r="D39" s="15"/>
      <c r="E39" s="26">
        <v>41729</v>
      </c>
      <c r="F39" s="32"/>
      <c r="G39" s="32">
        <v>-34608</v>
      </c>
      <c r="H39" s="15"/>
      <c r="I39" s="14"/>
      <c r="J39" s="52"/>
      <c r="K39" s="53"/>
    </row>
    <row r="40" spans="3:11" ht="12.75">
      <c r="C40" s="15"/>
      <c r="D40" s="15"/>
      <c r="E40" s="26">
        <v>41751</v>
      </c>
      <c r="F40" s="32"/>
      <c r="G40" s="32">
        <v>-24360</v>
      </c>
      <c r="H40" s="15"/>
      <c r="I40" s="14"/>
      <c r="J40" s="52"/>
      <c r="K40" s="53"/>
    </row>
    <row r="41" spans="3:11" ht="12.75">
      <c r="C41" s="15"/>
      <c r="D41" s="15"/>
      <c r="E41" s="26">
        <v>41782</v>
      </c>
      <c r="F41" s="32"/>
      <c r="G41" s="32">
        <v>-41496</v>
      </c>
      <c r="H41" s="15"/>
      <c r="I41" s="14"/>
      <c r="J41" s="52"/>
      <c r="K41" s="53"/>
    </row>
    <row r="42" spans="3:11" ht="12.75">
      <c r="C42" s="15"/>
      <c r="D42" s="15"/>
      <c r="E42" s="26">
        <v>41808</v>
      </c>
      <c r="F42" s="32"/>
      <c r="G42" s="32">
        <v>-99624</v>
      </c>
      <c r="H42" s="15"/>
      <c r="I42" s="14"/>
      <c r="J42" s="52"/>
      <c r="K42" s="53"/>
    </row>
    <row r="43" spans="3:11" ht="12.75">
      <c r="C43" s="15"/>
      <c r="D43" s="15"/>
      <c r="E43" s="26">
        <v>41894</v>
      </c>
      <c r="F43" s="32"/>
      <c r="G43" s="32">
        <v>-20832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-29568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-65688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-77280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273860.4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-65016.01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-56448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-47208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-58968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-169008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-127176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-31752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48606.68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-45864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-57623.99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-44855.99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-39144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-375816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-35784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379609.17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53637.61</v>
      </c>
      <c r="H63" s="15"/>
      <c r="I63" s="14"/>
      <c r="J63" s="14"/>
      <c r="K63" s="15"/>
    </row>
    <row r="64" spans="3:12" ht="15.75">
      <c r="C64" s="15"/>
      <c r="D64" s="15"/>
      <c r="E64" s="26">
        <v>42640</v>
      </c>
      <c r="F64" s="32"/>
      <c r="G64" s="32">
        <v>79938.61</v>
      </c>
      <c r="H64" s="15"/>
      <c r="I64" s="14"/>
      <c r="J64" s="52"/>
      <c r="K64" s="53"/>
      <c r="L64" s="10"/>
    </row>
    <row r="65" spans="3:12" ht="12.75">
      <c r="C65" s="15"/>
      <c r="D65" s="15"/>
      <c r="E65" s="26">
        <v>42654</v>
      </c>
      <c r="F65" s="32"/>
      <c r="G65" s="32">
        <v>32809.44</v>
      </c>
      <c r="H65" s="15"/>
      <c r="I65" s="14"/>
      <c r="J65" s="14"/>
      <c r="K65" s="15"/>
      <c r="L65" s="58"/>
    </row>
    <row r="66" spans="3:12" ht="12.75">
      <c r="C66" s="15" t="s">
        <v>15</v>
      </c>
      <c r="D66" s="15"/>
      <c r="E66" s="26">
        <v>42793</v>
      </c>
      <c r="F66" s="32"/>
      <c r="G66" s="32">
        <v>-35616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-35952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42992</v>
      </c>
      <c r="F68" s="32"/>
      <c r="G68" s="32">
        <v>-33936</v>
      </c>
      <c r="H68" s="15"/>
      <c r="I68" s="14"/>
      <c r="J68" s="14"/>
      <c r="K68" s="15"/>
      <c r="L68" s="58"/>
    </row>
    <row r="69" spans="3:11" ht="12.75">
      <c r="C69" s="15"/>
      <c r="D69" s="15"/>
      <c r="E69" s="26">
        <v>43048</v>
      </c>
      <c r="F69" s="32"/>
      <c r="G69" s="32">
        <v>-65184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121675.44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180369.63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66707.12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1393927.34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146090.75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-45024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-99120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-31920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373197.71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155647.92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-44016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-49896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-136248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-35280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-33432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-19824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174846.10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f>-27048</f>
        <v>-27048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44977.42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218496.06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-16800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7755.01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31787.79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190113.52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25955.93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25879.69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45473</v>
      </c>
      <c r="F97" s="15"/>
      <c r="G97" s="33">
        <f>L97*C22</f>
        <v>323650.68604254996</v>
      </c>
      <c r="H97" s="15"/>
      <c r="I97" s="26"/>
      <c r="L97" s="58">
        <v>21036755</v>
      </c>
      <c r="M97" s="10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7">
        <f>+XIRR(G23:G97,E23:E97)</f>
        <v>0.20748522877693176</v>
      </c>
      <c r="H99" s="15"/>
      <c r="J99" s="32">
        <f>+SUMIF($G$23:$G$96,"&lt;0",$G$23:$G$96)</f>
        <v>-2847419.99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4025889.3400000003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15"/>
    </row>
    <row r="109" spans="3:8" ht="12.75">
      <c r="C109" s="39"/>
      <c r="D109" s="39"/>
      <c r="E109" s="41"/>
      <c r="F109" s="41"/>
      <c r="G109" s="41"/>
      <c r="H109" s="15"/>
    </row>
    <row r="110" spans="3:8" ht="12.75">
      <c r="C110" s="39"/>
      <c r="D110" s="39"/>
      <c r="E110" s="41"/>
      <c r="F110" s="41"/>
      <c r="G110" s="41"/>
      <c r="H110" s="15"/>
    </row>
    <row r="111" spans="3:8" ht="12.75">
      <c r="C111" s="42"/>
      <c r="D111" s="39"/>
      <c r="E111" s="41"/>
      <c r="F111" s="41"/>
      <c r="G111" s="41"/>
      <c r="H111" s="15"/>
    </row>
    <row r="112" spans="3:8" ht="12.75">
      <c r="C112" s="42"/>
      <c r="D112" s="39"/>
      <c r="E112" s="41"/>
      <c r="F112" s="41"/>
      <c r="G112" s="41"/>
      <c r="H112" s="15"/>
    </row>
    <row r="113" spans="3:8" ht="12.75">
      <c r="C113" s="43"/>
      <c r="D113" s="39"/>
      <c r="E113" s="41"/>
      <c r="F113" s="41"/>
      <c r="G113" s="41"/>
      <c r="H113" s="15"/>
    </row>
    <row r="114" spans="3:8" ht="12.75">
      <c r="C114" s="39"/>
      <c r="D114" s="39"/>
      <c r="E114" s="41"/>
      <c r="F114" s="41"/>
      <c r="G114" s="41"/>
      <c r="H114" s="15"/>
    </row>
    <row r="115" spans="3:8" ht="12.75">
      <c r="C115" s="39"/>
      <c r="D115" s="39"/>
      <c r="E115" s="41"/>
      <c r="F115" s="41"/>
      <c r="G115" s="41"/>
      <c r="H115" s="15"/>
    </row>
    <row r="116" spans="3:8" ht="12.75">
      <c r="C116" s="39"/>
      <c r="D116" s="39"/>
      <c r="E116" s="41"/>
      <c r="F116" s="41"/>
      <c r="G116" s="41"/>
      <c r="H116" s="15"/>
    </row>
    <row r="117" spans="3:8" ht="12.75">
      <c r="C117" s="39"/>
      <c r="D117" s="39"/>
      <c r="E117" s="41"/>
      <c r="F117" s="41"/>
      <c r="G117" s="41"/>
      <c r="H117" s="15"/>
    </row>
    <row r="118" spans="3:8" ht="12.75">
      <c r="C118" s="39"/>
      <c r="D118" s="39"/>
      <c r="E118" s="41"/>
      <c r="F118" s="41"/>
      <c r="G118" s="41"/>
      <c r="H118" s="15"/>
    </row>
    <row r="119" spans="3:8" ht="12.75">
      <c r="C119" s="39"/>
      <c r="D119" s="39"/>
      <c r="E119" s="41"/>
      <c r="F119" s="41"/>
      <c r="G119" s="41"/>
      <c r="H119" s="15"/>
    </row>
    <row r="120" spans="3:8" ht="4.9" customHeight="1">
      <c r="C120" s="36"/>
      <c r="D120" s="36"/>
      <c r="E120" s="115"/>
      <c r="F120" s="44"/>
      <c r="G120" s="44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tabColor rgb="FF92D050"/>
    <pageSetUpPr fitToPage="1"/>
  </sheetPr>
  <dimension ref="B4:O125"/>
  <sheetViews>
    <sheetView showGridLines="0" view="pageLayout" zoomScaleNormal="100" workbookViewId="0" topLeftCell="A82">
      <selection pane="topLeft" activeCell="G97" sqref="G97"/>
    </sheetView>
  </sheetViews>
  <sheetFormatPr defaultRowHeight="12.75"/>
  <cols>
    <col min="2" max="2" width="4.714285714285714" customWidth="1"/>
    <col min="3" max="3" width="48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  <col min="13" max="13" width="15.428571428571429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0.25570300221443176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1.6251945931902025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89">
        <v>0.012345679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</v>
      </c>
      <c r="H37" s="15"/>
      <c r="I37" s="14"/>
      <c r="J37" s="52"/>
      <c r="K37" s="53"/>
    </row>
    <row r="38" spans="3:11" ht="12.75">
      <c r="C38" s="114"/>
      <c r="D38" s="15"/>
      <c r="E38" s="26">
        <v>41701</v>
      </c>
      <c r="F38" s="32"/>
      <c r="G38" s="32">
        <v>-8960</v>
      </c>
      <c r="H38" s="15"/>
      <c r="I38" s="14"/>
      <c r="J38" s="52"/>
      <c r="K38" s="53"/>
    </row>
    <row r="39" spans="3:11" ht="12.75">
      <c r="C39" s="15"/>
      <c r="D39" s="15"/>
      <c r="E39" s="26">
        <v>41729</v>
      </c>
      <c r="F39" s="32"/>
      <c r="G39" s="32">
        <v>-11536</v>
      </c>
      <c r="H39" s="15"/>
      <c r="I39" s="14"/>
      <c r="J39" s="52"/>
      <c r="K39" s="53"/>
    </row>
    <row r="40" spans="3:11" ht="12.75">
      <c r="C40" s="15"/>
      <c r="D40" s="15"/>
      <c r="E40" s="26">
        <v>41751</v>
      </c>
      <c r="F40" s="32"/>
      <c r="G40" s="32">
        <v>-8120</v>
      </c>
      <c r="H40" s="15"/>
      <c r="I40" s="14"/>
      <c r="J40" s="52"/>
      <c r="K40" s="53"/>
    </row>
    <row r="41" spans="3:11" ht="12.75">
      <c r="C41" s="15"/>
      <c r="D41" s="15"/>
      <c r="E41" s="26">
        <v>41782</v>
      </c>
      <c r="F41" s="32"/>
      <c r="G41" s="32">
        <v>-13832</v>
      </c>
      <c r="H41" s="15"/>
      <c r="I41" s="14"/>
      <c r="J41" s="52"/>
      <c r="K41" s="53"/>
    </row>
    <row r="42" spans="3:11" ht="12.75">
      <c r="C42" s="15"/>
      <c r="D42" s="15"/>
      <c r="E42" s="26">
        <v>41808</v>
      </c>
      <c r="F42" s="32"/>
      <c r="G42" s="32">
        <v>-33208</v>
      </c>
      <c r="H42" s="15"/>
      <c r="I42" s="14"/>
      <c r="J42" s="52"/>
      <c r="K42" s="53"/>
    </row>
    <row r="43" spans="3:11" ht="12.75">
      <c r="C43" s="15"/>
      <c r="D43" s="15"/>
      <c r="E43" s="26">
        <v>41894</v>
      </c>
      <c r="F43" s="32"/>
      <c r="G43" s="32">
        <v>-6944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-9856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-21896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-25760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93993.46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</v>
      </c>
      <c r="H51" s="15"/>
      <c r="I51" s="14"/>
    </row>
    <row r="52" spans="3:9" ht="12.75">
      <c r="C52" s="15"/>
      <c r="D52" s="15"/>
      <c r="E52" s="26">
        <v>42158</v>
      </c>
      <c r="F52" s="32"/>
      <c r="G52" s="32">
        <v>-56336</v>
      </c>
      <c r="H52" s="15"/>
      <c r="I52" s="14"/>
    </row>
    <row r="53" spans="3:9" ht="12.75">
      <c r="C53" s="15"/>
      <c r="D53" s="15"/>
      <c r="E53" s="26">
        <v>42261</v>
      </c>
      <c r="F53" s="32"/>
      <c r="G53" s="32">
        <v>-42391.99</v>
      </c>
      <c r="H53" s="15"/>
      <c r="I53" s="14"/>
    </row>
    <row r="54" spans="3:11" ht="12.75">
      <c r="C54" s="15"/>
      <c r="D54" s="15"/>
      <c r="E54" s="26">
        <v>42366</v>
      </c>
      <c r="F54" s="32"/>
      <c r="G54" s="32">
        <v>-10584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15844.88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-19207.99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136789.24</v>
      </c>
      <c r="H62" s="15"/>
      <c r="I62" s="14"/>
      <c r="J62" s="14"/>
      <c r="K62" s="15"/>
    </row>
    <row r="63" spans="3:12" ht="15.75">
      <c r="C63" s="15"/>
      <c r="D63" s="15"/>
      <c r="E63" s="26">
        <v>42549</v>
      </c>
      <c r="F63" s="32"/>
      <c r="G63" s="32">
        <v>17692.82</v>
      </c>
      <c r="H63" s="15"/>
      <c r="I63" s="14"/>
      <c r="J63" s="14"/>
      <c r="K63" s="15"/>
      <c r="L63" s="10"/>
    </row>
    <row r="64" spans="3:12" ht="12.75">
      <c r="C64" s="15"/>
      <c r="D64" s="15"/>
      <c r="E64" s="26">
        <v>42640</v>
      </c>
      <c r="F64" s="32"/>
      <c r="G64" s="32">
        <v>26680.06</v>
      </c>
      <c r="H64" s="15"/>
      <c r="I64" s="14"/>
      <c r="J64" s="14"/>
      <c r="K64" s="15"/>
      <c r="L64" s="58"/>
    </row>
    <row r="65" spans="3:12" ht="12.75">
      <c r="C65" s="15"/>
      <c r="D65" s="15"/>
      <c r="E65" s="26">
        <v>42654</v>
      </c>
      <c r="F65" s="32"/>
      <c r="G65" s="32">
        <v>10936.48</v>
      </c>
      <c r="H65" s="15"/>
      <c r="I65" s="14"/>
      <c r="J65" s="14"/>
      <c r="K65" s="15"/>
      <c r="L65" s="58"/>
    </row>
    <row r="66" spans="3:12" ht="12.75">
      <c r="C66" s="15" t="s">
        <v>15</v>
      </c>
      <c r="D66" s="15"/>
      <c r="E66" s="26">
        <v>42793</v>
      </c>
      <c r="F66" s="32"/>
      <c r="G66" s="32">
        <v>-11872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-11983.99</v>
      </c>
      <c r="H67" s="15"/>
      <c r="I67" s="14"/>
      <c r="J67" s="14"/>
      <c r="K67" s="15"/>
      <c r="L67" s="58"/>
    </row>
    <row r="68" spans="3:11" ht="12.75">
      <c r="C68" s="15"/>
      <c r="D68" s="15"/>
      <c r="E68" s="26">
        <v>42992</v>
      </c>
      <c r="F68" s="32"/>
      <c r="G68" s="32">
        <v>-11312</v>
      </c>
      <c r="H68" s="15"/>
      <c r="I68" s="14"/>
      <c r="J68" s="14"/>
      <c r="K68" s="15"/>
    </row>
    <row r="69" spans="3:11" ht="12.75">
      <c r="C69" s="15"/>
      <c r="D69" s="15"/>
      <c r="E69" s="26">
        <v>43048</v>
      </c>
      <c r="F69" s="32"/>
      <c r="G69" s="32">
        <v>-21728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40558.48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60485.01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22259.21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582576.68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39339.92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170614.91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41585.63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17572.34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8234.01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45614.54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-5600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5074.89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8151.91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75156.74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9041.13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8181.61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5" ht="15.75">
      <c r="C97" s="15" t="s">
        <v>25</v>
      </c>
      <c r="D97" s="15"/>
      <c r="E97" s="26">
        <f>+E8</f>
        <v>45473</v>
      </c>
      <c r="F97" s="15"/>
      <c r="G97" s="33">
        <f>L97*C22</f>
        <v>106153.197424711</v>
      </c>
      <c r="H97" s="15"/>
      <c r="I97" s="26"/>
      <c r="L97" s="58">
        <v>8598409</v>
      </c>
      <c r="M97" s="10"/>
      <c r="O97" s="62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7">
        <f>+XIRR(G23:G97,E23:E97)</f>
        <v>0.25570300221443176</v>
      </c>
      <c r="H99" s="15"/>
      <c r="J99" s="32">
        <f>+SUMIF($G$23:$G$96,"&lt;0",$G$23:$G$96)</f>
        <v>-949139.97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1436383.95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8"/>
      <c r="F105" s="38"/>
      <c r="G105" s="38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15"/>
    </row>
    <row r="109" spans="3:8" ht="12.75">
      <c r="C109" s="39"/>
      <c r="D109" s="39"/>
      <c r="E109" s="41"/>
      <c r="F109" s="41"/>
      <c r="G109" s="41"/>
      <c r="H109" s="15"/>
    </row>
    <row r="110" spans="3:8" ht="12.75">
      <c r="C110" s="39"/>
      <c r="D110" s="39"/>
      <c r="E110" s="41"/>
      <c r="F110" s="41"/>
      <c r="G110" s="41"/>
      <c r="H110" s="15"/>
    </row>
    <row r="111" spans="3:8" ht="12.75">
      <c r="C111" s="42"/>
      <c r="D111" s="39"/>
      <c r="E111" s="41"/>
      <c r="F111" s="41"/>
      <c r="G111" s="41"/>
      <c r="H111" s="15"/>
    </row>
    <row r="112" spans="3:8" ht="12.75">
      <c r="C112" s="42"/>
      <c r="D112" s="39"/>
      <c r="E112" s="41"/>
      <c r="F112" s="41"/>
      <c r="G112" s="41"/>
      <c r="H112" s="15"/>
    </row>
    <row r="113" spans="3:9" ht="12.75">
      <c r="C113" s="43"/>
      <c r="D113" s="39"/>
      <c r="E113" s="41"/>
      <c r="F113" s="41"/>
      <c r="G113" s="41"/>
      <c r="H113" s="15"/>
      <c r="I113" s="36"/>
    </row>
    <row r="114" spans="3:8" ht="12.75">
      <c r="C114" s="39"/>
      <c r="D114" s="39"/>
      <c r="E114" s="41"/>
      <c r="F114" s="41"/>
      <c r="G114" s="41"/>
      <c r="H114" s="15"/>
    </row>
    <row r="115" spans="3:8" ht="12.75">
      <c r="C115" s="39"/>
      <c r="D115" s="39"/>
      <c r="E115" s="41"/>
      <c r="F115" s="41"/>
      <c r="G115" s="41"/>
      <c r="H115" s="15"/>
    </row>
    <row r="116" spans="3:8" ht="12.75">
      <c r="C116" s="39"/>
      <c r="D116" s="39"/>
      <c r="E116" s="41"/>
      <c r="F116" s="41"/>
      <c r="G116" s="41"/>
      <c r="H116" s="15"/>
    </row>
    <row r="117" spans="3:8" ht="12.75">
      <c r="C117" s="39"/>
      <c r="D117" s="39"/>
      <c r="E117" s="41"/>
      <c r="F117" s="41"/>
      <c r="G117" s="41"/>
      <c r="H117" s="15"/>
    </row>
    <row r="118" spans="3:8" ht="12.75">
      <c r="C118" s="39"/>
      <c r="D118" s="39"/>
      <c r="E118" s="41"/>
      <c r="F118" s="41"/>
      <c r="G118" s="41"/>
      <c r="H118" s="15"/>
    </row>
    <row r="119" spans="3:8" ht="12.75">
      <c r="C119" s="39"/>
      <c r="D119" s="39"/>
      <c r="E119" s="41"/>
      <c r="F119" s="41"/>
      <c r="G119" s="41"/>
      <c r="H119" s="15"/>
    </row>
    <row r="120" spans="3:8" ht="4.9" customHeight="1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tabColor rgb="FF92D050"/>
    <pageSetUpPr fitToPage="1"/>
  </sheetPr>
  <dimension ref="B4:O160"/>
  <sheetViews>
    <sheetView showGridLines="0" view="pageLayout" zoomScaleNormal="100" workbookViewId="0" topLeftCell="A97">
      <selection pane="topLeft" activeCell="L127" sqref="L127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G129</f>
        <v>0.09904894232749942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-(G127+I128)/I127</f>
        <v>1.408643802213918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0.0049</v>
      </c>
      <c r="D22" s="15"/>
      <c r="E22" s="15"/>
      <c r="F22" s="15"/>
      <c r="G22" s="29"/>
      <c r="H22" s="15"/>
      <c r="I22" s="15"/>
      <c r="J22" s="15"/>
    </row>
    <row r="23" spans="3:10" ht="12.75">
      <c r="C23" s="15"/>
      <c r="D23" s="15"/>
      <c r="E23" s="26"/>
      <c r="F23" s="32"/>
      <c r="G23" s="32"/>
      <c r="H23" s="15"/>
      <c r="I23" s="14"/>
      <c r="J23" s="14"/>
    </row>
    <row r="24" spans="3:9" ht="12.75">
      <c r="C24" s="15" t="s">
        <v>9</v>
      </c>
      <c r="D24" s="15"/>
      <c r="E24" s="26">
        <v>41829</v>
      </c>
      <c r="F24" s="32"/>
      <c r="G24" s="32">
        <v>-169050</v>
      </c>
      <c r="H24" s="15"/>
      <c r="I24" s="14"/>
    </row>
    <row r="25" spans="3:9" ht="12.75">
      <c r="C25" s="15"/>
      <c r="D25" s="15"/>
      <c r="E25" s="26">
        <v>41894</v>
      </c>
      <c r="F25" s="32"/>
      <c r="G25" s="32">
        <v>-87710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-46060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-65660</v>
      </c>
      <c r="H27" s="15"/>
      <c r="I27" s="14"/>
    </row>
    <row r="28" spans="3:9" ht="12.75">
      <c r="C28" s="15" t="s">
        <v>11</v>
      </c>
      <c r="D28" s="15"/>
      <c r="E28" s="26">
        <v>42037</v>
      </c>
      <c r="F28" s="32"/>
      <c r="G28" s="32">
        <v>-64680</v>
      </c>
      <c r="H28" s="15"/>
      <c r="I28" s="14"/>
    </row>
    <row r="29" spans="3:9" ht="12.75">
      <c r="C29" s="15"/>
      <c r="D29" s="15"/>
      <c r="E29" s="26">
        <v>42093</v>
      </c>
      <c r="F29" s="32"/>
      <c r="G29" s="32">
        <v>-83790</v>
      </c>
      <c r="H29" s="15"/>
      <c r="I29" s="14"/>
    </row>
    <row r="30" spans="3:9" ht="12.75">
      <c r="C30" s="15"/>
      <c r="D30" s="15"/>
      <c r="E30" s="26">
        <v>42109</v>
      </c>
      <c r="F30" s="32"/>
      <c r="G30" s="32">
        <v>-62720</v>
      </c>
      <c r="H30" s="15"/>
      <c r="I30" s="14"/>
    </row>
    <row r="31" spans="3:11" ht="12.75">
      <c r="C31" s="15"/>
      <c r="D31" s="15"/>
      <c r="E31" s="26">
        <v>42144</v>
      </c>
      <c r="F31" s="32"/>
      <c r="G31" s="32">
        <v>-36750</v>
      </c>
      <c r="H31" s="15"/>
      <c r="I31" s="14"/>
      <c r="J31" s="14"/>
      <c r="K31" s="15"/>
    </row>
    <row r="32" spans="3:11" ht="12.75">
      <c r="C32" s="15"/>
      <c r="D32" s="15"/>
      <c r="E32" s="26">
        <v>42184</v>
      </c>
      <c r="F32" s="32"/>
      <c r="G32" s="32">
        <v>-56350</v>
      </c>
      <c r="H32" s="15"/>
      <c r="I32" s="14"/>
      <c r="J32" s="14"/>
      <c r="K32" s="15"/>
    </row>
    <row r="33" spans="3:15" ht="12.75">
      <c r="C33" s="15"/>
      <c r="D33" s="15"/>
      <c r="E33" s="26">
        <v>42227</v>
      </c>
      <c r="F33" s="32"/>
      <c r="G33" s="32">
        <v>-74970</v>
      </c>
      <c r="H33" s="15"/>
      <c r="I33" s="14"/>
      <c r="J33" s="14"/>
      <c r="K33" s="15"/>
      <c r="N33" s="97"/>
      <c r="O33" s="34"/>
    </row>
    <row r="34" spans="3:15" ht="12.75">
      <c r="C34" s="15"/>
      <c r="D34" s="15"/>
      <c r="E34" s="26">
        <v>42261</v>
      </c>
      <c r="F34" s="32"/>
      <c r="G34" s="32">
        <v>-98980</v>
      </c>
      <c r="H34" s="15"/>
      <c r="I34" s="14"/>
      <c r="J34" s="14"/>
      <c r="K34" s="15"/>
      <c r="N34" s="97"/>
      <c r="O34" s="34"/>
    </row>
    <row r="35" spans="3:15" ht="12.75">
      <c r="C35" s="15"/>
      <c r="D35" s="15"/>
      <c r="E35" s="26">
        <v>42368</v>
      </c>
      <c r="F35" s="32"/>
      <c r="G35" s="32">
        <v>-80850</v>
      </c>
      <c r="H35" s="15"/>
      <c r="I35" s="14"/>
      <c r="J35" s="14"/>
      <c r="K35" s="15"/>
      <c r="N35" s="97"/>
      <c r="O35" s="34"/>
    </row>
    <row r="36" spans="3:15" ht="12.75">
      <c r="C36" s="15" t="s">
        <v>13</v>
      </c>
      <c r="D36" s="15"/>
      <c r="E36" s="26">
        <v>42396</v>
      </c>
      <c r="F36" s="32"/>
      <c r="G36" s="32">
        <v>-1416590</v>
      </c>
      <c r="H36" s="15"/>
      <c r="I36" s="14"/>
      <c r="J36" s="14"/>
      <c r="K36" s="15"/>
      <c r="N36" s="97"/>
      <c r="O36" s="34"/>
    </row>
    <row r="37" spans="3:15" ht="12.75">
      <c r="C37" s="15"/>
      <c r="D37" s="15"/>
      <c r="E37" s="26">
        <v>42445</v>
      </c>
      <c r="F37" s="32"/>
      <c r="G37" s="32">
        <v>-120050</v>
      </c>
      <c r="H37" s="15"/>
      <c r="I37" s="14"/>
      <c r="J37" s="14"/>
      <c r="K37" s="15"/>
      <c r="N37" s="97"/>
      <c r="O37" s="34"/>
    </row>
    <row r="38" spans="3:15" ht="12.75">
      <c r="C38" s="15"/>
      <c r="D38" s="15"/>
      <c r="E38" s="26">
        <v>42549</v>
      </c>
      <c r="F38" s="32"/>
      <c r="G38" s="32">
        <v>-194530</v>
      </c>
      <c r="H38" s="15"/>
      <c r="I38" s="14"/>
      <c r="J38" s="14"/>
      <c r="K38" s="15"/>
      <c r="N38" s="97"/>
      <c r="O38" s="34"/>
    </row>
    <row r="39" spans="3:15" ht="12.75">
      <c r="C39" s="15"/>
      <c r="D39" s="15"/>
      <c r="E39" s="26">
        <v>42586</v>
      </c>
      <c r="F39" s="32"/>
      <c r="G39" s="32">
        <v>-149450</v>
      </c>
      <c r="H39" s="15"/>
      <c r="I39" s="14"/>
      <c r="J39" s="14"/>
      <c r="K39" s="15"/>
      <c r="N39" s="97"/>
      <c r="O39" s="34"/>
    </row>
    <row r="40" spans="3:15" ht="12.75">
      <c r="C40" s="15"/>
      <c r="D40" s="15"/>
      <c r="E40" s="26">
        <v>42607</v>
      </c>
      <c r="F40" s="32"/>
      <c r="G40" s="32">
        <v>-113190</v>
      </c>
      <c r="H40" s="15"/>
      <c r="I40" s="14"/>
      <c r="J40" s="14"/>
      <c r="K40" s="15"/>
      <c r="N40" s="97"/>
      <c r="O40" s="34"/>
    </row>
    <row r="41" spans="3:15" ht="12.75">
      <c r="C41" s="15"/>
      <c r="D41" s="15"/>
      <c r="E41" s="26">
        <v>42613</v>
      </c>
      <c r="F41" s="32"/>
      <c r="G41" s="32">
        <v>-2398550</v>
      </c>
      <c r="H41" s="15"/>
      <c r="I41" s="14"/>
      <c r="J41" s="14"/>
      <c r="K41" s="15"/>
      <c r="N41" s="97"/>
      <c r="O41" s="34"/>
    </row>
    <row r="42" spans="3:15" ht="12.75">
      <c r="C42" s="15"/>
      <c r="D42" s="15"/>
      <c r="E42" s="26">
        <v>42640</v>
      </c>
      <c r="F42" s="32"/>
      <c r="G42" s="32">
        <v>-56350</v>
      </c>
      <c r="H42" s="15"/>
      <c r="I42" s="14"/>
      <c r="J42" s="14"/>
      <c r="K42" s="15"/>
      <c r="N42" s="97"/>
      <c r="O42" s="34"/>
    </row>
    <row r="43" spans="3:15" ht="12.75">
      <c r="C43" s="15"/>
      <c r="D43" s="15"/>
      <c r="E43" s="26">
        <v>42732</v>
      </c>
      <c r="F43" s="32"/>
      <c r="G43" s="32">
        <v>-78400</v>
      </c>
      <c r="H43" s="15"/>
      <c r="I43" s="14"/>
      <c r="J43" s="14"/>
      <c r="K43" s="15"/>
      <c r="N43" s="97"/>
      <c r="O43" s="34"/>
    </row>
    <row r="44" spans="3:15" ht="12.75">
      <c r="C44" s="15" t="s">
        <v>14</v>
      </c>
      <c r="D44" s="15"/>
      <c r="E44" s="26">
        <v>42377</v>
      </c>
      <c r="F44" s="32"/>
      <c r="G44" s="32">
        <v>711402.14</v>
      </c>
      <c r="H44" s="15"/>
      <c r="I44" s="14"/>
      <c r="J44" s="14"/>
      <c r="K44" s="15"/>
      <c r="N44" s="97"/>
      <c r="O44" s="34"/>
    </row>
    <row r="45" spans="3:15" ht="12.75">
      <c r="C45" s="15"/>
      <c r="D45" s="15"/>
      <c r="E45" s="26">
        <v>42551</v>
      </c>
      <c r="F45" s="32"/>
      <c r="G45" s="32">
        <v>75179.43</v>
      </c>
      <c r="H45" s="15"/>
      <c r="I45" s="14"/>
      <c r="J45" s="14"/>
      <c r="K45" s="15"/>
      <c r="N45" s="97"/>
      <c r="O45" s="34"/>
    </row>
    <row r="46" spans="3:15" ht="12.75">
      <c r="C46" s="15"/>
      <c r="D46" s="15"/>
      <c r="E46" s="26">
        <v>42642</v>
      </c>
      <c r="F46" s="32"/>
      <c r="G46" s="32">
        <v>140484.82</v>
      </c>
      <c r="H46" s="15"/>
      <c r="I46" s="14"/>
      <c r="J46" s="14"/>
      <c r="K46" s="15"/>
      <c r="N46" s="97"/>
      <c r="O46" s="34"/>
    </row>
    <row r="47" spans="3:15" ht="12.75">
      <c r="C47" s="15"/>
      <c r="D47" s="15"/>
      <c r="E47" s="26">
        <v>42655</v>
      </c>
      <c r="F47" s="32"/>
      <c r="G47" s="32">
        <v>57417.44</v>
      </c>
      <c r="H47" s="15"/>
      <c r="I47" s="14"/>
      <c r="J47" s="14"/>
      <c r="K47" s="15"/>
      <c r="N47" s="97"/>
      <c r="O47" s="34"/>
    </row>
    <row r="48" spans="3:15" ht="15.75">
      <c r="C48" s="15" t="s">
        <v>15</v>
      </c>
      <c r="D48" s="15"/>
      <c r="E48" s="26">
        <v>42765</v>
      </c>
      <c r="F48" s="32"/>
      <c r="G48" s="32">
        <v>-258720</v>
      </c>
      <c r="H48" s="15"/>
      <c r="I48" s="14"/>
      <c r="J48" s="14"/>
      <c r="K48" s="15"/>
      <c r="L48" s="10"/>
      <c r="N48" s="97"/>
      <c r="O48" s="34"/>
    </row>
    <row r="49" spans="3:15" ht="12.75">
      <c r="C49" s="15"/>
      <c r="D49" s="15"/>
      <c r="E49" s="26">
        <v>42822</v>
      </c>
      <c r="F49" s="32"/>
      <c r="G49" s="32">
        <v>-143570</v>
      </c>
      <c r="H49" s="15"/>
      <c r="I49" s="14"/>
      <c r="J49" s="14"/>
      <c r="K49" s="15"/>
      <c r="L49" s="58"/>
      <c r="N49" s="97"/>
      <c r="O49" s="34"/>
    </row>
    <row r="50" spans="3:15" ht="12.75">
      <c r="C50" s="15"/>
      <c r="D50" s="15"/>
      <c r="E50" s="26">
        <v>42852</v>
      </c>
      <c r="F50" s="32"/>
      <c r="G50" s="32">
        <v>-149940</v>
      </c>
      <c r="H50" s="15"/>
      <c r="I50" s="14"/>
      <c r="J50" s="14"/>
      <c r="K50" s="15"/>
      <c r="L50" s="58"/>
      <c r="N50" s="97"/>
      <c r="O50" s="34"/>
    </row>
    <row r="51" spans="3:15" ht="12.75">
      <c r="C51" s="15"/>
      <c r="D51" s="15"/>
      <c r="E51" s="26">
        <v>42913</v>
      </c>
      <c r="F51" s="32"/>
      <c r="G51" s="32">
        <v>-601720</v>
      </c>
      <c r="H51" s="15"/>
      <c r="I51" s="14"/>
      <c r="J51" s="14"/>
      <c r="K51" s="15"/>
      <c r="L51" s="58"/>
      <c r="N51" s="97"/>
      <c r="O51" s="34"/>
    </row>
    <row r="52" spans="3:15" ht="12.75">
      <c r="C52" s="15"/>
      <c r="D52" s="15"/>
      <c r="E52" s="26">
        <v>42991</v>
      </c>
      <c r="F52" s="32"/>
      <c r="G52" s="32">
        <v>-264600</v>
      </c>
      <c r="H52" s="15"/>
      <c r="I52" s="14"/>
      <c r="J52" s="14"/>
      <c r="K52" s="15"/>
      <c r="L52" s="58"/>
      <c r="N52" s="97"/>
      <c r="O52" s="34"/>
    </row>
    <row r="53" spans="3:15" ht="12.75">
      <c r="C53" s="15"/>
      <c r="D53" s="15"/>
      <c r="E53" s="26">
        <v>43006</v>
      </c>
      <c r="F53" s="32"/>
      <c r="G53" s="32">
        <v>-188650</v>
      </c>
      <c r="H53" s="15"/>
      <c r="I53" s="14"/>
      <c r="J53" s="14"/>
      <c r="K53" s="15"/>
      <c r="N53" s="97"/>
      <c r="O53" s="34"/>
    </row>
    <row r="54" spans="3:15" ht="12.75">
      <c r="C54" s="15"/>
      <c r="D54" s="15"/>
      <c r="E54" s="26">
        <v>43080</v>
      </c>
      <c r="F54" s="32"/>
      <c r="G54" s="32">
        <v>-94080</v>
      </c>
      <c r="H54" s="15"/>
      <c r="I54" s="14"/>
      <c r="J54" s="14"/>
      <c r="K54" s="15"/>
      <c r="N54" s="97"/>
      <c r="O54" s="34"/>
    </row>
    <row r="55" spans="3:15" ht="12.75">
      <c r="C55" s="15"/>
      <c r="D55" s="15"/>
      <c r="E55" s="26">
        <v>43095</v>
      </c>
      <c r="F55" s="32"/>
      <c r="G55" s="32">
        <v>-187180</v>
      </c>
      <c r="H55" s="15"/>
      <c r="I55" s="14"/>
      <c r="J55" s="14"/>
      <c r="K55" s="15"/>
      <c r="N55" s="97"/>
      <c r="O55" s="34"/>
    </row>
    <row r="56" spans="3:15" ht="12.75">
      <c r="C56" s="15" t="s">
        <v>16</v>
      </c>
      <c r="D56" s="15"/>
      <c r="E56" s="26">
        <v>42747</v>
      </c>
      <c r="F56" s="32"/>
      <c r="G56" s="32">
        <v>212932.02</v>
      </c>
      <c r="H56" s="15"/>
      <c r="I56" s="14"/>
      <c r="J56" s="14"/>
      <c r="K56" s="15"/>
      <c r="N56" s="97"/>
      <c r="O56" s="34"/>
    </row>
    <row r="57" spans="3:15" ht="12.75">
      <c r="C57" s="15" t="s">
        <v>17</v>
      </c>
      <c r="D57" s="15"/>
      <c r="E57" s="26">
        <v>43130</v>
      </c>
      <c r="F57" s="32"/>
      <c r="G57" s="32">
        <v>-1817900</v>
      </c>
      <c r="H57" s="15"/>
      <c r="I57" s="14"/>
      <c r="J57" s="14"/>
      <c r="K57" s="15"/>
      <c r="N57" s="97"/>
      <c r="O57" s="34"/>
    </row>
    <row r="58" spans="3:15" ht="12.75">
      <c r="C58" s="15"/>
      <c r="D58" s="15"/>
      <c r="E58" s="26">
        <v>43143</v>
      </c>
      <c r="F58" s="32"/>
      <c r="G58" s="32">
        <v>503401.50</v>
      </c>
      <c r="H58" s="15"/>
      <c r="I58" s="14"/>
      <c r="J58" s="14"/>
      <c r="K58" s="15"/>
      <c r="N58" s="97"/>
      <c r="O58" s="34"/>
    </row>
    <row r="59" spans="3:15" ht="12.75">
      <c r="C59" s="15"/>
      <c r="D59" s="15"/>
      <c r="E59" s="26">
        <v>43173</v>
      </c>
      <c r="F59" s="32"/>
      <c r="G59" s="32">
        <v>-137200</v>
      </c>
      <c r="H59" s="15"/>
      <c r="I59" s="14"/>
      <c r="J59" s="14"/>
      <c r="K59" s="15"/>
      <c r="N59" s="97"/>
      <c r="O59" s="34"/>
    </row>
    <row r="60" spans="3:15" ht="12.75">
      <c r="C60" s="15"/>
      <c r="D60" s="15"/>
      <c r="E60" s="26">
        <v>43216</v>
      </c>
      <c r="F60" s="32"/>
      <c r="G60" s="32">
        <v>-245000</v>
      </c>
      <c r="H60" s="15"/>
      <c r="I60" s="14"/>
      <c r="J60" s="14"/>
      <c r="K60" s="15"/>
      <c r="N60" s="97"/>
      <c r="O60" s="34"/>
    </row>
    <row r="61" spans="3:15" ht="12.75">
      <c r="C61" s="15"/>
      <c r="D61" s="15"/>
      <c r="E61" s="26">
        <v>43265</v>
      </c>
      <c r="F61" s="32"/>
      <c r="G61" s="32">
        <v>-140139.99</v>
      </c>
      <c r="H61" s="15"/>
      <c r="I61" s="14"/>
      <c r="J61" s="14"/>
      <c r="K61" s="15"/>
      <c r="N61" s="97"/>
      <c r="O61" s="34"/>
    </row>
    <row r="62" spans="3:15" ht="12.75">
      <c r="C62" s="15"/>
      <c r="D62" s="15"/>
      <c r="E62" s="26">
        <v>43292</v>
      </c>
      <c r="F62" s="32"/>
      <c r="G62" s="32">
        <v>-245000</v>
      </c>
      <c r="H62" s="15"/>
      <c r="I62" s="14"/>
      <c r="J62" s="14"/>
      <c r="K62" s="15"/>
      <c r="N62" s="97"/>
      <c r="O62" s="34"/>
    </row>
    <row r="63" spans="3:15" ht="12.75">
      <c r="C63" s="15"/>
      <c r="D63" s="15"/>
      <c r="E63" s="26">
        <v>43328</v>
      </c>
      <c r="F63" s="32"/>
      <c r="G63" s="32">
        <v>-890819.99</v>
      </c>
      <c r="H63" s="15"/>
      <c r="I63" s="14"/>
      <c r="J63" s="14"/>
      <c r="K63" s="15"/>
      <c r="N63" s="97"/>
      <c r="O63" s="34"/>
    </row>
    <row r="64" spans="3:15" ht="12.75">
      <c r="C64" s="15"/>
      <c r="D64" s="15"/>
      <c r="E64" s="26">
        <v>43360</v>
      </c>
      <c r="F64" s="32"/>
      <c r="G64" s="32">
        <v>-135240</v>
      </c>
      <c r="H64" s="15"/>
      <c r="I64" s="14"/>
      <c r="J64" s="14"/>
      <c r="K64" s="15"/>
      <c r="N64" s="97"/>
      <c r="O64" s="34"/>
    </row>
    <row r="65" spans="3:15" ht="12.75">
      <c r="C65" s="15"/>
      <c r="D65" s="15"/>
      <c r="E65" s="26">
        <v>43369</v>
      </c>
      <c r="F65" s="32"/>
      <c r="G65" s="32">
        <v>-2935590</v>
      </c>
      <c r="H65" s="15"/>
      <c r="I65" s="14"/>
      <c r="J65" s="14"/>
      <c r="K65" s="15"/>
      <c r="N65" s="97"/>
      <c r="O65" s="34"/>
    </row>
    <row r="66" spans="3:15" ht="12.75">
      <c r="C66" s="15"/>
      <c r="D66" s="15"/>
      <c r="E66" s="26">
        <v>43389</v>
      </c>
      <c r="F66" s="32"/>
      <c r="G66" s="32">
        <v>196000.01</v>
      </c>
      <c r="H66" s="15"/>
      <c r="I66" s="14"/>
      <c r="J66" s="14"/>
      <c r="K66" s="15"/>
      <c r="N66" s="97"/>
      <c r="O66" s="34"/>
    </row>
    <row r="67" spans="3:15" ht="12.75">
      <c r="C67" s="15"/>
      <c r="D67" s="15"/>
      <c r="E67" s="26">
        <v>43445</v>
      </c>
      <c r="F67" s="32"/>
      <c r="G67" s="32">
        <v>-468930</v>
      </c>
      <c r="H67" s="15"/>
      <c r="I67" s="14"/>
      <c r="J67" s="14"/>
      <c r="K67" s="15"/>
      <c r="N67" s="97"/>
      <c r="O67" s="34"/>
    </row>
    <row r="68" spans="3:15" ht="12.75">
      <c r="C68" s="15" t="s">
        <v>18</v>
      </c>
      <c r="D68" s="15"/>
      <c r="E68" s="26">
        <v>43111</v>
      </c>
      <c r="F68" s="32"/>
      <c r="G68" s="32">
        <v>203913.13</v>
      </c>
      <c r="H68" s="15"/>
      <c r="I68" s="14"/>
      <c r="J68" s="14"/>
      <c r="K68" s="15"/>
      <c r="N68" s="97"/>
      <c r="O68" s="34"/>
    </row>
    <row r="69" spans="3:15" ht="12.75">
      <c r="C69" s="15"/>
      <c r="D69" s="15"/>
      <c r="E69" s="26">
        <v>43153</v>
      </c>
      <c r="F69" s="32"/>
      <c r="G69" s="32">
        <v>4714276.18</v>
      </c>
      <c r="H69" s="15"/>
      <c r="I69" s="14"/>
      <c r="J69" s="14"/>
      <c r="K69" s="15"/>
      <c r="N69" s="97"/>
      <c r="O69" s="34"/>
    </row>
    <row r="70" spans="3:15" ht="12.75">
      <c r="C70" s="15"/>
      <c r="D70" s="15"/>
      <c r="E70" s="26">
        <v>43446</v>
      </c>
      <c r="F70" s="32"/>
      <c r="G70" s="32">
        <v>225200.29</v>
      </c>
      <c r="H70" s="15"/>
      <c r="I70" s="14"/>
      <c r="J70" s="14"/>
      <c r="K70" s="15"/>
      <c r="N70" s="97"/>
      <c r="O70" s="34"/>
    </row>
    <row r="71" spans="3:15" ht="12.75">
      <c r="C71" s="15" t="s">
        <v>19</v>
      </c>
      <c r="D71" s="15"/>
      <c r="E71" s="26">
        <v>43522</v>
      </c>
      <c r="F71" s="32"/>
      <c r="G71" s="32">
        <v>-790860</v>
      </c>
      <c r="H71" s="15"/>
      <c r="I71" s="14"/>
      <c r="J71" s="14"/>
      <c r="K71" s="15"/>
      <c r="N71" s="97"/>
      <c r="O71" s="34"/>
    </row>
    <row r="72" spans="3:15" ht="12.75">
      <c r="C72" s="15"/>
      <c r="D72" s="15"/>
      <c r="E72" s="26">
        <v>43563</v>
      </c>
      <c r="F72" s="32"/>
      <c r="G72" s="32">
        <v>-397390</v>
      </c>
      <c r="H72" s="15"/>
      <c r="I72" s="14"/>
      <c r="J72" s="14"/>
      <c r="K72" s="15"/>
      <c r="N72" s="97"/>
      <c r="O72" s="34"/>
    </row>
    <row r="73" spans="3:15" ht="12.75">
      <c r="C73" s="15"/>
      <c r="D73" s="15"/>
      <c r="E73" s="26">
        <v>43600</v>
      </c>
      <c r="F73" s="32"/>
      <c r="G73" s="32">
        <v>-242550</v>
      </c>
      <c r="H73" s="15"/>
      <c r="I73" s="14"/>
      <c r="J73" s="14"/>
      <c r="K73" s="15"/>
      <c r="N73" s="97"/>
      <c r="O73" s="34"/>
    </row>
    <row r="74" spans="3:15" ht="12.75">
      <c r="C74" s="15"/>
      <c r="D74" s="15"/>
      <c r="E74" s="26">
        <v>43643</v>
      </c>
      <c r="F74" s="32"/>
      <c r="G74" s="32">
        <v>-137690</v>
      </c>
      <c r="H74" s="15"/>
      <c r="I74" s="14"/>
      <c r="J74" s="14"/>
      <c r="K74" s="15"/>
      <c r="N74" s="97"/>
      <c r="O74" s="34"/>
    </row>
    <row r="75" spans="3:15" ht="12.75">
      <c r="C75" s="15"/>
      <c r="D75" s="15"/>
      <c r="E75" s="26">
        <v>43655</v>
      </c>
      <c r="F75" s="32"/>
      <c r="G75" s="32">
        <v>-215600</v>
      </c>
      <c r="H75" s="15"/>
      <c r="I75" s="14"/>
      <c r="J75" s="14"/>
      <c r="K75" s="15"/>
      <c r="N75" s="97"/>
      <c r="O75" s="34"/>
    </row>
    <row r="76" spans="3:15" ht="12.75">
      <c r="C76" s="15"/>
      <c r="D76" s="15"/>
      <c r="E76" s="26">
        <v>43685</v>
      </c>
      <c r="F76" s="32"/>
      <c r="G76" s="32">
        <v>-242060</v>
      </c>
      <c r="H76" s="15"/>
      <c r="I76" s="14"/>
      <c r="J76" s="14"/>
      <c r="K76" s="15"/>
      <c r="N76" s="97"/>
      <c r="O76" s="34"/>
    </row>
    <row r="77" spans="3:15" ht="12.75">
      <c r="C77" s="15"/>
      <c r="D77" s="15"/>
      <c r="E77" s="26">
        <v>43697</v>
      </c>
      <c r="F77" s="32"/>
      <c r="G77" s="32">
        <v>-72765</v>
      </c>
      <c r="H77" s="15"/>
      <c r="I77" s="14"/>
      <c r="J77" s="14"/>
      <c r="K77" s="15"/>
      <c r="N77" s="97"/>
      <c r="O77" s="34"/>
    </row>
    <row r="78" spans="3:15" ht="12.75">
      <c r="C78" s="15"/>
      <c r="D78" s="15"/>
      <c r="E78" s="26">
        <v>43727</v>
      </c>
      <c r="F78" s="32"/>
      <c r="G78" s="32">
        <v>-200900</v>
      </c>
      <c r="H78" s="15"/>
      <c r="I78" s="14"/>
      <c r="J78" s="14"/>
      <c r="K78" s="15"/>
      <c r="N78" s="97"/>
      <c r="O78" s="34"/>
    </row>
    <row r="79" spans="3:15" ht="12.75">
      <c r="C79" s="15"/>
      <c r="D79" s="15"/>
      <c r="E79" s="26">
        <v>43756</v>
      </c>
      <c r="F79" s="32"/>
      <c r="G79" s="32">
        <v>-108780</v>
      </c>
      <c r="H79" s="15"/>
      <c r="I79" s="14"/>
      <c r="J79" s="14"/>
      <c r="K79" s="15"/>
      <c r="N79" s="97"/>
      <c r="O79" s="34"/>
    </row>
    <row r="80" spans="3:15" ht="12.75">
      <c r="C80" s="15"/>
      <c r="D80" s="15"/>
      <c r="E80" s="26">
        <v>43783</v>
      </c>
      <c r="F80" s="32"/>
      <c r="G80" s="32">
        <v>-121275</v>
      </c>
      <c r="H80" s="15"/>
      <c r="I80" s="14"/>
      <c r="J80" s="14"/>
      <c r="K80" s="15"/>
      <c r="N80" s="97"/>
      <c r="O80" s="34"/>
    </row>
    <row r="81" spans="3:15" ht="12.75">
      <c r="C81" s="15"/>
      <c r="D81" s="15"/>
      <c r="E81" s="26">
        <v>43795</v>
      </c>
      <c r="F81" s="32"/>
      <c r="G81" s="32">
        <v>-297920</v>
      </c>
      <c r="H81" s="15"/>
      <c r="I81" s="14"/>
      <c r="J81" s="14"/>
      <c r="K81" s="15"/>
      <c r="N81" s="97"/>
      <c r="O81" s="34"/>
    </row>
    <row r="82" spans="3:15" ht="12.75">
      <c r="C82" s="15"/>
      <c r="D82" s="15"/>
      <c r="E82" s="26">
        <v>43830</v>
      </c>
      <c r="F82" s="32"/>
      <c r="G82" s="32">
        <v>-85260</v>
      </c>
      <c r="H82" s="15"/>
      <c r="I82" s="14"/>
      <c r="J82" s="14"/>
      <c r="K82" s="15"/>
      <c r="N82" s="97"/>
      <c r="O82" s="34"/>
    </row>
    <row r="83" spans="3:15" ht="12.75">
      <c r="C83" s="15" t="s">
        <v>20</v>
      </c>
      <c r="D83" s="15"/>
      <c r="E83" s="26">
        <v>43620</v>
      </c>
      <c r="F83" s="32"/>
      <c r="G83" s="32">
        <v>91335.19</v>
      </c>
      <c r="H83" s="15"/>
      <c r="I83" s="14"/>
      <c r="J83" s="14"/>
      <c r="K83" s="15"/>
      <c r="N83" s="97"/>
      <c r="O83" s="34"/>
    </row>
    <row r="84" spans="3:15" ht="12.75">
      <c r="C84" s="15"/>
      <c r="D84" s="15"/>
      <c r="E84" s="26">
        <v>43669</v>
      </c>
      <c r="F84" s="32"/>
      <c r="G84" s="32">
        <v>354698.98</v>
      </c>
      <c r="H84" s="15"/>
      <c r="I84" s="14"/>
      <c r="J84" s="14"/>
      <c r="K84" s="15"/>
      <c r="N84" s="97"/>
      <c r="O84" s="34"/>
    </row>
    <row r="85" spans="3:15" ht="12.75">
      <c r="C85" s="15"/>
      <c r="D85" s="15"/>
      <c r="E85" s="26">
        <v>43717</v>
      </c>
      <c r="F85" s="32"/>
      <c r="G85" s="32">
        <v>120815.60</v>
      </c>
      <c r="H85" s="15"/>
      <c r="I85" s="14"/>
      <c r="J85" s="14"/>
      <c r="K85" s="15"/>
      <c r="N85" s="97"/>
      <c r="O85" s="34"/>
    </row>
    <row r="86" spans="3:15" ht="12.75">
      <c r="C86" s="15" t="s">
        <v>21</v>
      </c>
      <c r="D86" s="15"/>
      <c r="E86" s="26">
        <v>43858</v>
      </c>
      <c r="F86" s="32"/>
      <c r="G86" s="32">
        <v>-129850</v>
      </c>
      <c r="H86" s="15"/>
      <c r="I86" s="14"/>
      <c r="J86" s="14"/>
      <c r="K86" s="15"/>
      <c r="N86" s="97"/>
      <c r="O86" s="34"/>
    </row>
    <row r="87" spans="3:15" ht="12.75">
      <c r="C87" s="15"/>
      <c r="D87" s="15"/>
      <c r="E87" s="26">
        <v>43860</v>
      </c>
      <c r="F87" s="32"/>
      <c r="G87" s="32">
        <v>-146020</v>
      </c>
      <c r="H87" s="15"/>
      <c r="I87" s="14"/>
      <c r="J87" s="14"/>
      <c r="K87" s="15"/>
      <c r="N87" s="97"/>
      <c r="O87" s="34"/>
    </row>
    <row r="88" spans="3:15" ht="12.75">
      <c r="C88" s="15"/>
      <c r="D88" s="15"/>
      <c r="E88" s="26">
        <v>43915</v>
      </c>
      <c r="F88" s="32"/>
      <c r="G88" s="32">
        <v>-138180</v>
      </c>
      <c r="H88" s="15"/>
      <c r="I88" s="14"/>
      <c r="J88" s="14"/>
      <c r="K88" s="15"/>
      <c r="N88" s="97"/>
      <c r="O88" s="34"/>
    </row>
    <row r="89" spans="3:15" ht="12.75">
      <c r="C89" s="15"/>
      <c r="D89" s="15"/>
      <c r="E89" s="26">
        <v>43917</v>
      </c>
      <c r="F89" s="32"/>
      <c r="G89" s="32">
        <v>-33957</v>
      </c>
      <c r="H89" s="15"/>
      <c r="I89" s="14"/>
      <c r="J89" s="14"/>
      <c r="K89" s="15"/>
      <c r="N89" s="97"/>
      <c r="O89" s="34"/>
    </row>
    <row r="90" spans="3:15" ht="12.75">
      <c r="C90" s="15"/>
      <c r="D90" s="15"/>
      <c r="E90" s="26">
        <v>43980</v>
      </c>
      <c r="F90" s="32"/>
      <c r="G90" s="32">
        <v>-143570</v>
      </c>
      <c r="H90" s="15"/>
      <c r="I90" s="14"/>
      <c r="J90" s="14"/>
      <c r="K90" s="15"/>
      <c r="N90" s="97"/>
      <c r="O90" s="34"/>
    </row>
    <row r="91" spans="3:15" ht="12.75">
      <c r="C91" s="15"/>
      <c r="D91" s="15"/>
      <c r="E91" s="26">
        <v>43999</v>
      </c>
      <c r="F91" s="32"/>
      <c r="G91" s="32">
        <v>-196000</v>
      </c>
      <c r="H91" s="15"/>
      <c r="I91" s="14"/>
      <c r="J91" s="14"/>
      <c r="K91" s="15"/>
      <c r="N91" s="97"/>
      <c r="O91" s="34"/>
    </row>
    <row r="92" spans="3:15" ht="12.75">
      <c r="C92" s="15"/>
      <c r="D92" s="15"/>
      <c r="E92" s="26">
        <v>44047</v>
      </c>
      <c r="F92" s="32"/>
      <c r="G92" s="32">
        <v>-15863.29</v>
      </c>
      <c r="H92" s="15"/>
      <c r="I92" s="14"/>
      <c r="J92" s="14"/>
      <c r="K92" s="15"/>
      <c r="N92" s="97"/>
      <c r="O92" s="34"/>
    </row>
    <row r="93" spans="3:15" ht="12.75">
      <c r="C93" s="15" t="s">
        <v>30</v>
      </c>
      <c r="D93" s="15"/>
      <c r="E93" s="26">
        <v>43888</v>
      </c>
      <c r="F93" s="32"/>
      <c r="G93" s="32">
        <v>455928.93</v>
      </c>
      <c r="H93" s="15"/>
      <c r="I93" s="14"/>
      <c r="J93" s="14"/>
      <c r="K93" s="15"/>
      <c r="N93" s="97"/>
      <c r="O93" s="34"/>
    </row>
    <row r="94" spans="3:15" ht="12.75" customHeight="1">
      <c r="C94" s="15"/>
      <c r="D94" s="15"/>
      <c r="E94" s="26">
        <v>44089</v>
      </c>
      <c r="F94" s="32"/>
      <c r="G94" s="32">
        <v>67815.69</v>
      </c>
      <c r="H94" s="15"/>
      <c r="I94" s="14"/>
      <c r="J94" s="14"/>
      <c r="K94" s="15"/>
      <c r="N94" s="97"/>
      <c r="O94" s="34"/>
    </row>
    <row r="95" spans="3:15" ht="12.75" customHeight="1">
      <c r="C95" s="15" t="s">
        <v>31</v>
      </c>
      <c r="D95" s="15"/>
      <c r="E95" s="26">
        <v>44202</v>
      </c>
      <c r="F95" s="32"/>
      <c r="G95" s="32">
        <v>-95550</v>
      </c>
      <c r="H95" s="15"/>
      <c r="I95" s="14"/>
      <c r="J95" s="14"/>
      <c r="K95" s="15"/>
      <c r="L95" s="10"/>
      <c r="N95" s="97"/>
      <c r="O95" s="34"/>
    </row>
    <row r="96" spans="3:15" ht="12.75" customHeight="1">
      <c r="C96" s="15"/>
      <c r="D96" s="15"/>
      <c r="E96" s="26">
        <v>44377</v>
      </c>
      <c r="F96" s="32"/>
      <c r="G96" s="32">
        <v>-46060</v>
      </c>
      <c r="H96" s="15"/>
      <c r="I96" s="14"/>
      <c r="J96" s="14"/>
      <c r="K96" s="15"/>
      <c r="L96" s="10"/>
      <c r="N96" s="97"/>
      <c r="O96" s="34"/>
    </row>
    <row r="97" spans="3:15" ht="12.75" customHeight="1">
      <c r="C97" s="15"/>
      <c r="D97" s="15"/>
      <c r="E97" s="26">
        <v>44469</v>
      </c>
      <c r="F97" s="32"/>
      <c r="G97" s="32">
        <v>-45570</v>
      </c>
      <c r="H97" s="15"/>
      <c r="I97" s="14"/>
      <c r="J97" s="14"/>
      <c r="K97" s="15"/>
      <c r="L97" s="10"/>
      <c r="N97" s="97"/>
      <c r="O97" s="34"/>
    </row>
    <row r="98" spans="3:15" ht="12.75" customHeight="1">
      <c r="C98" s="15"/>
      <c r="D98" s="15"/>
      <c r="E98" s="26">
        <v>44545</v>
      </c>
      <c r="F98" s="32"/>
      <c r="G98" s="32">
        <v>-45570</v>
      </c>
      <c r="H98" s="15"/>
      <c r="I98" s="14"/>
      <c r="J98" s="14"/>
      <c r="K98" s="15"/>
      <c r="L98" s="10"/>
      <c r="N98" s="97"/>
      <c r="O98" s="34"/>
    </row>
    <row r="99" spans="3:15" ht="12.75" customHeight="1">
      <c r="C99" s="15" t="s">
        <v>22</v>
      </c>
      <c r="D99" s="15"/>
      <c r="E99" s="26">
        <v>44265</v>
      </c>
      <c r="F99" s="32"/>
      <c r="G99" s="32">
        <v>226087.04</v>
      </c>
      <c r="H99" s="15"/>
      <c r="I99" s="14"/>
      <c r="J99" s="14"/>
      <c r="K99" s="15"/>
      <c r="L99" s="10"/>
      <c r="N99" s="97"/>
      <c r="O99" s="34"/>
    </row>
    <row r="100" spans="3:15" ht="12.75" customHeight="1">
      <c r="C100" s="15"/>
      <c r="D100" s="15"/>
      <c r="E100" s="26">
        <v>44376</v>
      </c>
      <c r="F100" s="32"/>
      <c r="G100" s="32">
        <v>116286.97</v>
      </c>
      <c r="H100" s="15"/>
      <c r="I100" s="14"/>
      <c r="J100" s="14"/>
      <c r="K100" s="15"/>
      <c r="L100" s="10"/>
      <c r="N100" s="97"/>
      <c r="O100" s="34"/>
    </row>
    <row r="101" spans="3:15" ht="12.75" customHeight="1">
      <c r="C101" s="15"/>
      <c r="D101" s="15"/>
      <c r="E101" s="26">
        <v>44449</v>
      </c>
      <c r="F101" s="32"/>
      <c r="G101" s="32">
        <v>200808.29</v>
      </c>
      <c r="H101" s="15"/>
      <c r="I101" s="14"/>
      <c r="J101" s="14"/>
      <c r="K101" s="15"/>
      <c r="L101" s="10"/>
      <c r="N101" s="97"/>
      <c r="O101" s="34"/>
    </row>
    <row r="102" spans="3:15" ht="12.75" customHeight="1">
      <c r="C102" s="15"/>
      <c r="D102" s="15"/>
      <c r="E102" s="26">
        <v>44488</v>
      </c>
      <c r="F102" s="32"/>
      <c r="G102" s="32">
        <v>2852325.78</v>
      </c>
      <c r="H102" s="15"/>
      <c r="I102" s="14"/>
      <c r="J102" s="14"/>
      <c r="K102" s="15"/>
      <c r="L102" s="10"/>
      <c r="N102" s="97"/>
      <c r="O102" s="34"/>
    </row>
    <row r="103" spans="3:15" ht="12.75" customHeight="1">
      <c r="C103" s="15"/>
      <c r="D103" s="15"/>
      <c r="E103" s="26">
        <v>44540</v>
      </c>
      <c r="F103" s="32"/>
      <c r="G103" s="32">
        <v>267815.6</v>
      </c>
      <c r="H103" s="15"/>
      <c r="I103" s="14"/>
      <c r="J103" s="14"/>
      <c r="K103" s="15"/>
      <c r="L103" s="10"/>
      <c r="N103" s="97"/>
      <c r="O103" s="34"/>
    </row>
    <row r="104" spans="3:15" ht="12.75" customHeight="1">
      <c r="C104" s="15" t="s">
        <v>32</v>
      </c>
      <c r="D104" s="15"/>
      <c r="E104" s="26">
        <v>44650</v>
      </c>
      <c r="F104" s="32"/>
      <c r="G104" s="32">
        <v>-40180</v>
      </c>
      <c r="H104" s="15"/>
      <c r="I104" s="14"/>
      <c r="J104" s="14"/>
      <c r="K104" s="15"/>
      <c r="L104" s="10"/>
      <c r="N104" s="97"/>
      <c r="O104" s="34"/>
    </row>
    <row r="105" spans="3:15" ht="12.75" customHeight="1">
      <c r="C105" s="15"/>
      <c r="D105" s="15"/>
      <c r="E105" s="26">
        <v>44742</v>
      </c>
      <c r="F105" s="32"/>
      <c r="G105" s="32">
        <v>-36260</v>
      </c>
      <c r="H105" s="15"/>
      <c r="I105" s="14"/>
      <c r="J105" s="14"/>
      <c r="K105" s="15"/>
      <c r="L105" s="10"/>
      <c r="N105" s="97"/>
      <c r="O105" s="34"/>
    </row>
    <row r="106" spans="3:15" ht="12.75" customHeight="1">
      <c r="C106" s="15"/>
      <c r="D106" s="15"/>
      <c r="E106" s="26">
        <v>44827</v>
      </c>
      <c r="F106" s="32"/>
      <c r="G106" s="32">
        <v>-36260</v>
      </c>
      <c r="H106" s="15"/>
      <c r="I106" s="14"/>
      <c r="J106" s="14"/>
      <c r="K106" s="15"/>
      <c r="L106" s="10"/>
      <c r="N106" s="97"/>
      <c r="O106" s="34"/>
    </row>
    <row r="107" spans="3:15" ht="12.75" customHeight="1">
      <c r="C107" s="15"/>
      <c r="D107" s="15"/>
      <c r="E107" s="26">
        <v>44925</v>
      </c>
      <c r="F107" s="32"/>
      <c r="G107" s="32">
        <v>-35770</v>
      </c>
      <c r="H107" s="15"/>
      <c r="I107" s="14"/>
      <c r="J107" s="14"/>
      <c r="K107" s="15"/>
      <c r="L107" s="10"/>
      <c r="N107" s="97"/>
      <c r="O107" s="34"/>
    </row>
    <row r="108" spans="3:15" ht="12.75" customHeight="1">
      <c r="C108" s="15" t="s">
        <v>23</v>
      </c>
      <c r="D108" s="15"/>
      <c r="E108" s="26">
        <v>44645</v>
      </c>
      <c r="F108" s="32"/>
      <c r="G108" s="32">
        <v>253427.30</v>
      </c>
      <c r="H108" s="15"/>
      <c r="I108" s="14"/>
      <c r="J108" s="14"/>
      <c r="K108" s="15"/>
      <c r="L108" s="10"/>
      <c r="N108" s="97"/>
      <c r="O108" s="34"/>
    </row>
    <row r="109" spans="3:15" ht="12.75" customHeight="1">
      <c r="C109" s="15"/>
      <c r="D109" s="15"/>
      <c r="E109" s="26">
        <v>44721</v>
      </c>
      <c r="F109" s="32"/>
      <c r="G109" s="32">
        <v>125159.36</v>
      </c>
      <c r="H109" s="15"/>
      <c r="I109" s="14"/>
      <c r="J109" s="14"/>
      <c r="K109" s="15"/>
      <c r="L109" s="10"/>
      <c r="N109" s="97"/>
      <c r="O109" s="34"/>
    </row>
    <row r="110" spans="3:15" ht="12.75" customHeight="1">
      <c r="C110" s="15"/>
      <c r="D110" s="15"/>
      <c r="E110" s="26">
        <v>44791</v>
      </c>
      <c r="F110" s="32"/>
      <c r="G110" s="32">
        <v>531625.45</v>
      </c>
      <c r="H110" s="15"/>
      <c r="I110" s="14"/>
      <c r="J110" s="14"/>
      <c r="K110" s="15"/>
      <c r="L110" s="10"/>
      <c r="N110" s="97"/>
      <c r="O110" s="34"/>
    </row>
    <row r="111" spans="3:15" ht="12.75" customHeight="1">
      <c r="C111" s="15"/>
      <c r="D111" s="15"/>
      <c r="E111" s="26">
        <v>44888</v>
      </c>
      <c r="F111" s="32"/>
      <c r="G111" s="32">
        <v>113135.23</v>
      </c>
      <c r="H111" s="15"/>
      <c r="I111" s="14"/>
      <c r="J111" s="14"/>
      <c r="K111" s="15"/>
      <c r="L111" s="10"/>
      <c r="N111" s="97"/>
      <c r="O111" s="34"/>
    </row>
    <row r="112" spans="3:15" ht="12.75" customHeight="1">
      <c r="C112" s="15" t="s">
        <v>33</v>
      </c>
      <c r="D112" s="15"/>
      <c r="E112" s="26">
        <v>45009</v>
      </c>
      <c r="F112" s="32"/>
      <c r="G112" s="32">
        <v>-35770</v>
      </c>
      <c r="H112" s="15"/>
      <c r="I112" s="14"/>
      <c r="J112" s="14"/>
      <c r="K112" s="15"/>
      <c r="L112" s="10"/>
      <c r="N112" s="97"/>
      <c r="O112" s="34"/>
    </row>
    <row r="113" spans="3:15" ht="12.75" customHeight="1">
      <c r="C113" s="15"/>
      <c r="D113" s="15"/>
      <c r="E113" s="26">
        <v>45112</v>
      </c>
      <c r="F113" s="32"/>
      <c r="G113" s="32">
        <v>-28910</v>
      </c>
      <c r="H113" s="15"/>
      <c r="I113" s="14"/>
      <c r="J113" s="14"/>
      <c r="K113" s="15"/>
      <c r="L113" s="10"/>
      <c r="N113" s="97"/>
      <c r="O113" s="34"/>
    </row>
    <row r="114" spans="3:15" ht="12.75" customHeight="1">
      <c r="C114" s="15"/>
      <c r="D114" s="15"/>
      <c r="E114" s="26">
        <v>45196</v>
      </c>
      <c r="F114" s="32"/>
      <c r="G114" s="32">
        <v>-28910</v>
      </c>
      <c r="H114" s="15"/>
      <c r="I114" s="14"/>
      <c r="J114" s="14"/>
      <c r="K114" s="15"/>
      <c r="L114" s="10"/>
      <c r="N114" s="97"/>
      <c r="O114" s="34"/>
    </row>
    <row r="115" spans="3:15" ht="12.75" customHeight="1">
      <c r="C115" s="15" t="s">
        <v>24</v>
      </c>
      <c r="D115" s="15"/>
      <c r="E115" s="26">
        <v>45001</v>
      </c>
      <c r="F115" s="32"/>
      <c r="G115" s="32">
        <v>615405.61</v>
      </c>
      <c r="H115" s="15"/>
      <c r="I115" s="14"/>
      <c r="J115" s="14"/>
      <c r="K115" s="15"/>
      <c r="L115" s="10"/>
      <c r="N115" s="97"/>
      <c r="O115" s="34"/>
    </row>
    <row r="116" spans="3:15" ht="12.75" customHeight="1">
      <c r="C116" s="15"/>
      <c r="D116" s="15"/>
      <c r="E116" s="26">
        <v>45050</v>
      </c>
      <c r="F116" s="32"/>
      <c r="G116" s="32">
        <v>1802114.36</v>
      </c>
      <c r="H116" s="15"/>
      <c r="I116" s="14"/>
      <c r="J116" s="14"/>
      <c r="K116" s="15"/>
      <c r="L116" s="10"/>
      <c r="N116" s="97"/>
      <c r="O116" s="34"/>
    </row>
    <row r="117" spans="3:15" ht="12.75" customHeight="1">
      <c r="C117" s="15"/>
      <c r="D117" s="15"/>
      <c r="E117" s="26">
        <v>45134</v>
      </c>
      <c r="F117" s="32"/>
      <c r="G117" s="32">
        <v>646365.74</v>
      </c>
      <c r="H117" s="15"/>
      <c r="I117" s="14"/>
      <c r="J117" s="14"/>
      <c r="K117" s="15"/>
      <c r="L117" s="10"/>
      <c r="N117" s="97"/>
      <c r="O117" s="34"/>
    </row>
    <row r="118" spans="3:15" ht="12.75" customHeight="1">
      <c r="C118" s="15"/>
      <c r="D118" s="15"/>
      <c r="E118" s="26">
        <v>45161</v>
      </c>
      <c r="F118" s="32"/>
      <c r="G118" s="32">
        <v>551292.55</v>
      </c>
      <c r="H118" s="15"/>
      <c r="I118" s="14"/>
      <c r="J118" s="14"/>
      <c r="K118" s="15"/>
      <c r="L118" s="10"/>
      <c r="N118" s="97"/>
      <c r="O118" s="34"/>
    </row>
    <row r="119" spans="3:15" ht="12.75" customHeight="1">
      <c r="C119" s="15"/>
      <c r="D119" s="15"/>
      <c r="E119" s="26">
        <v>45183</v>
      </c>
      <c r="F119" s="32"/>
      <c r="G119" s="32">
        <v>157557.38</v>
      </c>
      <c r="H119" s="15"/>
      <c r="I119" s="14"/>
      <c r="J119" s="14"/>
      <c r="K119" s="15"/>
      <c r="L119" s="10"/>
      <c r="N119" s="97"/>
      <c r="O119" s="34"/>
    </row>
    <row r="120" spans="3:15" ht="12.75" customHeight="1">
      <c r="C120" s="15"/>
      <c r="D120" s="15"/>
      <c r="E120" s="26">
        <v>45224</v>
      </c>
      <c r="F120" s="32"/>
      <c r="G120" s="32">
        <v>733036.55</v>
      </c>
      <c r="H120" s="15"/>
      <c r="I120" s="14"/>
      <c r="J120" s="14"/>
      <c r="K120" s="15"/>
      <c r="L120" s="10"/>
      <c r="N120" s="97"/>
      <c r="O120" s="34"/>
    </row>
    <row r="121" spans="3:15" ht="12.75" customHeight="1">
      <c r="C121" s="15"/>
      <c r="D121" s="15"/>
      <c r="E121" s="26">
        <v>45279</v>
      </c>
      <c r="F121" s="32"/>
      <c r="G121" s="32">
        <v>133497.54</v>
      </c>
      <c r="H121" s="15"/>
      <c r="I121" s="14"/>
      <c r="J121" s="14"/>
      <c r="K121" s="15"/>
      <c r="L121" s="10"/>
      <c r="N121" s="97"/>
      <c r="O121" s="34"/>
    </row>
    <row r="122" spans="3:15" ht="12.75" customHeight="1">
      <c r="C122" s="15" t="s">
        <v>36</v>
      </c>
      <c r="D122" s="15"/>
      <c r="E122" s="26">
        <v>45391</v>
      </c>
      <c r="F122" s="32"/>
      <c r="G122" s="32">
        <v>-46060</v>
      </c>
      <c r="H122" s="15"/>
      <c r="I122" s="14"/>
      <c r="J122" s="14"/>
      <c r="K122" s="15"/>
      <c r="L122" s="10"/>
      <c r="N122" s="97"/>
      <c r="O122" s="34"/>
    </row>
    <row r="123" spans="3:15" ht="12.75" customHeight="1">
      <c r="C123" s="15" t="s">
        <v>35</v>
      </c>
      <c r="D123" s="15"/>
      <c r="E123" s="26">
        <v>45328</v>
      </c>
      <c r="F123" s="32"/>
      <c r="G123" s="32">
        <v>254916.35</v>
      </c>
      <c r="H123" s="15"/>
      <c r="I123" s="14"/>
      <c r="J123" s="14"/>
      <c r="K123" s="15"/>
      <c r="L123" s="10"/>
      <c r="N123" s="97"/>
      <c r="O123" s="34"/>
    </row>
    <row r="124" spans="3:15" ht="12.75" customHeight="1">
      <c r="C124" s="15"/>
      <c r="D124" s="15"/>
      <c r="E124" s="26">
        <v>45442</v>
      </c>
      <c r="F124" s="32"/>
      <c r="G124" s="32">
        <v>238707.87</v>
      </c>
      <c r="H124" s="15"/>
      <c r="I124" s="14"/>
      <c r="J124" s="14"/>
      <c r="K124" s="15"/>
      <c r="L124" s="10"/>
      <c r="N124" s="97"/>
      <c r="O124" s="34"/>
    </row>
    <row r="125" spans="3:15" ht="12.75" customHeight="1">
      <c r="C125" s="15"/>
      <c r="D125" s="15"/>
      <c r="E125" s="26"/>
      <c r="F125" s="32"/>
      <c r="G125" s="32"/>
      <c r="H125" s="15"/>
      <c r="I125" s="14"/>
      <c r="J125" s="14"/>
      <c r="K125" s="15"/>
      <c r="L125" s="10"/>
      <c r="N125" s="97"/>
      <c r="O125" s="34"/>
    </row>
    <row r="126" spans="3:15" ht="4.5" customHeight="1">
      <c r="C126" s="15"/>
      <c r="D126" s="15"/>
      <c r="E126" s="26"/>
      <c r="F126" s="15"/>
      <c r="G126" s="32"/>
      <c r="H126" s="15"/>
      <c r="I126" s="14"/>
      <c r="J126" s="14"/>
      <c r="O126" s="34"/>
    </row>
    <row r="127" spans="3:13" ht="15.75">
      <c r="C127" s="15" t="s">
        <v>25</v>
      </c>
      <c r="D127" s="15"/>
      <c r="E127" s="26">
        <f>+E8</f>
        <v>45473</v>
      </c>
      <c r="F127" s="15"/>
      <c r="G127" s="33">
        <f>L127/0.98*C22</f>
        <v>7959418.88</v>
      </c>
      <c r="H127" s="15"/>
      <c r="I127" s="32">
        <f>+SUMIF($G$24:$G$126,"&lt;0",$G$24:$G$126)+G58+G66</f>
        <v>-1.7896918759999998E7</v>
      </c>
      <c r="J127" s="15" t="s">
        <v>26</v>
      </c>
      <c r="L127" s="58">
        <v>1.591883776E9</v>
      </c>
      <c r="M127" s="10"/>
    </row>
    <row r="128" spans="3:13" ht="12.75">
      <c r="C128" s="15"/>
      <c r="D128" s="15"/>
      <c r="E128" s="15"/>
      <c r="F128" s="15"/>
      <c r="G128" s="15"/>
      <c r="H128" s="15"/>
      <c r="I128" s="32">
        <f>+SUMIF($G$24:$G$126,"&gt;0",$G$24:$G$126)-G58-G66</f>
        <v>1.725096481E7</v>
      </c>
      <c r="J128" s="15" t="s">
        <v>27</v>
      </c>
      <c r="M128" s="34"/>
    </row>
    <row r="129" spans="3:13" ht="12.75">
      <c r="C129" s="36" t="s">
        <v>28</v>
      </c>
      <c r="G129" s="37">
        <f>+XIRR(G24:G127,E24:E127,0.1)</f>
        <v>0.09904894232749942</v>
      </c>
      <c r="H129" s="15"/>
      <c r="M129" s="35"/>
    </row>
    <row r="130" spans="3:8" ht="12.75">
      <c r="C130" s="15"/>
      <c r="D130" s="15"/>
      <c r="E130" s="15"/>
      <c r="F130" s="15"/>
      <c r="G130" s="15"/>
      <c r="H130" s="15"/>
    </row>
    <row r="131" spans="3:13" ht="12.75">
      <c r="C131" s="15"/>
      <c r="D131" s="15"/>
      <c r="E131" s="15"/>
      <c r="F131" s="15"/>
      <c r="G131" s="15"/>
      <c r="H131" s="15"/>
      <c r="M131" s="35"/>
    </row>
    <row r="132" spans="3:8" ht="12.75">
      <c r="C132" s="39"/>
      <c r="D132" s="39"/>
      <c r="E132" s="39"/>
      <c r="F132" s="39"/>
      <c r="G132" s="39"/>
      <c r="H132" s="36"/>
    </row>
    <row r="133" spans="3:8" ht="12.75">
      <c r="C133" s="39"/>
      <c r="D133" s="39"/>
      <c r="E133" s="38"/>
      <c r="F133" s="38"/>
      <c r="G133" s="38"/>
      <c r="H133" s="36"/>
    </row>
    <row r="134" spans="3:8" ht="12.75">
      <c r="C134" s="39"/>
      <c r="D134" s="39"/>
      <c r="E134" s="39"/>
      <c r="F134" s="39"/>
      <c r="G134" s="39"/>
      <c r="H134" s="36"/>
    </row>
    <row r="135" spans="3:8" ht="12.75">
      <c r="C135" s="39"/>
      <c r="D135" s="39"/>
      <c r="E135" s="59"/>
      <c r="F135" s="40"/>
      <c r="G135" s="59"/>
      <c r="H135" s="36"/>
    </row>
    <row r="136" spans="3:8" ht="12.75">
      <c r="C136" s="39"/>
      <c r="D136" s="39"/>
      <c r="E136" s="41"/>
      <c r="F136" s="40"/>
      <c r="G136" s="41"/>
      <c r="H136" s="36"/>
    </row>
    <row r="137" spans="3:8" ht="12.75">
      <c r="C137" s="39"/>
      <c r="D137" s="39"/>
      <c r="E137" s="41"/>
      <c r="F137" s="40"/>
      <c r="G137" s="41"/>
      <c r="H137" s="36"/>
    </row>
    <row r="138" spans="3:9" ht="12.75">
      <c r="C138" s="42"/>
      <c r="D138" s="39"/>
      <c r="E138" s="41"/>
      <c r="F138" s="40"/>
      <c r="G138" s="41"/>
      <c r="H138" s="36"/>
      <c r="I138" s="116"/>
    </row>
    <row r="139" spans="3:9" ht="12.75">
      <c r="C139" s="42"/>
      <c r="D139" s="39"/>
      <c r="E139" s="41"/>
      <c r="F139" s="40"/>
      <c r="G139" s="41"/>
      <c r="H139" s="36"/>
      <c r="I139" s="116"/>
    </row>
    <row r="140" spans="3:8" ht="12.75">
      <c r="C140" s="43"/>
      <c r="D140" s="39"/>
      <c r="E140" s="41"/>
      <c r="F140" s="40"/>
      <c r="G140" s="41"/>
      <c r="H140" s="36"/>
    </row>
    <row r="141" spans="3:8" ht="12.75">
      <c r="C141" s="39"/>
      <c r="D141" s="39"/>
      <c r="E141" s="41"/>
      <c r="F141" s="40"/>
      <c r="G141" s="41"/>
      <c r="H141" s="36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39"/>
      <c r="D143" s="39"/>
      <c r="E143" s="41"/>
      <c r="F143" s="40"/>
      <c r="G143" s="41"/>
      <c r="H143" s="36"/>
    </row>
    <row r="144" spans="3:8" ht="12.75">
      <c r="C144" s="39"/>
      <c r="D144" s="39"/>
      <c r="E144" s="41"/>
      <c r="F144" s="40"/>
      <c r="G144" s="41"/>
      <c r="H144" s="36"/>
    </row>
    <row r="145" spans="3:8" ht="12.75">
      <c r="C145" s="39"/>
      <c r="D145" s="39"/>
      <c r="E145" s="41"/>
      <c r="F145" s="40"/>
      <c r="G145" s="41"/>
      <c r="H145" s="36"/>
    </row>
    <row r="146" spans="3:8" ht="12.75">
      <c r="C146" s="39"/>
      <c r="D146" s="39"/>
      <c r="E146" s="41"/>
      <c r="F146" s="40"/>
      <c r="G146" s="41"/>
      <c r="H146" s="36"/>
    </row>
    <row r="147" spans="3:8" ht="5.1" customHeight="1">
      <c r="C147" s="36"/>
      <c r="D147" s="36"/>
      <c r="E147" s="44"/>
      <c r="F147" s="44"/>
      <c r="G147" s="44"/>
      <c r="H147" s="36"/>
    </row>
    <row r="148" spans="3:8" ht="12.75">
      <c r="C148" s="36"/>
      <c r="D148" s="36"/>
      <c r="E148" s="45"/>
      <c r="F148" s="45"/>
      <c r="G148" s="45"/>
      <c r="H148" s="36"/>
    </row>
    <row r="150" spans="3:9" ht="12.75">
      <c r="C150" s="39"/>
      <c r="D150" s="39"/>
      <c r="E150" s="123"/>
      <c r="F150" s="123"/>
      <c r="G150" s="123"/>
      <c r="H150" s="36"/>
      <c r="I150" s="117"/>
    </row>
    <row r="151" spans="3:8" ht="12.75">
      <c r="C151" s="39"/>
      <c r="D151" s="39"/>
      <c r="E151" s="38"/>
      <c r="F151" s="38"/>
      <c r="G151" s="38"/>
      <c r="H151" s="36"/>
    </row>
    <row r="152" spans="3:8" ht="12.75">
      <c r="C152" s="39"/>
      <c r="D152" s="39"/>
      <c r="E152" s="39"/>
      <c r="F152" s="39"/>
      <c r="G152" s="39"/>
      <c r="H152" s="36"/>
    </row>
    <row r="153" spans="3:8" ht="12.75">
      <c r="C153" s="39"/>
      <c r="D153" s="39"/>
      <c r="E153" s="59"/>
      <c r="F153" s="41"/>
      <c r="G153" s="59"/>
      <c r="H153" s="36"/>
    </row>
    <row r="154" spans="3:8" ht="12.75">
      <c r="C154" s="39"/>
      <c r="D154" s="39"/>
      <c r="E154" s="41"/>
      <c r="F154" s="41"/>
      <c r="G154" s="41"/>
      <c r="H154" s="36"/>
    </row>
    <row r="155" spans="3:8" ht="12.75">
      <c r="C155" s="39"/>
      <c r="D155" s="39"/>
      <c r="E155" s="41"/>
      <c r="F155" s="41"/>
      <c r="G155" s="41"/>
      <c r="H155" s="36"/>
    </row>
    <row r="156" spans="3:8" ht="12.75">
      <c r="C156" s="39"/>
      <c r="D156" s="39"/>
      <c r="E156" s="41"/>
      <c r="F156" s="41"/>
      <c r="G156" s="41"/>
      <c r="H156" s="36"/>
    </row>
    <row r="157" spans="3:8" ht="12.75">
      <c r="C157" s="39"/>
      <c r="D157" s="39"/>
      <c r="E157" s="41"/>
      <c r="F157" s="41"/>
      <c r="G157" s="41"/>
      <c r="H157" s="36"/>
    </row>
    <row r="158" spans="3:8" ht="12.75">
      <c r="C158" s="39"/>
      <c r="D158" s="39"/>
      <c r="E158" s="41"/>
      <c r="F158" s="41"/>
      <c r="G158" s="41"/>
      <c r="H158" s="36"/>
    </row>
    <row r="159" spans="3:8" ht="12.75">
      <c r="C159" s="39"/>
      <c r="D159" s="39"/>
      <c r="E159" s="41"/>
      <c r="F159" s="41"/>
      <c r="G159" s="41"/>
      <c r="H159" s="36"/>
    </row>
    <row r="160" spans="3:8" ht="12.75">
      <c r="C160" s="39"/>
      <c r="D160" s="39"/>
      <c r="E160" s="41"/>
      <c r="F160" s="41"/>
      <c r="G160" s="41"/>
      <c r="H160" s="36"/>
    </row>
  </sheetData>
  <mergeCells count="1">
    <mergeCell ref="E150:G150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tabColor rgb="FF92D050"/>
    <pageSetUpPr fitToPage="1"/>
  </sheetPr>
  <dimension ref="B4:O155"/>
  <sheetViews>
    <sheetView showGridLines="0" view="pageLayout" zoomScaleNormal="100" workbookViewId="0" topLeftCell="A107">
      <selection pane="topLeft" activeCell="L127" sqref="L127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142857142857142" customWidth="1"/>
    <col min="13" max="13" width="16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III'!E8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G129</f>
        <v>0.09595468938350678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-(G127+I128)/I127</f>
        <v>1.4007355896011207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0.017131137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-84525</v>
      </c>
      <c r="H24" s="15"/>
      <c r="I24" s="14"/>
    </row>
    <row r="25" spans="3:9" ht="12.75">
      <c r="C25" s="114"/>
      <c r="D25" s="15"/>
      <c r="E25" s="26">
        <v>41894</v>
      </c>
      <c r="F25" s="32"/>
      <c r="G25" s="32">
        <v>-43855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-23030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-32830</v>
      </c>
      <c r="H27" s="15"/>
      <c r="I27" s="14"/>
    </row>
    <row r="28" spans="3:9" ht="12.75">
      <c r="C28" s="15" t="s">
        <v>11</v>
      </c>
      <c r="E28" s="26">
        <v>42037</v>
      </c>
      <c r="G28" s="32">
        <v>-32340</v>
      </c>
      <c r="H28" s="15"/>
      <c r="I28" s="14"/>
    </row>
    <row r="29" spans="5:9" ht="12.75">
      <c r="E29" s="26">
        <v>42093</v>
      </c>
      <c r="G29" s="32">
        <v>-41895</v>
      </c>
      <c r="H29" s="15"/>
      <c r="I29" s="14"/>
    </row>
    <row r="30" spans="5:9" ht="12.75">
      <c r="E30" s="26">
        <v>42109</v>
      </c>
      <c r="G30" s="32">
        <v>-31360</v>
      </c>
      <c r="H30" s="15"/>
      <c r="I30" s="14"/>
    </row>
    <row r="31" spans="5:11" ht="12.75">
      <c r="E31" s="26">
        <v>42144</v>
      </c>
      <c r="G31" s="32">
        <v>-18375</v>
      </c>
      <c r="H31" s="15"/>
      <c r="I31" s="14"/>
      <c r="J31" s="14"/>
      <c r="K31" s="15"/>
    </row>
    <row r="32" spans="5:11" ht="12.75">
      <c r="E32" s="26">
        <v>42184</v>
      </c>
      <c r="G32" s="32">
        <v>-28175</v>
      </c>
      <c r="H32" s="15"/>
      <c r="I32" s="14"/>
      <c r="J32" s="14"/>
      <c r="K32" s="15"/>
    </row>
    <row r="33" spans="5:11" ht="12.75">
      <c r="E33" s="26">
        <v>42227</v>
      </c>
      <c r="G33" s="32">
        <v>-37485</v>
      </c>
      <c r="H33" s="15"/>
      <c r="I33" s="14"/>
      <c r="J33" s="14"/>
      <c r="K33" s="15"/>
    </row>
    <row r="34" spans="5:11" ht="12.75">
      <c r="E34" s="26">
        <v>42261</v>
      </c>
      <c r="G34" s="32">
        <v>-49489.99</v>
      </c>
      <c r="H34" s="15"/>
      <c r="I34" s="14"/>
      <c r="J34" s="14"/>
      <c r="K34" s="15"/>
    </row>
    <row r="35" spans="5:11" ht="12.75">
      <c r="E35" s="26">
        <v>42368</v>
      </c>
      <c r="G35" s="32">
        <v>-40425</v>
      </c>
      <c r="H35" s="15"/>
      <c r="I35" s="14"/>
      <c r="J35" s="14"/>
      <c r="K35" s="15"/>
    </row>
    <row r="36" spans="3:11" ht="12.75">
      <c r="C36" s="15" t="s">
        <v>13</v>
      </c>
      <c r="D36" s="15"/>
      <c r="E36" s="26">
        <v>42396</v>
      </c>
      <c r="G36" s="32">
        <v>-708295</v>
      </c>
      <c r="H36" s="15"/>
      <c r="I36" s="14"/>
      <c r="J36" s="14"/>
      <c r="K36" s="15"/>
    </row>
    <row r="37" spans="3:11" ht="12.75">
      <c r="C37" s="15"/>
      <c r="D37" s="15"/>
      <c r="E37" s="26">
        <v>42445</v>
      </c>
      <c r="G37" s="32">
        <v>-60024.99</v>
      </c>
      <c r="H37" s="15"/>
      <c r="I37" s="14"/>
      <c r="J37" s="14"/>
      <c r="K37" s="15"/>
    </row>
    <row r="38" spans="3:11" ht="12.75">
      <c r="C38" s="15"/>
      <c r="D38" s="15"/>
      <c r="E38" s="26">
        <v>42549</v>
      </c>
      <c r="G38" s="32">
        <v>-97265.01</v>
      </c>
      <c r="H38" s="15"/>
      <c r="I38" s="14"/>
      <c r="J38" s="14"/>
      <c r="K38" s="15"/>
    </row>
    <row r="39" spans="3:11" ht="12.75">
      <c r="C39" s="15"/>
      <c r="D39" s="15"/>
      <c r="E39" s="26">
        <v>42586</v>
      </c>
      <c r="G39" s="32">
        <v>-74725</v>
      </c>
      <c r="H39" s="15"/>
      <c r="I39" s="14"/>
      <c r="J39" s="14"/>
      <c r="K39" s="15"/>
    </row>
    <row r="40" spans="3:11" ht="12.75">
      <c r="C40" s="15"/>
      <c r="D40" s="15"/>
      <c r="E40" s="26">
        <v>42607</v>
      </c>
      <c r="G40" s="32">
        <v>-56595.01</v>
      </c>
      <c r="H40" s="15"/>
      <c r="I40" s="14"/>
      <c r="J40" s="14"/>
      <c r="K40" s="15"/>
    </row>
    <row r="41" spans="3:11" ht="12.75">
      <c r="C41" s="15"/>
      <c r="D41" s="15"/>
      <c r="E41" s="26">
        <v>42613</v>
      </c>
      <c r="G41" s="32">
        <v>-1199275</v>
      </c>
      <c r="H41" s="15"/>
      <c r="I41" s="14"/>
      <c r="J41" s="14"/>
      <c r="K41" s="15"/>
    </row>
    <row r="42" spans="3:11" ht="12.75">
      <c r="C42" s="15"/>
      <c r="D42" s="15"/>
      <c r="E42" s="26">
        <v>42640</v>
      </c>
      <c r="G42" s="32">
        <v>-28175</v>
      </c>
      <c r="H42" s="15"/>
      <c r="I42" s="14"/>
      <c r="J42" s="14"/>
      <c r="K42" s="15"/>
    </row>
    <row r="43" spans="3:11" ht="12.75">
      <c r="C43" s="15"/>
      <c r="D43" s="15"/>
      <c r="E43" s="26">
        <v>42732</v>
      </c>
      <c r="G43" s="32">
        <v>-39200</v>
      </c>
      <c r="H43" s="15"/>
      <c r="I43" s="14"/>
      <c r="J43" s="14"/>
      <c r="K43" s="15"/>
    </row>
    <row r="44" spans="3:11" ht="12.75">
      <c r="C44" s="15" t="s">
        <v>14</v>
      </c>
      <c r="D44" s="15"/>
      <c r="E44" s="26">
        <v>42377</v>
      </c>
      <c r="G44" s="32">
        <v>259838.31</v>
      </c>
      <c r="H44" s="15"/>
      <c r="I44" s="14"/>
      <c r="J44" s="14"/>
      <c r="K44" s="15"/>
    </row>
    <row r="45" spans="3:11" ht="12.75">
      <c r="C45" s="15"/>
      <c r="D45" s="15"/>
      <c r="E45" s="26">
        <v>42551</v>
      </c>
      <c r="G45" s="32">
        <v>74232.03</v>
      </c>
      <c r="H45" s="15"/>
      <c r="I45" s="14"/>
      <c r="J45" s="14"/>
      <c r="K45" s="15"/>
    </row>
    <row r="46" spans="3:12" ht="15.75">
      <c r="C46" s="15"/>
      <c r="D46" s="15"/>
      <c r="E46" s="26">
        <v>42642</v>
      </c>
      <c r="G46" s="32">
        <v>70073.67</v>
      </c>
      <c r="H46" s="15"/>
      <c r="I46" s="14"/>
      <c r="J46" s="14"/>
      <c r="K46" s="15"/>
      <c r="L46" s="10"/>
    </row>
    <row r="47" spans="3:12" ht="12.75">
      <c r="C47" s="15"/>
      <c r="D47" s="15"/>
      <c r="E47" s="26">
        <v>42655</v>
      </c>
      <c r="G47" s="32">
        <v>28437.88</v>
      </c>
      <c r="H47" s="15"/>
      <c r="I47" s="14"/>
      <c r="J47" s="14"/>
      <c r="K47" s="15"/>
      <c r="L47" s="58"/>
    </row>
    <row r="48" spans="3:12" ht="12.75">
      <c r="C48" s="15" t="s">
        <v>15</v>
      </c>
      <c r="D48" s="15"/>
      <c r="E48" s="26">
        <v>42765</v>
      </c>
      <c r="G48" s="32">
        <v>-129360</v>
      </c>
      <c r="H48" s="15"/>
      <c r="I48" s="14"/>
      <c r="J48" s="14"/>
      <c r="K48" s="15"/>
      <c r="L48" s="58"/>
    </row>
    <row r="49" spans="3:12" ht="12.75">
      <c r="C49" s="15"/>
      <c r="D49" s="15"/>
      <c r="E49" s="26">
        <v>42822</v>
      </c>
      <c r="G49" s="32">
        <v>-71785</v>
      </c>
      <c r="H49" s="15"/>
      <c r="I49" s="14"/>
      <c r="J49" s="14"/>
      <c r="K49" s="15"/>
      <c r="L49" s="58"/>
    </row>
    <row r="50" spans="3:12" ht="12.75">
      <c r="C50" s="15"/>
      <c r="D50" s="15"/>
      <c r="E50" s="26">
        <v>42852</v>
      </c>
      <c r="G50" s="32">
        <v>-74970</v>
      </c>
      <c r="H50" s="15"/>
      <c r="I50" s="14"/>
      <c r="J50" s="14"/>
      <c r="K50" s="15"/>
      <c r="L50" s="58"/>
    </row>
    <row r="51" spans="3:11" ht="12.75">
      <c r="C51" s="15"/>
      <c r="D51" s="15"/>
      <c r="E51" s="26">
        <v>42913</v>
      </c>
      <c r="G51" s="32">
        <v>-300860.01</v>
      </c>
      <c r="H51" s="15"/>
      <c r="I51" s="14"/>
      <c r="J51" s="14"/>
      <c r="K51" s="15"/>
    </row>
    <row r="52" spans="3:11" ht="12.75">
      <c r="C52" s="15"/>
      <c r="D52" s="15"/>
      <c r="E52" s="26">
        <v>42991</v>
      </c>
      <c r="G52" s="32">
        <v>-132300</v>
      </c>
      <c r="H52" s="15"/>
      <c r="I52" s="14"/>
      <c r="J52" s="14"/>
      <c r="K52" s="15"/>
    </row>
    <row r="53" spans="3:11" ht="12.75">
      <c r="C53" s="15"/>
      <c r="D53" s="15"/>
      <c r="E53" s="26">
        <v>43006</v>
      </c>
      <c r="G53" s="32">
        <v>-94325</v>
      </c>
      <c r="H53" s="15"/>
      <c r="I53" s="14"/>
      <c r="J53" s="14"/>
      <c r="K53" s="15"/>
    </row>
    <row r="54" spans="3:11" ht="12.75">
      <c r="C54" s="15"/>
      <c r="D54" s="15"/>
      <c r="E54" s="26">
        <v>43080</v>
      </c>
      <c r="F54" s="32"/>
      <c r="G54" s="32">
        <v>-47040</v>
      </c>
      <c r="H54" s="15"/>
      <c r="I54" s="14"/>
      <c r="J54" s="14"/>
      <c r="K54" s="15"/>
    </row>
    <row r="55" spans="3:11" ht="12.75">
      <c r="C55" s="15"/>
      <c r="D55" s="15"/>
      <c r="E55" s="26">
        <v>43095</v>
      </c>
      <c r="F55" s="32"/>
      <c r="G55" s="32">
        <v>-93590</v>
      </c>
      <c r="H55" s="15"/>
      <c r="I55" s="14"/>
      <c r="J55" s="14"/>
      <c r="K55" s="15"/>
    </row>
    <row r="56" spans="3:11" ht="12.75">
      <c r="C56" s="15" t="s">
        <v>16</v>
      </c>
      <c r="D56" s="15"/>
      <c r="E56" s="26">
        <v>42747</v>
      </c>
      <c r="G56" s="32">
        <v>106466.01</v>
      </c>
      <c r="H56" s="15"/>
      <c r="I56" s="14"/>
      <c r="J56" s="14"/>
      <c r="K56" s="15"/>
    </row>
    <row r="57" spans="3:11" ht="12.75">
      <c r="C57" s="15" t="s">
        <v>17</v>
      </c>
      <c r="D57" s="15"/>
      <c r="E57" s="26">
        <v>43130</v>
      </c>
      <c r="G57" s="32">
        <v>-908950</v>
      </c>
      <c r="H57" s="15"/>
      <c r="I57" s="14"/>
      <c r="J57" s="14"/>
      <c r="K57" s="15"/>
    </row>
    <row r="58" spans="3:11" ht="12.75">
      <c r="C58" s="15"/>
      <c r="D58" s="15"/>
      <c r="E58" s="26">
        <v>43143</v>
      </c>
      <c r="G58" s="32">
        <v>251700.75</v>
      </c>
      <c r="H58" s="15"/>
      <c r="I58" s="14"/>
      <c r="J58" s="14"/>
      <c r="K58" s="15"/>
    </row>
    <row r="59" spans="3:11" ht="12.75">
      <c r="C59" s="15"/>
      <c r="D59" s="15"/>
      <c r="E59" s="26">
        <v>43173</v>
      </c>
      <c r="G59" s="32">
        <v>-68600.01</v>
      </c>
      <c r="H59" s="15"/>
      <c r="I59" s="14"/>
      <c r="J59" s="14"/>
      <c r="K59" s="15"/>
    </row>
    <row r="60" spans="3:11" ht="12.75">
      <c r="C60" s="15"/>
      <c r="D60" s="15"/>
      <c r="E60" s="26">
        <v>43216</v>
      </c>
      <c r="G60" s="32">
        <v>-122500</v>
      </c>
      <c r="H60" s="15"/>
      <c r="I60" s="14"/>
      <c r="J60" s="14"/>
      <c r="K60" s="15"/>
    </row>
    <row r="61" spans="3:11" ht="12.75">
      <c r="C61" s="15"/>
      <c r="D61" s="15"/>
      <c r="E61" s="26">
        <v>43265</v>
      </c>
      <c r="G61" s="32">
        <v>-70070</v>
      </c>
      <c r="H61" s="15"/>
      <c r="I61" s="14"/>
      <c r="J61" s="14"/>
      <c r="K61" s="15"/>
    </row>
    <row r="62" spans="3:11" ht="12.75">
      <c r="C62" s="15"/>
      <c r="D62" s="15"/>
      <c r="E62" s="26">
        <v>43292</v>
      </c>
      <c r="G62" s="32">
        <v>-122500.01</v>
      </c>
      <c r="H62" s="15"/>
      <c r="I62" s="14"/>
      <c r="J62" s="14"/>
      <c r="K62" s="15"/>
    </row>
    <row r="63" spans="3:11" ht="12.75">
      <c r="C63" s="15"/>
      <c r="D63" s="15"/>
      <c r="E63" s="26">
        <v>43328</v>
      </c>
      <c r="G63" s="32">
        <v>-445410</v>
      </c>
      <c r="H63" s="15"/>
      <c r="I63" s="14"/>
      <c r="J63" s="14"/>
      <c r="K63" s="15"/>
    </row>
    <row r="64" spans="3:11" ht="12.75">
      <c r="C64" s="15"/>
      <c r="D64" s="15"/>
      <c r="E64" s="26">
        <v>43360</v>
      </c>
      <c r="G64" s="32">
        <v>-67620</v>
      </c>
      <c r="H64" s="15"/>
      <c r="I64" s="14"/>
      <c r="J64" s="14"/>
      <c r="K64" s="15"/>
    </row>
    <row r="65" spans="3:11" ht="12.75">
      <c r="C65" s="15"/>
      <c r="D65" s="15"/>
      <c r="E65" s="26">
        <v>43369</v>
      </c>
      <c r="G65" s="32">
        <v>-1467795.01</v>
      </c>
      <c r="H65" s="15"/>
      <c r="I65" s="14"/>
      <c r="J65" s="14"/>
      <c r="K65" s="15"/>
    </row>
    <row r="66" spans="3:11" ht="12.75">
      <c r="C66" s="15"/>
      <c r="D66" s="15"/>
      <c r="E66" s="26">
        <v>43389</v>
      </c>
      <c r="G66" s="32">
        <v>98000</v>
      </c>
      <c r="H66" s="15"/>
      <c r="I66" s="14"/>
      <c r="J66" s="14"/>
      <c r="K66" s="15"/>
    </row>
    <row r="67" spans="3:11" ht="12.75">
      <c r="C67" s="15"/>
      <c r="D67" s="15"/>
      <c r="E67" s="26">
        <v>43445</v>
      </c>
      <c r="G67" s="32">
        <v>-234465.01</v>
      </c>
      <c r="H67" s="15"/>
      <c r="I67" s="14"/>
      <c r="J67" s="14"/>
      <c r="K67" s="15"/>
    </row>
    <row r="68" spans="3:11" ht="12.75">
      <c r="C68" s="15" t="s">
        <v>18</v>
      </c>
      <c r="D68" s="15"/>
      <c r="E68" s="26">
        <v>43111</v>
      </c>
      <c r="G68" s="32">
        <v>96449.74</v>
      </c>
      <c r="H68" s="15"/>
      <c r="I68" s="14"/>
      <c r="J68" s="14"/>
      <c r="K68" s="15"/>
    </row>
    <row r="69" spans="3:11" ht="12.75">
      <c r="C69" s="15"/>
      <c r="D69" s="15"/>
      <c r="E69" s="26">
        <v>43153</v>
      </c>
      <c r="G69" s="32">
        <v>2225110.82</v>
      </c>
      <c r="H69" s="15"/>
      <c r="I69" s="14"/>
      <c r="J69" s="14"/>
      <c r="K69" s="15"/>
    </row>
    <row r="70" spans="3:11" ht="12.75">
      <c r="C70" s="15"/>
      <c r="D70" s="15"/>
      <c r="E70" s="26">
        <v>43446</v>
      </c>
      <c r="G70" s="32">
        <v>229234.64</v>
      </c>
      <c r="H70" s="15"/>
      <c r="I70" s="14"/>
      <c r="J70" s="14"/>
      <c r="K70" s="15"/>
    </row>
    <row r="71" spans="3:11" ht="12.75">
      <c r="C71" s="15" t="s">
        <v>19</v>
      </c>
      <c r="D71" s="15"/>
      <c r="E71" s="26">
        <v>43522</v>
      </c>
      <c r="G71" s="32">
        <v>-395430.01</v>
      </c>
      <c r="H71" s="15"/>
      <c r="I71" s="14"/>
      <c r="J71" s="14"/>
      <c r="K71" s="15"/>
    </row>
    <row r="72" spans="3:11" ht="12.75">
      <c r="C72" s="15"/>
      <c r="D72" s="15"/>
      <c r="E72" s="26">
        <v>43563</v>
      </c>
      <c r="G72" s="32">
        <v>-198695</v>
      </c>
      <c r="H72" s="15"/>
      <c r="I72" s="14"/>
      <c r="J72" s="14"/>
      <c r="K72" s="15"/>
    </row>
    <row r="73" spans="3:11" ht="12.75">
      <c r="C73" s="15"/>
      <c r="D73" s="15"/>
      <c r="E73" s="26">
        <v>43600</v>
      </c>
      <c r="G73" s="32">
        <v>-121275</v>
      </c>
      <c r="H73" s="15"/>
      <c r="I73" s="14"/>
      <c r="J73" s="14"/>
      <c r="K73" s="15"/>
    </row>
    <row r="74" spans="3:11" ht="12.75">
      <c r="C74" s="15"/>
      <c r="D74" s="15"/>
      <c r="E74" s="26">
        <v>43643</v>
      </c>
      <c r="G74" s="32">
        <v>-68845</v>
      </c>
      <c r="H74" s="15"/>
      <c r="I74" s="14"/>
      <c r="J74" s="14"/>
      <c r="K74" s="15"/>
    </row>
    <row r="75" spans="3:11" ht="12.75">
      <c r="C75" s="15"/>
      <c r="D75" s="15"/>
      <c r="E75" s="26">
        <v>43655</v>
      </c>
      <c r="G75" s="32">
        <v>-107800</v>
      </c>
      <c r="H75" s="15"/>
      <c r="I75" s="14"/>
      <c r="J75" s="14"/>
      <c r="K75" s="15"/>
    </row>
    <row r="76" spans="3:11" ht="12.75">
      <c r="C76" s="15"/>
      <c r="D76" s="15"/>
      <c r="E76" s="26">
        <v>43685</v>
      </c>
      <c r="G76" s="32">
        <v>-121029.99</v>
      </c>
      <c r="H76" s="15"/>
      <c r="I76" s="14"/>
      <c r="J76" s="14"/>
      <c r="K76" s="15"/>
    </row>
    <row r="77" spans="3:11" ht="12.75">
      <c r="C77" s="15"/>
      <c r="D77" s="15"/>
      <c r="E77" s="26">
        <v>43697</v>
      </c>
      <c r="G77" s="32">
        <v>-36382.50</v>
      </c>
      <c r="H77" s="15"/>
      <c r="I77" s="14"/>
      <c r="J77" s="14"/>
      <c r="K77" s="15"/>
    </row>
    <row r="78" spans="3:11" ht="12.75">
      <c r="C78" s="15"/>
      <c r="D78" s="15"/>
      <c r="E78" s="26">
        <v>43727</v>
      </c>
      <c r="G78" s="32">
        <v>-100450</v>
      </c>
      <c r="H78" s="15"/>
      <c r="I78" s="14"/>
      <c r="J78" s="14"/>
      <c r="K78" s="15"/>
    </row>
    <row r="79" spans="3:11" ht="12.75">
      <c r="C79" s="15"/>
      <c r="D79" s="15"/>
      <c r="E79" s="26">
        <v>43756</v>
      </c>
      <c r="G79" s="32">
        <v>-54390</v>
      </c>
      <c r="H79" s="15"/>
      <c r="I79" s="14"/>
      <c r="J79" s="14"/>
      <c r="K79" s="15"/>
    </row>
    <row r="80" spans="3:11" ht="12.75">
      <c r="C80" s="15"/>
      <c r="D80" s="15"/>
      <c r="E80" s="26">
        <v>43783</v>
      </c>
      <c r="G80" s="32">
        <v>-60637.50</v>
      </c>
      <c r="H80" s="15"/>
      <c r="I80" s="14"/>
      <c r="J80" s="14"/>
      <c r="K80" s="15"/>
    </row>
    <row r="81" spans="3:11" ht="12.75">
      <c r="C81" s="15"/>
      <c r="D81" s="15"/>
      <c r="E81" s="26">
        <v>43795</v>
      </c>
      <c r="G81" s="32">
        <v>-148960</v>
      </c>
      <c r="H81" s="15"/>
      <c r="I81" s="14"/>
      <c r="J81" s="14"/>
      <c r="K81" s="15"/>
    </row>
    <row r="82" spans="3:11" ht="12.75">
      <c r="C82" s="15"/>
      <c r="D82" s="15"/>
      <c r="E82" s="26">
        <v>43830</v>
      </c>
      <c r="G82" s="32">
        <v>-42630</v>
      </c>
      <c r="H82" s="15"/>
      <c r="I82" s="14"/>
      <c r="J82" s="14"/>
      <c r="K82" s="15"/>
    </row>
    <row r="83" spans="3:11" ht="12.75">
      <c r="C83" s="15" t="s">
        <v>20</v>
      </c>
      <c r="D83" s="15"/>
      <c r="E83" s="26">
        <v>43620</v>
      </c>
      <c r="G83" s="32">
        <v>56403.62</v>
      </c>
      <c r="H83" s="15"/>
      <c r="I83" s="14"/>
      <c r="J83" s="14"/>
      <c r="K83" s="15"/>
    </row>
    <row r="84" spans="3:11" ht="12.75">
      <c r="C84" s="15"/>
      <c r="D84" s="15"/>
      <c r="E84" s="26">
        <v>43669</v>
      </c>
      <c r="G84" s="32">
        <v>177349.49</v>
      </c>
      <c r="H84" s="15"/>
      <c r="I84" s="14"/>
      <c r="J84" s="14"/>
      <c r="K84" s="15"/>
    </row>
    <row r="85" spans="3:11" ht="12.75">
      <c r="C85" s="15"/>
      <c r="D85" s="15"/>
      <c r="E85" s="26">
        <v>43717</v>
      </c>
      <c r="G85" s="32">
        <v>60087.89</v>
      </c>
      <c r="H85" s="15"/>
      <c r="I85" s="14"/>
      <c r="J85" s="14"/>
      <c r="K85" s="15"/>
    </row>
    <row r="86" spans="3:11" ht="12.75">
      <c r="C86" s="15" t="s">
        <v>21</v>
      </c>
      <c r="D86" s="15"/>
      <c r="E86" s="26">
        <v>43858</v>
      </c>
      <c r="G86" s="32">
        <v>-64925</v>
      </c>
      <c r="H86" s="15"/>
      <c r="I86" s="14"/>
      <c r="J86" s="14"/>
      <c r="K86" s="15"/>
    </row>
    <row r="87" spans="3:11" ht="12.75">
      <c r="C87" s="15"/>
      <c r="D87" s="15"/>
      <c r="E87" s="26">
        <v>43860</v>
      </c>
      <c r="G87" s="32">
        <v>-73010</v>
      </c>
      <c r="H87" s="15"/>
      <c r="I87" s="14"/>
      <c r="J87" s="14"/>
      <c r="K87" s="15"/>
    </row>
    <row r="88" spans="3:11" ht="12.75">
      <c r="C88" s="15"/>
      <c r="D88" s="15"/>
      <c r="E88" s="26">
        <v>43915</v>
      </c>
      <c r="G88" s="32">
        <v>-69090</v>
      </c>
      <c r="H88" s="15"/>
      <c r="I88" s="14"/>
      <c r="J88" s="14"/>
      <c r="K88" s="15"/>
    </row>
    <row r="89" spans="3:11" ht="12.75">
      <c r="C89" s="15"/>
      <c r="D89" s="15"/>
      <c r="E89" s="26">
        <v>43917</v>
      </c>
      <c r="G89" s="32">
        <v>-16978.50</v>
      </c>
      <c r="H89" s="15"/>
      <c r="I89" s="14"/>
      <c r="J89" s="14"/>
      <c r="K89" s="15"/>
    </row>
    <row r="90" spans="3:11" ht="12.75">
      <c r="C90" s="15"/>
      <c r="D90" s="15"/>
      <c r="E90" s="26">
        <v>43980</v>
      </c>
      <c r="G90" s="32">
        <v>-71785.01</v>
      </c>
      <c r="H90" s="15"/>
      <c r="I90" s="14"/>
      <c r="J90" s="14"/>
      <c r="K90" s="15"/>
    </row>
    <row r="91" spans="3:11" ht="12.75">
      <c r="C91" s="15"/>
      <c r="D91" s="15"/>
      <c r="E91" s="26">
        <v>43999</v>
      </c>
      <c r="G91" s="32">
        <v>-98000</v>
      </c>
      <c r="H91" s="15"/>
      <c r="I91" s="14"/>
      <c r="J91" s="14"/>
      <c r="K91" s="15"/>
    </row>
    <row r="92" spans="3:11" ht="12.75">
      <c r="C92" s="15"/>
      <c r="D92" s="15"/>
      <c r="E92" s="26">
        <v>44047</v>
      </c>
      <c r="G92" s="32">
        <v>-7931.65</v>
      </c>
      <c r="H92" s="15"/>
      <c r="I92" s="14"/>
      <c r="J92" s="14"/>
      <c r="K92" s="15"/>
    </row>
    <row r="93" spans="3:11" ht="13.5" customHeight="1">
      <c r="C93" s="15" t="s">
        <v>30</v>
      </c>
      <c r="D93" s="15"/>
      <c r="E93" s="26">
        <v>43888</v>
      </c>
      <c r="G93" s="32">
        <v>260950.61</v>
      </c>
      <c r="H93" s="15"/>
      <c r="I93" s="14"/>
      <c r="J93" s="14"/>
      <c r="K93" s="15"/>
    </row>
    <row r="94" spans="3:11" ht="12.75">
      <c r="C94" s="15"/>
      <c r="D94" s="15"/>
      <c r="E94" s="26">
        <v>44089</v>
      </c>
      <c r="G94" s="32">
        <v>42773.60</v>
      </c>
      <c r="H94" s="15"/>
      <c r="I94" s="14"/>
      <c r="J94" s="14"/>
      <c r="K94" s="15"/>
    </row>
    <row r="95" spans="3:12" ht="15.75">
      <c r="C95" s="15" t="s">
        <v>31</v>
      </c>
      <c r="D95" s="15"/>
      <c r="E95" s="26">
        <v>44202</v>
      </c>
      <c r="G95" s="32">
        <v>-47775</v>
      </c>
      <c r="H95" s="15"/>
      <c r="I95" s="14"/>
      <c r="J95" s="14"/>
      <c r="K95" s="15"/>
      <c r="L95" s="10"/>
    </row>
    <row r="96" spans="3:12" ht="15.75">
      <c r="C96" s="15"/>
      <c r="D96" s="15"/>
      <c r="E96" s="26">
        <v>44377</v>
      </c>
      <c r="G96" s="32">
        <v>-23030</v>
      </c>
      <c r="H96" s="15"/>
      <c r="I96" s="14"/>
      <c r="J96" s="14"/>
      <c r="K96" s="15"/>
      <c r="L96" s="10"/>
    </row>
    <row r="97" spans="3:12" ht="15.75">
      <c r="C97" s="15"/>
      <c r="D97" s="15"/>
      <c r="E97" s="26">
        <v>44469</v>
      </c>
      <c r="G97" s="32">
        <v>-22785</v>
      </c>
      <c r="H97" s="15"/>
      <c r="I97" s="14"/>
      <c r="J97" s="14"/>
      <c r="K97" s="15"/>
      <c r="L97" s="10"/>
    </row>
    <row r="98" spans="3:12" ht="15.75">
      <c r="C98" s="15"/>
      <c r="D98" s="15"/>
      <c r="E98" s="26">
        <v>44545</v>
      </c>
      <c r="G98" s="32">
        <v>-22785</v>
      </c>
      <c r="H98" s="15"/>
      <c r="I98" s="14"/>
      <c r="J98" s="14"/>
      <c r="K98" s="15"/>
      <c r="L98" s="10"/>
    </row>
    <row r="99" spans="3:12" ht="15.75">
      <c r="C99" s="15" t="s">
        <v>22</v>
      </c>
      <c r="D99" s="15"/>
      <c r="E99" s="26">
        <v>44265</v>
      </c>
      <c r="G99" s="32">
        <v>112223.84</v>
      </c>
      <c r="H99" s="15"/>
      <c r="I99" s="14"/>
      <c r="J99" s="14"/>
      <c r="K99" s="15"/>
      <c r="L99" s="10"/>
    </row>
    <row r="100" spans="3:12" ht="15.75">
      <c r="C100" s="15"/>
      <c r="D100" s="15"/>
      <c r="E100" s="26">
        <v>44376</v>
      </c>
      <c r="G100" s="32">
        <v>67089.93</v>
      </c>
      <c r="H100" s="15"/>
      <c r="I100" s="14"/>
      <c r="J100" s="14"/>
      <c r="K100" s="15"/>
      <c r="L100" s="10"/>
    </row>
    <row r="101" spans="3:12" ht="15.75">
      <c r="C101" s="15"/>
      <c r="D101" s="15"/>
      <c r="E101" s="26">
        <v>44449</v>
      </c>
      <c r="G101" s="32">
        <v>100059.73</v>
      </c>
      <c r="H101" s="15"/>
      <c r="I101" s="14"/>
      <c r="J101" s="14"/>
      <c r="K101" s="15"/>
      <c r="L101" s="10"/>
    </row>
    <row r="102" spans="3:12" ht="15.75">
      <c r="C102" s="15"/>
      <c r="D102" s="15"/>
      <c r="E102" s="26">
        <v>44488</v>
      </c>
      <c r="G102" s="32">
        <v>1401819.49</v>
      </c>
      <c r="H102" s="15"/>
      <c r="I102" s="14"/>
      <c r="J102" s="14"/>
      <c r="K102" s="15"/>
      <c r="L102" s="10"/>
    </row>
    <row r="103" spans="3:12" ht="15.75">
      <c r="C103" s="15"/>
      <c r="D103" s="15"/>
      <c r="E103" s="26">
        <v>44540</v>
      </c>
      <c r="G103" s="32">
        <v>133540.19</v>
      </c>
      <c r="H103" s="15"/>
      <c r="I103" s="14"/>
      <c r="J103" s="14"/>
      <c r="K103" s="15"/>
      <c r="L103" s="10"/>
    </row>
    <row r="104" spans="3:12" ht="15.75">
      <c r="C104" s="15" t="s">
        <v>32</v>
      </c>
      <c r="D104" s="15"/>
      <c r="E104" s="26">
        <v>44650</v>
      </c>
      <c r="G104" s="32">
        <v>-20090</v>
      </c>
      <c r="H104" s="15"/>
      <c r="I104" s="14"/>
      <c r="J104" s="14"/>
      <c r="K104" s="15"/>
      <c r="L104" s="10"/>
    </row>
    <row r="105" spans="3:12" ht="15.75">
      <c r="C105" s="15"/>
      <c r="D105" s="15"/>
      <c r="E105" s="26">
        <v>44742</v>
      </c>
      <c r="G105" s="32">
        <v>-18130</v>
      </c>
      <c r="H105" s="15"/>
      <c r="I105" s="14"/>
      <c r="J105" s="14"/>
      <c r="K105" s="15"/>
      <c r="L105" s="10"/>
    </row>
    <row r="106" spans="3:12" ht="15.75">
      <c r="C106" s="15"/>
      <c r="D106" s="15"/>
      <c r="E106" s="26">
        <v>44827</v>
      </c>
      <c r="G106" s="32">
        <v>-18130</v>
      </c>
      <c r="H106" s="15"/>
      <c r="I106" s="14"/>
      <c r="J106" s="14"/>
      <c r="K106" s="15"/>
      <c r="L106" s="10"/>
    </row>
    <row r="107" spans="3:12" ht="15.75">
      <c r="C107" s="15"/>
      <c r="D107" s="15"/>
      <c r="E107" s="26">
        <v>44925</v>
      </c>
      <c r="G107" s="32">
        <v>-17885</v>
      </c>
      <c r="H107" s="15"/>
      <c r="I107" s="14"/>
      <c r="J107" s="14"/>
      <c r="K107" s="15"/>
      <c r="L107" s="10"/>
    </row>
    <row r="108" spans="3:12" ht="15.75">
      <c r="C108" s="15" t="s">
        <v>23</v>
      </c>
      <c r="D108" s="15"/>
      <c r="E108" s="26">
        <v>44645</v>
      </c>
      <c r="G108" s="32">
        <v>126154.99</v>
      </c>
      <c r="H108" s="15"/>
      <c r="I108" s="14"/>
      <c r="J108" s="14"/>
      <c r="K108" s="15"/>
      <c r="L108" s="10"/>
    </row>
    <row r="109" spans="3:12" ht="15.75">
      <c r="C109" s="15"/>
      <c r="D109" s="15"/>
      <c r="E109" s="26">
        <v>44721</v>
      </c>
      <c r="G109" s="32">
        <v>78975.38</v>
      </c>
      <c r="H109" s="15"/>
      <c r="I109" s="14"/>
      <c r="J109" s="14"/>
      <c r="K109" s="15"/>
      <c r="L109" s="10"/>
    </row>
    <row r="110" spans="3:12" ht="15.75">
      <c r="C110" s="15"/>
      <c r="D110" s="15"/>
      <c r="E110" s="26">
        <v>44791</v>
      </c>
      <c r="G110" s="32">
        <v>265374.57</v>
      </c>
      <c r="H110" s="15"/>
      <c r="I110" s="14"/>
      <c r="J110" s="14"/>
      <c r="K110" s="15"/>
      <c r="L110" s="10"/>
    </row>
    <row r="111" spans="3:12" ht="17.25" customHeight="1">
      <c r="C111" s="15"/>
      <c r="D111" s="15"/>
      <c r="E111" s="26">
        <v>44888</v>
      </c>
      <c r="G111" s="32">
        <v>55715.46</v>
      </c>
      <c r="H111" s="15"/>
      <c r="I111" s="14"/>
      <c r="J111" s="14"/>
      <c r="K111" s="15"/>
      <c r="L111" s="10"/>
    </row>
    <row r="112" spans="3:12" ht="17.25" customHeight="1">
      <c r="C112" s="15" t="s">
        <v>33</v>
      </c>
      <c r="D112" s="15"/>
      <c r="E112" s="26">
        <v>45009</v>
      </c>
      <c r="G112" s="32">
        <v>-17885</v>
      </c>
      <c r="H112" s="15"/>
      <c r="I112" s="14"/>
      <c r="J112" s="14"/>
      <c r="K112" s="15"/>
      <c r="L112" s="10"/>
    </row>
    <row r="113" spans="3:12" ht="17.25" customHeight="1">
      <c r="C113" s="15"/>
      <c r="D113" s="15"/>
      <c r="E113" s="26">
        <v>45112</v>
      </c>
      <c r="G113" s="32">
        <v>-14455</v>
      </c>
      <c r="H113" s="15"/>
      <c r="I113" s="14"/>
      <c r="J113" s="14"/>
      <c r="K113" s="15"/>
      <c r="L113" s="10"/>
    </row>
    <row r="114" spans="3:12" ht="17.25" customHeight="1">
      <c r="C114" s="15"/>
      <c r="D114" s="15"/>
      <c r="E114" s="26">
        <v>45196</v>
      </c>
      <c r="G114" s="32">
        <v>-14455</v>
      </c>
      <c r="H114" s="15"/>
      <c r="I114" s="14"/>
      <c r="J114" s="14"/>
      <c r="K114" s="15"/>
      <c r="L114" s="10"/>
    </row>
    <row r="115" spans="3:12" ht="17.25" customHeight="1">
      <c r="C115" s="15" t="s">
        <v>24</v>
      </c>
      <c r="D115" s="15"/>
      <c r="E115" s="26">
        <v>45001</v>
      </c>
      <c r="G115" s="32">
        <v>307461.81</v>
      </c>
      <c r="H115" s="15"/>
      <c r="I115" s="14"/>
      <c r="J115" s="14"/>
      <c r="K115" s="15"/>
      <c r="L115" s="10"/>
    </row>
    <row r="116" spans="3:12" ht="17.25" customHeight="1">
      <c r="C116" s="15"/>
      <c r="D116" s="15"/>
      <c r="E116" s="26">
        <v>45050</v>
      </c>
      <c r="G116" s="32">
        <v>866555.89</v>
      </c>
      <c r="H116" s="15"/>
      <c r="I116" s="14"/>
      <c r="J116" s="14"/>
      <c r="K116" s="15"/>
      <c r="L116" s="10"/>
    </row>
    <row r="117" spans="3:12" ht="17.25" customHeight="1">
      <c r="C117" s="15"/>
      <c r="D117" s="15"/>
      <c r="E117" s="26">
        <v>45134</v>
      </c>
      <c r="G117" s="32">
        <v>322636.03</v>
      </c>
      <c r="H117" s="15"/>
      <c r="I117" s="14"/>
      <c r="J117" s="14"/>
      <c r="K117" s="15"/>
      <c r="L117" s="10"/>
    </row>
    <row r="118" spans="3:12" ht="17.25" customHeight="1">
      <c r="C118" s="15"/>
      <c r="D118" s="15"/>
      <c r="E118" s="26">
        <v>45161</v>
      </c>
      <c r="G118" s="32">
        <v>274365.01</v>
      </c>
      <c r="H118" s="15"/>
      <c r="I118" s="14"/>
      <c r="J118" s="14"/>
      <c r="K118" s="15"/>
      <c r="L118" s="10"/>
    </row>
    <row r="119" spans="3:12" ht="17.25" customHeight="1">
      <c r="C119" s="15"/>
      <c r="D119" s="15"/>
      <c r="E119" s="26">
        <v>45183</v>
      </c>
      <c r="G119" s="32">
        <v>78778.69</v>
      </c>
      <c r="H119" s="15"/>
      <c r="I119" s="14"/>
      <c r="J119" s="14"/>
      <c r="K119" s="15"/>
      <c r="L119" s="10"/>
    </row>
    <row r="120" spans="3:12" ht="17.25" customHeight="1">
      <c r="C120" s="15"/>
      <c r="D120" s="15"/>
      <c r="E120" s="26">
        <v>45224</v>
      </c>
      <c r="G120" s="32">
        <v>366518.28</v>
      </c>
      <c r="H120" s="15"/>
      <c r="I120" s="14"/>
      <c r="J120" s="14"/>
      <c r="K120" s="15"/>
      <c r="L120" s="10"/>
    </row>
    <row r="121" spans="3:12" ht="17.25" customHeight="1">
      <c r="C121" s="15"/>
      <c r="D121" s="15"/>
      <c r="E121" s="26">
        <v>45279</v>
      </c>
      <c r="G121" s="32">
        <v>65892.21</v>
      </c>
      <c r="H121" s="15"/>
      <c r="I121" s="14"/>
      <c r="J121" s="14"/>
      <c r="K121" s="15"/>
      <c r="L121" s="10"/>
    </row>
    <row r="122" spans="3:12" ht="17.25" customHeight="1">
      <c r="C122" s="15" t="s">
        <v>36</v>
      </c>
      <c r="D122" s="15"/>
      <c r="E122" s="26">
        <v>45391</v>
      </c>
      <c r="G122" s="32">
        <v>-23030</v>
      </c>
      <c r="H122" s="15"/>
      <c r="I122" s="14"/>
      <c r="J122" s="14"/>
      <c r="K122" s="15"/>
      <c r="L122" s="10"/>
    </row>
    <row r="123" spans="3:12" ht="17.25" customHeight="1">
      <c r="C123" s="15" t="s">
        <v>35</v>
      </c>
      <c r="D123" s="15"/>
      <c r="E123" s="26">
        <v>45328</v>
      </c>
      <c r="G123" s="32">
        <v>125745.08</v>
      </c>
      <c r="H123" s="15"/>
      <c r="I123" s="14"/>
      <c r="J123" s="14"/>
      <c r="K123" s="15"/>
      <c r="L123" s="10"/>
    </row>
    <row r="124" spans="3:12" ht="17.25" customHeight="1">
      <c r="C124" s="15"/>
      <c r="D124" s="15"/>
      <c r="E124" s="26">
        <v>45442</v>
      </c>
      <c r="G124" s="32">
        <v>101366.24</v>
      </c>
      <c r="H124" s="15"/>
      <c r="I124" s="14"/>
      <c r="J124" s="14"/>
      <c r="K124" s="15"/>
      <c r="L124" s="10"/>
    </row>
    <row r="125" spans="3:12" ht="17.25" customHeight="1">
      <c r="C125" s="15"/>
      <c r="D125" s="15"/>
      <c r="E125" s="26"/>
      <c r="G125" s="32"/>
      <c r="H125" s="15"/>
      <c r="I125" s="14"/>
      <c r="J125" s="14"/>
      <c r="K125" s="15"/>
      <c r="L125" s="10"/>
    </row>
    <row r="126" spans="3:15" ht="4.5" customHeight="1">
      <c r="C126" s="15"/>
      <c r="D126" s="15"/>
      <c r="E126" s="26"/>
      <c r="F126" s="15"/>
      <c r="G126" s="32"/>
      <c r="H126" s="15"/>
      <c r="I126" s="14"/>
      <c r="J126" s="14"/>
      <c r="O126" s="34"/>
    </row>
    <row r="127" spans="3:13" ht="12.75" customHeight="1">
      <c r="C127" s="15" t="s">
        <v>25</v>
      </c>
      <c r="D127" s="15"/>
      <c r="E127" s="26">
        <f>+E8</f>
        <v>45473</v>
      </c>
      <c r="F127" s="15"/>
      <c r="G127" s="33">
        <f>L127*C22</f>
        <v>3996744.507724821</v>
      </c>
      <c r="H127" s="15"/>
      <c r="I127" s="32">
        <f>+SUMIF($G$24:$G$126,"&lt;0",$G$24:$G$126)+G58+G66</f>
        <v>-8948459.459999999</v>
      </c>
      <c r="J127" s="15" t="s">
        <v>26</v>
      </c>
      <c r="L127" s="118">
        <v>233302933</v>
      </c>
      <c r="M127" s="10"/>
    </row>
    <row r="128" spans="3:10" ht="12.75">
      <c r="C128" s="15"/>
      <c r="D128" s="15"/>
      <c r="E128" s="15"/>
      <c r="F128" s="15"/>
      <c r="G128" s="15"/>
      <c r="H128" s="15"/>
      <c r="I128" s="32">
        <f>+SUMIF($G$24:$G$126,"&gt;0",$G$24:$G$126)-G58-G66</f>
        <v>8537681.130000003</v>
      </c>
      <c r="J128" s="15" t="s">
        <v>27</v>
      </c>
    </row>
    <row r="129" spans="3:8" ht="12.75">
      <c r="C129" s="36" t="s">
        <v>28</v>
      </c>
      <c r="G129" s="37">
        <f>+XIRR(G24:G127,E24:E127)</f>
        <v>0.09595468938350678</v>
      </c>
      <c r="H129" s="15"/>
    </row>
    <row r="130" spans="3:8" ht="12.75">
      <c r="C130" s="15"/>
      <c r="D130" s="15"/>
      <c r="E130" s="15"/>
      <c r="F130" s="15"/>
      <c r="G130" s="15"/>
      <c r="H130" s="15"/>
    </row>
    <row r="131" spans="3:8" ht="12.75">
      <c r="C131" s="15"/>
      <c r="D131" s="15"/>
      <c r="E131" s="15"/>
      <c r="F131" s="15"/>
      <c r="G131" s="15"/>
      <c r="H131" s="15"/>
    </row>
    <row r="132" spans="3:8" ht="12.75">
      <c r="C132" s="39"/>
      <c r="D132" s="39"/>
      <c r="E132" s="38"/>
      <c r="F132" s="15"/>
      <c r="G132" s="38"/>
      <c r="H132" s="15"/>
    </row>
    <row r="133" spans="3:8" ht="12.75">
      <c r="C133" s="39"/>
      <c r="D133" s="39"/>
      <c r="E133" s="38"/>
      <c r="F133" s="39"/>
      <c r="G133" s="38"/>
      <c r="H133" s="15"/>
    </row>
    <row r="134" spans="3:8" ht="12.75">
      <c r="C134" s="39"/>
      <c r="D134" s="39"/>
      <c r="E134" s="15"/>
      <c r="F134" s="15"/>
      <c r="G134" s="15"/>
      <c r="H134" s="15"/>
    </row>
    <row r="135" spans="3:8" ht="12.75">
      <c r="C135" s="39"/>
      <c r="D135" s="39"/>
      <c r="E135" s="123"/>
      <c r="F135" s="123"/>
      <c r="G135" s="123"/>
      <c r="H135" s="36"/>
    </row>
    <row r="136" spans="3:8" ht="12.75">
      <c r="C136" s="39"/>
      <c r="D136" s="39"/>
      <c r="E136" s="38"/>
      <c r="F136" s="38"/>
      <c r="G136" s="38"/>
      <c r="H136" s="36"/>
    </row>
    <row r="137" spans="3:8" ht="12.75">
      <c r="C137" s="39"/>
      <c r="D137" s="39"/>
      <c r="E137" s="39"/>
      <c r="F137" s="39"/>
      <c r="G137" s="39"/>
      <c r="H137" s="36"/>
    </row>
    <row r="138" spans="3:8" ht="12.75">
      <c r="C138" s="39"/>
      <c r="D138" s="39"/>
      <c r="E138" s="59"/>
      <c r="F138" s="41"/>
      <c r="G138" s="59"/>
      <c r="H138" s="15"/>
    </row>
    <row r="139" spans="3:8" ht="12.75">
      <c r="C139" s="39"/>
      <c r="D139" s="39"/>
      <c r="E139" s="41"/>
      <c r="F139" s="41"/>
      <c r="G139" s="41"/>
      <c r="H139" s="15"/>
    </row>
    <row r="140" spans="3:8" ht="12.75">
      <c r="C140" s="39"/>
      <c r="D140" s="39"/>
      <c r="E140" s="41"/>
      <c r="F140" s="41"/>
      <c r="G140" s="41"/>
      <c r="H140" s="15"/>
    </row>
    <row r="141" spans="3:8" ht="12.75">
      <c r="C141" s="42"/>
      <c r="D141" s="39"/>
      <c r="E141" s="41"/>
      <c r="F141" s="41"/>
      <c r="G141" s="41"/>
      <c r="H141" s="15"/>
    </row>
    <row r="142" spans="3:8" ht="12.75">
      <c r="C142" s="42"/>
      <c r="D142" s="39"/>
      <c r="E142" s="41"/>
      <c r="F142" s="41"/>
      <c r="G142" s="41"/>
      <c r="H142" s="15"/>
    </row>
    <row r="143" spans="3:8" ht="12.75">
      <c r="C143" s="43"/>
      <c r="D143" s="39"/>
      <c r="E143" s="41"/>
      <c r="F143" s="41"/>
      <c r="G143" s="41"/>
      <c r="H143" s="15"/>
    </row>
    <row r="144" spans="3:8" ht="12.75">
      <c r="C144" s="39"/>
      <c r="D144" s="39"/>
      <c r="E144" s="41"/>
      <c r="F144" s="41"/>
      <c r="G144" s="41"/>
      <c r="H144" s="15"/>
    </row>
    <row r="145" spans="3:8" ht="12.75">
      <c r="C145" s="39"/>
      <c r="D145" s="39"/>
      <c r="E145" s="41"/>
      <c r="F145" s="41"/>
      <c r="G145" s="41"/>
      <c r="H145" s="15"/>
    </row>
    <row r="146" spans="3:8" ht="12.75">
      <c r="C146" s="39"/>
      <c r="D146" s="39"/>
      <c r="E146" s="41"/>
      <c r="F146" s="41"/>
      <c r="G146" s="41"/>
      <c r="H146" s="15"/>
    </row>
    <row r="147" spans="3:8" ht="12.75">
      <c r="C147" s="39"/>
      <c r="D147" s="39"/>
      <c r="E147" s="41"/>
      <c r="F147" s="41"/>
      <c r="G147" s="41"/>
      <c r="H147" s="15"/>
    </row>
    <row r="148" spans="3:8" ht="12.75">
      <c r="C148" s="39"/>
      <c r="D148" s="39"/>
      <c r="E148" s="41"/>
      <c r="F148" s="41"/>
      <c r="G148" s="41"/>
      <c r="H148" s="15"/>
    </row>
    <row r="149" spans="3:8" ht="12.75">
      <c r="C149" s="39"/>
      <c r="D149" s="39"/>
      <c r="E149" s="41"/>
      <c r="F149" s="41"/>
      <c r="G149" s="41"/>
      <c r="H149" s="15"/>
    </row>
    <row r="150" spans="3:8" ht="4.9" customHeight="1">
      <c r="C150" s="36"/>
      <c r="D150" s="36"/>
      <c r="E150" s="44"/>
      <c r="F150" s="44"/>
      <c r="G150" s="44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  <row r="153" spans="3:8" ht="12.75">
      <c r="C153" s="15"/>
      <c r="D153" s="15"/>
      <c r="E153" s="15"/>
      <c r="F153" s="15"/>
      <c r="G153" s="15"/>
      <c r="H153" s="15"/>
    </row>
    <row r="154" spans="3:8" ht="12.75">
      <c r="C154" s="15"/>
      <c r="D154" s="15"/>
      <c r="E154" s="15"/>
      <c r="F154" s="15"/>
      <c r="G154" s="15"/>
      <c r="H154" s="15"/>
    </row>
    <row r="155" spans="3:8" ht="12.75">
      <c r="C155" s="15"/>
      <c r="D155" s="15"/>
      <c r="E155" s="15"/>
      <c r="F155" s="15"/>
      <c r="G155" s="15"/>
      <c r="H155" s="15"/>
    </row>
  </sheetData>
  <mergeCells count="1">
    <mergeCell ref="E135:G13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tabColor rgb="FF92D050"/>
    <pageSetUpPr fitToPage="1"/>
  </sheetPr>
  <dimension ref="B4:N148"/>
  <sheetViews>
    <sheetView showGridLines="0" view="pageLayout" zoomScaleNormal="100" workbookViewId="0" topLeftCell="A106">
      <selection pane="topLeft" activeCell="L126" sqref="L126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9.142857142857142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III'!E8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G128</f>
        <v>0.09827463030815123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-(G126+I127)/(I126)</f>
        <v>1.4061929418025185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89">
        <v>0.005037783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-11269.99</v>
      </c>
      <c r="H24" s="15"/>
      <c r="I24" s="14"/>
    </row>
    <row r="25" spans="3:9" ht="12.75">
      <c r="C25" s="114"/>
      <c r="D25" s="15"/>
      <c r="E25" s="26">
        <v>41894</v>
      </c>
      <c r="F25" s="32"/>
      <c r="G25" s="32">
        <v>-5847.33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-3070.67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-4377.33</v>
      </c>
      <c r="H27" s="15"/>
      <c r="I27" s="14"/>
    </row>
    <row r="28" spans="3:9" ht="12.75">
      <c r="C28" s="15" t="s">
        <v>11</v>
      </c>
      <c r="E28" s="26">
        <v>42037</v>
      </c>
      <c r="G28" s="32">
        <v>-4312</v>
      </c>
      <c r="H28" s="15"/>
      <c r="I28" s="14"/>
    </row>
    <row r="29" spans="5:9" ht="12.75">
      <c r="E29" s="26">
        <v>42093</v>
      </c>
      <c r="G29" s="32">
        <v>-5586</v>
      </c>
      <c r="H29" s="15"/>
      <c r="I29" s="14"/>
    </row>
    <row r="30" spans="5:9" ht="12.75">
      <c r="E30" s="26">
        <v>42109</v>
      </c>
      <c r="G30" s="32">
        <v>-4181.33</v>
      </c>
      <c r="H30" s="15"/>
      <c r="I30" s="14"/>
    </row>
    <row r="31" spans="5:9" ht="12.75">
      <c r="E31" s="26">
        <v>42144</v>
      </c>
      <c r="G31" s="32">
        <v>-2450</v>
      </c>
      <c r="H31" s="15"/>
      <c r="I31" s="14"/>
    </row>
    <row r="32" spans="5:14" ht="12.75">
      <c r="E32" s="26">
        <v>42184</v>
      </c>
      <c r="G32" s="32">
        <v>-3756.67</v>
      </c>
      <c r="H32" s="15"/>
      <c r="I32" s="14"/>
      <c r="J32" s="14"/>
      <c r="K32" s="15"/>
      <c r="M32" s="97"/>
      <c r="N32" s="34"/>
    </row>
    <row r="33" spans="5:14" ht="12.75">
      <c r="E33" s="26">
        <v>42227</v>
      </c>
      <c r="G33" s="32">
        <v>-4998</v>
      </c>
      <c r="H33" s="15"/>
      <c r="I33" s="14"/>
      <c r="J33" s="14"/>
      <c r="K33" s="15"/>
      <c r="M33" s="97"/>
      <c r="N33" s="34"/>
    </row>
    <row r="34" spans="5:14" ht="12.75">
      <c r="E34" s="26">
        <v>42261</v>
      </c>
      <c r="G34" s="32">
        <v>-6598.67</v>
      </c>
      <c r="H34" s="15"/>
      <c r="I34" s="14"/>
      <c r="J34" s="14"/>
      <c r="K34" s="15"/>
      <c r="M34" s="97"/>
      <c r="N34" s="34"/>
    </row>
    <row r="35" spans="5:14" ht="12.75">
      <c r="E35" s="26">
        <v>42368</v>
      </c>
      <c r="G35" s="32">
        <v>-5390</v>
      </c>
      <c r="H35" s="15"/>
      <c r="I35" s="14"/>
      <c r="J35" s="14"/>
      <c r="K35" s="15"/>
      <c r="M35" s="97"/>
      <c r="N35" s="34"/>
    </row>
    <row r="36" spans="3:14" ht="12.75">
      <c r="C36" s="15" t="s">
        <v>13</v>
      </c>
      <c r="D36" s="15"/>
      <c r="E36" s="26">
        <v>42396</v>
      </c>
      <c r="G36" s="32">
        <v>-94439.34</v>
      </c>
      <c r="H36" s="15"/>
      <c r="I36" s="14"/>
      <c r="J36" s="14"/>
      <c r="K36" s="15"/>
      <c r="M36" s="97"/>
      <c r="N36" s="34"/>
    </row>
    <row r="37" spans="3:14" ht="12.75">
      <c r="C37" s="15"/>
      <c r="D37" s="15"/>
      <c r="E37" s="26">
        <v>42445</v>
      </c>
      <c r="G37" s="32">
        <v>-8003.34</v>
      </c>
      <c r="H37" s="15"/>
      <c r="I37" s="14"/>
      <c r="J37" s="14"/>
      <c r="K37" s="15"/>
      <c r="M37" s="97"/>
      <c r="N37" s="34"/>
    </row>
    <row r="38" spans="3:14" ht="12.75">
      <c r="C38" s="15"/>
      <c r="D38" s="15"/>
      <c r="E38" s="26">
        <v>42549</v>
      </c>
      <c r="G38" s="32">
        <v>-12968.67</v>
      </c>
      <c r="H38" s="15"/>
      <c r="I38" s="14"/>
      <c r="J38" s="14"/>
      <c r="K38" s="15"/>
      <c r="M38" s="97"/>
      <c r="N38" s="34"/>
    </row>
    <row r="39" spans="3:14" ht="12.75">
      <c r="C39" s="15"/>
      <c r="D39" s="15"/>
      <c r="E39" s="26">
        <v>42586</v>
      </c>
      <c r="G39" s="32">
        <v>-9963.33</v>
      </c>
      <c r="H39" s="15"/>
      <c r="I39" s="14"/>
      <c r="J39" s="14"/>
      <c r="K39" s="15"/>
      <c r="M39" s="97"/>
      <c r="N39" s="34"/>
    </row>
    <row r="40" spans="3:14" ht="12.75">
      <c r="C40" s="15"/>
      <c r="D40" s="15"/>
      <c r="E40" s="26">
        <v>42607</v>
      </c>
      <c r="G40" s="32">
        <v>-7546</v>
      </c>
      <c r="H40" s="15"/>
      <c r="I40" s="14"/>
      <c r="J40" s="14"/>
      <c r="K40" s="15"/>
      <c r="M40" s="97"/>
      <c r="N40" s="34"/>
    </row>
    <row r="41" spans="3:14" ht="12.75">
      <c r="C41" s="15"/>
      <c r="D41" s="15"/>
      <c r="E41" s="26">
        <v>42613</v>
      </c>
      <c r="G41" s="32">
        <v>-159903.33</v>
      </c>
      <c r="H41" s="15"/>
      <c r="I41" s="14"/>
      <c r="J41" s="14"/>
      <c r="K41" s="15"/>
      <c r="M41" s="97"/>
      <c r="N41" s="34"/>
    </row>
    <row r="42" spans="3:14" ht="12.75">
      <c r="C42" s="15"/>
      <c r="D42" s="15"/>
      <c r="E42" s="26">
        <v>42640</v>
      </c>
      <c r="G42" s="32">
        <v>-3756.67</v>
      </c>
      <c r="H42" s="15"/>
      <c r="I42" s="14"/>
      <c r="J42" s="14"/>
      <c r="K42" s="15"/>
      <c r="M42" s="97"/>
      <c r="N42" s="34"/>
    </row>
    <row r="43" spans="3:14" ht="12.75">
      <c r="C43" s="15"/>
      <c r="D43" s="15"/>
      <c r="E43" s="26">
        <v>42732</v>
      </c>
      <c r="G43" s="32">
        <v>-5226.67</v>
      </c>
      <c r="H43" s="15"/>
      <c r="I43" s="14"/>
      <c r="J43" s="14"/>
      <c r="K43" s="15"/>
      <c r="M43" s="97"/>
      <c r="N43" s="34"/>
    </row>
    <row r="44" spans="3:14" ht="12.75">
      <c r="C44" s="15" t="s">
        <v>14</v>
      </c>
      <c r="D44" s="15"/>
      <c r="E44" s="26">
        <v>42377</v>
      </c>
      <c r="G44" s="32">
        <v>47121.98</v>
      </c>
      <c r="H44" s="15"/>
      <c r="I44" s="14"/>
      <c r="J44" s="14"/>
      <c r="K44" s="15"/>
      <c r="M44" s="97"/>
      <c r="N44" s="34"/>
    </row>
    <row r="45" spans="3:14" ht="12.75">
      <c r="C45" s="15"/>
      <c r="D45" s="15"/>
      <c r="E45" s="26">
        <v>42551</v>
      </c>
      <c r="G45" s="32">
        <v>4861.16</v>
      </c>
      <c r="H45" s="15"/>
      <c r="I45" s="14"/>
      <c r="J45" s="14"/>
      <c r="K45" s="15"/>
      <c r="M45" s="97"/>
      <c r="N45" s="34"/>
    </row>
    <row r="46" spans="3:14" ht="12.75">
      <c r="C46" s="15"/>
      <c r="D46" s="15"/>
      <c r="E46" s="26">
        <v>42642</v>
      </c>
      <c r="G46" s="32">
        <v>9354.83</v>
      </c>
      <c r="H46" s="15"/>
      <c r="I46" s="14"/>
      <c r="J46" s="14"/>
      <c r="K46" s="15"/>
      <c r="M46" s="97"/>
      <c r="N46" s="34"/>
    </row>
    <row r="47" spans="3:14" ht="15.75">
      <c r="C47" s="15"/>
      <c r="D47" s="15"/>
      <c r="E47" s="26">
        <v>42655</v>
      </c>
      <c r="G47" s="32">
        <v>3825.81</v>
      </c>
      <c r="H47" s="15"/>
      <c r="I47" s="14"/>
      <c r="J47" s="14"/>
      <c r="K47" s="15"/>
      <c r="L47" s="10"/>
      <c r="M47" s="97"/>
      <c r="N47" s="34"/>
    </row>
    <row r="48" spans="3:14" ht="12.75">
      <c r="C48" s="15" t="s">
        <v>15</v>
      </c>
      <c r="D48" s="15"/>
      <c r="E48" s="26">
        <v>42765</v>
      </c>
      <c r="G48" s="32">
        <v>-17248</v>
      </c>
      <c r="H48" s="15"/>
      <c r="I48" s="14"/>
      <c r="J48" s="14"/>
      <c r="K48" s="15"/>
      <c r="L48" s="58"/>
      <c r="M48" s="97"/>
      <c r="N48" s="34"/>
    </row>
    <row r="49" spans="3:14" ht="12.75">
      <c r="C49" s="15"/>
      <c r="D49" s="15"/>
      <c r="E49" s="26">
        <v>42822</v>
      </c>
      <c r="G49" s="32">
        <v>-9571.33</v>
      </c>
      <c r="H49" s="15"/>
      <c r="I49" s="14"/>
      <c r="J49" s="14"/>
      <c r="K49" s="15"/>
      <c r="L49" s="58"/>
      <c r="M49" s="97"/>
      <c r="N49" s="34"/>
    </row>
    <row r="50" spans="3:14" ht="12.75">
      <c r="C50" s="15"/>
      <c r="D50" s="15"/>
      <c r="E50" s="26">
        <v>42852</v>
      </c>
      <c r="G50" s="32">
        <v>-9996</v>
      </c>
      <c r="H50" s="15"/>
      <c r="I50" s="14"/>
      <c r="J50" s="14"/>
      <c r="K50" s="15"/>
      <c r="L50" s="58"/>
      <c r="M50" s="97"/>
      <c r="N50" s="34"/>
    </row>
    <row r="51" spans="3:14" ht="12.75">
      <c r="C51" s="15"/>
      <c r="D51" s="15"/>
      <c r="E51" s="26">
        <v>42913</v>
      </c>
      <c r="G51" s="32">
        <v>-40114.67</v>
      </c>
      <c r="H51" s="15"/>
      <c r="I51" s="14"/>
      <c r="J51" s="14"/>
      <c r="K51" s="15"/>
      <c r="L51" s="58"/>
      <c r="M51" s="97"/>
      <c r="N51" s="34"/>
    </row>
    <row r="52" spans="3:14" ht="12.75">
      <c r="C52" s="15"/>
      <c r="D52" s="15"/>
      <c r="E52" s="26">
        <v>42991</v>
      </c>
      <c r="G52" s="32">
        <v>-17640</v>
      </c>
      <c r="H52" s="15"/>
      <c r="I52" s="14"/>
      <c r="J52" s="14"/>
      <c r="K52" s="15"/>
      <c r="M52" s="97"/>
      <c r="N52" s="34"/>
    </row>
    <row r="53" spans="3:14" ht="12.75">
      <c r="C53" s="15"/>
      <c r="D53" s="15"/>
      <c r="E53" s="26">
        <v>43006</v>
      </c>
      <c r="G53" s="32">
        <v>-12576.67</v>
      </c>
      <c r="H53" s="15"/>
      <c r="I53" s="14"/>
      <c r="J53" s="14"/>
      <c r="K53" s="15"/>
      <c r="M53" s="97"/>
      <c r="N53" s="34"/>
    </row>
    <row r="54" spans="3:14" ht="12.75">
      <c r="C54" s="15"/>
      <c r="D54" s="15"/>
      <c r="E54" s="26">
        <v>43080</v>
      </c>
      <c r="F54" s="32"/>
      <c r="G54" s="32">
        <v>-6272</v>
      </c>
      <c r="H54" s="15"/>
      <c r="I54" s="14"/>
      <c r="J54" s="14"/>
      <c r="K54" s="15"/>
      <c r="M54" s="97"/>
      <c r="N54" s="34"/>
    </row>
    <row r="55" spans="3:14" ht="12.75">
      <c r="C55" s="15"/>
      <c r="D55" s="15"/>
      <c r="E55" s="26">
        <v>43095</v>
      </c>
      <c r="F55" s="32"/>
      <c r="G55" s="32">
        <v>-12478.67</v>
      </c>
      <c r="H55" s="15"/>
      <c r="I55" s="14"/>
      <c r="J55" s="14"/>
      <c r="K55" s="15"/>
      <c r="M55" s="97"/>
      <c r="N55" s="34"/>
    </row>
    <row r="56" spans="3:14" ht="12.75">
      <c r="C56" s="15" t="s">
        <v>16</v>
      </c>
      <c r="D56" s="15"/>
      <c r="E56" s="26">
        <v>42747</v>
      </c>
      <c r="G56" s="32">
        <v>14195.47</v>
      </c>
      <c r="H56" s="15"/>
      <c r="I56" s="14"/>
      <c r="J56" s="14"/>
      <c r="K56" s="15"/>
      <c r="M56" s="97"/>
      <c r="N56" s="34"/>
    </row>
    <row r="57" spans="3:14" ht="12.75">
      <c r="C57" s="15" t="s">
        <v>17</v>
      </c>
      <c r="D57" s="15"/>
      <c r="E57" s="26">
        <v>43130</v>
      </c>
      <c r="G57" s="32">
        <v>-121193.33</v>
      </c>
      <c r="H57" s="15"/>
      <c r="I57" s="14"/>
      <c r="J57" s="14"/>
      <c r="K57" s="15"/>
      <c r="M57" s="97"/>
      <c r="N57" s="34"/>
    </row>
    <row r="58" spans="3:14" ht="12.75">
      <c r="C58" s="15"/>
      <c r="D58" s="15"/>
      <c r="E58" s="26">
        <v>43143</v>
      </c>
      <c r="G58" s="32">
        <v>33560.10</v>
      </c>
      <c r="H58" s="15"/>
      <c r="I58" s="14"/>
      <c r="J58" s="14"/>
      <c r="K58" s="15"/>
      <c r="M58" s="97"/>
      <c r="N58" s="34"/>
    </row>
    <row r="59" spans="3:14" ht="12.75">
      <c r="C59" s="15"/>
      <c r="D59" s="15"/>
      <c r="E59" s="26">
        <v>43173</v>
      </c>
      <c r="G59" s="32">
        <v>-9146.66</v>
      </c>
      <c r="H59" s="15"/>
      <c r="I59" s="14"/>
      <c r="J59" s="14"/>
      <c r="K59" s="15"/>
      <c r="M59" s="97"/>
      <c r="N59" s="34"/>
    </row>
    <row r="60" spans="3:14" ht="12.75">
      <c r="C60" s="15"/>
      <c r="D60" s="15"/>
      <c r="E60" s="26">
        <v>43216</v>
      </c>
      <c r="G60" s="32">
        <v>-16333.33</v>
      </c>
      <c r="H60" s="15"/>
      <c r="I60" s="14"/>
      <c r="J60" s="14"/>
      <c r="K60" s="15"/>
      <c r="M60" s="97"/>
      <c r="N60" s="34"/>
    </row>
    <row r="61" spans="3:14" ht="12.75">
      <c r="C61" s="15"/>
      <c r="D61" s="15"/>
      <c r="E61" s="26">
        <v>43265</v>
      </c>
      <c r="G61" s="32">
        <v>-9342.67</v>
      </c>
      <c r="H61" s="15"/>
      <c r="I61" s="14"/>
      <c r="J61" s="14"/>
      <c r="K61" s="15"/>
      <c r="M61" s="97"/>
      <c r="N61" s="34"/>
    </row>
    <row r="62" spans="3:14" ht="12.75">
      <c r="C62" s="15"/>
      <c r="D62" s="15"/>
      <c r="E62" s="26">
        <v>43292</v>
      </c>
      <c r="G62" s="32">
        <v>-16333.33</v>
      </c>
      <c r="H62" s="15"/>
      <c r="I62" s="14"/>
      <c r="J62" s="14"/>
      <c r="K62" s="15"/>
      <c r="M62" s="97"/>
      <c r="N62" s="34"/>
    </row>
    <row r="63" spans="3:14" ht="12.75">
      <c r="C63" s="15"/>
      <c r="D63" s="15"/>
      <c r="E63" s="26">
        <v>43328</v>
      </c>
      <c r="G63" s="32">
        <v>-59388</v>
      </c>
      <c r="H63" s="15"/>
      <c r="I63" s="14"/>
      <c r="J63" s="14"/>
      <c r="K63" s="15"/>
      <c r="M63" s="97"/>
      <c r="N63" s="34"/>
    </row>
    <row r="64" spans="3:14" ht="12.75">
      <c r="C64" s="15"/>
      <c r="D64" s="15"/>
      <c r="E64" s="26">
        <v>43360</v>
      </c>
      <c r="G64" s="32">
        <v>-9015.99</v>
      </c>
      <c r="H64" s="15"/>
      <c r="I64" s="14"/>
      <c r="J64" s="14"/>
      <c r="K64" s="15"/>
      <c r="M64" s="97"/>
      <c r="N64" s="34"/>
    </row>
    <row r="65" spans="3:14" ht="12.75">
      <c r="C65" s="15"/>
      <c r="D65" s="15"/>
      <c r="E65" s="26">
        <v>43369</v>
      </c>
      <c r="G65" s="32">
        <v>-195706</v>
      </c>
      <c r="H65" s="15"/>
      <c r="I65" s="14"/>
      <c r="J65" s="14"/>
      <c r="K65" s="15"/>
      <c r="M65" s="97"/>
      <c r="N65" s="34"/>
    </row>
    <row r="66" spans="3:14" ht="12.75">
      <c r="C66" s="15"/>
      <c r="D66" s="15"/>
      <c r="E66" s="26">
        <v>43389</v>
      </c>
      <c r="G66" s="32">
        <v>13066.66</v>
      </c>
      <c r="H66" s="15"/>
      <c r="I66" s="14"/>
      <c r="J66" s="14"/>
      <c r="K66" s="15"/>
      <c r="M66" s="97"/>
      <c r="N66" s="34"/>
    </row>
    <row r="67" spans="3:14" ht="12.75">
      <c r="C67" s="15"/>
      <c r="D67" s="15"/>
      <c r="E67" s="26">
        <v>43445</v>
      </c>
      <c r="G67" s="32">
        <v>-31261.99</v>
      </c>
      <c r="H67" s="15"/>
      <c r="I67" s="14"/>
      <c r="J67" s="14"/>
      <c r="K67" s="15"/>
      <c r="M67" s="97"/>
      <c r="N67" s="34"/>
    </row>
    <row r="68" spans="3:14" ht="12.75">
      <c r="C68" s="15" t="s">
        <v>18</v>
      </c>
      <c r="D68" s="15"/>
      <c r="E68" s="26">
        <v>43111</v>
      </c>
      <c r="G68" s="32">
        <v>12442.59</v>
      </c>
      <c r="H68" s="15"/>
      <c r="I68" s="14"/>
      <c r="J68" s="14"/>
      <c r="K68" s="15"/>
      <c r="M68" s="97"/>
      <c r="N68" s="34"/>
    </row>
    <row r="69" spans="3:14" ht="12.75">
      <c r="C69" s="15"/>
      <c r="D69" s="15"/>
      <c r="E69" s="26">
        <v>43153</v>
      </c>
      <c r="G69" s="32">
        <v>314282.78</v>
      </c>
      <c r="H69" s="15"/>
      <c r="I69" s="14"/>
      <c r="J69" s="14"/>
      <c r="K69" s="15"/>
      <c r="M69" s="97"/>
      <c r="N69" s="34"/>
    </row>
    <row r="70" spans="3:14" ht="12.75">
      <c r="C70" s="15"/>
      <c r="D70" s="15"/>
      <c r="E70" s="26">
        <v>43446</v>
      </c>
      <c r="G70" s="32">
        <v>14771.51</v>
      </c>
      <c r="H70" s="15"/>
      <c r="I70" s="14"/>
      <c r="J70" s="14"/>
      <c r="K70" s="15"/>
      <c r="M70" s="97"/>
      <c r="N70" s="34"/>
    </row>
    <row r="71" spans="3:14" ht="12.75">
      <c r="C71" s="15" t="s">
        <v>19</v>
      </c>
      <c r="D71" s="15"/>
      <c r="E71" s="26">
        <v>43522</v>
      </c>
      <c r="G71" s="32">
        <v>-52724</v>
      </c>
      <c r="H71" s="15"/>
      <c r="I71" s="14"/>
      <c r="J71" s="14"/>
      <c r="K71" s="15"/>
      <c r="M71" s="97"/>
      <c r="N71" s="34"/>
    </row>
    <row r="72" spans="3:14" ht="12.75">
      <c r="C72" s="15"/>
      <c r="D72" s="15"/>
      <c r="E72" s="26">
        <v>43563</v>
      </c>
      <c r="G72" s="32">
        <v>-26492.67</v>
      </c>
      <c r="H72" s="15"/>
      <c r="I72" s="14"/>
      <c r="J72" s="14"/>
      <c r="K72" s="15"/>
      <c r="M72" s="97"/>
      <c r="N72" s="34"/>
    </row>
    <row r="73" spans="3:14" ht="12.75">
      <c r="C73" s="15"/>
      <c r="D73" s="15"/>
      <c r="E73" s="26">
        <v>43600</v>
      </c>
      <c r="G73" s="32">
        <v>-16170.01</v>
      </c>
      <c r="H73" s="15"/>
      <c r="I73" s="14"/>
      <c r="J73" s="14"/>
      <c r="K73" s="15"/>
      <c r="M73" s="97"/>
      <c r="N73" s="34"/>
    </row>
    <row r="74" spans="3:14" ht="12.75">
      <c r="C74" s="15"/>
      <c r="D74" s="15"/>
      <c r="E74" s="26">
        <v>43643</v>
      </c>
      <c r="G74" s="32">
        <v>-9179.34</v>
      </c>
      <c r="H74" s="15"/>
      <c r="I74" s="14"/>
      <c r="J74" s="14"/>
      <c r="K74" s="15"/>
      <c r="M74" s="97"/>
      <c r="N74" s="34"/>
    </row>
    <row r="75" spans="3:14" ht="12.75">
      <c r="C75" s="15"/>
      <c r="D75" s="15"/>
      <c r="E75" s="26">
        <v>43655</v>
      </c>
      <c r="G75" s="32">
        <v>-14373.34</v>
      </c>
      <c r="H75" s="15"/>
      <c r="I75" s="14"/>
      <c r="J75" s="14"/>
      <c r="K75" s="15"/>
      <c r="M75" s="97"/>
      <c r="N75" s="34"/>
    </row>
    <row r="76" spans="3:14" ht="12.75">
      <c r="C76" s="15"/>
      <c r="D76" s="15"/>
      <c r="E76" s="26">
        <v>43685</v>
      </c>
      <c r="G76" s="32">
        <v>-16137.34</v>
      </c>
      <c r="H76" s="15"/>
      <c r="I76" s="14"/>
      <c r="J76" s="14"/>
      <c r="K76" s="15"/>
      <c r="M76" s="97"/>
      <c r="N76" s="34"/>
    </row>
    <row r="77" spans="3:14" ht="12.75">
      <c r="C77" s="15"/>
      <c r="D77" s="15"/>
      <c r="E77" s="26">
        <v>43697</v>
      </c>
      <c r="G77" s="32">
        <v>-4851</v>
      </c>
      <c r="H77" s="15"/>
      <c r="I77" s="14"/>
      <c r="J77" s="14"/>
      <c r="K77" s="15"/>
      <c r="M77" s="97"/>
      <c r="N77" s="34"/>
    </row>
    <row r="78" spans="3:14" ht="12.75">
      <c r="C78" s="15"/>
      <c r="D78" s="15"/>
      <c r="E78" s="26">
        <v>43727</v>
      </c>
      <c r="G78" s="32">
        <v>-13393.33</v>
      </c>
      <c r="H78" s="15"/>
      <c r="I78" s="14"/>
      <c r="J78" s="14"/>
      <c r="K78" s="15"/>
      <c r="M78" s="97"/>
      <c r="N78" s="34"/>
    </row>
    <row r="79" spans="3:14" ht="12.75">
      <c r="C79" s="15"/>
      <c r="D79" s="15"/>
      <c r="E79" s="26">
        <v>43756</v>
      </c>
      <c r="G79" s="32">
        <v>-7252</v>
      </c>
      <c r="H79" s="15"/>
      <c r="I79" s="14"/>
      <c r="J79" s="14"/>
      <c r="K79" s="15"/>
      <c r="M79" s="97"/>
      <c r="N79" s="34"/>
    </row>
    <row r="80" spans="3:14" ht="12.75">
      <c r="C80" s="15"/>
      <c r="D80" s="15"/>
      <c r="E80" s="26">
        <v>43783</v>
      </c>
      <c r="G80" s="32">
        <v>-8085</v>
      </c>
      <c r="H80" s="15"/>
      <c r="I80" s="14"/>
      <c r="J80" s="14"/>
      <c r="K80" s="15"/>
      <c r="M80" s="97"/>
      <c r="N80" s="34"/>
    </row>
    <row r="81" spans="3:14" ht="12.75">
      <c r="C81" s="15"/>
      <c r="D81" s="15"/>
      <c r="E81" s="26">
        <v>43795</v>
      </c>
      <c r="G81" s="32">
        <v>-19861.33</v>
      </c>
      <c r="H81" s="15"/>
      <c r="I81" s="14"/>
      <c r="J81" s="14"/>
      <c r="K81" s="15"/>
      <c r="M81" s="97"/>
      <c r="N81" s="34"/>
    </row>
    <row r="82" spans="3:14" ht="12.75">
      <c r="C82" s="15"/>
      <c r="D82" s="15"/>
      <c r="E82" s="26">
        <v>43830</v>
      </c>
      <c r="G82" s="32">
        <v>-5684</v>
      </c>
      <c r="H82" s="15"/>
      <c r="I82" s="14"/>
      <c r="J82" s="14"/>
      <c r="K82" s="15"/>
      <c r="M82" s="97"/>
      <c r="N82" s="34"/>
    </row>
    <row r="83" spans="3:14" ht="12.75">
      <c r="C83" s="15" t="s">
        <v>20</v>
      </c>
      <c r="D83" s="15"/>
      <c r="E83" s="26">
        <v>43620</v>
      </c>
      <c r="G83" s="32">
        <v>5990.27</v>
      </c>
      <c r="H83" s="15"/>
      <c r="I83" s="14"/>
      <c r="J83" s="14"/>
      <c r="K83" s="15"/>
      <c r="M83" s="97"/>
      <c r="N83" s="34"/>
    </row>
    <row r="84" spans="3:14" ht="12.75">
      <c r="C84" s="15"/>
      <c r="D84" s="15"/>
      <c r="E84" s="26">
        <v>43669</v>
      </c>
      <c r="G84" s="32">
        <v>23646.60</v>
      </c>
      <c r="H84" s="15"/>
      <c r="I84" s="14"/>
      <c r="J84" s="14"/>
      <c r="K84" s="15"/>
      <c r="M84" s="97"/>
      <c r="N84" s="34"/>
    </row>
    <row r="85" spans="3:14" ht="12.75">
      <c r="C85" s="15"/>
      <c r="D85" s="15"/>
      <c r="E85" s="26">
        <v>43717</v>
      </c>
      <c r="G85" s="32">
        <v>8039.89</v>
      </c>
      <c r="H85" s="15"/>
      <c r="I85" s="14"/>
      <c r="J85" s="14"/>
      <c r="K85" s="15"/>
      <c r="M85" s="97"/>
      <c r="N85" s="34"/>
    </row>
    <row r="86" spans="3:14" ht="12.75">
      <c r="C86" s="15" t="s">
        <v>21</v>
      </c>
      <c r="D86" s="15"/>
      <c r="E86" s="26">
        <v>43858</v>
      </c>
      <c r="G86" s="32">
        <v>-8656.67</v>
      </c>
      <c r="H86" s="15"/>
      <c r="I86" s="14"/>
      <c r="J86" s="14"/>
      <c r="K86" s="15"/>
      <c r="M86" s="97"/>
      <c r="N86" s="34"/>
    </row>
    <row r="87" spans="3:14" ht="12.75">
      <c r="C87" s="15"/>
      <c r="D87" s="15"/>
      <c r="E87" s="26">
        <v>43860</v>
      </c>
      <c r="G87" s="32">
        <v>-9734.67</v>
      </c>
      <c r="H87" s="15"/>
      <c r="I87" s="14"/>
      <c r="J87" s="14"/>
      <c r="K87" s="15"/>
      <c r="M87" s="97"/>
      <c r="N87" s="34"/>
    </row>
    <row r="88" spans="3:14" ht="12.75">
      <c r="C88" s="15"/>
      <c r="D88" s="15"/>
      <c r="E88" s="26">
        <v>43915</v>
      </c>
      <c r="G88" s="32">
        <v>-9211.99</v>
      </c>
      <c r="H88" s="15"/>
      <c r="I88" s="14"/>
      <c r="J88" s="14"/>
      <c r="K88" s="15"/>
      <c r="M88" s="97"/>
      <c r="N88" s="34"/>
    </row>
    <row r="89" spans="3:14" ht="12.75">
      <c r="C89" s="15"/>
      <c r="D89" s="15"/>
      <c r="E89" s="26">
        <v>43917</v>
      </c>
      <c r="G89" s="32">
        <v>-2263.8</v>
      </c>
      <c r="H89" s="15"/>
      <c r="I89" s="14"/>
      <c r="J89" s="14"/>
      <c r="K89" s="15"/>
      <c r="M89" s="97"/>
      <c r="N89" s="34"/>
    </row>
    <row r="90" spans="3:14" ht="12.75">
      <c r="C90" s="15"/>
      <c r="D90" s="15"/>
      <c r="E90" s="26">
        <v>43980</v>
      </c>
      <c r="G90" s="32">
        <v>-9571.33</v>
      </c>
      <c r="H90" s="15"/>
      <c r="I90" s="14"/>
      <c r="J90" s="14"/>
      <c r="K90" s="15"/>
      <c r="M90" s="97"/>
      <c r="N90" s="34"/>
    </row>
    <row r="91" spans="3:14" ht="12.75">
      <c r="C91" s="15"/>
      <c r="D91" s="15"/>
      <c r="E91" s="26">
        <v>43999</v>
      </c>
      <c r="G91" s="32">
        <v>-13066.67</v>
      </c>
      <c r="H91" s="15"/>
      <c r="I91" s="14"/>
      <c r="J91" s="14"/>
      <c r="K91" s="15"/>
      <c r="M91" s="97"/>
      <c r="N91" s="34"/>
    </row>
    <row r="92" spans="3:14" ht="12.75">
      <c r="C92" s="15"/>
      <c r="D92" s="15"/>
      <c r="E92" s="26">
        <v>44047</v>
      </c>
      <c r="G92" s="32">
        <v>-1057.55</v>
      </c>
      <c r="H92" s="15"/>
      <c r="I92" s="14"/>
      <c r="J92" s="14"/>
      <c r="K92" s="15"/>
      <c r="M92" s="97"/>
      <c r="N92" s="34"/>
    </row>
    <row r="93" spans="3:14" ht="12.75">
      <c r="C93" s="15" t="s">
        <v>30</v>
      </c>
      <c r="D93" s="15"/>
      <c r="E93" s="26">
        <v>43888</v>
      </c>
      <c r="G93" s="32">
        <v>30158.41</v>
      </c>
      <c r="H93" s="15"/>
      <c r="I93" s="14"/>
      <c r="J93" s="14"/>
      <c r="K93" s="15"/>
      <c r="M93" s="97"/>
      <c r="N93" s="34"/>
    </row>
    <row r="94" spans="3:14" ht="12.75" customHeight="1">
      <c r="C94" s="15"/>
      <c r="D94" s="15"/>
      <c r="E94" s="26">
        <v>44089</v>
      </c>
      <c r="G94" s="32">
        <v>4248.9</v>
      </c>
      <c r="H94" s="15"/>
      <c r="I94" s="14"/>
      <c r="J94" s="14"/>
      <c r="K94" s="15"/>
      <c r="M94" s="97"/>
      <c r="N94" s="34"/>
    </row>
    <row r="95" spans="3:14" ht="12.75" customHeight="1">
      <c r="C95" s="15" t="s">
        <v>31</v>
      </c>
      <c r="D95" s="15"/>
      <c r="E95" s="26">
        <v>44202</v>
      </c>
      <c r="G95" s="32">
        <v>-6370</v>
      </c>
      <c r="H95" s="15"/>
      <c r="I95" s="14"/>
      <c r="J95" s="14"/>
      <c r="K95" s="15"/>
      <c r="L95" s="10"/>
      <c r="M95" s="97"/>
      <c r="N95" s="34"/>
    </row>
    <row r="96" spans="3:14" ht="12.75" customHeight="1">
      <c r="C96" s="15"/>
      <c r="D96" s="15"/>
      <c r="E96" s="26">
        <v>44377</v>
      </c>
      <c r="G96" s="32">
        <v>-3070.67</v>
      </c>
      <c r="H96" s="15"/>
      <c r="I96" s="14"/>
      <c r="J96" s="14"/>
      <c r="K96" s="15"/>
      <c r="L96" s="10"/>
      <c r="M96" s="97"/>
      <c r="N96" s="34"/>
    </row>
    <row r="97" spans="3:14" ht="12.75" customHeight="1">
      <c r="C97" s="15"/>
      <c r="D97" s="15"/>
      <c r="E97" s="26">
        <v>44469</v>
      </c>
      <c r="G97" s="32">
        <v>-3038</v>
      </c>
      <c r="H97" s="15"/>
      <c r="I97" s="14"/>
      <c r="J97" s="14"/>
      <c r="K97" s="15"/>
      <c r="L97" s="10"/>
      <c r="M97" s="97"/>
      <c r="N97" s="34"/>
    </row>
    <row r="98" spans="3:14" ht="12.75" customHeight="1">
      <c r="C98" s="15"/>
      <c r="D98" s="15"/>
      <c r="E98" s="26">
        <v>44545</v>
      </c>
      <c r="G98" s="32">
        <v>-3038</v>
      </c>
      <c r="H98" s="15"/>
      <c r="I98" s="14"/>
      <c r="J98" s="14"/>
      <c r="K98" s="15"/>
      <c r="L98" s="10"/>
      <c r="M98" s="97"/>
      <c r="N98" s="34"/>
    </row>
    <row r="99" spans="3:14" ht="12.75" customHeight="1">
      <c r="C99" s="15" t="s">
        <v>22</v>
      </c>
      <c r="D99" s="15"/>
      <c r="E99" s="26">
        <v>44265</v>
      </c>
      <c r="G99" s="32">
        <v>15001.02</v>
      </c>
      <c r="H99" s="15"/>
      <c r="I99" s="14"/>
      <c r="J99" s="14"/>
      <c r="K99" s="15"/>
      <c r="L99" s="10"/>
      <c r="M99" s="97"/>
      <c r="N99" s="34"/>
    </row>
    <row r="100" spans="3:14" ht="12.75" customHeight="1">
      <c r="C100" s="15"/>
      <c r="D100" s="15"/>
      <c r="E100" s="26">
        <v>44376</v>
      </c>
      <c r="G100" s="32">
        <v>7531.51</v>
      </c>
      <c r="H100" s="15"/>
      <c r="I100" s="14"/>
      <c r="J100" s="14"/>
      <c r="K100" s="15"/>
      <c r="L100" s="10"/>
      <c r="M100" s="97"/>
      <c r="N100" s="34"/>
    </row>
    <row r="101" spans="3:14" ht="12.75" customHeight="1">
      <c r="C101" s="15"/>
      <c r="D101" s="15"/>
      <c r="E101" s="26">
        <v>44449</v>
      </c>
      <c r="G101" s="32">
        <v>13342.52</v>
      </c>
      <c r="H101" s="15"/>
      <c r="I101" s="14"/>
      <c r="J101" s="14"/>
      <c r="K101" s="15"/>
      <c r="L101" s="10"/>
      <c r="M101" s="97"/>
      <c r="N101" s="34"/>
    </row>
    <row r="102" spans="3:14" ht="12.75" customHeight="1">
      <c r="C102" s="15"/>
      <c r="D102" s="15"/>
      <c r="E102" s="26">
        <v>44488</v>
      </c>
      <c r="G102" s="32">
        <v>190071.21</v>
      </c>
      <c r="H102" s="15"/>
      <c r="I102" s="14"/>
      <c r="J102" s="14"/>
      <c r="K102" s="15"/>
      <c r="L102" s="10"/>
      <c r="M102" s="97"/>
      <c r="N102" s="34"/>
    </row>
    <row r="103" spans="3:14" ht="12.75" customHeight="1">
      <c r="C103" s="15"/>
      <c r="D103" s="15"/>
      <c r="E103" s="26">
        <v>44540</v>
      </c>
      <c r="G103" s="32">
        <v>17853.65</v>
      </c>
      <c r="H103" s="15"/>
      <c r="I103" s="14"/>
      <c r="J103" s="14"/>
      <c r="K103" s="15"/>
      <c r="L103" s="10"/>
      <c r="M103" s="97"/>
      <c r="N103" s="34"/>
    </row>
    <row r="104" spans="3:14" ht="12.75" customHeight="1">
      <c r="C104" s="15" t="s">
        <v>32</v>
      </c>
      <c r="D104" s="15"/>
      <c r="E104" s="26">
        <v>44650</v>
      </c>
      <c r="G104" s="32">
        <v>-2678.67</v>
      </c>
      <c r="H104" s="15"/>
      <c r="I104" s="14"/>
      <c r="J104" s="14"/>
      <c r="K104" s="15"/>
      <c r="L104" s="10"/>
      <c r="M104" s="97"/>
      <c r="N104" s="34"/>
    </row>
    <row r="105" spans="3:14" ht="12.75" customHeight="1">
      <c r="C105" s="15"/>
      <c r="D105" s="15"/>
      <c r="E105" s="26">
        <v>44742</v>
      </c>
      <c r="G105" s="32">
        <v>-2417.33</v>
      </c>
      <c r="H105" s="15"/>
      <c r="I105" s="14"/>
      <c r="J105" s="14"/>
      <c r="K105" s="15"/>
      <c r="L105" s="10"/>
      <c r="M105" s="97"/>
      <c r="N105" s="34"/>
    </row>
    <row r="106" spans="3:14" ht="12.75" customHeight="1">
      <c r="C106" s="15"/>
      <c r="D106" s="15"/>
      <c r="E106" s="26">
        <v>44827</v>
      </c>
      <c r="G106" s="32">
        <v>-2417.33</v>
      </c>
      <c r="H106" s="15"/>
      <c r="I106" s="14"/>
      <c r="J106" s="14"/>
      <c r="K106" s="15"/>
      <c r="L106" s="10"/>
      <c r="M106" s="97"/>
      <c r="N106" s="34"/>
    </row>
    <row r="107" spans="3:14" ht="12.75" customHeight="1">
      <c r="C107" s="15"/>
      <c r="D107" s="15"/>
      <c r="E107" s="26">
        <v>44925</v>
      </c>
      <c r="G107" s="32">
        <v>-2384.66</v>
      </c>
      <c r="H107" s="15"/>
      <c r="I107" s="14"/>
      <c r="J107" s="14"/>
      <c r="K107" s="15"/>
      <c r="L107" s="10"/>
      <c r="M107" s="97"/>
      <c r="N107" s="34"/>
    </row>
    <row r="108" spans="3:14" ht="12.75" customHeight="1">
      <c r="C108" s="15" t="s">
        <v>23</v>
      </c>
      <c r="D108" s="15"/>
      <c r="E108" s="26">
        <v>44645</v>
      </c>
      <c r="G108" s="32">
        <v>16817.66</v>
      </c>
      <c r="H108" s="15"/>
      <c r="I108" s="14"/>
      <c r="J108" s="14"/>
      <c r="K108" s="15"/>
      <c r="L108" s="10"/>
      <c r="M108" s="97"/>
      <c r="N108" s="34"/>
    </row>
    <row r="109" spans="3:14" ht="12.75" customHeight="1">
      <c r="C109" s="15"/>
      <c r="D109" s="15"/>
      <c r="E109" s="26">
        <v>44721</v>
      </c>
      <c r="G109" s="32">
        <v>8138.11</v>
      </c>
      <c r="H109" s="15"/>
      <c r="I109" s="14"/>
      <c r="J109" s="14"/>
      <c r="K109" s="15"/>
      <c r="L109" s="10"/>
      <c r="M109" s="97"/>
      <c r="N109" s="34"/>
    </row>
    <row r="110" spans="3:14" ht="12.75" customHeight="1">
      <c r="C110" s="15"/>
      <c r="D110" s="15"/>
      <c r="E110" s="26">
        <v>44791</v>
      </c>
      <c r="G110" s="32">
        <v>35303.34</v>
      </c>
      <c r="H110" s="15"/>
      <c r="I110" s="14"/>
      <c r="J110" s="14"/>
      <c r="K110" s="15"/>
      <c r="L110" s="10"/>
      <c r="M110" s="97"/>
      <c r="N110" s="34"/>
    </row>
    <row r="111" spans="3:14" ht="12.75" customHeight="1">
      <c r="C111" s="15"/>
      <c r="D111" s="15"/>
      <c r="E111" s="26">
        <v>44888</v>
      </c>
      <c r="G111" s="32">
        <v>7447.47</v>
      </c>
      <c r="H111" s="15"/>
      <c r="I111" s="14"/>
      <c r="J111" s="14"/>
      <c r="K111" s="15"/>
      <c r="L111" s="10"/>
      <c r="M111" s="97"/>
      <c r="N111" s="34"/>
    </row>
    <row r="112" spans="3:14" ht="12.75" customHeight="1">
      <c r="C112" s="15" t="s">
        <v>33</v>
      </c>
      <c r="D112" s="15"/>
      <c r="E112" s="26">
        <v>45009</v>
      </c>
      <c r="G112" s="32">
        <v>-2384.67</v>
      </c>
      <c r="H112" s="15"/>
      <c r="I112" s="14"/>
      <c r="J112" s="14"/>
      <c r="K112" s="15"/>
      <c r="L112" s="10"/>
      <c r="M112" s="97"/>
      <c r="N112" s="34"/>
    </row>
    <row r="113" spans="3:14" ht="12.75" customHeight="1">
      <c r="C113" s="15"/>
      <c r="D113" s="15"/>
      <c r="E113" s="26">
        <v>45112</v>
      </c>
      <c r="G113" s="32">
        <v>-1927.33</v>
      </c>
      <c r="H113" s="15"/>
      <c r="I113" s="14"/>
      <c r="J113" s="14"/>
      <c r="K113" s="15"/>
      <c r="L113" s="10"/>
      <c r="M113" s="97"/>
      <c r="N113" s="34"/>
    </row>
    <row r="114" spans="3:14" ht="12.75" customHeight="1">
      <c r="C114" s="15"/>
      <c r="D114" s="15"/>
      <c r="E114" s="26">
        <v>45196</v>
      </c>
      <c r="G114" s="32">
        <v>-1927.33</v>
      </c>
      <c r="H114" s="15"/>
      <c r="I114" s="14"/>
      <c r="J114" s="14"/>
      <c r="K114" s="15"/>
      <c r="L114" s="10"/>
      <c r="M114" s="97"/>
      <c r="N114" s="34"/>
    </row>
    <row r="115" spans="3:14" ht="12.75" customHeight="1">
      <c r="C115" s="15" t="s">
        <v>24</v>
      </c>
      <c r="D115" s="15"/>
      <c r="E115" s="26">
        <v>45001</v>
      </c>
      <c r="G115" s="32">
        <v>40983.09</v>
      </c>
      <c r="H115" s="15"/>
      <c r="I115" s="14"/>
      <c r="J115" s="14"/>
      <c r="K115" s="15"/>
      <c r="L115" s="10"/>
      <c r="M115" s="97"/>
      <c r="N115" s="34"/>
    </row>
    <row r="116" spans="3:14" ht="12.75" customHeight="1">
      <c r="C116" s="15"/>
      <c r="D116" s="15"/>
      <c r="E116" s="26">
        <v>45050</v>
      </c>
      <c r="G116" s="32">
        <v>120100.42</v>
      </c>
      <c r="H116" s="15"/>
      <c r="I116" s="14"/>
      <c r="J116" s="14"/>
      <c r="K116" s="15"/>
      <c r="L116" s="10"/>
      <c r="M116" s="97"/>
      <c r="N116" s="34"/>
    </row>
    <row r="117" spans="3:14" ht="12.75" customHeight="1">
      <c r="C117" s="15"/>
      <c r="D117" s="15"/>
      <c r="E117" s="26">
        <v>45134</v>
      </c>
      <c r="G117" s="32">
        <v>42957.42</v>
      </c>
      <c r="H117" s="15"/>
      <c r="I117" s="14"/>
      <c r="J117" s="14"/>
      <c r="K117" s="15"/>
      <c r="L117" s="10"/>
      <c r="M117" s="97"/>
      <c r="N117" s="34"/>
    </row>
    <row r="118" spans="3:14" ht="12.75" customHeight="1">
      <c r="C118" s="15"/>
      <c r="D118" s="15"/>
      <c r="E118" s="26">
        <v>45161</v>
      </c>
      <c r="G118" s="32">
        <v>36439.8</v>
      </c>
      <c r="H118" s="15"/>
      <c r="I118" s="14"/>
      <c r="J118" s="14"/>
      <c r="K118" s="15"/>
      <c r="L118" s="10"/>
      <c r="M118" s="97"/>
      <c r="N118" s="34"/>
    </row>
    <row r="119" spans="3:14" ht="12.75" customHeight="1">
      <c r="C119" s="15"/>
      <c r="D119" s="15"/>
      <c r="E119" s="26">
        <v>45183</v>
      </c>
      <c r="G119" s="32">
        <v>10503.83</v>
      </c>
      <c r="H119" s="15"/>
      <c r="I119" s="14"/>
      <c r="J119" s="14"/>
      <c r="K119" s="15"/>
      <c r="L119" s="10"/>
      <c r="M119" s="97"/>
      <c r="N119" s="34"/>
    </row>
    <row r="120" spans="3:14" ht="12.75" customHeight="1">
      <c r="C120" s="15"/>
      <c r="D120" s="15"/>
      <c r="E120" s="26">
        <v>45224</v>
      </c>
      <c r="G120" s="32">
        <v>48869.10</v>
      </c>
      <c r="H120" s="15"/>
      <c r="I120" s="14"/>
      <c r="J120" s="14"/>
      <c r="K120" s="15"/>
      <c r="L120" s="10"/>
      <c r="M120" s="97"/>
      <c r="N120" s="34"/>
    </row>
    <row r="121" spans="3:14" ht="12.75" customHeight="1">
      <c r="C121" s="15"/>
      <c r="D121" s="15"/>
      <c r="E121" s="26">
        <v>45279</v>
      </c>
      <c r="G121" s="32">
        <v>8773.89</v>
      </c>
      <c r="H121" s="15"/>
      <c r="I121" s="14"/>
      <c r="J121" s="14"/>
      <c r="K121" s="15"/>
      <c r="L121" s="10"/>
      <c r="M121" s="97"/>
      <c r="N121" s="34"/>
    </row>
    <row r="122" spans="3:14" ht="12.75" customHeight="1">
      <c r="C122" s="15" t="s">
        <v>36</v>
      </c>
      <c r="D122" s="15"/>
      <c r="E122" s="26">
        <v>45391</v>
      </c>
      <c r="G122" s="32">
        <v>-3070.67</v>
      </c>
      <c r="H122" s="15"/>
      <c r="I122" s="14"/>
      <c r="J122" s="14"/>
      <c r="K122" s="15"/>
      <c r="L122" s="10"/>
      <c r="M122" s="97"/>
      <c r="N122" s="34"/>
    </row>
    <row r="123" spans="3:14" ht="12.75" customHeight="1">
      <c r="C123" s="15" t="s">
        <v>35</v>
      </c>
      <c r="D123" s="15"/>
      <c r="E123" s="26">
        <v>45328</v>
      </c>
      <c r="G123" s="32">
        <v>16490.64</v>
      </c>
      <c r="H123" s="15"/>
      <c r="I123" s="14"/>
      <c r="J123" s="14"/>
      <c r="K123" s="15"/>
      <c r="L123" s="10"/>
      <c r="M123" s="97"/>
      <c r="N123" s="34"/>
    </row>
    <row r="124" spans="3:14" ht="12.75" customHeight="1">
      <c r="C124" s="15"/>
      <c r="D124" s="15"/>
      <c r="E124" s="26">
        <v>45442</v>
      </c>
      <c r="G124" s="32">
        <v>15661.96</v>
      </c>
      <c r="H124" s="15"/>
      <c r="I124" s="14"/>
      <c r="J124" s="14"/>
      <c r="K124" s="15"/>
      <c r="L124" s="10"/>
      <c r="M124" s="97"/>
      <c r="N124" s="34"/>
    </row>
    <row r="125" spans="3:10" ht="4.5" customHeight="1">
      <c r="C125" s="15"/>
      <c r="D125" s="15"/>
      <c r="E125" s="26"/>
      <c r="F125" s="15"/>
      <c r="G125" s="32"/>
      <c r="H125" s="15"/>
      <c r="I125" s="14"/>
      <c r="J125" s="14"/>
    </row>
    <row r="126" spans="3:13" ht="15.75">
      <c r="C126" s="15" t="s">
        <v>25</v>
      </c>
      <c r="D126" s="15"/>
      <c r="E126" s="26">
        <f>+E8</f>
        <v>45473</v>
      </c>
      <c r="F126" s="15"/>
      <c r="G126" s="33">
        <f>L126*C22</f>
        <v>532541.21977152</v>
      </c>
      <c r="H126" s="15"/>
      <c r="I126" s="32">
        <f>+SUMIF($G$24:$G$125,"&lt;0",$G$24:$G$125)+G58+G66</f>
        <v>-1193127.9200000002</v>
      </c>
      <c r="J126" s="15" t="s">
        <v>26</v>
      </c>
      <c r="L126" s="58">
        <v>105709440</v>
      </c>
      <c r="M126" s="10"/>
    </row>
    <row r="127" spans="3:10" ht="12.75">
      <c r="C127" s="15"/>
      <c r="D127" s="15"/>
      <c r="E127" s="15"/>
      <c r="F127" s="15"/>
      <c r="G127" s="15"/>
      <c r="H127" s="15"/>
      <c r="I127" s="32">
        <f>+SUMIF($G$24:$G$125,"&gt;0",$G$24:$G$125)-G58-G66</f>
        <v>1145226.84</v>
      </c>
      <c r="J127" s="15" t="s">
        <v>27</v>
      </c>
    </row>
    <row r="128" spans="3:8" ht="12.75">
      <c r="C128" s="36" t="s">
        <v>28</v>
      </c>
      <c r="G128" s="37">
        <f>+XIRR(G24:G126,E24:E126)</f>
        <v>0.09827463030815123</v>
      </c>
      <c r="H128" s="15"/>
    </row>
    <row r="129" spans="3:8" ht="12.75">
      <c r="C129" s="15"/>
      <c r="D129" s="15"/>
      <c r="E129" s="15"/>
      <c r="F129" s="15"/>
      <c r="G129" s="15"/>
      <c r="H129" s="15"/>
    </row>
    <row r="130" spans="3:8" ht="12.75">
      <c r="C130" s="15"/>
      <c r="D130" s="15"/>
      <c r="E130" s="15"/>
      <c r="F130" s="15"/>
      <c r="G130" s="15"/>
      <c r="H130" s="15"/>
    </row>
    <row r="131" spans="3:8" ht="12.75">
      <c r="C131" s="39"/>
      <c r="D131" s="39"/>
      <c r="E131" s="15"/>
      <c r="F131" s="15"/>
      <c r="G131" s="15"/>
      <c r="H131" s="15"/>
    </row>
    <row r="132" spans="3:8" ht="12.75">
      <c r="C132" s="39"/>
      <c r="D132" s="39"/>
      <c r="E132" s="123"/>
      <c r="F132" s="123"/>
      <c r="G132" s="123"/>
      <c r="H132" s="36"/>
    </row>
    <row r="133" spans="3:8" ht="12.75">
      <c r="C133" s="39"/>
      <c r="D133" s="39"/>
      <c r="E133" s="38"/>
      <c r="F133" s="38"/>
      <c r="G133" s="38"/>
      <c r="H133" s="36"/>
    </row>
    <row r="134" spans="3:8" ht="12.75">
      <c r="C134" s="39"/>
      <c r="D134" s="39"/>
      <c r="E134" s="39"/>
      <c r="F134" s="39"/>
      <c r="G134" s="39"/>
      <c r="H134" s="36"/>
    </row>
    <row r="135" spans="3:8" ht="12.75">
      <c r="C135" s="39"/>
      <c r="D135" s="39"/>
      <c r="E135" s="59"/>
      <c r="F135" s="41"/>
      <c r="G135" s="59"/>
      <c r="H135" s="15"/>
    </row>
    <row r="136" spans="3:8" ht="12.75">
      <c r="C136" s="39"/>
      <c r="D136" s="39"/>
      <c r="E136" s="41"/>
      <c r="F136" s="41"/>
      <c r="G136" s="41"/>
      <c r="H136" s="15"/>
    </row>
    <row r="137" spans="3:8" ht="12.75">
      <c r="C137" s="39"/>
      <c r="D137" s="39"/>
      <c r="E137" s="41"/>
      <c r="F137" s="41"/>
      <c r="G137" s="41"/>
      <c r="H137" s="15"/>
    </row>
    <row r="138" spans="3:8" ht="12.75">
      <c r="C138" s="42"/>
      <c r="D138" s="39"/>
      <c r="E138" s="41"/>
      <c r="F138" s="41"/>
      <c r="G138" s="41"/>
      <c r="H138" s="15"/>
    </row>
    <row r="139" spans="3:8" ht="12.75">
      <c r="C139" s="42"/>
      <c r="D139" s="39"/>
      <c r="E139" s="41"/>
      <c r="F139" s="41"/>
      <c r="G139" s="41"/>
      <c r="H139" s="15"/>
    </row>
    <row r="140" spans="3:8" ht="12.75">
      <c r="C140" s="43"/>
      <c r="D140" s="39"/>
      <c r="E140" s="41"/>
      <c r="F140" s="41"/>
      <c r="G140" s="41"/>
      <c r="H140" s="15"/>
    </row>
    <row r="141" spans="3:8" ht="12.75">
      <c r="C141" s="39"/>
      <c r="D141" s="39"/>
      <c r="E141" s="41"/>
      <c r="F141" s="41"/>
      <c r="G141" s="41"/>
      <c r="H141" s="15"/>
    </row>
    <row r="142" spans="3:8" ht="12.75">
      <c r="C142" s="39"/>
      <c r="D142" s="39"/>
      <c r="E142" s="41"/>
      <c r="F142" s="41"/>
      <c r="G142" s="41"/>
      <c r="H142" s="15"/>
    </row>
    <row r="143" spans="3:8" ht="12.75">
      <c r="C143" s="39"/>
      <c r="D143" s="39"/>
      <c r="E143" s="41"/>
      <c r="F143" s="41"/>
      <c r="G143" s="41"/>
      <c r="H143" s="15"/>
    </row>
    <row r="144" spans="3:8" ht="12.75">
      <c r="C144" s="39"/>
      <c r="D144" s="39"/>
      <c r="E144" s="41"/>
      <c r="F144" s="41"/>
      <c r="G144" s="41"/>
      <c r="H144" s="15"/>
    </row>
    <row r="145" spans="3:8" ht="12.75">
      <c r="C145" s="39"/>
      <c r="D145" s="39"/>
      <c r="F145" s="41"/>
      <c r="G145" s="41"/>
      <c r="H145" s="15"/>
    </row>
    <row r="146" spans="3:8" ht="12.75">
      <c r="C146" s="39"/>
      <c r="D146" s="39"/>
      <c r="E146" s="41"/>
      <c r="F146" s="41"/>
      <c r="G146" s="41"/>
      <c r="H146" s="15"/>
    </row>
    <row r="147" spans="3:8" ht="4.9" customHeight="1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</sheetData>
  <mergeCells count="1">
    <mergeCell ref="E132:G132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tabColor rgb="FF92D050"/>
    <pageSetUpPr fitToPage="1"/>
  </sheetPr>
  <dimension ref="B4:Q100"/>
  <sheetViews>
    <sheetView showGridLines="0" view="pageLayout" zoomScaleNormal="100" workbookViewId="0" topLeftCell="A1">
      <selection pane="topLeft" activeCell="E9" sqref="E9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14" ht="15.75">
      <c r="C17" s="16" t="s">
        <v>0</v>
      </c>
      <c r="D17" s="16"/>
      <c r="E17" s="17"/>
      <c r="F17" s="16"/>
      <c r="G17" s="17"/>
      <c r="H17" s="5"/>
      <c r="I17" s="49"/>
      <c r="J17" s="54"/>
      <c r="K17" s="54"/>
      <c r="L17" s="54"/>
      <c r="M17" s="54"/>
      <c r="N17" s="54"/>
    </row>
    <row r="18" spans="3:14" ht="12.75" customHeight="1">
      <c r="C18" s="11" t="s">
        <v>1</v>
      </c>
      <c r="D18" s="11"/>
      <c r="E18" s="19">
        <f>G78</f>
        <v>0.08109085261821745</v>
      </c>
      <c r="F18" s="11"/>
      <c r="G18" s="18"/>
      <c r="H18" s="19"/>
      <c r="I18" s="49"/>
      <c r="J18" s="105"/>
      <c r="K18" s="54"/>
      <c r="L18" s="106"/>
      <c r="M18" s="107"/>
      <c r="N18" s="54"/>
    </row>
    <row r="19" spans="3:14" ht="12.75">
      <c r="C19" s="11" t="s">
        <v>2</v>
      </c>
      <c r="D19" s="11"/>
      <c r="E19" s="23">
        <f>-(G76+I77)/I76</f>
        <v>1.2450086354831758</v>
      </c>
      <c r="F19" s="11"/>
      <c r="G19" s="12"/>
      <c r="H19" s="13"/>
      <c r="J19" s="105"/>
      <c r="K19" s="54"/>
      <c r="L19" s="106"/>
      <c r="M19" s="107"/>
      <c r="N19" s="108"/>
    </row>
    <row r="20" spans="3:14" ht="12.75">
      <c r="C20" s="11"/>
      <c r="D20" s="11"/>
      <c r="E20" s="11"/>
      <c r="F20" s="11"/>
      <c r="G20" s="13"/>
      <c r="J20" s="105"/>
      <c r="K20" s="54"/>
      <c r="L20" s="106"/>
      <c r="M20" s="107"/>
      <c r="N20" s="54"/>
    </row>
    <row r="21" spans="3:14" ht="15.75">
      <c r="C21" s="24" t="s">
        <v>29</v>
      </c>
      <c r="D21" s="25"/>
      <c r="E21" s="25"/>
      <c r="F21" s="25"/>
      <c r="I21" s="26"/>
      <c r="J21" s="105"/>
      <c r="K21" s="54"/>
      <c r="L21" s="106"/>
      <c r="M21" s="107"/>
      <c r="N21" s="108"/>
    </row>
    <row r="22" spans="3:14" ht="12.75">
      <c r="C22" s="28">
        <v>7.53846E-4</v>
      </c>
      <c r="D22" s="15"/>
      <c r="E22" s="15"/>
      <c r="F22" s="15"/>
      <c r="G22" s="29"/>
      <c r="H22" s="15"/>
      <c r="I22" s="15"/>
      <c r="J22" s="105"/>
      <c r="K22" s="54"/>
      <c r="L22" s="106"/>
      <c r="M22" s="107"/>
      <c r="N22" s="54"/>
    </row>
    <row r="23" spans="3:14" ht="15.75">
      <c r="C23" s="15"/>
      <c r="D23" s="15"/>
      <c r="E23" s="26"/>
      <c r="F23" s="32"/>
      <c r="G23" s="32"/>
      <c r="H23" s="15"/>
      <c r="I23" s="14"/>
      <c r="J23" s="33"/>
      <c r="L23" s="10"/>
      <c r="M23" s="107"/>
      <c r="N23" s="54"/>
    </row>
    <row r="24" spans="3:15" ht="12.75">
      <c r="C24" s="15" t="s">
        <v>17</v>
      </c>
      <c r="D24" s="15"/>
      <c r="E24" s="26">
        <v>43136</v>
      </c>
      <c r="F24" s="32"/>
      <c r="G24" s="32">
        <v>-100336.92</v>
      </c>
      <c r="H24" s="15"/>
      <c r="I24" s="14"/>
      <c r="J24" s="33"/>
      <c r="K24" s="15"/>
      <c r="L24" s="58"/>
      <c r="M24" s="107"/>
      <c r="N24" s="54"/>
      <c r="O24" s="14"/>
    </row>
    <row r="25" spans="3:15" ht="12.75">
      <c r="C25" s="15"/>
      <c r="D25" s="15"/>
      <c r="E25" s="26">
        <v>43193</v>
      </c>
      <c r="F25" s="32"/>
      <c r="G25" s="32">
        <v>-10327.69</v>
      </c>
      <c r="H25" s="15"/>
      <c r="I25" s="14"/>
      <c r="J25" s="33"/>
      <c r="K25" s="119"/>
      <c r="L25" s="58"/>
      <c r="M25" s="107"/>
      <c r="N25" s="54"/>
      <c r="O25" s="14"/>
    </row>
    <row r="26" spans="3:15" ht="12.75">
      <c r="C26" s="15"/>
      <c r="D26" s="15"/>
      <c r="E26" s="26">
        <v>43286</v>
      </c>
      <c r="F26" s="32"/>
      <c r="G26" s="32">
        <v>-9423.08</v>
      </c>
      <c r="H26" s="15"/>
      <c r="I26" s="14"/>
      <c r="J26" s="33"/>
      <c r="K26" s="119"/>
      <c r="L26" s="58"/>
      <c r="M26" s="107"/>
      <c r="N26" s="54"/>
      <c r="O26" s="14"/>
    </row>
    <row r="27" spans="3:15" ht="12.75">
      <c r="C27" s="15"/>
      <c r="D27" s="15"/>
      <c r="E27" s="26">
        <v>43328</v>
      </c>
      <c r="F27" s="32"/>
      <c r="G27" s="32">
        <v>-35355.39</v>
      </c>
      <c r="H27" s="15"/>
      <c r="I27" s="14"/>
      <c r="J27" s="33"/>
      <c r="K27" s="119"/>
      <c r="L27" s="58"/>
      <c r="M27" s="107"/>
      <c r="N27" s="54"/>
      <c r="O27" s="14"/>
    </row>
    <row r="28" spans="3:14" ht="12.75">
      <c r="C28" s="15"/>
      <c r="D28" s="15"/>
      <c r="E28" s="26">
        <v>43369</v>
      </c>
      <c r="F28" s="32"/>
      <c r="G28" s="32">
        <v>-734246.17</v>
      </c>
      <c r="H28" s="15"/>
      <c r="I28" s="14"/>
      <c r="J28" s="33"/>
      <c r="K28" s="119"/>
      <c r="L28" s="27"/>
      <c r="M28" s="107"/>
      <c r="N28" s="54"/>
    </row>
    <row r="29" spans="3:14" ht="12.75">
      <c r="C29" s="15"/>
      <c r="D29" s="15"/>
      <c r="E29" s="26">
        <v>43391</v>
      </c>
      <c r="F29" s="32"/>
      <c r="G29" s="32">
        <v>196000</v>
      </c>
      <c r="H29" s="15"/>
      <c r="I29" s="14"/>
      <c r="J29" s="14"/>
      <c r="K29" s="15"/>
      <c r="M29" s="54"/>
      <c r="N29" s="54"/>
    </row>
    <row r="30" spans="3:14" ht="12.75">
      <c r="C30" s="15"/>
      <c r="D30" s="15"/>
      <c r="E30" s="26">
        <v>43461</v>
      </c>
      <c r="F30" s="32"/>
      <c r="G30" s="32">
        <v>-12740.01</v>
      </c>
      <c r="H30" s="15"/>
      <c r="I30" s="14"/>
      <c r="J30" s="14"/>
      <c r="K30" s="15"/>
      <c r="M30" s="54"/>
      <c r="N30" s="54"/>
    </row>
    <row r="31" spans="3:15" ht="12.75">
      <c r="C31" s="15" t="s">
        <v>19</v>
      </c>
      <c r="D31" s="15"/>
      <c r="E31" s="26">
        <v>43494</v>
      </c>
      <c r="F31" s="32"/>
      <c r="G31" s="32">
        <v>-19675.39</v>
      </c>
      <c r="H31" s="15"/>
      <c r="I31" s="14"/>
      <c r="J31" s="14"/>
      <c r="K31" s="15"/>
      <c r="N31" s="97"/>
      <c r="O31" s="34"/>
    </row>
    <row r="32" spans="3:15" ht="12.75">
      <c r="C32" s="15"/>
      <c r="D32" s="15"/>
      <c r="E32" s="26">
        <v>43622</v>
      </c>
      <c r="F32" s="32"/>
      <c r="G32" s="32">
        <v>-13116.92</v>
      </c>
      <c r="H32" s="15"/>
      <c r="I32" s="14"/>
      <c r="J32" s="14"/>
      <c r="K32" s="15"/>
      <c r="N32" s="97"/>
      <c r="O32" s="34"/>
    </row>
    <row r="33" spans="3:15" ht="12.75">
      <c r="C33" s="15"/>
      <c r="D33" s="15"/>
      <c r="E33" s="26">
        <v>43670</v>
      </c>
      <c r="F33" s="32"/>
      <c r="G33" s="32">
        <v>-19750.78</v>
      </c>
      <c r="H33" s="15"/>
      <c r="I33" s="14"/>
      <c r="J33" s="14"/>
      <c r="K33" s="15"/>
      <c r="N33" s="97"/>
      <c r="O33" s="34"/>
    </row>
    <row r="34" spans="3:15" ht="12.75">
      <c r="C34" s="15"/>
      <c r="D34" s="15"/>
      <c r="E34" s="26">
        <v>43742</v>
      </c>
      <c r="F34" s="32"/>
      <c r="G34" s="32">
        <v>-14323.08</v>
      </c>
      <c r="H34" s="15"/>
      <c r="I34" s="14"/>
      <c r="J34" s="14"/>
      <c r="K34" s="15"/>
      <c r="N34" s="97"/>
      <c r="O34" s="34"/>
    </row>
    <row r="35" spans="3:15" ht="12.75">
      <c r="C35" s="15"/>
      <c r="D35" s="15"/>
      <c r="E35" s="26">
        <v>43794</v>
      </c>
      <c r="F35" s="32"/>
      <c r="G35" s="32">
        <v>-35053.83</v>
      </c>
      <c r="H35" s="15"/>
      <c r="I35" s="14"/>
      <c r="J35" s="14"/>
      <c r="K35" s="15"/>
      <c r="N35" s="97"/>
      <c r="O35" s="34"/>
    </row>
    <row r="36" spans="3:15" ht="12.75">
      <c r="C36" s="15"/>
      <c r="D36" s="15"/>
      <c r="E36" s="26">
        <v>43801</v>
      </c>
      <c r="F36" s="32"/>
      <c r="G36" s="32">
        <v>-67167.69</v>
      </c>
      <c r="H36" s="15"/>
      <c r="I36" s="14"/>
      <c r="J36" s="14"/>
      <c r="K36" s="15"/>
      <c r="N36" s="97"/>
      <c r="O36" s="34"/>
    </row>
    <row r="37" spans="3:15" ht="12.75">
      <c r="C37" s="15" t="s">
        <v>20</v>
      </c>
      <c r="D37" s="15"/>
      <c r="E37" s="26">
        <v>43671</v>
      </c>
      <c r="F37" s="32"/>
      <c r="G37" s="32">
        <v>65298.04</v>
      </c>
      <c r="H37" s="15"/>
      <c r="I37" s="14"/>
      <c r="J37" s="14"/>
      <c r="K37" s="15"/>
      <c r="N37" s="97"/>
      <c r="O37" s="34"/>
    </row>
    <row r="38" spans="3:15" ht="13.5" customHeight="1">
      <c r="C38" s="15" t="s">
        <v>21</v>
      </c>
      <c r="D38" s="15"/>
      <c r="E38" s="26">
        <v>43859</v>
      </c>
      <c r="F38" s="32"/>
      <c r="G38" s="32">
        <v>-18996.92</v>
      </c>
      <c r="H38" s="15"/>
      <c r="I38" s="14"/>
      <c r="J38" s="14"/>
      <c r="K38" s="15"/>
      <c r="N38" s="97"/>
      <c r="O38" s="34"/>
    </row>
    <row r="39" spans="3:15" ht="13.5" customHeight="1">
      <c r="C39" s="15"/>
      <c r="D39" s="15"/>
      <c r="E39" s="26">
        <v>43916</v>
      </c>
      <c r="F39" s="32"/>
      <c r="G39" s="32">
        <v>-18619.99</v>
      </c>
      <c r="H39" s="15"/>
      <c r="I39" s="14"/>
      <c r="J39" s="14"/>
      <c r="K39" s="15"/>
      <c r="N39" s="97"/>
      <c r="O39" s="34"/>
    </row>
    <row r="40" spans="3:15" ht="13.5" customHeight="1">
      <c r="C40" s="15"/>
      <c r="D40" s="15"/>
      <c r="E40" s="26">
        <v>44103</v>
      </c>
      <c r="F40" s="32"/>
      <c r="G40" s="32">
        <v>-24047.70</v>
      </c>
      <c r="H40" s="15"/>
      <c r="I40" s="14"/>
      <c r="J40" s="14"/>
      <c r="K40" s="15"/>
      <c r="N40" s="97"/>
      <c r="O40" s="34"/>
    </row>
    <row r="41" spans="3:15" ht="13.5" customHeight="1">
      <c r="C41" s="15"/>
      <c r="D41" s="15"/>
      <c r="E41" s="26">
        <v>44126</v>
      </c>
      <c r="F41" s="32"/>
      <c r="G41" s="32">
        <v>-80661.55</v>
      </c>
      <c r="H41" s="15"/>
      <c r="I41" s="14"/>
      <c r="J41" s="14"/>
      <c r="K41" s="15"/>
      <c r="L41" s="10"/>
      <c r="N41" s="97"/>
      <c r="O41" s="34"/>
    </row>
    <row r="42" spans="3:16" ht="13.5" customHeight="1">
      <c r="C42" s="15" t="s">
        <v>31</v>
      </c>
      <c r="D42" s="15"/>
      <c r="E42" s="26">
        <v>44200</v>
      </c>
      <c r="F42" s="32"/>
      <c r="G42" s="32">
        <v>-13267.70</v>
      </c>
      <c r="H42" s="15"/>
      <c r="I42" s="14"/>
      <c r="J42" s="14"/>
      <c r="K42" s="15"/>
      <c r="L42" s="10"/>
      <c r="N42" s="97"/>
      <c r="O42" s="34"/>
      <c r="P42" s="91"/>
    </row>
    <row r="43" spans="3:15" ht="13.5" customHeight="1">
      <c r="C43" s="15"/>
      <c r="D43" s="15"/>
      <c r="E43" s="26">
        <v>44376</v>
      </c>
      <c r="F43" s="32"/>
      <c r="G43" s="32">
        <v>-14323.07</v>
      </c>
      <c r="H43" s="15"/>
      <c r="I43" s="14"/>
      <c r="J43" s="14"/>
      <c r="K43" s="15"/>
      <c r="L43" s="10"/>
      <c r="N43" s="97"/>
      <c r="O43" s="34"/>
    </row>
    <row r="44" spans="3:15" ht="13.5" customHeight="1">
      <c r="C44" s="15"/>
      <c r="D44" s="15"/>
      <c r="E44" s="26">
        <v>44466</v>
      </c>
      <c r="F44" s="32"/>
      <c r="G44" s="32">
        <v>-9423.08</v>
      </c>
      <c r="H44" s="15"/>
      <c r="I44" s="14"/>
      <c r="J44" s="14"/>
      <c r="K44" s="15"/>
      <c r="L44" s="10"/>
      <c r="N44" s="97"/>
      <c r="O44" s="34"/>
    </row>
    <row r="45" spans="3:15" ht="13.5" customHeight="1">
      <c r="C45" s="15"/>
      <c r="D45" s="15"/>
      <c r="E45" s="26">
        <v>44530</v>
      </c>
      <c r="F45" s="32"/>
      <c r="G45" s="32">
        <v>-18619.99</v>
      </c>
      <c r="H45" s="15"/>
      <c r="I45" s="14"/>
      <c r="J45" s="14"/>
      <c r="K45" s="15"/>
      <c r="L45" s="10"/>
      <c r="N45" s="97"/>
      <c r="O45" s="34"/>
    </row>
    <row r="46" spans="3:15" ht="13.5" customHeight="1">
      <c r="C46" s="15" t="s">
        <v>22</v>
      </c>
      <c r="D46" s="15"/>
      <c r="E46" s="26">
        <v>44463</v>
      </c>
      <c r="F46" s="32"/>
      <c r="G46" s="32">
        <v>12662.99</v>
      </c>
      <c r="H46" s="15"/>
      <c r="I46" s="14"/>
      <c r="J46" s="14"/>
      <c r="K46" s="15"/>
      <c r="L46" s="10"/>
      <c r="N46" s="97"/>
      <c r="O46" s="34"/>
    </row>
    <row r="47" spans="3:15" ht="13.5" customHeight="1">
      <c r="C47" s="15"/>
      <c r="D47" s="15"/>
      <c r="E47" s="26">
        <v>44484</v>
      </c>
      <c r="F47" s="32"/>
      <c r="G47" s="32">
        <v>484615.55</v>
      </c>
      <c r="H47" s="15"/>
      <c r="I47" s="14"/>
      <c r="J47" s="14"/>
      <c r="K47" s="15"/>
      <c r="L47" s="10"/>
      <c r="N47" s="97"/>
      <c r="O47" s="34"/>
    </row>
    <row r="48" spans="3:15" ht="13.5" customHeight="1">
      <c r="C48" s="15"/>
      <c r="D48" s="15"/>
      <c r="E48" s="26">
        <v>44539</v>
      </c>
      <c r="F48" s="32"/>
      <c r="G48" s="32">
        <v>39200</v>
      </c>
      <c r="H48" s="15"/>
      <c r="I48" s="14"/>
      <c r="J48" s="14"/>
      <c r="K48" s="15"/>
      <c r="L48" s="10"/>
      <c r="N48" s="97"/>
      <c r="O48" s="34"/>
    </row>
    <row r="49" spans="3:15" ht="13.5" customHeight="1">
      <c r="C49" s="15" t="s">
        <v>32</v>
      </c>
      <c r="D49" s="15"/>
      <c r="E49" s="26">
        <v>44606</v>
      </c>
      <c r="F49" s="32"/>
      <c r="G49" s="32">
        <v>-237386.15</v>
      </c>
      <c r="H49" s="15"/>
      <c r="I49" s="14"/>
      <c r="J49" s="14"/>
      <c r="K49" s="15"/>
      <c r="L49" s="10"/>
      <c r="N49" s="97"/>
      <c r="O49" s="34"/>
    </row>
    <row r="50" spans="3:15" ht="13.5" customHeight="1">
      <c r="C50" s="15"/>
      <c r="D50" s="15"/>
      <c r="E50" s="26">
        <v>44649</v>
      </c>
      <c r="F50" s="32"/>
      <c r="G50" s="32">
        <v>-9423.08</v>
      </c>
      <c r="H50" s="15"/>
      <c r="I50" s="14"/>
      <c r="J50" s="14"/>
      <c r="K50" s="15"/>
      <c r="L50" s="10"/>
      <c r="N50" s="97"/>
      <c r="O50" s="34"/>
    </row>
    <row r="51" spans="3:15" ht="13.5" customHeight="1">
      <c r="C51" s="15"/>
      <c r="D51" s="15"/>
      <c r="E51" s="26">
        <v>44672</v>
      </c>
      <c r="F51" s="32"/>
      <c r="G51" s="32">
        <v>-3844.61</v>
      </c>
      <c r="H51" s="15"/>
      <c r="I51" s="14"/>
      <c r="J51" s="14"/>
      <c r="K51" s="15"/>
      <c r="L51" s="10"/>
      <c r="N51" s="97"/>
      <c r="O51" s="34"/>
    </row>
    <row r="52" spans="3:15" ht="13.5" customHeight="1">
      <c r="C52" s="15"/>
      <c r="D52" s="15"/>
      <c r="E52" s="26">
        <v>44736</v>
      </c>
      <c r="F52" s="32"/>
      <c r="G52" s="32">
        <v>-30983.07</v>
      </c>
      <c r="H52" s="15"/>
      <c r="I52" s="14"/>
      <c r="J52" s="14"/>
      <c r="K52" s="15"/>
      <c r="L52" s="10"/>
      <c r="N52" s="97"/>
      <c r="O52" s="34"/>
    </row>
    <row r="53" spans="3:15" ht="13.5" customHeight="1">
      <c r="C53" s="15"/>
      <c r="D53" s="15"/>
      <c r="E53" s="26">
        <v>44764</v>
      </c>
      <c r="F53" s="32"/>
      <c r="G53" s="32">
        <v>-150090.78</v>
      </c>
      <c r="H53" s="15"/>
      <c r="I53" s="14"/>
      <c r="J53" s="14"/>
      <c r="K53" s="15"/>
      <c r="L53" s="10"/>
      <c r="N53" s="97"/>
      <c r="O53" s="34"/>
    </row>
    <row r="54" spans="3:15" ht="13.5" customHeight="1">
      <c r="C54" s="15"/>
      <c r="D54" s="15"/>
      <c r="E54" s="26">
        <v>44819</v>
      </c>
      <c r="F54" s="32"/>
      <c r="G54" s="32">
        <v>-340587.69</v>
      </c>
      <c r="H54" s="15"/>
      <c r="I54" s="14"/>
      <c r="J54" s="14"/>
      <c r="K54" s="15"/>
      <c r="L54" s="10"/>
      <c r="N54" s="97"/>
      <c r="O54" s="34"/>
    </row>
    <row r="55" spans="3:15" ht="13.5" customHeight="1">
      <c r="C55" s="15"/>
      <c r="D55" s="15"/>
      <c r="E55" s="26">
        <v>44875</v>
      </c>
      <c r="F55" s="32"/>
      <c r="G55" s="32">
        <v>-16810.77</v>
      </c>
      <c r="H55" s="15"/>
      <c r="I55" s="14"/>
      <c r="J55" s="14"/>
      <c r="K55" s="15"/>
      <c r="L55" s="10"/>
      <c r="N55" s="97"/>
      <c r="O55" s="34"/>
    </row>
    <row r="56" spans="3:15" ht="13.5" customHeight="1">
      <c r="C56" s="15"/>
      <c r="D56" s="15"/>
      <c r="E56" s="26">
        <v>44915</v>
      </c>
      <c r="F56" s="32"/>
      <c r="G56" s="32">
        <v>-152880.01</v>
      </c>
      <c r="H56" s="15"/>
      <c r="I56" s="14"/>
      <c r="J56" s="14"/>
      <c r="K56" s="15"/>
      <c r="L56" s="10"/>
      <c r="N56" s="97"/>
      <c r="O56" s="34"/>
    </row>
    <row r="57" spans="3:15" ht="13.5" customHeight="1">
      <c r="C57" s="15" t="s">
        <v>23</v>
      </c>
      <c r="D57" s="15"/>
      <c r="E57" s="26">
        <v>44615</v>
      </c>
      <c r="F57" s="32"/>
      <c r="G57" s="32">
        <v>8403.74</v>
      </c>
      <c r="H57" s="15"/>
      <c r="I57" s="14"/>
      <c r="J57" s="14"/>
      <c r="K57" s="15"/>
      <c r="L57" s="10"/>
      <c r="N57" s="97"/>
      <c r="O57" s="34"/>
    </row>
    <row r="58" spans="3:15" ht="13.5" customHeight="1">
      <c r="C58" s="15"/>
      <c r="D58" s="15"/>
      <c r="E58" s="26">
        <v>44785</v>
      </c>
      <c r="F58" s="32"/>
      <c r="G58" s="32">
        <v>27814.57</v>
      </c>
      <c r="H58" s="15"/>
      <c r="I58" s="14"/>
      <c r="J58" s="14"/>
      <c r="K58" s="15"/>
      <c r="L58" s="10"/>
      <c r="N58" s="97"/>
      <c r="O58" s="34"/>
    </row>
    <row r="59" spans="3:15" ht="13.5" customHeight="1">
      <c r="C59" s="15"/>
      <c r="D59" s="15"/>
      <c r="E59" s="26">
        <v>44895</v>
      </c>
      <c r="F59" s="32"/>
      <c r="G59" s="32">
        <v>13016.39</v>
      </c>
      <c r="H59" s="15"/>
      <c r="I59" s="14"/>
      <c r="J59" s="14"/>
      <c r="K59" s="15"/>
      <c r="L59" s="10"/>
      <c r="N59" s="97"/>
      <c r="O59" s="34"/>
    </row>
    <row r="60" spans="3:15" ht="13.5" customHeight="1">
      <c r="C60" s="15" t="s">
        <v>33</v>
      </c>
      <c r="D60" s="15"/>
      <c r="E60" s="26">
        <v>44931</v>
      </c>
      <c r="F60" s="32"/>
      <c r="G60" s="32">
        <v>-16283.08</v>
      </c>
      <c r="H60" s="15"/>
      <c r="I60" s="14"/>
      <c r="J60" s="14"/>
      <c r="K60" s="15"/>
      <c r="L60" s="10"/>
      <c r="N60" s="97"/>
      <c r="O60" s="34"/>
    </row>
    <row r="61" spans="3:15" ht="13.5" customHeight="1">
      <c r="C61" s="15"/>
      <c r="D61" s="15"/>
      <c r="E61" s="26">
        <v>45107</v>
      </c>
      <c r="F61" s="32"/>
      <c r="G61" s="32">
        <v>-6483.08</v>
      </c>
      <c r="H61" s="15"/>
      <c r="I61" s="14"/>
      <c r="J61" s="14"/>
      <c r="K61" s="15"/>
      <c r="L61" s="10"/>
      <c r="N61" s="97"/>
      <c r="O61" s="34"/>
    </row>
    <row r="62" spans="3:15" ht="13.5" customHeight="1">
      <c r="C62" s="15"/>
      <c r="D62" s="15"/>
      <c r="E62" s="26">
        <v>45117</v>
      </c>
      <c r="F62" s="32"/>
      <c r="G62" s="32">
        <v>-9649.23</v>
      </c>
      <c r="H62" s="15"/>
      <c r="I62" s="14"/>
      <c r="J62" s="14"/>
      <c r="K62" s="15"/>
      <c r="L62" s="10"/>
      <c r="N62" s="97"/>
      <c r="O62" s="34"/>
    </row>
    <row r="63" spans="3:15" ht="13.5" customHeight="1">
      <c r="C63" s="15"/>
      <c r="D63" s="15"/>
      <c r="E63" s="26">
        <v>45203</v>
      </c>
      <c r="F63" s="32"/>
      <c r="G63" s="32">
        <v>-10930.78</v>
      </c>
      <c r="H63" s="15"/>
      <c r="I63" s="14"/>
      <c r="J63" s="14"/>
      <c r="K63" s="15"/>
      <c r="L63" s="10"/>
      <c r="N63" s="97"/>
      <c r="O63" s="34"/>
    </row>
    <row r="64" spans="3:15" ht="13.5" customHeight="1">
      <c r="C64" s="15"/>
      <c r="D64" s="15"/>
      <c r="E64" s="26">
        <v>45232</v>
      </c>
      <c r="F64" s="32"/>
      <c r="G64" s="32">
        <v>-8669.23</v>
      </c>
      <c r="H64" s="15"/>
      <c r="I64" s="14"/>
      <c r="J64" s="14"/>
      <c r="K64" s="15"/>
      <c r="L64" s="10"/>
      <c r="N64" s="97"/>
      <c r="O64" s="34"/>
    </row>
    <row r="65" spans="3:15" ht="13.5" customHeight="1">
      <c r="C65" s="15"/>
      <c r="D65" s="15"/>
      <c r="E65" s="26">
        <v>45281</v>
      </c>
      <c r="F65" s="32"/>
      <c r="G65" s="32">
        <v>-8820</v>
      </c>
      <c r="H65" s="15"/>
      <c r="I65" s="14"/>
      <c r="J65" s="14"/>
      <c r="K65" s="15"/>
      <c r="L65" s="10"/>
      <c r="N65" s="97"/>
      <c r="O65" s="34"/>
    </row>
    <row r="66" spans="3:15" ht="13.5" customHeight="1">
      <c r="C66" s="15" t="s">
        <v>24</v>
      </c>
      <c r="D66" s="15"/>
      <c r="E66" s="26">
        <v>45051</v>
      </c>
      <c r="F66" s="32"/>
      <c r="G66" s="32">
        <v>203518.33</v>
      </c>
      <c r="H66" s="15"/>
      <c r="I66" s="14"/>
      <c r="J66" s="14"/>
      <c r="K66" s="15"/>
      <c r="L66" s="10"/>
      <c r="N66" s="97"/>
      <c r="O66" s="34"/>
    </row>
    <row r="67" spans="3:15" ht="13.5" customHeight="1">
      <c r="C67" s="15"/>
      <c r="D67" s="15"/>
      <c r="E67" s="26">
        <v>45132</v>
      </c>
      <c r="F67" s="32"/>
      <c r="G67" s="32">
        <v>51513.61</v>
      </c>
      <c r="H67" s="15"/>
      <c r="I67" s="14"/>
      <c r="J67" s="14"/>
      <c r="K67" s="15"/>
      <c r="L67" s="10"/>
      <c r="N67" s="97"/>
      <c r="O67" s="34"/>
    </row>
    <row r="68" spans="3:15" ht="13.5" customHeight="1">
      <c r="C68" s="15"/>
      <c r="D68" s="15"/>
      <c r="E68" s="26">
        <v>45162</v>
      </c>
      <c r="F68" s="32"/>
      <c r="G68" s="32">
        <v>88757.32</v>
      </c>
      <c r="H68" s="15"/>
      <c r="I68" s="14"/>
      <c r="J68" s="14"/>
      <c r="K68" s="15"/>
      <c r="L68" s="10"/>
      <c r="N68" s="97"/>
      <c r="O68" s="34"/>
    </row>
    <row r="69" spans="3:15" ht="13.5" customHeight="1">
      <c r="C69" s="15"/>
      <c r="D69" s="15"/>
      <c r="E69" s="26">
        <v>45184</v>
      </c>
      <c r="F69" s="32"/>
      <c r="G69" s="32">
        <v>26259.22</v>
      </c>
      <c r="H69" s="15"/>
      <c r="I69" s="14"/>
      <c r="J69" s="14"/>
      <c r="K69" s="15"/>
      <c r="L69" s="10"/>
      <c r="N69" s="97"/>
      <c r="O69" s="34"/>
    </row>
    <row r="70" spans="3:15" ht="13.5" customHeight="1">
      <c r="C70" s="15"/>
      <c r="D70" s="15"/>
      <c r="E70" s="26">
        <v>45280</v>
      </c>
      <c r="F70" s="32"/>
      <c r="G70" s="32">
        <v>18555.93</v>
      </c>
      <c r="H70" s="15"/>
      <c r="I70" s="14"/>
      <c r="J70" s="14"/>
      <c r="K70" s="15"/>
      <c r="L70" s="10"/>
      <c r="N70" s="97"/>
      <c r="O70" s="34"/>
    </row>
    <row r="71" spans="3:15" ht="13.5" customHeight="1">
      <c r="C71" s="15" t="s">
        <v>36</v>
      </c>
      <c r="D71" s="15"/>
      <c r="E71" s="26">
        <v>45327</v>
      </c>
      <c r="F71" s="32"/>
      <c r="G71" s="32">
        <v>-4749.23</v>
      </c>
      <c r="H71" s="15"/>
      <c r="I71" s="14"/>
      <c r="J71" s="14"/>
      <c r="K71" s="15"/>
      <c r="L71" s="10"/>
      <c r="N71" s="97"/>
      <c r="O71" s="34"/>
    </row>
    <row r="72" spans="3:15" ht="13.5" customHeight="1">
      <c r="C72" s="15"/>
      <c r="D72" s="15"/>
      <c r="E72" s="26">
        <v>45362</v>
      </c>
      <c r="F72" s="32"/>
      <c r="G72" s="32">
        <v>-11986.15</v>
      </c>
      <c r="H72" s="15"/>
      <c r="I72" s="14"/>
      <c r="J72" s="14"/>
      <c r="K72" s="15"/>
      <c r="L72" s="10"/>
      <c r="N72" s="97"/>
      <c r="O72" s="34"/>
    </row>
    <row r="73" spans="3:15" ht="13.5" customHeight="1">
      <c r="C73" s="15"/>
      <c r="D73" s="15"/>
      <c r="E73" s="26">
        <v>45393</v>
      </c>
      <c r="F73" s="32"/>
      <c r="G73" s="32">
        <v>-4673.85</v>
      </c>
      <c r="H73" s="15"/>
      <c r="I73" s="14"/>
      <c r="J73" s="14"/>
      <c r="K73" s="15"/>
      <c r="L73" s="10"/>
      <c r="N73" s="97"/>
      <c r="O73" s="34"/>
    </row>
    <row r="74" spans="3:15" ht="13.5" customHeight="1">
      <c r="C74" s="15" t="s">
        <v>35</v>
      </c>
      <c r="D74" s="15"/>
      <c r="E74" s="26">
        <v>45329</v>
      </c>
      <c r="F74" s="32"/>
      <c r="G74" s="32">
        <v>36302.16</v>
      </c>
      <c r="H74" s="15"/>
      <c r="I74" s="14"/>
      <c r="J74" s="14"/>
      <c r="K74" s="15"/>
      <c r="L74" s="10"/>
      <c r="N74" s="97"/>
      <c r="O74" s="34"/>
    </row>
    <row r="75" spans="3:15" ht="4.5" customHeight="1">
      <c r="C75" s="15"/>
      <c r="D75" s="15"/>
      <c r="E75" s="26"/>
      <c r="F75" s="15"/>
      <c r="G75" s="32"/>
      <c r="H75" s="15"/>
      <c r="I75" s="14"/>
      <c r="J75" s="14"/>
      <c r="O75" s="34"/>
    </row>
    <row r="76" spans="3:13" ht="15.75">
      <c r="C76" s="15" t="s">
        <v>25</v>
      </c>
      <c r="D76" s="15"/>
      <c r="E76" s="26">
        <f>+E8</f>
        <v>45473</v>
      </c>
      <c r="F76" s="15"/>
      <c r="G76" s="33">
        <f>L76/0.98*C22</f>
        <v>1535771.301192606</v>
      </c>
      <c r="H76" s="15"/>
      <c r="I76" s="32">
        <f>+SUMIF($G$24:$G$75,"&lt;0",$G$24:$G$75)+G29</f>
        <v>-2097727.74</v>
      </c>
      <c r="J76" s="15" t="s">
        <v>26</v>
      </c>
      <c r="L76" s="58">
        <v>1.996503099E9</v>
      </c>
      <c r="M76" s="10"/>
    </row>
    <row r="77" spans="3:13" ht="12.75">
      <c r="C77" s="15"/>
      <c r="D77" s="15"/>
      <c r="E77" s="15"/>
      <c r="F77" s="15"/>
      <c r="G77" s="15"/>
      <c r="H77" s="15"/>
      <c r="I77" s="32">
        <f>+SUMIF($G$24:$G$75,"&gt;0",$G$24:$G$75)-G29</f>
        <v>1075917.85</v>
      </c>
      <c r="J77" s="15" t="s">
        <v>27</v>
      </c>
      <c r="M77" s="34"/>
    </row>
    <row r="78" spans="3:13" ht="12.75">
      <c r="C78" s="36" t="s">
        <v>28</v>
      </c>
      <c r="G78" s="37">
        <f>+XIRR(G24:G76,E24:E76,0.1)</f>
        <v>0.08109085261821745</v>
      </c>
      <c r="H78" s="15"/>
      <c r="M78" s="35"/>
    </row>
    <row r="79" spans="3:8" ht="12.75">
      <c r="C79" s="15"/>
      <c r="D79" s="15"/>
      <c r="E79" s="15"/>
      <c r="F79" s="15"/>
      <c r="G79" s="15"/>
      <c r="H79" s="15"/>
    </row>
    <row r="80" spans="3:13" ht="12.75">
      <c r="C80" s="15"/>
      <c r="D80" s="15"/>
      <c r="E80" s="15"/>
      <c r="F80" s="15"/>
      <c r="G80" s="15"/>
      <c r="H80" s="15"/>
      <c r="M80" s="35"/>
    </row>
    <row r="81" spans="3:13" ht="12.75">
      <c r="C81" s="39"/>
      <c r="D81" s="39"/>
      <c r="E81" s="38"/>
      <c r="F81" s="39"/>
      <c r="G81" s="38"/>
      <c r="H81" s="15"/>
      <c r="M81" s="35"/>
    </row>
    <row r="82" spans="3:13" ht="12.75">
      <c r="C82" s="39"/>
      <c r="D82" s="39"/>
      <c r="E82" s="38"/>
      <c r="F82" s="39"/>
      <c r="G82" s="38"/>
      <c r="H82" s="15"/>
      <c r="M82" s="35"/>
    </row>
    <row r="83" spans="3:13" ht="12.75">
      <c r="C83" s="39"/>
      <c r="D83" s="39"/>
      <c r="E83" s="38"/>
      <c r="F83" s="39"/>
      <c r="G83" s="38"/>
      <c r="H83" s="15"/>
      <c r="M83" s="35"/>
    </row>
    <row r="84" spans="3:8" ht="12.75">
      <c r="C84" s="39"/>
      <c r="D84" s="39"/>
      <c r="E84" s="39"/>
      <c r="F84" s="39"/>
      <c r="G84" s="39"/>
      <c r="H84" s="36"/>
    </row>
    <row r="85" spans="3:8" ht="12.75">
      <c r="C85" s="39"/>
      <c r="D85" s="39"/>
      <c r="E85" s="38"/>
      <c r="F85" s="38"/>
      <c r="G85" s="38"/>
      <c r="H85" s="36"/>
    </row>
    <row r="86" spans="3:17" ht="12.75">
      <c r="C86" s="39"/>
      <c r="D86" s="39"/>
      <c r="E86" s="39"/>
      <c r="F86" s="39"/>
      <c r="G86" s="39"/>
      <c r="H86" s="36"/>
      <c r="Q86" s="111"/>
    </row>
    <row r="87" spans="3:17" ht="12.75">
      <c r="C87" s="39"/>
      <c r="D87" s="39"/>
      <c r="E87" s="59"/>
      <c r="F87" s="41"/>
      <c r="G87" s="59"/>
      <c r="H87" s="36"/>
      <c r="Q87" s="111"/>
    </row>
    <row r="88" spans="3:17" ht="12.75">
      <c r="C88" s="39"/>
      <c r="D88" s="39"/>
      <c r="E88" s="41"/>
      <c r="F88" s="41"/>
      <c r="G88" s="41"/>
      <c r="H88" s="36"/>
      <c r="Q88" s="111"/>
    </row>
    <row r="89" spans="3:17" ht="12.75">
      <c r="C89" s="39"/>
      <c r="D89" s="39"/>
      <c r="E89" s="41"/>
      <c r="F89" s="41"/>
      <c r="G89" s="41"/>
      <c r="H89" s="36"/>
      <c r="Q89" s="111"/>
    </row>
    <row r="90" spans="3:17" ht="12.75">
      <c r="C90" s="42"/>
      <c r="D90" s="39"/>
      <c r="E90" s="41"/>
      <c r="F90" s="41"/>
      <c r="G90" s="41"/>
      <c r="H90" s="36"/>
      <c r="Q90" s="111"/>
    </row>
    <row r="91" spans="3:17" ht="12.75">
      <c r="C91" s="42"/>
      <c r="D91" s="39"/>
      <c r="E91" s="41"/>
      <c r="F91" s="41"/>
      <c r="G91" s="41"/>
      <c r="H91" s="36"/>
      <c r="Q91" s="111"/>
    </row>
    <row r="92" spans="3:17" ht="12.75">
      <c r="C92" s="43"/>
      <c r="D92" s="39"/>
      <c r="E92" s="41"/>
      <c r="F92" s="41"/>
      <c r="G92" s="41"/>
      <c r="H92" s="36"/>
      <c r="Q92" s="111"/>
    </row>
    <row r="93" spans="3:17" ht="12.75">
      <c r="C93" s="39"/>
      <c r="D93" s="39"/>
      <c r="E93" s="41"/>
      <c r="F93" s="41"/>
      <c r="G93" s="41"/>
      <c r="H93" s="36"/>
      <c r="Q93" s="111"/>
    </row>
    <row r="94" spans="3:8" ht="12.75">
      <c r="C94" s="39"/>
      <c r="D94" s="39"/>
      <c r="E94" s="41"/>
      <c r="F94" s="41"/>
      <c r="G94" s="41"/>
      <c r="H94" s="36"/>
    </row>
    <row r="95" spans="3:8" ht="12.75">
      <c r="C95" s="39"/>
      <c r="D95" s="39"/>
      <c r="E95" s="41"/>
      <c r="F95" s="41"/>
      <c r="G95" s="41"/>
      <c r="H95" s="36"/>
    </row>
    <row r="96" spans="3:8" ht="12.75">
      <c r="C96" s="39"/>
      <c r="D96" s="39"/>
      <c r="E96" s="41"/>
      <c r="F96" s="41"/>
      <c r="G96" s="41"/>
      <c r="H96" s="36"/>
    </row>
    <row r="97" spans="3:8" ht="12.75">
      <c r="C97" s="39"/>
      <c r="D97" s="39"/>
      <c r="E97" s="41"/>
      <c r="F97" s="41"/>
      <c r="G97" s="41"/>
      <c r="H97" s="36"/>
    </row>
    <row r="98" spans="3:8" ht="12.75">
      <c r="C98" s="39"/>
      <c r="D98" s="39"/>
      <c r="E98" s="41"/>
      <c r="F98" s="41"/>
      <c r="G98" s="41"/>
      <c r="H98" s="36"/>
    </row>
    <row r="99" spans="3:8" ht="5.1" customHeight="1">
      <c r="C99" s="66"/>
      <c r="D99" s="36"/>
      <c r="E99" s="44"/>
      <c r="F99" s="44"/>
      <c r="G99" s="44"/>
      <c r="H99" s="36"/>
    </row>
    <row r="100" spans="3:8" ht="12.75">
      <c r="C100" s="66"/>
      <c r="D100" s="36"/>
      <c r="E100" s="45"/>
      <c r="F100" s="45"/>
      <c r="G100" s="45"/>
      <c r="H100" s="36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tabColor rgb="FF92D050"/>
    <pageSetUpPr fitToPage="1"/>
  </sheetPr>
  <dimension ref="B4:O106"/>
  <sheetViews>
    <sheetView showGridLines="0" view="pageLayout" zoomScaleNormal="100" workbookViewId="0" topLeftCell="A64">
      <selection pane="topLeft" activeCell="L78" sqref="L78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285714285714286" customWidth="1"/>
    <col min="13" max="13" width="18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IV'!E8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3" ht="12.75" customHeight="1">
      <c r="C18" s="11" t="s">
        <v>1</v>
      </c>
      <c r="D18" s="11"/>
      <c r="E18" s="19">
        <f>G80</f>
        <v>0.07823750674724582</v>
      </c>
      <c r="F18" s="11"/>
      <c r="G18" s="18"/>
      <c r="H18" s="19"/>
      <c r="I18" s="49"/>
      <c r="J18" s="33"/>
      <c r="L18" s="27"/>
      <c r="M18" s="35"/>
    </row>
    <row r="19" spans="3:14" ht="12.75">
      <c r="C19" s="11" t="s">
        <v>2</v>
      </c>
      <c r="D19" s="11"/>
      <c r="E19" s="23">
        <f>-(G78+I79)/I78</f>
        <v>1.2369182186656256</v>
      </c>
      <c r="F19" s="11"/>
      <c r="G19" s="12"/>
      <c r="H19" s="13"/>
      <c r="J19" s="33"/>
      <c r="L19" s="27"/>
      <c r="M19" s="35"/>
      <c r="N19" s="91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91"/>
    </row>
    <row r="22" spans="3:13" ht="12.75">
      <c r="C22" s="28">
        <v>0.003167063</v>
      </c>
      <c r="D22" s="15"/>
      <c r="E22" s="15"/>
      <c r="F22" s="15"/>
      <c r="G22" s="29"/>
      <c r="H22" s="15"/>
      <c r="I22" s="15"/>
      <c r="J22" s="33"/>
      <c r="L22" s="27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L23" s="10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-40134.77</v>
      </c>
      <c r="H24" s="15"/>
      <c r="I24" s="14"/>
      <c r="J24" s="33"/>
      <c r="K24" s="15"/>
      <c r="L24" s="58"/>
      <c r="M24" s="35"/>
    </row>
    <row r="25" spans="3:13" ht="12.75">
      <c r="C25" s="15"/>
      <c r="D25" s="15"/>
      <c r="E25" s="26">
        <v>43193</v>
      </c>
      <c r="F25" s="32"/>
      <c r="G25" s="32">
        <v>-4131.08</v>
      </c>
      <c r="H25" s="15"/>
      <c r="I25" s="14"/>
      <c r="J25" s="33"/>
      <c r="K25" s="119"/>
      <c r="L25" s="58"/>
      <c r="M25" s="35"/>
    </row>
    <row r="26" spans="3:13" ht="12.75">
      <c r="C26" s="15"/>
      <c r="D26" s="15"/>
      <c r="E26" s="26">
        <v>43286</v>
      </c>
      <c r="F26" s="32"/>
      <c r="G26" s="32">
        <v>-3769.23</v>
      </c>
      <c r="H26" s="15"/>
      <c r="I26" s="14"/>
      <c r="J26" s="33"/>
      <c r="K26" s="119"/>
      <c r="L26" s="58"/>
      <c r="M26" s="35"/>
    </row>
    <row r="27" spans="3:13" ht="12.75">
      <c r="C27" s="15"/>
      <c r="D27" s="15"/>
      <c r="E27" s="26">
        <v>43328</v>
      </c>
      <c r="F27" s="32"/>
      <c r="G27" s="32">
        <v>-14142.15</v>
      </c>
      <c r="H27" s="15"/>
      <c r="I27" s="14"/>
      <c r="J27" s="33"/>
      <c r="K27" s="119"/>
      <c r="L27" s="58"/>
      <c r="M27" s="35"/>
    </row>
    <row r="28" spans="3:15" ht="12.75">
      <c r="C28" s="15"/>
      <c r="E28" s="26">
        <v>43369</v>
      </c>
      <c r="G28" s="32">
        <v>-293698.46</v>
      </c>
      <c r="H28" s="15"/>
      <c r="I28" s="14"/>
      <c r="J28" s="33"/>
      <c r="K28" s="119"/>
      <c r="L28" s="27"/>
      <c r="M28" s="35"/>
      <c r="O28" s="35"/>
    </row>
    <row r="29" spans="5:11" ht="12.75">
      <c r="E29" s="26">
        <v>43391</v>
      </c>
      <c r="G29" s="32">
        <v>78400</v>
      </c>
      <c r="H29" s="15"/>
      <c r="I29" s="14"/>
      <c r="J29" s="14"/>
      <c r="K29" s="15"/>
    </row>
    <row r="30" spans="5:11" ht="12.75">
      <c r="E30" s="26">
        <v>43461</v>
      </c>
      <c r="G30" s="32">
        <v>-5096.01</v>
      </c>
      <c r="H30" s="15"/>
      <c r="I30" s="14"/>
      <c r="J30" s="14"/>
      <c r="K30" s="15"/>
    </row>
    <row r="31" spans="3:11" ht="12.75">
      <c r="C31" s="15" t="s">
        <v>19</v>
      </c>
      <c r="D31" s="15"/>
      <c r="E31" s="26">
        <v>43494</v>
      </c>
      <c r="G31" s="32">
        <v>-7870.16</v>
      </c>
      <c r="H31" s="15"/>
      <c r="I31" s="14"/>
      <c r="J31" s="14"/>
      <c r="K31" s="15"/>
    </row>
    <row r="32" spans="3:11" ht="12.75">
      <c r="C32" s="15"/>
      <c r="D32" s="15"/>
      <c r="E32" s="26">
        <v>43622</v>
      </c>
      <c r="G32" s="32">
        <v>-5246.77</v>
      </c>
      <c r="H32" s="15"/>
      <c r="I32" s="14"/>
      <c r="J32" s="14"/>
      <c r="K32" s="15"/>
    </row>
    <row r="33" spans="3:11" ht="12.75">
      <c r="C33" s="15"/>
      <c r="D33" s="15"/>
      <c r="E33" s="26">
        <v>43670</v>
      </c>
      <c r="F33" s="32"/>
      <c r="G33" s="32">
        <v>-7900.31</v>
      </c>
      <c r="H33" s="15"/>
      <c r="I33" s="14"/>
      <c r="J33" s="14"/>
      <c r="K33" s="15"/>
    </row>
    <row r="34" spans="3:11" ht="12.75">
      <c r="C34" s="15"/>
      <c r="D34" s="15"/>
      <c r="E34" s="26">
        <v>43742</v>
      </c>
      <c r="F34" s="32"/>
      <c r="G34" s="32">
        <v>-5729.23</v>
      </c>
      <c r="H34" s="15"/>
      <c r="I34" s="14"/>
      <c r="J34" s="14"/>
      <c r="K34" s="15"/>
    </row>
    <row r="35" spans="3:11" ht="12.75">
      <c r="C35" s="15"/>
      <c r="D35" s="15"/>
      <c r="E35" s="26">
        <v>43794</v>
      </c>
      <c r="F35" s="32"/>
      <c r="G35" s="32">
        <v>-14021.53</v>
      </c>
      <c r="H35" s="15"/>
      <c r="I35" s="14"/>
      <c r="J35" s="14"/>
      <c r="K35" s="15"/>
    </row>
    <row r="36" spans="3:11" ht="12.75">
      <c r="C36" s="15"/>
      <c r="D36" s="15"/>
      <c r="E36" s="26">
        <v>43801</v>
      </c>
      <c r="F36" s="32"/>
      <c r="G36" s="32">
        <v>-26867.08</v>
      </c>
      <c r="H36" s="15"/>
      <c r="I36" s="14"/>
      <c r="J36" s="14"/>
      <c r="K36" s="15"/>
    </row>
    <row r="37" spans="3:11" ht="12.75">
      <c r="C37" s="15" t="s">
        <v>20</v>
      </c>
      <c r="D37" s="15"/>
      <c r="E37" s="26">
        <v>43671</v>
      </c>
      <c r="F37" s="32"/>
      <c r="G37" s="32">
        <v>25873.43</v>
      </c>
      <c r="H37" s="15"/>
      <c r="I37" s="14"/>
      <c r="J37" s="14"/>
      <c r="K37" s="15"/>
    </row>
    <row r="38" spans="3:11" ht="12.75">
      <c r="C38" s="15" t="s">
        <v>21</v>
      </c>
      <c r="D38" s="15"/>
      <c r="E38" s="26">
        <v>43859</v>
      </c>
      <c r="F38" s="32"/>
      <c r="G38" s="32">
        <v>-7598.78</v>
      </c>
      <c r="H38" s="15"/>
      <c r="I38" s="14"/>
      <c r="J38" s="14"/>
      <c r="K38" s="15"/>
    </row>
    <row r="39" spans="3:11" ht="12.75">
      <c r="C39" s="15"/>
      <c r="D39" s="15"/>
      <c r="E39" s="26">
        <v>43916</v>
      </c>
      <c r="F39" s="32"/>
      <c r="G39" s="32">
        <v>-7447.99</v>
      </c>
      <c r="H39" s="15"/>
      <c r="I39" s="14"/>
      <c r="J39" s="14"/>
      <c r="K39" s="15"/>
    </row>
    <row r="40" spans="3:11" ht="12.75">
      <c r="C40" s="15"/>
      <c r="D40" s="15"/>
      <c r="E40" s="26">
        <v>44103</v>
      </c>
      <c r="F40" s="32"/>
      <c r="G40" s="32">
        <v>-9619.08</v>
      </c>
      <c r="H40" s="15"/>
      <c r="I40" s="14"/>
      <c r="J40" s="14"/>
      <c r="K40" s="15"/>
    </row>
    <row r="41" spans="3:11" ht="12.75">
      <c r="C41" s="15"/>
      <c r="D41" s="15"/>
      <c r="E41" s="26">
        <v>44126</v>
      </c>
      <c r="F41" s="32"/>
      <c r="G41" s="32">
        <v>-32264.62</v>
      </c>
      <c r="H41" s="15"/>
      <c r="I41" s="14"/>
      <c r="J41" s="14"/>
      <c r="K41" s="15"/>
    </row>
    <row r="42" spans="3:11" ht="12.75">
      <c r="C42" s="15" t="s">
        <v>31</v>
      </c>
      <c r="D42" s="15"/>
      <c r="E42" s="26">
        <v>44200</v>
      </c>
      <c r="F42" s="32"/>
      <c r="G42" s="32">
        <v>-5307.07</v>
      </c>
      <c r="H42" s="15"/>
      <c r="I42" s="14"/>
      <c r="J42" s="14"/>
      <c r="K42" s="15"/>
    </row>
    <row r="43" spans="3:11" ht="12.75">
      <c r="C43" s="15"/>
      <c r="D43" s="15"/>
      <c r="E43" s="26">
        <v>44376</v>
      </c>
      <c r="F43" s="32"/>
      <c r="G43" s="32">
        <v>-5729.22</v>
      </c>
      <c r="H43" s="15"/>
      <c r="I43" s="14"/>
      <c r="J43" s="14"/>
      <c r="K43" s="15"/>
    </row>
    <row r="44" spans="3:11" ht="12.75">
      <c r="C44" s="15"/>
      <c r="D44" s="15"/>
      <c r="E44" s="26">
        <v>44466</v>
      </c>
      <c r="F44" s="32"/>
      <c r="G44" s="32">
        <v>-3769.23</v>
      </c>
      <c r="H44" s="15"/>
      <c r="I44" s="14"/>
      <c r="J44" s="14"/>
      <c r="K44" s="15"/>
    </row>
    <row r="45" spans="3:11" ht="12.75">
      <c r="C45" s="15"/>
      <c r="D45" s="15"/>
      <c r="E45" s="26">
        <v>44530</v>
      </c>
      <c r="F45" s="32"/>
      <c r="G45" s="32">
        <v>-7448.01</v>
      </c>
      <c r="H45" s="15"/>
      <c r="I45" s="14"/>
      <c r="J45" s="14"/>
      <c r="K45" s="15"/>
    </row>
    <row r="46" spans="3:11" ht="12.75">
      <c r="C46" s="15" t="s">
        <v>22</v>
      </c>
      <c r="D46" s="15"/>
      <c r="E46" s="26">
        <v>44463</v>
      </c>
      <c r="F46" s="32"/>
      <c r="G46" s="32">
        <v>4310.1</v>
      </c>
      <c r="H46" s="15"/>
      <c r="I46" s="14"/>
      <c r="J46" s="14"/>
      <c r="K46" s="15"/>
    </row>
    <row r="47" spans="3:11" ht="12.75">
      <c r="C47" s="15"/>
      <c r="D47" s="15"/>
      <c r="E47" s="26">
        <v>44484</v>
      </c>
      <c r="F47" s="32"/>
      <c r="G47" s="32">
        <v>190670.31</v>
      </c>
      <c r="H47" s="15"/>
      <c r="I47" s="14"/>
      <c r="J47" s="14"/>
      <c r="K47" s="15"/>
    </row>
    <row r="48" spans="3:11" ht="12.75">
      <c r="C48" s="15"/>
      <c r="D48" s="15"/>
      <c r="E48" s="26">
        <v>44539</v>
      </c>
      <c r="F48" s="32"/>
      <c r="G48" s="32">
        <v>15666.13</v>
      </c>
      <c r="H48" s="15"/>
      <c r="I48" s="14"/>
      <c r="J48" s="14"/>
      <c r="K48" s="15"/>
    </row>
    <row r="49" spans="3:11" ht="12.75">
      <c r="C49" s="15" t="s">
        <v>32</v>
      </c>
      <c r="D49" s="15"/>
      <c r="E49" s="26">
        <v>44606</v>
      </c>
      <c r="F49" s="32"/>
      <c r="G49" s="32">
        <v>-94954.46</v>
      </c>
      <c r="H49" s="15"/>
      <c r="I49" s="14"/>
      <c r="J49" s="14"/>
      <c r="K49" s="15"/>
    </row>
    <row r="50" spans="3:11" ht="12.75">
      <c r="C50" s="15"/>
      <c r="D50" s="15"/>
      <c r="E50" s="26">
        <v>44649</v>
      </c>
      <c r="F50" s="32"/>
      <c r="G50" s="32">
        <v>-3769.23</v>
      </c>
      <c r="H50" s="15"/>
      <c r="I50" s="14"/>
      <c r="J50" s="14"/>
      <c r="K50" s="15"/>
    </row>
    <row r="51" spans="3:11" ht="12.75">
      <c r="C51" s="15"/>
      <c r="D51" s="15"/>
      <c r="E51" s="26">
        <v>44672</v>
      </c>
      <c r="F51" s="32"/>
      <c r="G51" s="32">
        <v>-1537.85</v>
      </c>
      <c r="H51" s="15"/>
      <c r="I51" s="14"/>
      <c r="J51" s="14"/>
      <c r="K51" s="15"/>
    </row>
    <row r="52" spans="3:11" ht="12.75">
      <c r="C52" s="15"/>
      <c r="D52" s="15"/>
      <c r="E52" s="26">
        <v>44736</v>
      </c>
      <c r="F52" s="32"/>
      <c r="G52" s="32">
        <v>-12393.23</v>
      </c>
      <c r="H52" s="15"/>
      <c r="I52" s="14"/>
      <c r="J52" s="14"/>
      <c r="K52" s="15"/>
    </row>
    <row r="53" spans="3:11" ht="12.75">
      <c r="C53" s="15"/>
      <c r="D53" s="15"/>
      <c r="E53" s="26">
        <v>44764</v>
      </c>
      <c r="F53" s="32"/>
      <c r="G53" s="32">
        <v>-60036.31</v>
      </c>
      <c r="H53" s="15"/>
      <c r="I53" s="14"/>
      <c r="J53" s="14"/>
      <c r="K53" s="15"/>
    </row>
    <row r="54" spans="3:11" ht="12.75">
      <c r="C54" s="15"/>
      <c r="D54" s="15"/>
      <c r="E54" s="26">
        <v>44819</v>
      </c>
      <c r="F54" s="32"/>
      <c r="G54" s="32">
        <v>-136235.06</v>
      </c>
      <c r="H54" s="15"/>
      <c r="I54" s="14"/>
      <c r="J54" s="14"/>
      <c r="K54" s="15"/>
    </row>
    <row r="55" spans="3:11" ht="12.75">
      <c r="C55" s="15"/>
      <c r="D55" s="15"/>
      <c r="E55" s="26">
        <v>44875</v>
      </c>
      <c r="F55" s="32"/>
      <c r="G55" s="32">
        <v>-6724.31</v>
      </c>
      <c r="H55" s="15"/>
      <c r="I55" s="14"/>
      <c r="J55" s="14"/>
      <c r="K55" s="15"/>
    </row>
    <row r="56" spans="3:11" ht="12.75">
      <c r="C56" s="15"/>
      <c r="D56" s="15"/>
      <c r="E56" s="26">
        <v>44915</v>
      </c>
      <c r="F56" s="32"/>
      <c r="G56" s="32">
        <v>-61152.01</v>
      </c>
      <c r="H56" s="15"/>
      <c r="I56" s="14"/>
      <c r="J56" s="14"/>
      <c r="K56" s="15"/>
    </row>
    <row r="57" spans="3:11" ht="12.75">
      <c r="C57" s="15" t="s">
        <v>23</v>
      </c>
      <c r="D57" s="15"/>
      <c r="E57" s="26">
        <v>44615</v>
      </c>
      <c r="F57" s="32"/>
      <c r="G57" s="32">
        <v>3257.23</v>
      </c>
      <c r="H57" s="15"/>
      <c r="I57" s="14"/>
      <c r="J57" s="14"/>
      <c r="K57" s="15"/>
    </row>
    <row r="58" spans="3:11" ht="12.75">
      <c r="C58" s="15"/>
      <c r="D58" s="15"/>
      <c r="E58" s="26">
        <v>44785</v>
      </c>
      <c r="F58" s="32"/>
      <c r="G58" s="32">
        <v>10883.37</v>
      </c>
      <c r="H58" s="15"/>
      <c r="I58" s="14"/>
      <c r="J58" s="14"/>
      <c r="K58" s="15"/>
    </row>
    <row r="59" spans="3:11" ht="12.75">
      <c r="C59" s="15"/>
      <c r="D59" s="15"/>
      <c r="E59" s="26">
        <v>44895</v>
      </c>
      <c r="F59" s="32"/>
      <c r="G59" s="32">
        <v>5060.80</v>
      </c>
      <c r="H59" s="15"/>
      <c r="I59" s="14"/>
      <c r="J59" s="14"/>
      <c r="K59" s="15"/>
    </row>
    <row r="60" spans="3:11" ht="12.75">
      <c r="C60" s="15" t="s">
        <v>33</v>
      </c>
      <c r="D60" s="15"/>
      <c r="E60" s="26">
        <v>44931</v>
      </c>
      <c r="F60" s="32"/>
      <c r="G60" s="32">
        <v>-6513.23</v>
      </c>
      <c r="H60" s="15"/>
      <c r="I60" s="14"/>
      <c r="J60" s="14"/>
      <c r="K60" s="15"/>
    </row>
    <row r="61" spans="3:11" ht="12.75">
      <c r="C61" s="15"/>
      <c r="D61" s="15"/>
      <c r="E61" s="26">
        <v>45107</v>
      </c>
      <c r="F61" s="32"/>
      <c r="G61" s="32">
        <v>-2593.23</v>
      </c>
      <c r="H61" s="15"/>
      <c r="I61" s="14"/>
      <c r="J61" s="14"/>
      <c r="K61" s="15"/>
    </row>
    <row r="62" spans="3:11" ht="12.75">
      <c r="C62" s="15"/>
      <c r="D62" s="15"/>
      <c r="E62" s="26">
        <v>45117</v>
      </c>
      <c r="F62" s="32"/>
      <c r="G62" s="32">
        <v>-3859.69</v>
      </c>
      <c r="H62" s="15"/>
      <c r="I62" s="14"/>
      <c r="J62" s="14"/>
      <c r="K62" s="15"/>
    </row>
    <row r="63" spans="3:11" ht="12.75">
      <c r="C63" s="15"/>
      <c r="D63" s="15"/>
      <c r="E63" s="26">
        <v>45203</v>
      </c>
      <c r="F63" s="32"/>
      <c r="G63" s="32">
        <v>-4372.32</v>
      </c>
      <c r="H63" s="15"/>
      <c r="I63" s="14"/>
      <c r="J63" s="14"/>
      <c r="K63" s="15"/>
    </row>
    <row r="64" spans="3:11" ht="12.75">
      <c r="C64" s="15"/>
      <c r="D64" s="15"/>
      <c r="E64" s="26">
        <v>45232</v>
      </c>
      <c r="F64" s="32"/>
      <c r="G64" s="32">
        <v>-3467.69</v>
      </c>
      <c r="H64" s="15"/>
      <c r="I64" s="14"/>
      <c r="J64" s="14"/>
      <c r="K64" s="15"/>
    </row>
    <row r="65" spans="3:11" ht="12.75">
      <c r="C65" s="15"/>
      <c r="D65" s="15"/>
      <c r="E65" s="26">
        <v>45281</v>
      </c>
      <c r="F65" s="32"/>
      <c r="G65" s="32">
        <v>-3528</v>
      </c>
      <c r="H65" s="15"/>
      <c r="I65" s="14"/>
      <c r="J65" s="14"/>
      <c r="K65" s="15"/>
    </row>
    <row r="66" spans="3:11" ht="12.75">
      <c r="C66" s="15" t="s">
        <v>24</v>
      </c>
      <c r="D66" s="15"/>
      <c r="E66" s="26">
        <v>45051</v>
      </c>
      <c r="F66" s="32"/>
      <c r="G66" s="32">
        <v>74979.18</v>
      </c>
      <c r="H66" s="15"/>
      <c r="I66" s="14"/>
      <c r="J66" s="14"/>
      <c r="K66" s="15"/>
    </row>
    <row r="67" spans="3:11" ht="12.75">
      <c r="C67" s="15"/>
      <c r="D67" s="15"/>
      <c r="E67" s="26">
        <v>45109</v>
      </c>
      <c r="F67" s="32"/>
      <c r="G67" s="32">
        <v>-31.67</v>
      </c>
      <c r="H67" s="15"/>
      <c r="I67" s="14"/>
      <c r="J67" s="14"/>
      <c r="K67" s="15"/>
    </row>
    <row r="68" spans="3:11" ht="12.75">
      <c r="C68" s="15"/>
      <c r="D68" s="15"/>
      <c r="E68" s="26">
        <v>45132</v>
      </c>
      <c r="F68" s="32"/>
      <c r="G68" s="32">
        <v>20507.98</v>
      </c>
      <c r="H68" s="15"/>
      <c r="I68" s="14"/>
      <c r="J68" s="14"/>
      <c r="K68" s="15"/>
    </row>
    <row r="69" spans="3:11" ht="12.75">
      <c r="C69" s="15"/>
      <c r="D69" s="15"/>
      <c r="E69" s="26">
        <v>45162</v>
      </c>
      <c r="F69" s="32"/>
      <c r="G69" s="32">
        <v>35283.45</v>
      </c>
      <c r="H69" s="15"/>
      <c r="I69" s="14"/>
      <c r="J69" s="14"/>
      <c r="K69" s="15"/>
    </row>
    <row r="70" spans="3:11" ht="12.75">
      <c r="C70" s="15"/>
      <c r="D70" s="15"/>
      <c r="E70" s="26">
        <v>45184</v>
      </c>
      <c r="F70" s="32"/>
      <c r="G70" s="32">
        <v>10503.69</v>
      </c>
      <c r="H70" s="15"/>
      <c r="I70" s="14"/>
      <c r="J70" s="14"/>
      <c r="K70" s="15"/>
    </row>
    <row r="71" spans="3:11" ht="12.75">
      <c r="C71" s="15"/>
      <c r="D71" s="15"/>
      <c r="E71" s="26">
        <v>45280</v>
      </c>
      <c r="F71" s="32"/>
      <c r="G71" s="32">
        <v>7327.35</v>
      </c>
      <c r="H71" s="15"/>
      <c r="I71" s="14"/>
      <c r="J71" s="14"/>
      <c r="K71" s="15"/>
    </row>
    <row r="72" spans="3:11" ht="12.75">
      <c r="C72" s="15" t="s">
        <v>36</v>
      </c>
      <c r="D72" s="15"/>
      <c r="E72" s="26">
        <v>45327</v>
      </c>
      <c r="F72" s="32"/>
      <c r="G72" s="32">
        <v>-1899.70</v>
      </c>
      <c r="H72" s="15"/>
      <c r="I72" s="14"/>
      <c r="J72" s="14"/>
      <c r="K72" s="15"/>
    </row>
    <row r="73" spans="3:11" ht="12.75">
      <c r="C73" s="15"/>
      <c r="D73" s="15"/>
      <c r="E73" s="26">
        <v>45362</v>
      </c>
      <c r="F73" s="32"/>
      <c r="G73" s="32">
        <v>-4794.46</v>
      </c>
      <c r="H73" s="15"/>
      <c r="I73" s="14"/>
      <c r="J73" s="14"/>
      <c r="K73" s="15"/>
    </row>
    <row r="74" spans="3:11" ht="12.75">
      <c r="C74" s="15"/>
      <c r="D74" s="15"/>
      <c r="E74" s="26">
        <v>45393</v>
      </c>
      <c r="F74" s="32"/>
      <c r="G74" s="32">
        <v>-1869.54</v>
      </c>
      <c r="H74" s="15"/>
      <c r="I74" s="14"/>
      <c r="J74" s="14"/>
      <c r="K74" s="15"/>
    </row>
    <row r="75" spans="3:11" ht="12.75">
      <c r="C75" s="15" t="s">
        <v>35</v>
      </c>
      <c r="D75" s="15"/>
      <c r="E75" s="26">
        <v>45329</v>
      </c>
      <c r="F75" s="32"/>
      <c r="G75" s="32">
        <v>14204.15</v>
      </c>
      <c r="H75" s="15"/>
      <c r="I75" s="14"/>
      <c r="J75" s="14"/>
      <c r="K75" s="15"/>
    </row>
    <row r="76" spans="3:11" ht="12.75">
      <c r="C76" s="15"/>
      <c r="D76" s="15"/>
      <c r="E76" s="26"/>
      <c r="F76" s="32"/>
      <c r="G76" s="32"/>
      <c r="H76" s="15"/>
      <c r="I76" s="14"/>
      <c r="J76" s="14"/>
      <c r="K76" s="15"/>
    </row>
    <row r="77" spans="3:15" ht="4.5" customHeight="1">
      <c r="C77" s="15"/>
      <c r="D77" s="15"/>
      <c r="E77" s="26"/>
      <c r="F77" s="15"/>
      <c r="G77" s="32"/>
      <c r="H77" s="15"/>
      <c r="I77" s="14"/>
      <c r="J77" s="14"/>
      <c r="O77" s="34"/>
    </row>
    <row r="78" spans="3:13" ht="15.75">
      <c r="C78" s="15" t="s">
        <v>25</v>
      </c>
      <c r="D78" s="15"/>
      <c r="E78" s="26">
        <f>+E8</f>
        <v>45473</v>
      </c>
      <c r="F78" s="15"/>
      <c r="G78" s="33">
        <f>L78*C22</f>
        <v>619391.56871018</v>
      </c>
      <c r="H78" s="15"/>
      <c r="I78" s="32">
        <f>+SUMIF($G$24:$G$77,"&lt;0",$G$24:$G$77)+G29-G67</f>
        <v>-839091.0999999997</v>
      </c>
      <c r="J78" s="15" t="s">
        <v>26</v>
      </c>
      <c r="L78" s="120">
        <v>195572860</v>
      </c>
      <c r="M78" s="10"/>
    </row>
    <row r="79" spans="3:10" ht="12.75">
      <c r="C79" s="15"/>
      <c r="D79" s="15"/>
      <c r="E79" s="15"/>
      <c r="F79" s="15"/>
      <c r="G79" s="15"/>
      <c r="H79" s="15"/>
      <c r="I79" s="32">
        <f>+SUMIF($G$24:$G$77,"&gt;0",$G$24:$G$77)-G29+G67</f>
        <v>418495.49999999994</v>
      </c>
      <c r="J79" s="15" t="s">
        <v>27</v>
      </c>
    </row>
    <row r="80" spans="3:8" ht="12.75">
      <c r="C80" s="36" t="s">
        <v>28</v>
      </c>
      <c r="G80" s="37">
        <f>+XIRR(G24:G78,E24:E78)</f>
        <v>0.07823750674724582</v>
      </c>
      <c r="H80" s="15"/>
    </row>
    <row r="81" spans="3:8" ht="12.75">
      <c r="C81" s="15"/>
      <c r="D81" s="15"/>
      <c r="E81" s="15"/>
      <c r="F81" s="15"/>
      <c r="G81" s="15"/>
      <c r="H81" s="15"/>
    </row>
    <row r="82" spans="3:8" ht="12.75">
      <c r="C82" s="15"/>
      <c r="D82" s="15"/>
      <c r="E82" s="15"/>
      <c r="F82" s="15"/>
      <c r="G82" s="15"/>
      <c r="H82" s="15"/>
    </row>
    <row r="83" spans="3:8" ht="12.75">
      <c r="C83" s="39"/>
      <c r="D83" s="39"/>
      <c r="E83" s="38"/>
      <c r="F83" s="15"/>
      <c r="G83" s="38"/>
      <c r="H83" s="15"/>
    </row>
    <row r="84" spans="3:8" ht="12.75">
      <c r="C84" s="39"/>
      <c r="D84" s="39"/>
      <c r="E84" s="38"/>
      <c r="F84" s="39"/>
      <c r="G84" s="38"/>
      <c r="H84" s="15"/>
    </row>
    <row r="85" spans="3:8" ht="12.75">
      <c r="C85" s="39"/>
      <c r="D85" s="39"/>
      <c r="E85" s="38"/>
      <c r="F85" s="15"/>
      <c r="G85" s="38"/>
      <c r="H85" s="15"/>
    </row>
    <row r="86" spans="3:8" ht="12.75">
      <c r="C86" s="39"/>
      <c r="D86" s="39"/>
      <c r="E86" s="39"/>
      <c r="F86" s="39"/>
      <c r="G86" s="39"/>
      <c r="H86" s="36"/>
    </row>
    <row r="87" spans="3:8" ht="12.75">
      <c r="C87" s="39"/>
      <c r="D87" s="39"/>
      <c r="E87" s="38"/>
      <c r="F87" s="38"/>
      <c r="G87" s="38"/>
      <c r="H87" s="36"/>
    </row>
    <row r="88" spans="3:8" ht="12.75">
      <c r="C88" s="39"/>
      <c r="D88" s="39"/>
      <c r="E88" s="39"/>
      <c r="F88" s="39"/>
      <c r="G88" s="39"/>
      <c r="H88" s="36"/>
    </row>
    <row r="89" spans="3:8" ht="12.75">
      <c r="C89" s="39"/>
      <c r="D89" s="39"/>
      <c r="E89" s="59"/>
      <c r="F89" s="40"/>
      <c r="G89" s="59"/>
      <c r="H89" s="15"/>
    </row>
    <row r="90" spans="3:8" ht="12.75">
      <c r="C90" s="39"/>
      <c r="D90" s="39"/>
      <c r="E90" s="41"/>
      <c r="F90" s="40"/>
      <c r="G90" s="41"/>
      <c r="H90" s="15"/>
    </row>
    <row r="91" spans="3:8" ht="12.75">
      <c r="C91" s="39"/>
      <c r="D91" s="39"/>
      <c r="E91" s="41"/>
      <c r="F91" s="40"/>
      <c r="G91" s="41"/>
      <c r="H91" s="15"/>
    </row>
    <row r="92" spans="3:8" ht="12.75">
      <c r="C92" s="42"/>
      <c r="D92" s="39"/>
      <c r="E92" s="41"/>
      <c r="F92" s="40"/>
      <c r="G92" s="41"/>
      <c r="H92" s="15"/>
    </row>
    <row r="93" spans="3:8" ht="12.75">
      <c r="C93" s="42"/>
      <c r="D93" s="39"/>
      <c r="E93" s="41"/>
      <c r="F93" s="40"/>
      <c r="G93" s="41"/>
      <c r="H93" s="15"/>
    </row>
    <row r="94" spans="3:8" ht="12.75">
      <c r="C94" s="43"/>
      <c r="D94" s="39"/>
      <c r="E94" s="41"/>
      <c r="F94" s="40"/>
      <c r="G94" s="41"/>
      <c r="H94" s="15"/>
    </row>
    <row r="95" spans="3:8" ht="12.75">
      <c r="C95" s="39"/>
      <c r="D95" s="39"/>
      <c r="E95" s="41"/>
      <c r="F95" s="40"/>
      <c r="G95" s="41"/>
      <c r="H95" s="15"/>
    </row>
    <row r="96" spans="3:8" ht="12.75">
      <c r="C96" s="39"/>
      <c r="D96" s="39"/>
      <c r="E96" s="41"/>
      <c r="F96" s="40"/>
      <c r="G96" s="41"/>
      <c r="H96" s="15"/>
    </row>
    <row r="97" spans="3:8" ht="12.75">
      <c r="C97" s="39"/>
      <c r="D97" s="39"/>
      <c r="E97" s="41"/>
      <c r="F97" s="40"/>
      <c r="G97" s="41"/>
      <c r="H97" s="15"/>
    </row>
    <row r="98" spans="3:8" ht="12.75">
      <c r="C98" s="39"/>
      <c r="D98" s="39"/>
      <c r="E98" s="41"/>
      <c r="F98" s="40"/>
      <c r="G98" s="41"/>
      <c r="H98" s="15"/>
    </row>
    <row r="99" spans="3:8" ht="12.75">
      <c r="C99" s="39"/>
      <c r="D99" s="39"/>
      <c r="E99" s="41"/>
      <c r="F99" s="40"/>
      <c r="G99" s="41"/>
      <c r="H99" s="15"/>
    </row>
    <row r="100" spans="3:8" ht="12.75">
      <c r="C100" s="39"/>
      <c r="D100" s="39"/>
      <c r="E100" s="41"/>
      <c r="F100" s="40"/>
      <c r="G100" s="41"/>
      <c r="H100" s="15"/>
    </row>
    <row r="101" spans="3:8" ht="4.9" customHeight="1">
      <c r="C101" s="36"/>
      <c r="D101" s="36"/>
      <c r="E101" s="44"/>
      <c r="F101" s="44"/>
      <c r="G101" s="44"/>
      <c r="H101" s="15"/>
    </row>
    <row r="102" spans="3:8" ht="12.75">
      <c r="C102" s="15"/>
      <c r="D102" s="15"/>
      <c r="E102" s="15"/>
      <c r="F102" s="15"/>
      <c r="G102" s="15"/>
      <c r="H102" s="15"/>
    </row>
    <row r="103" spans="3:8" ht="12.75">
      <c r="C103" s="15"/>
      <c r="D103" s="15"/>
      <c r="E103" s="15"/>
      <c r="F103" s="15"/>
      <c r="G103" s="15"/>
      <c r="H103" s="15"/>
    </row>
    <row r="104" spans="3:8" ht="12.75">
      <c r="C104" s="15"/>
      <c r="D104" s="15"/>
      <c r="E104" s="15"/>
      <c r="F104" s="15"/>
      <c r="G104" s="15"/>
      <c r="H104" s="15"/>
    </row>
    <row r="105" spans="3:8" ht="12.75">
      <c r="C105" s="15"/>
      <c r="D105" s="15"/>
      <c r="E105" s="15"/>
      <c r="F105" s="15"/>
      <c r="G105" s="15"/>
      <c r="H105" s="15"/>
    </row>
    <row r="106" spans="3:8" ht="12.75">
      <c r="C106" s="15"/>
      <c r="D106" s="15"/>
      <c r="E106" s="15"/>
      <c r="F106" s="15"/>
      <c r="G106" s="15"/>
      <c r="H106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tabColor rgb="FF92D050"/>
    <pageSetUpPr fitToPage="1"/>
  </sheetPr>
  <dimension ref="B4:N100"/>
  <sheetViews>
    <sheetView showGridLines="0" view="pageLayout" zoomScaleNormal="100" workbookViewId="0" topLeftCell="A4">
      <selection pane="topLeft" activeCell="C21" sqref="C2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" customWidth="1"/>
    <col min="13" max="13" width="18.857142857142858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IV'!E8</f>
        <v>45473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3" ht="12.75" customHeight="1">
      <c r="C18" s="11" t="s">
        <v>1</v>
      </c>
      <c r="D18" s="11"/>
      <c r="E18" s="19">
        <f>G79</f>
        <v>0.08046763837337496</v>
      </c>
      <c r="F18" s="11"/>
      <c r="G18" s="18"/>
      <c r="H18" s="19"/>
      <c r="I18" s="49"/>
      <c r="J18" s="33"/>
      <c r="L18" s="27"/>
      <c r="M18" s="35"/>
    </row>
    <row r="19" spans="3:14" ht="12.75">
      <c r="C19" s="11" t="s">
        <v>2</v>
      </c>
      <c r="D19" s="11"/>
      <c r="E19" s="23">
        <f>-(G77+I78)/(I77)</f>
        <v>1.2431521432496737</v>
      </c>
      <c r="F19" s="11"/>
      <c r="G19" s="12"/>
      <c r="H19" s="13"/>
      <c r="J19" s="33"/>
      <c r="L19" s="27"/>
      <c r="M19" s="35"/>
      <c r="N19" s="91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91"/>
    </row>
    <row r="22" spans="3:13" ht="12.75">
      <c r="C22" s="89">
        <v>0.017458101</v>
      </c>
      <c r="D22" s="15"/>
      <c r="E22" s="15"/>
      <c r="F22" s="15"/>
      <c r="G22" s="29"/>
      <c r="H22" s="15"/>
      <c r="I22" s="15"/>
      <c r="J22" s="33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L23" s="10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-200673.85</v>
      </c>
      <c r="H24" s="15"/>
      <c r="I24" s="14"/>
      <c r="J24" s="33"/>
      <c r="K24" s="15"/>
      <c r="L24" s="58"/>
      <c r="M24" s="35"/>
    </row>
    <row r="25" spans="3:13" ht="12.75">
      <c r="C25" s="15"/>
      <c r="D25" s="15"/>
      <c r="E25" s="26">
        <v>43193</v>
      </c>
      <c r="F25" s="32"/>
      <c r="G25" s="32">
        <v>-20655.39</v>
      </c>
      <c r="H25" s="15"/>
      <c r="I25" s="14"/>
      <c r="J25" s="33"/>
      <c r="K25" s="119"/>
      <c r="L25" s="58"/>
      <c r="M25" s="35"/>
    </row>
    <row r="26" spans="3:13" ht="12.75">
      <c r="C26" s="15"/>
      <c r="D26" s="15"/>
      <c r="E26" s="26">
        <v>43286</v>
      </c>
      <c r="F26" s="32"/>
      <c r="G26" s="32">
        <v>-18846.15</v>
      </c>
      <c r="H26" s="15"/>
      <c r="I26" s="14"/>
      <c r="J26" s="33"/>
      <c r="K26" s="119"/>
      <c r="L26" s="58"/>
      <c r="M26" s="35"/>
    </row>
    <row r="27" spans="3:13" ht="12.75">
      <c r="C27" s="15"/>
      <c r="D27" s="15"/>
      <c r="E27" s="26">
        <v>43328</v>
      </c>
      <c r="F27" s="32"/>
      <c r="G27" s="32">
        <v>-70710.78</v>
      </c>
      <c r="H27" s="15"/>
      <c r="I27" s="14"/>
      <c r="J27" s="33"/>
      <c r="K27" s="119"/>
      <c r="L27" s="58"/>
      <c r="M27" s="35"/>
    </row>
    <row r="28" spans="3:13" ht="12.75">
      <c r="C28" s="15"/>
      <c r="E28" s="26">
        <v>43369</v>
      </c>
      <c r="G28" s="32">
        <v>-1468492.30</v>
      </c>
      <c r="H28" s="15"/>
      <c r="I28" s="14"/>
      <c r="J28" s="33"/>
      <c r="K28" s="119"/>
      <c r="M28" s="35"/>
    </row>
    <row r="29" spans="5:11" ht="12.75">
      <c r="E29" s="26">
        <v>43391</v>
      </c>
      <c r="G29" s="32">
        <v>392000</v>
      </c>
      <c r="H29" s="15"/>
      <c r="I29" s="14"/>
      <c r="J29" s="14"/>
      <c r="K29" s="15"/>
    </row>
    <row r="30" spans="5:11" ht="12.75">
      <c r="E30" s="26">
        <v>43461</v>
      </c>
      <c r="G30" s="32">
        <v>-25480</v>
      </c>
      <c r="H30" s="15"/>
      <c r="I30" s="14"/>
      <c r="J30" s="14"/>
      <c r="K30" s="15"/>
    </row>
    <row r="31" spans="3:9" ht="12.75">
      <c r="C31" s="15" t="s">
        <v>19</v>
      </c>
      <c r="D31" s="15"/>
      <c r="E31" s="26">
        <v>43494</v>
      </c>
      <c r="G31" s="32">
        <v>-39350.78</v>
      </c>
      <c r="H31" s="15"/>
      <c r="I31" s="14"/>
    </row>
    <row r="32" spans="3:14" ht="12.75">
      <c r="C32" s="15"/>
      <c r="D32" s="15"/>
      <c r="E32" s="26">
        <v>43622</v>
      </c>
      <c r="G32" s="32">
        <v>-26233.85</v>
      </c>
      <c r="H32" s="15"/>
      <c r="I32" s="14"/>
      <c r="J32" s="14"/>
      <c r="K32" s="15"/>
      <c r="M32" s="97"/>
      <c r="N32" s="34"/>
    </row>
    <row r="33" spans="3:14" ht="12.75">
      <c r="C33" s="15"/>
      <c r="D33" s="15"/>
      <c r="E33" s="26">
        <v>43670</v>
      </c>
      <c r="F33" s="32"/>
      <c r="G33" s="32">
        <v>-39501.54</v>
      </c>
      <c r="H33" s="15"/>
      <c r="I33" s="14"/>
      <c r="J33" s="14"/>
      <c r="K33" s="15"/>
      <c r="M33" s="97"/>
      <c r="N33" s="34"/>
    </row>
    <row r="34" spans="3:14" ht="12.75">
      <c r="C34" s="15"/>
      <c r="D34" s="15"/>
      <c r="E34" s="26">
        <v>43742</v>
      </c>
      <c r="F34" s="32"/>
      <c r="G34" s="32">
        <v>-28646.15</v>
      </c>
      <c r="H34" s="15"/>
      <c r="I34" s="14"/>
      <c r="J34" s="14"/>
      <c r="K34" s="15"/>
      <c r="M34" s="97"/>
      <c r="N34" s="34"/>
    </row>
    <row r="35" spans="3:14" ht="12.75">
      <c r="C35" s="15"/>
      <c r="D35" s="15"/>
      <c r="E35" s="26">
        <v>43794</v>
      </c>
      <c r="F35" s="32"/>
      <c r="G35" s="32">
        <v>-70107.70</v>
      </c>
      <c r="H35" s="15"/>
      <c r="I35" s="14"/>
      <c r="J35" s="14"/>
      <c r="K35" s="15"/>
      <c r="M35" s="97"/>
      <c r="N35" s="34"/>
    </row>
    <row r="36" spans="3:14" ht="12.75">
      <c r="C36" s="15"/>
      <c r="D36" s="15"/>
      <c r="E36" s="26">
        <v>43801</v>
      </c>
      <c r="F36" s="32"/>
      <c r="G36" s="32">
        <v>-134335.38</v>
      </c>
      <c r="H36" s="15"/>
      <c r="I36" s="14"/>
      <c r="J36" s="14"/>
      <c r="K36" s="15"/>
      <c r="M36" s="97"/>
      <c r="N36" s="34"/>
    </row>
    <row r="37" spans="3:14" ht="12.75">
      <c r="C37" s="15" t="s">
        <v>20</v>
      </c>
      <c r="D37" s="15"/>
      <c r="E37" s="26">
        <v>43671</v>
      </c>
      <c r="F37" s="32"/>
      <c r="G37" s="32">
        <v>129646.89</v>
      </c>
      <c r="H37" s="15"/>
      <c r="I37" s="14"/>
      <c r="J37" s="14"/>
      <c r="K37" s="15"/>
      <c r="M37" s="97"/>
      <c r="N37" s="34"/>
    </row>
    <row r="38" spans="3:14" ht="12.75">
      <c r="C38" s="15" t="s">
        <v>21</v>
      </c>
      <c r="D38" s="15"/>
      <c r="E38" s="26">
        <v>43859</v>
      </c>
      <c r="F38" s="32"/>
      <c r="G38" s="32">
        <v>-37993.85</v>
      </c>
      <c r="H38" s="15"/>
      <c r="I38" s="14"/>
      <c r="J38" s="14"/>
      <c r="K38" s="15"/>
      <c r="M38" s="97"/>
      <c r="N38" s="34"/>
    </row>
    <row r="39" spans="3:14" ht="12.75">
      <c r="C39" s="15"/>
      <c r="D39" s="15"/>
      <c r="E39" s="26">
        <v>43916</v>
      </c>
      <c r="F39" s="32"/>
      <c r="G39" s="32">
        <v>-37240</v>
      </c>
      <c r="H39" s="15"/>
      <c r="I39" s="14"/>
      <c r="J39" s="14"/>
      <c r="K39" s="15"/>
      <c r="M39" s="97"/>
      <c r="N39" s="34"/>
    </row>
    <row r="40" spans="3:14" ht="12.75">
      <c r="C40" s="15"/>
      <c r="D40" s="15"/>
      <c r="E40" s="26">
        <v>44103</v>
      </c>
      <c r="F40" s="32"/>
      <c r="G40" s="32">
        <v>-48095.38</v>
      </c>
      <c r="H40" s="15"/>
      <c r="I40" s="14"/>
      <c r="J40" s="14"/>
      <c r="K40" s="15"/>
      <c r="M40" s="97"/>
      <c r="N40" s="34"/>
    </row>
    <row r="41" spans="3:14" ht="12.75">
      <c r="C41" s="15"/>
      <c r="D41" s="15"/>
      <c r="E41" s="26">
        <v>44126</v>
      </c>
      <c r="F41" s="32"/>
      <c r="G41" s="32">
        <v>-161323.07</v>
      </c>
      <c r="H41" s="15"/>
      <c r="I41" s="14"/>
      <c r="J41" s="14"/>
      <c r="K41" s="15"/>
      <c r="M41" s="97"/>
      <c r="N41" s="34"/>
    </row>
    <row r="42" spans="3:14" ht="12.75">
      <c r="C42" s="15" t="s">
        <v>31</v>
      </c>
      <c r="D42" s="15"/>
      <c r="E42" s="26">
        <v>44200</v>
      </c>
      <c r="F42" s="32"/>
      <c r="G42" s="32">
        <v>-26535.39</v>
      </c>
      <c r="H42" s="15"/>
      <c r="I42" s="14"/>
      <c r="J42" s="14"/>
      <c r="K42" s="15"/>
      <c r="M42" s="97"/>
      <c r="N42" s="34"/>
    </row>
    <row r="43" spans="3:14" ht="12.75">
      <c r="C43" s="15"/>
      <c r="D43" s="15"/>
      <c r="E43" s="26">
        <v>44376</v>
      </c>
      <c r="F43" s="32"/>
      <c r="G43" s="32">
        <v>-28646.16</v>
      </c>
      <c r="H43" s="15"/>
      <c r="I43" s="14"/>
      <c r="J43" s="14"/>
      <c r="K43" s="15"/>
      <c r="M43" s="97"/>
      <c r="N43" s="34"/>
    </row>
    <row r="44" spans="3:14" ht="12.75">
      <c r="C44" s="15"/>
      <c r="D44" s="15"/>
      <c r="E44" s="26">
        <v>44466</v>
      </c>
      <c r="F44" s="32"/>
      <c r="G44" s="32">
        <v>-18846.15</v>
      </c>
      <c r="H44" s="15"/>
      <c r="I44" s="14"/>
      <c r="J44" s="14"/>
      <c r="K44" s="15"/>
      <c r="M44" s="97"/>
      <c r="N44" s="34"/>
    </row>
    <row r="45" spans="3:14" ht="12.75">
      <c r="C45" s="15"/>
      <c r="D45" s="15"/>
      <c r="E45" s="26">
        <v>44530</v>
      </c>
      <c r="F45" s="32"/>
      <c r="G45" s="32">
        <v>-37240.01</v>
      </c>
      <c r="H45" s="15"/>
      <c r="I45" s="14"/>
      <c r="J45" s="14"/>
      <c r="K45" s="15"/>
      <c r="M45" s="97"/>
      <c r="N45" s="34"/>
    </row>
    <row r="46" spans="3:14" ht="12.75">
      <c r="C46" s="15" t="s">
        <v>22</v>
      </c>
      <c r="D46" s="15"/>
      <c r="E46" s="26">
        <v>44463</v>
      </c>
      <c r="F46" s="32"/>
      <c r="G46" s="32">
        <v>22626.91</v>
      </c>
      <c r="H46" s="15"/>
      <c r="I46" s="14"/>
      <c r="J46" s="14"/>
      <c r="K46" s="15"/>
      <c r="M46" s="97"/>
      <c r="N46" s="34"/>
    </row>
    <row r="47" spans="3:14" ht="12.75">
      <c r="C47" s="15"/>
      <c r="D47" s="15"/>
      <c r="E47" s="26">
        <v>44484</v>
      </c>
      <c r="F47" s="32"/>
      <c r="G47" s="32">
        <v>969199.17</v>
      </c>
      <c r="H47" s="15"/>
      <c r="I47" s="14"/>
      <c r="J47" s="14"/>
      <c r="K47" s="15"/>
      <c r="M47" s="97"/>
      <c r="N47" s="34"/>
    </row>
    <row r="48" spans="3:14" ht="12.75">
      <c r="C48" s="15"/>
      <c r="D48" s="15"/>
      <c r="E48" s="26">
        <v>44539</v>
      </c>
      <c r="F48" s="32"/>
      <c r="G48" s="32">
        <v>78313.97</v>
      </c>
      <c r="H48" s="15"/>
      <c r="I48" s="14"/>
      <c r="J48" s="14"/>
      <c r="K48" s="15"/>
      <c r="M48" s="97"/>
      <c r="N48" s="34"/>
    </row>
    <row r="49" spans="3:14" ht="12.75">
      <c r="C49" s="15" t="s">
        <v>32</v>
      </c>
      <c r="D49" s="15"/>
      <c r="E49" s="26">
        <v>44606</v>
      </c>
      <c r="F49" s="32"/>
      <c r="G49" s="32">
        <v>-474772.30</v>
      </c>
      <c r="H49" s="15"/>
      <c r="I49" s="14"/>
      <c r="J49" s="14"/>
      <c r="K49" s="15"/>
      <c r="M49" s="97"/>
      <c r="N49" s="34"/>
    </row>
    <row r="50" spans="3:14" ht="12.75">
      <c r="C50" s="15"/>
      <c r="D50" s="15"/>
      <c r="E50" s="26">
        <v>44649</v>
      </c>
      <c r="F50" s="32"/>
      <c r="G50" s="32">
        <v>-18846.15</v>
      </c>
      <c r="H50" s="15"/>
      <c r="I50" s="14"/>
      <c r="J50" s="14"/>
      <c r="K50" s="15"/>
      <c r="M50" s="97"/>
      <c r="N50" s="34"/>
    </row>
    <row r="51" spans="3:14" ht="12.75">
      <c r="C51" s="15"/>
      <c r="D51" s="15"/>
      <c r="E51" s="26">
        <v>44672</v>
      </c>
      <c r="F51" s="32"/>
      <c r="G51" s="32">
        <v>-7689.23</v>
      </c>
      <c r="H51" s="15"/>
      <c r="I51" s="14"/>
      <c r="J51" s="14"/>
      <c r="K51" s="15"/>
      <c r="M51" s="97"/>
      <c r="N51" s="34"/>
    </row>
    <row r="52" spans="3:14" ht="12.75">
      <c r="C52" s="15"/>
      <c r="D52" s="15"/>
      <c r="E52" s="26">
        <v>44736</v>
      </c>
      <c r="F52" s="32"/>
      <c r="G52" s="32">
        <v>-61966.16</v>
      </c>
      <c r="H52" s="15"/>
      <c r="I52" s="14"/>
      <c r="J52" s="14"/>
      <c r="K52" s="15"/>
      <c r="M52" s="97"/>
      <c r="N52" s="34"/>
    </row>
    <row r="53" spans="3:14" ht="12.75">
      <c r="C53" s="15"/>
      <c r="D53" s="15"/>
      <c r="E53" s="26">
        <v>44764</v>
      </c>
      <c r="F53" s="32"/>
      <c r="G53" s="32">
        <v>-300181.54</v>
      </c>
      <c r="H53" s="15"/>
      <c r="I53" s="14"/>
      <c r="J53" s="14"/>
      <c r="K53" s="15"/>
      <c r="M53" s="97"/>
      <c r="N53" s="34"/>
    </row>
    <row r="54" spans="3:14" ht="12.75">
      <c r="C54" s="15"/>
      <c r="D54" s="15"/>
      <c r="E54" s="26">
        <v>44819</v>
      </c>
      <c r="F54" s="32"/>
      <c r="G54" s="32">
        <v>-681175.39</v>
      </c>
      <c r="H54" s="15"/>
      <c r="I54" s="14"/>
      <c r="J54" s="14"/>
      <c r="K54" s="15"/>
      <c r="M54" s="97"/>
      <c r="N54" s="34"/>
    </row>
    <row r="55" spans="3:14" ht="12.75">
      <c r="C55" s="15"/>
      <c r="D55" s="15"/>
      <c r="E55" s="26">
        <v>44875</v>
      </c>
      <c r="F55" s="32"/>
      <c r="G55" s="32">
        <v>-33621.54</v>
      </c>
      <c r="H55" s="15"/>
      <c r="I55" s="14"/>
      <c r="J55" s="14"/>
      <c r="K55" s="15"/>
      <c r="M55" s="97"/>
      <c r="N55" s="34"/>
    </row>
    <row r="56" spans="3:14" ht="12.75">
      <c r="C56" s="15"/>
      <c r="D56" s="15"/>
      <c r="E56" s="26">
        <v>44915</v>
      </c>
      <c r="F56" s="32"/>
      <c r="G56" s="32">
        <v>-305760</v>
      </c>
      <c r="H56" s="15"/>
      <c r="I56" s="14"/>
      <c r="J56" s="14"/>
      <c r="K56" s="15"/>
      <c r="M56" s="97"/>
      <c r="N56" s="34"/>
    </row>
    <row r="57" spans="3:14" ht="12.75">
      <c r="C57" s="15" t="s">
        <v>23</v>
      </c>
      <c r="D57" s="15"/>
      <c r="E57" s="26">
        <v>44615</v>
      </c>
      <c r="F57" s="32"/>
      <c r="G57" s="32">
        <v>16557.02</v>
      </c>
      <c r="H57" s="15"/>
      <c r="I57" s="14"/>
      <c r="J57" s="14"/>
      <c r="K57" s="15"/>
      <c r="M57" s="97"/>
      <c r="N57" s="34"/>
    </row>
    <row r="58" spans="3:14" ht="12.75">
      <c r="C58" s="15"/>
      <c r="D58" s="15"/>
      <c r="E58" s="26">
        <v>44785</v>
      </c>
      <c r="F58" s="32"/>
      <c r="G58" s="32">
        <v>54642.34</v>
      </c>
      <c r="H58" s="15"/>
      <c r="I58" s="14"/>
      <c r="J58" s="14"/>
      <c r="K58" s="15"/>
      <c r="M58" s="97"/>
      <c r="N58" s="34"/>
    </row>
    <row r="59" spans="3:14" ht="12.75">
      <c r="C59" s="15"/>
      <c r="D59" s="15"/>
      <c r="E59" s="26">
        <v>44895</v>
      </c>
      <c r="F59" s="32"/>
      <c r="G59" s="32">
        <v>25685.79</v>
      </c>
      <c r="H59" s="15"/>
      <c r="I59" s="14"/>
      <c r="J59" s="14"/>
      <c r="K59" s="15"/>
      <c r="M59" s="97"/>
      <c r="N59" s="34"/>
    </row>
    <row r="60" spans="3:14" ht="12.75">
      <c r="C60" s="15" t="s">
        <v>33</v>
      </c>
      <c r="D60" s="15"/>
      <c r="E60" s="26">
        <v>44931</v>
      </c>
      <c r="F60" s="32"/>
      <c r="G60" s="32">
        <v>-32566.16</v>
      </c>
      <c r="H60" s="15"/>
      <c r="I60" s="14"/>
      <c r="J60" s="14"/>
      <c r="K60" s="15"/>
      <c r="M60" s="97"/>
      <c r="N60" s="34"/>
    </row>
    <row r="61" spans="3:14" ht="12.75">
      <c r="C61" s="15"/>
      <c r="D61" s="15"/>
      <c r="E61" s="26">
        <v>45107</v>
      </c>
      <c r="F61" s="32"/>
      <c r="G61" s="32">
        <v>-12966.16</v>
      </c>
      <c r="H61" s="15"/>
      <c r="I61" s="14"/>
      <c r="J61" s="14"/>
      <c r="K61" s="15"/>
      <c r="M61" s="97"/>
      <c r="N61" s="34"/>
    </row>
    <row r="62" spans="3:14" ht="12.75">
      <c r="C62" s="15"/>
      <c r="D62" s="15"/>
      <c r="E62" s="26">
        <v>45117</v>
      </c>
      <c r="F62" s="32"/>
      <c r="G62" s="32">
        <v>-19298.46</v>
      </c>
      <c r="H62" s="15"/>
      <c r="I62" s="14"/>
      <c r="J62" s="14"/>
      <c r="K62" s="15"/>
      <c r="M62" s="97"/>
      <c r="N62" s="34"/>
    </row>
    <row r="63" spans="3:14" ht="12.75">
      <c r="C63" s="15"/>
      <c r="D63" s="15"/>
      <c r="E63" s="26">
        <v>45203</v>
      </c>
      <c r="F63" s="32"/>
      <c r="G63" s="32">
        <v>-21861.53</v>
      </c>
      <c r="H63" s="15"/>
      <c r="I63" s="14"/>
      <c r="J63" s="14"/>
      <c r="K63" s="15"/>
      <c r="M63" s="97"/>
      <c r="N63" s="34"/>
    </row>
    <row r="64" spans="3:14" ht="12.75">
      <c r="C64" s="15"/>
      <c r="D64" s="15"/>
      <c r="E64" s="26">
        <v>45232</v>
      </c>
      <c r="F64" s="32"/>
      <c r="G64" s="32">
        <v>-17338.46</v>
      </c>
      <c r="H64" s="15"/>
      <c r="I64" s="14"/>
      <c r="J64" s="14"/>
      <c r="K64" s="15"/>
      <c r="M64" s="97"/>
      <c r="N64" s="34"/>
    </row>
    <row r="65" spans="3:14" ht="12.75">
      <c r="C65" s="15"/>
      <c r="D65" s="15"/>
      <c r="E65" s="26">
        <v>45281</v>
      </c>
      <c r="F65" s="32"/>
      <c r="G65" s="32">
        <v>-17640</v>
      </c>
      <c r="H65" s="15"/>
      <c r="I65" s="14"/>
      <c r="J65" s="14"/>
      <c r="K65" s="15"/>
      <c r="M65" s="97"/>
      <c r="N65" s="34"/>
    </row>
    <row r="66" spans="3:14" ht="12.75">
      <c r="C66" s="15" t="s">
        <v>24</v>
      </c>
      <c r="D66" s="15"/>
      <c r="E66" s="26">
        <v>45051</v>
      </c>
      <c r="F66" s="32"/>
      <c r="G66" s="32">
        <v>406750</v>
      </c>
      <c r="H66" s="15"/>
      <c r="I66" s="14"/>
      <c r="J66" s="14"/>
      <c r="K66" s="15"/>
      <c r="M66" s="97"/>
      <c r="N66" s="34"/>
    </row>
    <row r="67" spans="3:14" ht="12.75">
      <c r="C67" s="15"/>
      <c r="D67" s="15"/>
      <c r="E67" s="26">
        <v>45132</v>
      </c>
      <c r="F67" s="32"/>
      <c r="G67" s="32">
        <v>102817.88</v>
      </c>
      <c r="H67" s="15"/>
      <c r="I67" s="14"/>
      <c r="J67" s="14"/>
      <c r="K67" s="15"/>
      <c r="M67" s="97"/>
      <c r="N67" s="34"/>
    </row>
    <row r="68" spans="3:14" ht="12.75">
      <c r="C68" s="15"/>
      <c r="D68" s="15"/>
      <c r="E68" s="26">
        <v>45162</v>
      </c>
      <c r="F68" s="32"/>
      <c r="G68" s="32">
        <v>176788.20</v>
      </c>
      <c r="H68" s="15"/>
      <c r="I68" s="14"/>
      <c r="J68" s="14"/>
      <c r="K68" s="15"/>
      <c r="M68" s="97"/>
      <c r="N68" s="34"/>
    </row>
    <row r="69" spans="3:14" ht="12.75">
      <c r="C69" s="15"/>
      <c r="D69" s="15"/>
      <c r="E69" s="26">
        <v>45184</v>
      </c>
      <c r="F69" s="32"/>
      <c r="G69" s="32">
        <v>52518.47</v>
      </c>
      <c r="H69" s="15"/>
      <c r="I69" s="14"/>
      <c r="J69" s="14"/>
      <c r="K69" s="15"/>
      <c r="M69" s="97"/>
      <c r="N69" s="34"/>
    </row>
    <row r="70" spans="3:14" ht="12.75">
      <c r="C70" s="15"/>
      <c r="D70" s="15"/>
      <c r="E70" s="26">
        <v>45280</v>
      </c>
      <c r="F70" s="32"/>
      <c r="G70" s="32">
        <v>36588.13</v>
      </c>
      <c r="H70" s="15"/>
      <c r="I70" s="14"/>
      <c r="J70" s="14"/>
      <c r="K70" s="15"/>
      <c r="M70" s="97"/>
      <c r="N70" s="34"/>
    </row>
    <row r="71" spans="3:14" ht="12.75">
      <c r="C71" s="15" t="s">
        <v>36</v>
      </c>
      <c r="D71" s="15"/>
      <c r="E71" s="26">
        <v>45327</v>
      </c>
      <c r="F71" s="32"/>
      <c r="G71" s="32">
        <v>-9498.47</v>
      </c>
      <c r="H71" s="15"/>
      <c r="I71" s="14"/>
      <c r="J71" s="14"/>
      <c r="K71" s="15"/>
      <c r="M71" s="97"/>
      <c r="N71" s="34"/>
    </row>
    <row r="72" spans="3:14" ht="12.75">
      <c r="C72" s="15"/>
      <c r="D72" s="15"/>
      <c r="E72" s="26">
        <v>45362</v>
      </c>
      <c r="F72" s="32"/>
      <c r="G72" s="32">
        <v>-23972.31</v>
      </c>
      <c r="H72" s="15"/>
      <c r="I72" s="14"/>
      <c r="J72" s="14"/>
      <c r="K72" s="15"/>
      <c r="M72" s="97"/>
      <c r="N72" s="34"/>
    </row>
    <row r="73" spans="3:14" ht="12.75">
      <c r="C73" s="15"/>
      <c r="D73" s="15"/>
      <c r="E73" s="26">
        <v>45393</v>
      </c>
      <c r="F73" s="32"/>
      <c r="G73" s="32">
        <v>-9347.7</v>
      </c>
      <c r="H73" s="15"/>
      <c r="I73" s="14"/>
      <c r="J73" s="14"/>
      <c r="K73" s="15"/>
      <c r="M73" s="97"/>
      <c r="N73" s="34"/>
    </row>
    <row r="74" spans="3:14" ht="12.75">
      <c r="C74" s="15" t="s">
        <v>35</v>
      </c>
      <c r="D74" s="15"/>
      <c r="E74" s="26">
        <v>45329</v>
      </c>
      <c r="F74" s="32"/>
      <c r="G74" s="32">
        <v>70858.52</v>
      </c>
      <c r="H74" s="15"/>
      <c r="I74" s="14"/>
      <c r="J74" s="14"/>
      <c r="K74" s="15"/>
      <c r="M74" s="97"/>
      <c r="N74" s="34"/>
    </row>
    <row r="75" spans="3:14" ht="12.75">
      <c r="C75" s="15"/>
      <c r="D75" s="15"/>
      <c r="E75" s="26"/>
      <c r="F75" s="32"/>
      <c r="G75" s="32"/>
      <c r="H75" s="15"/>
      <c r="I75" s="14"/>
      <c r="J75" s="14"/>
      <c r="K75" s="15"/>
      <c r="M75" s="97"/>
      <c r="N75" s="34"/>
    </row>
    <row r="76" spans="3:10" ht="4.5" customHeight="1">
      <c r="C76" s="15"/>
      <c r="D76" s="15"/>
      <c r="E76" s="26"/>
      <c r="F76" s="15"/>
      <c r="G76" s="32"/>
      <c r="H76" s="15"/>
      <c r="I76" s="14"/>
      <c r="J76" s="14"/>
    </row>
    <row r="77" spans="3:13" ht="15.75">
      <c r="C77" s="15" t="s">
        <v>25</v>
      </c>
      <c r="D77" s="15"/>
      <c r="E77" s="26">
        <f>+E8</f>
        <v>45473</v>
      </c>
      <c r="F77" s="15"/>
      <c r="G77" s="33">
        <f>L77*C22</f>
        <v>3072596.132144502</v>
      </c>
      <c r="H77" s="15"/>
      <c r="I77" s="32">
        <f>+SUMIF($G$24:$G$76,"&lt;0",$G$24:$G$76)+G29</f>
        <v>-4195455.4399999995</v>
      </c>
      <c r="J77" s="15" t="s">
        <v>26</v>
      </c>
      <c r="L77" s="58">
        <v>175998302</v>
      </c>
      <c r="M77" s="10"/>
    </row>
    <row r="78" spans="3:10" ht="12.75">
      <c r="C78" s="15"/>
      <c r="D78" s="15"/>
      <c r="E78" s="15"/>
      <c r="F78" s="15"/>
      <c r="G78" s="15"/>
      <c r="H78" s="15"/>
      <c r="I78" s="32">
        <f>+SUMIF($G$24:$G$76,"&gt;0",$G$24:$G$76)-G29</f>
        <v>2142993.2900000005</v>
      </c>
      <c r="J78" s="15" t="s">
        <v>27</v>
      </c>
    </row>
    <row r="79" spans="3:8" ht="12.75">
      <c r="C79" s="36" t="s">
        <v>28</v>
      </c>
      <c r="G79" s="37">
        <f>+XIRR(G24:G77,E24:E77)</f>
        <v>0.08046763837337496</v>
      </c>
      <c r="H79" s="15"/>
    </row>
    <row r="80" spans="3:8" ht="12.75">
      <c r="C80" s="36"/>
      <c r="G80" s="37"/>
      <c r="H80" s="15"/>
    </row>
    <row r="81" spans="3:8" ht="12.75">
      <c r="C81" s="39"/>
      <c r="D81" s="39"/>
      <c r="E81" s="38"/>
      <c r="F81" s="39"/>
      <c r="G81" s="38"/>
      <c r="H81" s="15"/>
    </row>
    <row r="82" spans="3:8" ht="12.75">
      <c r="C82" s="39"/>
      <c r="D82" s="39"/>
      <c r="E82" s="38"/>
      <c r="F82" s="39"/>
      <c r="G82" s="38"/>
      <c r="H82" s="15"/>
    </row>
    <row r="83" spans="3:8" ht="12.75">
      <c r="C83" s="39"/>
      <c r="D83" s="39"/>
      <c r="E83" s="38"/>
      <c r="F83" s="39"/>
      <c r="G83" s="38"/>
      <c r="H83" s="15"/>
    </row>
    <row r="84" spans="3:8" ht="12.75">
      <c r="C84" s="39"/>
      <c r="D84" s="39"/>
      <c r="E84" s="123"/>
      <c r="F84" s="123"/>
      <c r="G84" s="123"/>
      <c r="H84" s="36"/>
    </row>
    <row r="85" spans="3:8" ht="12.75">
      <c r="C85" s="39"/>
      <c r="D85" s="39"/>
      <c r="E85" s="38"/>
      <c r="F85" s="38"/>
      <c r="G85" s="38"/>
      <c r="H85" s="36"/>
    </row>
    <row r="86" spans="3:8" ht="12.75">
      <c r="C86" s="39"/>
      <c r="D86" s="39"/>
      <c r="E86" s="39"/>
      <c r="F86" s="39"/>
      <c r="G86" s="39"/>
      <c r="H86" s="36"/>
    </row>
    <row r="87" spans="3:8" ht="12.75">
      <c r="C87" s="39"/>
      <c r="D87" s="39"/>
      <c r="E87" s="59"/>
      <c r="F87" s="40"/>
      <c r="G87" s="59"/>
      <c r="H87" s="15"/>
    </row>
    <row r="88" spans="3:8" ht="12.75">
      <c r="C88" s="39"/>
      <c r="D88" s="39"/>
      <c r="E88" s="41"/>
      <c r="F88" s="40"/>
      <c r="G88" s="41"/>
      <c r="H88" s="15"/>
    </row>
    <row r="89" spans="3:8" ht="12.75">
      <c r="C89" s="39"/>
      <c r="D89" s="39"/>
      <c r="E89" s="41"/>
      <c r="F89" s="40"/>
      <c r="G89" s="41"/>
      <c r="H89" s="15"/>
    </row>
    <row r="90" spans="3:8" ht="12.75">
      <c r="C90" s="42"/>
      <c r="D90" s="39"/>
      <c r="E90" s="41"/>
      <c r="F90" s="40"/>
      <c r="G90" s="41"/>
      <c r="H90" s="15"/>
    </row>
    <row r="91" spans="3:8" ht="12.75">
      <c r="C91" s="42"/>
      <c r="D91" s="39"/>
      <c r="E91" s="41"/>
      <c r="F91" s="40"/>
      <c r="G91" s="41"/>
      <c r="H91" s="15"/>
    </row>
    <row r="92" spans="3:8" ht="12.75">
      <c r="C92" s="43"/>
      <c r="D92" s="39"/>
      <c r="E92" s="41"/>
      <c r="F92" s="40"/>
      <c r="G92" s="41"/>
      <c r="H92" s="15"/>
    </row>
    <row r="93" spans="3:8" ht="12.75">
      <c r="C93" s="39"/>
      <c r="D93" s="39"/>
      <c r="E93" s="41"/>
      <c r="F93" s="40"/>
      <c r="G93" s="41"/>
      <c r="H93" s="15"/>
    </row>
    <row r="94" spans="3:8" ht="12.75">
      <c r="C94" s="39"/>
      <c r="D94" s="39"/>
      <c r="E94" s="41"/>
      <c r="F94" s="40"/>
      <c r="G94" s="41"/>
      <c r="H94" s="15"/>
    </row>
    <row r="95" spans="3:8" ht="12.75">
      <c r="C95" s="39"/>
      <c r="D95" s="39"/>
      <c r="E95" s="41"/>
      <c r="F95" s="40"/>
      <c r="G95" s="41"/>
      <c r="H95" s="15"/>
    </row>
    <row r="96" spans="3:8" ht="12.75">
      <c r="C96" s="39"/>
      <c r="D96" s="39"/>
      <c r="E96" s="41"/>
      <c r="F96" s="40"/>
      <c r="G96" s="41"/>
      <c r="H96" s="15"/>
    </row>
    <row r="97" spans="3:8" ht="12.75">
      <c r="C97" s="39"/>
      <c r="D97" s="39"/>
      <c r="E97" s="41"/>
      <c r="F97" s="40"/>
      <c r="G97" s="41"/>
      <c r="H97" s="15"/>
    </row>
    <row r="98" spans="3:8" ht="12.75">
      <c r="C98" s="39"/>
      <c r="D98" s="39"/>
      <c r="E98" s="41"/>
      <c r="F98" s="40"/>
      <c r="G98" s="41"/>
      <c r="H98" s="15"/>
    </row>
    <row r="99" spans="3:8" ht="4.9" customHeight="1">
      <c r="C99" s="15"/>
      <c r="D99" s="15"/>
      <c r="E99" s="15"/>
      <c r="F99" s="15"/>
      <c r="G99" s="15"/>
      <c r="H99" s="15"/>
    </row>
    <row r="100" spans="3:8" ht="12.75">
      <c r="C100" s="15"/>
      <c r="D100" s="15"/>
      <c r="E100" s="15"/>
      <c r="F100" s="15"/>
      <c r="G100" s="15"/>
      <c r="H100" s="15"/>
    </row>
  </sheetData>
  <mergeCells count="1">
    <mergeCell ref="E84:G84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38663C-2388-42D0-AF02-1583ECAEE97B}">
  <sheetPr>
    <tabColor rgb="FF92D050"/>
    <pageSetUpPr fitToPage="1"/>
  </sheetPr>
  <dimension ref="B4:Q65"/>
  <sheetViews>
    <sheetView showGridLines="0" view="pageLayout" zoomScaleNormal="100" workbookViewId="0" topLeftCell="A6">
      <selection pane="topLeft" activeCell="J49" sqref="J49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857142857142858" bestFit="1" customWidth="1"/>
    <col min="8" max="8" width="2.4285714285714284" customWidth="1"/>
    <col min="9" max="9" width="19.142857142857142" bestFit="1" customWidth="1"/>
    <col min="10" max="10" width="19.428571428571427" bestFit="1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45473</v>
      </c>
      <c r="F8" s="7"/>
      <c r="G8" s="8"/>
      <c r="H8" s="8"/>
      <c r="I8" s="9"/>
    </row>
    <row r="9" spans="3:12" ht="15.75">
      <c r="C9" s="125"/>
      <c r="D9" s="125"/>
      <c r="E9" s="125"/>
      <c r="F9" s="125"/>
      <c r="G9" s="126"/>
      <c r="I9" s="133"/>
      <c r="J9" s="126"/>
      <c r="K9" s="133"/>
      <c r="L9" s="133"/>
    </row>
    <row r="10" spans="3:15" ht="12.75">
      <c r="C10" s="127"/>
      <c r="D10" s="127"/>
      <c r="E10" s="128"/>
      <c r="F10" s="127"/>
      <c r="G10" s="58"/>
      <c r="H10" s="13"/>
      <c r="I10" s="134"/>
      <c r="J10" s="135"/>
      <c r="K10" s="136"/>
      <c r="L10" s="133"/>
      <c r="O10" s="104"/>
    </row>
    <row r="11" spans="3:12" ht="12.75">
      <c r="C11" s="127"/>
      <c r="D11" s="127"/>
      <c r="E11" s="128"/>
      <c r="F11" s="127"/>
      <c r="G11" s="128"/>
      <c r="H11" s="13"/>
      <c r="I11" s="49"/>
      <c r="J11" s="49"/>
      <c r="K11" s="136"/>
      <c r="L11" s="133"/>
    </row>
    <row r="12" spans="3:12" ht="15.75">
      <c r="C12" s="129"/>
      <c r="D12" s="129"/>
      <c r="E12" s="130"/>
      <c r="F12" s="129"/>
      <c r="G12" s="130"/>
      <c r="H12" s="5"/>
      <c r="I12" s="133"/>
      <c r="J12" s="137"/>
      <c r="K12" s="133"/>
      <c r="L12" s="133"/>
    </row>
    <row r="13" spans="3:15" ht="12.75">
      <c r="C13" s="127"/>
      <c r="D13" s="127"/>
      <c r="E13" s="131"/>
      <c r="F13" s="127"/>
      <c r="G13" s="58"/>
      <c r="H13" s="19"/>
      <c r="I13" s="49"/>
      <c r="J13" s="133"/>
      <c r="K13" s="133"/>
      <c r="L13" s="133"/>
      <c r="O13" s="104"/>
    </row>
    <row r="14" spans="3:12" ht="12.75">
      <c r="C14" s="127"/>
      <c r="D14" s="127"/>
      <c r="E14" s="132"/>
      <c r="F14" s="127"/>
      <c r="G14" s="58"/>
      <c r="H14" s="21"/>
      <c r="I14" s="49"/>
      <c r="J14" s="133"/>
      <c r="K14" s="133"/>
      <c r="L14" s="133"/>
    </row>
    <row r="15" spans="3:12" ht="12.75">
      <c r="C15" s="127"/>
      <c r="D15" s="127"/>
      <c r="E15" s="128"/>
      <c r="F15" s="127"/>
      <c r="G15" s="128"/>
      <c r="H15" s="13"/>
      <c r="I15" s="49"/>
      <c r="J15" s="133"/>
      <c r="K15" s="133"/>
      <c r="L15" s="133"/>
    </row>
    <row r="16" spans="3:12" ht="15.75">
      <c r="C16" s="5"/>
      <c r="D16" s="5"/>
      <c r="E16" s="17"/>
      <c r="F16" s="5"/>
      <c r="G16" s="17"/>
      <c r="H16" s="5"/>
      <c r="I16" s="49"/>
      <c r="J16" s="133"/>
      <c r="K16" s="133"/>
      <c r="L16" s="133"/>
    </row>
    <row r="17" spans="3:14" ht="15.75">
      <c r="C17" s="16" t="s">
        <v>0</v>
      </c>
      <c r="D17" s="16"/>
      <c r="E17" s="17"/>
      <c r="F17" s="16"/>
      <c r="G17" s="17"/>
      <c r="H17" s="5"/>
      <c r="I17" s="49"/>
      <c r="J17" s="133"/>
      <c r="K17" s="133"/>
      <c r="L17" s="133"/>
      <c r="M17" s="54"/>
      <c r="N17" s="54"/>
    </row>
    <row r="18" spans="3:14" ht="12.75" customHeight="1">
      <c r="C18" s="11" t="s">
        <v>1</v>
      </c>
      <c r="D18" s="11"/>
      <c r="E18" s="19">
        <f>G41</f>
        <v>0.15559234142303469</v>
      </c>
      <c r="F18" s="11"/>
      <c r="G18" s="18"/>
      <c r="H18" s="19"/>
      <c r="I18" s="49"/>
      <c r="J18" s="33"/>
      <c r="K18" s="133"/>
      <c r="L18" s="138"/>
      <c r="M18" s="107"/>
      <c r="N18" s="54"/>
    </row>
    <row r="19" spans="3:14" ht="12.75">
      <c r="C19" s="11" t="s">
        <v>2</v>
      </c>
      <c r="D19" s="11"/>
      <c r="E19" s="23">
        <f>-(G39+I40)/I39</f>
        <v>1.1517562387281943</v>
      </c>
      <c r="F19" s="11"/>
      <c r="G19" s="12"/>
      <c r="H19" s="13"/>
      <c r="I19" s="133"/>
      <c r="J19" s="33"/>
      <c r="K19" s="133"/>
      <c r="L19" s="138"/>
      <c r="M19" s="107"/>
      <c r="N19" s="108"/>
    </row>
    <row r="20" spans="3:14" ht="12.75">
      <c r="C20" s="11"/>
      <c r="D20" s="11"/>
      <c r="E20" s="11"/>
      <c r="F20" s="11"/>
      <c r="G20" s="13"/>
      <c r="I20" s="133"/>
      <c r="J20" s="33"/>
      <c r="K20" s="133"/>
      <c r="L20" s="138"/>
      <c r="M20" s="107"/>
      <c r="N20" s="54"/>
    </row>
    <row r="21" spans="3:14" ht="15.75">
      <c r="C21" s="24" t="s">
        <v>29</v>
      </c>
      <c r="D21" s="25"/>
      <c r="E21" s="25"/>
      <c r="F21" s="25"/>
      <c r="I21" s="139"/>
      <c r="J21" s="33"/>
      <c r="K21" s="133"/>
      <c r="L21" s="138"/>
      <c r="M21" s="107"/>
      <c r="N21" s="108"/>
    </row>
    <row r="22" spans="3:14" ht="12.75">
      <c r="C22" s="28">
        <v>1</v>
      </c>
      <c r="D22" s="15"/>
      <c r="E22" s="15"/>
      <c r="F22" s="15"/>
      <c r="G22" s="29"/>
      <c r="H22" s="15"/>
      <c r="I22" s="140"/>
      <c r="J22" s="33"/>
      <c r="K22" s="133"/>
      <c r="L22" s="138"/>
      <c r="M22" s="107"/>
      <c r="N22" s="54"/>
    </row>
    <row r="23" spans="3:14" ht="15.75">
      <c r="C23" s="15"/>
      <c r="D23" s="15"/>
      <c r="E23" s="26"/>
      <c r="F23" s="32"/>
      <c r="G23" s="32"/>
      <c r="H23" s="15"/>
      <c r="I23" s="141"/>
      <c r="J23" s="33"/>
      <c r="K23" s="133"/>
      <c r="L23" s="126"/>
      <c r="M23" s="107"/>
      <c r="N23" s="54"/>
    </row>
    <row r="24" spans="3:15" ht="12.75">
      <c r="C24" s="15" t="s">
        <v>33</v>
      </c>
      <c r="D24" s="15"/>
      <c r="E24" s="26">
        <v>44950</v>
      </c>
      <c r="F24" s="32"/>
      <c r="G24" s="32">
        <v>-7.657534977E7</v>
      </c>
      <c r="H24" s="15"/>
      <c r="I24" s="141"/>
      <c r="J24" s="33"/>
      <c r="K24" s="140"/>
      <c r="L24" s="58"/>
      <c r="M24" s="107"/>
      <c r="N24" s="54"/>
      <c r="O24" s="14"/>
    </row>
    <row r="25" spans="3:15" ht="12.75">
      <c r="C25" s="15"/>
      <c r="D25" s="15"/>
      <c r="E25" s="26">
        <v>44988</v>
      </c>
      <c r="F25" s="32"/>
      <c r="G25" s="32">
        <v>-7249182.48</v>
      </c>
      <c r="H25" s="15"/>
      <c r="I25" s="141"/>
      <c r="J25" s="33"/>
      <c r="K25" s="142"/>
      <c r="L25" s="58"/>
      <c r="M25" s="107"/>
      <c r="N25" s="54"/>
      <c r="O25" s="14"/>
    </row>
    <row r="26" spans="3:15" ht="12.75">
      <c r="C26" s="15"/>
      <c r="D26" s="15"/>
      <c r="E26" s="26">
        <v>45027</v>
      </c>
      <c r="F26" s="32"/>
      <c r="G26" s="32">
        <v>-8628801.03</v>
      </c>
      <c r="H26" s="15"/>
      <c r="I26" s="141"/>
      <c r="J26" s="33"/>
      <c r="K26" s="142"/>
      <c r="L26" s="58"/>
      <c r="M26" s="107"/>
      <c r="N26" s="54"/>
      <c r="O26" s="14"/>
    </row>
    <row r="27" spans="3:15" ht="12.75">
      <c r="C27" s="15"/>
      <c r="D27" s="15"/>
      <c r="E27" s="26">
        <v>45048</v>
      </c>
      <c r="F27" s="32"/>
      <c r="G27" s="32">
        <v>-9.526224999000001E7</v>
      </c>
      <c r="H27" s="15"/>
      <c r="I27" s="141"/>
      <c r="J27" s="33"/>
      <c r="K27" s="142"/>
      <c r="L27" s="58"/>
      <c r="M27" s="107"/>
      <c r="N27" s="54"/>
      <c r="O27" s="14"/>
    </row>
    <row r="28" spans="3:14" ht="12.75">
      <c r="C28" s="15"/>
      <c r="D28" s="15"/>
      <c r="E28" s="26">
        <v>45114</v>
      </c>
      <c r="F28" s="32"/>
      <c r="G28" s="32">
        <v>-9451874.99</v>
      </c>
      <c r="H28" s="15"/>
      <c r="I28" s="141"/>
      <c r="J28" s="33"/>
      <c r="K28" s="142"/>
      <c r="L28" s="138"/>
      <c r="M28" s="107"/>
      <c r="N28" s="54"/>
    </row>
    <row r="29" spans="3:14" ht="12.75">
      <c r="C29" s="15"/>
      <c r="D29" s="15"/>
      <c r="E29" s="26">
        <v>45132</v>
      </c>
      <c r="F29" s="32"/>
      <c r="G29" s="32">
        <f>-10162729.06+590732.39</f>
        <v>-9571996.67</v>
      </c>
      <c r="H29" s="15"/>
      <c r="I29" s="141"/>
      <c r="J29" s="141"/>
      <c r="K29" s="140"/>
      <c r="L29" s="133"/>
      <c r="M29" s="54"/>
      <c r="N29" s="54"/>
    </row>
    <row r="30" spans="3:14" ht="12.75">
      <c r="C30" s="15"/>
      <c r="D30" s="15"/>
      <c r="E30" s="26">
        <v>45163</v>
      </c>
      <c r="F30" s="32"/>
      <c r="G30" s="32">
        <v>-3.673104099E7</v>
      </c>
      <c r="H30" s="15"/>
      <c r="I30" s="141"/>
      <c r="J30" s="141"/>
      <c r="K30" s="140"/>
      <c r="L30" s="133"/>
      <c r="M30" s="54"/>
      <c r="N30" s="54"/>
    </row>
    <row r="31" spans="3:15" ht="12.75">
      <c r="C31" s="15"/>
      <c r="D31" s="15"/>
      <c r="E31" s="26">
        <v>45233</v>
      </c>
      <c r="F31" s="32"/>
      <c r="G31" s="32">
        <v>-1.451886039E7</v>
      </c>
      <c r="H31" s="15"/>
      <c r="I31" s="14"/>
      <c r="J31" s="14"/>
      <c r="K31" s="15"/>
      <c r="N31" s="97"/>
      <c r="O31" s="34"/>
    </row>
    <row r="32" spans="3:15" ht="12.75">
      <c r="C32" s="15"/>
      <c r="D32" s="15"/>
      <c r="E32" s="26">
        <v>45251</v>
      </c>
      <c r="F32" s="32"/>
      <c r="G32" s="32">
        <v>-3.902673107E7</v>
      </c>
      <c r="H32" s="15"/>
      <c r="I32" s="14"/>
      <c r="J32" s="14"/>
      <c r="K32" s="15"/>
      <c r="N32" s="97"/>
      <c r="O32" s="34"/>
    </row>
    <row r="33" spans="3:15" ht="13.5" customHeight="1">
      <c r="C33" s="15"/>
      <c r="D33" s="15"/>
      <c r="E33" s="26">
        <v>45282</v>
      </c>
      <c r="F33" s="32"/>
      <c r="G33" s="32">
        <v>-1.038661829E7</v>
      </c>
      <c r="H33" s="15"/>
      <c r="I33" s="14"/>
      <c r="J33" s="14"/>
      <c r="K33" s="15"/>
      <c r="L33" s="10"/>
      <c r="N33" s="97"/>
      <c r="O33" s="34"/>
    </row>
    <row r="34" spans="3:15" ht="13.5" customHeight="1">
      <c r="C34" s="15" t="s">
        <v>33</v>
      </c>
      <c r="D34" s="15"/>
      <c r="E34" s="26">
        <v>45345</v>
      </c>
      <c r="F34" s="32"/>
      <c r="G34" s="32">
        <v>-5509656.15</v>
      </c>
      <c r="H34" s="15"/>
      <c r="I34" s="14"/>
      <c r="J34" s="14"/>
      <c r="K34" s="15"/>
      <c r="L34" s="10"/>
      <c r="N34" s="97"/>
      <c r="O34" s="34"/>
    </row>
    <row r="35" spans="3:15" ht="13.5" customHeight="1">
      <c r="C35" s="15"/>
      <c r="D35" s="15"/>
      <c r="E35" s="26">
        <v>45362</v>
      </c>
      <c r="F35" s="32"/>
      <c r="G35" s="32">
        <v>-3.443535093E7</v>
      </c>
      <c r="H35" s="15"/>
      <c r="I35" s="14"/>
      <c r="J35" s="14"/>
      <c r="K35" s="15"/>
      <c r="L35" s="10"/>
      <c r="N35" s="97"/>
      <c r="O35" s="34"/>
    </row>
    <row r="36" spans="3:15" ht="13.5" customHeight="1">
      <c r="C36" s="15"/>
      <c r="D36" s="15"/>
      <c r="E36" s="26">
        <v>45392</v>
      </c>
      <c r="F36" s="32"/>
      <c r="G36" s="32">
        <v>-3040410.09</v>
      </c>
      <c r="H36" s="15"/>
      <c r="I36" s="14"/>
      <c r="J36" s="14"/>
      <c r="K36" s="15"/>
      <c r="L36" s="10"/>
      <c r="N36" s="97"/>
      <c r="O36" s="34"/>
    </row>
    <row r="37" spans="3:15" ht="13.5" customHeight="1">
      <c r="C37" s="15"/>
      <c r="D37" s="15"/>
      <c r="E37" s="26">
        <v>45450</v>
      </c>
      <c r="F37" s="32"/>
      <c r="G37" s="32">
        <v>-3841666.66</v>
      </c>
      <c r="H37" s="15"/>
      <c r="I37" s="14"/>
      <c r="J37" s="14"/>
      <c r="K37" s="15"/>
      <c r="L37" s="10"/>
      <c r="N37" s="97"/>
      <c r="O37" s="34"/>
    </row>
    <row r="38" spans="3:15" ht="4.5" customHeight="1">
      <c r="C38" s="15"/>
      <c r="D38" s="15"/>
      <c r="E38" s="26"/>
      <c r="F38" s="15"/>
      <c r="G38" s="32"/>
      <c r="H38" s="15"/>
      <c r="I38" s="14"/>
      <c r="J38" s="14"/>
      <c r="O38" s="34"/>
    </row>
    <row r="39" spans="3:13" ht="15.75">
      <c r="C39" s="15" t="s">
        <v>25</v>
      </c>
      <c r="D39" s="15"/>
      <c r="E39" s="26">
        <f>+E8</f>
        <v>45473</v>
      </c>
      <c r="F39" s="15"/>
      <c r="G39" s="33">
        <f>L39</f>
        <v>407986370</v>
      </c>
      <c r="H39" s="15"/>
      <c r="I39" s="32">
        <f>+SUMIF($G$24:$G$38,"&lt;0",$G$24:$G$38)</f>
        <v>-3.542297895E8</v>
      </c>
      <c r="J39" s="15" t="s">
        <v>26</v>
      </c>
      <c r="L39" s="58">
        <v>407986370</v>
      </c>
      <c r="M39" s="10"/>
    </row>
    <row r="40" spans="3:13" ht="12.75">
      <c r="C40" s="15"/>
      <c r="D40" s="15"/>
      <c r="E40" s="15"/>
      <c r="F40" s="15"/>
      <c r="G40" s="15"/>
      <c r="H40" s="15"/>
      <c r="I40" s="32">
        <f>+SUMIF($G$24:$G$38,"&gt;0",$G$24:$G$38)</f>
        <v>0</v>
      </c>
      <c r="J40" s="15" t="s">
        <v>27</v>
      </c>
      <c r="M40" s="34"/>
    </row>
    <row r="41" spans="3:13" ht="12.75">
      <c r="C41" s="36" t="s">
        <v>28</v>
      </c>
      <c r="G41" s="37">
        <f>+XIRR(G24:G39,E24:E39,0.01)</f>
        <v>0.15559234142303469</v>
      </c>
      <c r="H41" s="15"/>
      <c r="M41" s="35"/>
    </row>
    <row r="42" spans="3:8" ht="12.75">
      <c r="C42" s="15"/>
      <c r="D42" s="15"/>
      <c r="E42" s="15"/>
      <c r="F42" s="15"/>
      <c r="G42" s="15"/>
      <c r="H42" s="15"/>
    </row>
    <row r="43" spans="3:13" ht="12.75">
      <c r="C43" s="15"/>
      <c r="D43" s="15"/>
      <c r="E43" s="15"/>
      <c r="F43" s="15"/>
      <c r="G43" s="37"/>
      <c r="H43" s="15"/>
      <c r="M43" s="35"/>
    </row>
    <row r="44" spans="3:13" ht="12.75">
      <c r="C44" s="39"/>
      <c r="D44" s="39"/>
      <c r="E44" s="38"/>
      <c r="F44" s="39"/>
      <c r="G44" s="38"/>
      <c r="H44" s="15"/>
      <c r="M44" s="35"/>
    </row>
    <row r="45" spans="3:13" ht="12.75">
      <c r="C45" s="39"/>
      <c r="D45" s="39"/>
      <c r="E45" s="38"/>
      <c r="F45" s="39"/>
      <c r="G45" s="38"/>
      <c r="H45" s="15"/>
      <c r="M45" s="35"/>
    </row>
    <row r="46" spans="3:13" ht="12.75">
      <c r="C46" s="39"/>
      <c r="D46" s="39"/>
      <c r="E46" s="38"/>
      <c r="F46" s="39"/>
      <c r="G46" s="38"/>
      <c r="H46" s="15"/>
      <c r="M46" s="35"/>
    </row>
    <row r="47" spans="3:9" ht="12.75">
      <c r="C47" s="39"/>
      <c r="D47" s="39"/>
      <c r="E47" s="39"/>
      <c r="F47" s="39"/>
      <c r="G47" s="39"/>
      <c r="H47" s="36"/>
      <c r="I47" s="35"/>
    </row>
    <row r="48" spans="3:8" ht="12.75">
      <c r="C48" s="39"/>
      <c r="D48" s="39"/>
      <c r="E48" s="38"/>
      <c r="F48" s="38"/>
      <c r="G48" s="38"/>
      <c r="H48" s="36"/>
    </row>
    <row r="49" spans="3:17" ht="12.75">
      <c r="C49" s="39"/>
      <c r="D49" s="39"/>
      <c r="E49" s="39"/>
      <c r="F49" s="39"/>
      <c r="G49" s="39"/>
      <c r="H49" s="36"/>
      <c r="Q49" s="111"/>
    </row>
    <row r="50" spans="8:17" ht="12.75">
      <c r="H50" s="36"/>
      <c r="Q50" s="111"/>
    </row>
    <row r="51" spans="8:17" ht="12.75">
      <c r="H51" s="36"/>
      <c r="Q51" s="111"/>
    </row>
    <row r="52" spans="8:17" ht="12.75">
      <c r="H52" s="36"/>
      <c r="Q52" s="111"/>
    </row>
    <row r="53" spans="8:17" ht="12.75">
      <c r="H53" s="36"/>
      <c r="Q53" s="111"/>
    </row>
    <row r="54" spans="8:17" ht="12.75">
      <c r="H54" s="36"/>
      <c r="Q54" s="111"/>
    </row>
    <row r="55" spans="8:17" ht="12.75">
      <c r="H55" s="36"/>
      <c r="Q55" s="111"/>
    </row>
    <row r="56" spans="8:17" ht="12.75">
      <c r="H56" s="36"/>
      <c r="Q56" s="111"/>
    </row>
    <row r="57" spans="8:8" ht="12.75">
      <c r="H57" s="36"/>
    </row>
    <row r="58" spans="8:8" ht="12.75">
      <c r="H58" s="36"/>
    </row>
    <row r="59" spans="8:8" ht="12.75" hidden="1">
      <c r="H59" s="36"/>
    </row>
    <row r="60" spans="8:8" ht="12.75" hidden="1">
      <c r="H60" s="36"/>
    </row>
    <row r="61" spans="8:8" ht="12.75" hidden="1">
      <c r="H61" s="36"/>
    </row>
    <row r="62" spans="8:8" ht="5.1" customHeight="1">
      <c r="H62" s="36"/>
    </row>
    <row r="63" spans="8:8" ht="5.1" customHeight="1">
      <c r="H63" s="36"/>
    </row>
    <row r="64" spans="8:8" ht="5.1" customHeight="1">
      <c r="H64" s="36"/>
    </row>
    <row r="65" spans="8:8" ht="12.75">
      <c r="H65" s="36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6CEC51-E892-408A-96E8-DF19384AA9B4}"/>
</file>

<file path=customXml/itemProps2.xml><?xml version="1.0" encoding="utf-8"?>
<ds:datastoreItem xmlns:ds="http://schemas.openxmlformats.org/officeDocument/2006/customXml" ds:itemID="{2D691889-F39B-43B1-80FC-84E2F0CAE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  <vt:lpstr>EFM V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Ben Bryson</cp:lastModifiedBy>
  <dcterms:created xsi:type="dcterms:W3CDTF">2024-04-18T14:26:32Z</dcterms:created>
  <dcterms:modified xsi:type="dcterms:W3CDTF">2024-08-12T19:53:27Z</dcterms:modified>
  <cp:category/>
</cp:coreProperties>
</file>