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rajabali\AppData\Local\Microsoft\Windows\INetCache\Content.Outlook\MTJVVGRL\"/>
    </mc:Choice>
  </mc:AlternateContent>
  <xr:revisionPtr revIDLastSave="0" documentId="13_ncr:1_{2DE1E286-CC02-4444-9701-4CECCEA0021A}" xr6:coauthVersionLast="47" xr6:coauthVersionMax="47" xr10:uidLastSave="{00000000-0000-0000-0000-000000000000}"/>
  <bookViews>
    <workbookView xWindow="-110" yWindow="-110" windowWidth="38620" windowHeight="21100" xr2:uid="{00000000-000D-0000-FFFF-FFFF00000000}"/>
  </bookViews>
  <sheets>
    <sheet name="ETF" sheetId="13" r:id="rId1"/>
  </sheets>
  <externalReferences>
    <externalReference r:id="rId2"/>
  </externalReferences>
  <definedNames>
    <definedName name="_xlnm._FilterDatabase" localSheetId="0" hidden="1">ETF!$B$5:$BK$5</definedName>
    <definedName name="Company_Type">[1]Dropdowns!$D$2:$D$9</definedName>
    <definedName name="Country">[1]Dropdowns!$A$2:$A$241</definedName>
    <definedName name="Cross_Fund">[1]Dropdowns!$G$38:$G$89</definedName>
    <definedName name="Currency">[1]Dropdowns!$B$2:$B$168</definedName>
    <definedName name="Deal_Source">[1]Dropdowns!$E$2:$E$6</definedName>
    <definedName name="Deal_Strategy">[1]Dropdowns!$F$14:$F$20</definedName>
    <definedName name="Deal_Styles">[1]Dropdowns!$D$17:$D$23</definedName>
    <definedName name="Industry_Group">[1]Dropdowns!$G$2:$G$35</definedName>
    <definedName name="Investment_Status">[1]Dropdowns!$D$12:$D$14</definedName>
    <definedName name="Play">[1]Dropdowns!$C$29:$C$76</definedName>
    <definedName name="Region_Basin">[1]Dropdowns!$E$30:$E$58</definedName>
    <definedName name="Sector_GICS_Codes">[1]Dropdowns!$F$2:$F$11</definedName>
    <definedName name="US_STATES">[1]Dropdowns!$H$2:$H$53</definedName>
    <definedName name="Valuation_Method">[1]Dropdowns!$D$32:$D$41</definedName>
  </definedNames>
  <calcPr calcId="191028" calcMode="manual" calcCompleted="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8" i="13" l="1"/>
  <c r="BB10" i="13" l="1"/>
  <c r="AQ10" i="13"/>
  <c r="AP10" i="13"/>
  <c r="AP9" i="13"/>
  <c r="AQ6" i="13"/>
  <c r="AP6" i="13"/>
  <c r="AP7" i="13"/>
  <c r="AQ7" i="13"/>
  <c r="BC23" i="13" l="1"/>
  <c r="BB11" i="13" l="1"/>
  <c r="BB14" i="13"/>
  <c r="BB13" i="13"/>
  <c r="BB12" i="13"/>
  <c r="BB16" i="13"/>
  <c r="BB18" i="13"/>
  <c r="BB23" i="13"/>
  <c r="BB22" i="13"/>
  <c r="BB21" i="13"/>
  <c r="BB20" i="13"/>
  <c r="BB19" i="13"/>
  <c r="AP23" i="13" l="1"/>
  <c r="AQ23" i="13" s="1"/>
  <c r="AP22" i="13"/>
  <c r="AQ22" i="13" s="1"/>
  <c r="AP21" i="13"/>
  <c r="AQ21" i="13" s="1"/>
  <c r="AP20" i="13"/>
  <c r="AQ20" i="13" s="1"/>
  <c r="AP19" i="13"/>
  <c r="AQ19" i="13" s="1"/>
  <c r="AP18" i="13"/>
  <c r="AQ18" i="13" l="1"/>
  <c r="AP17" i="13"/>
  <c r="AQ17" i="13" s="1"/>
  <c r="AP16" i="13"/>
  <c r="AQ16" i="13" s="1"/>
  <c r="AP14" i="13"/>
  <c r="AQ14" i="13" s="1"/>
  <c r="AP13" i="13"/>
  <c r="AQ13" i="13" s="1"/>
  <c r="AP12" i="13"/>
  <c r="AQ12" i="13" s="1"/>
  <c r="AP11" i="13"/>
  <c r="AQ11" i="13" s="1"/>
  <c r="AP8" i="13"/>
  <c r="AQ8"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Austin Ritchie</author>
    <author>Meg Murphy</author>
    <author>Nathanael Robinson</author>
    <author>Connor Mannon</author>
  </authors>
  <commentList>
    <comment ref="BD6" authorId="0" shapeId="0" xr:uid="{5BF8C721-3457-43F3-8419-86D0DA371136}">
      <text>
        <r>
          <rPr>
            <b/>
            <sz val="9"/>
            <color indexed="81"/>
            <rFont val="Tahoma"/>
            <family val="2"/>
          </rPr>
          <t>Austin Ritchie:</t>
        </r>
        <r>
          <rPr>
            <sz val="9"/>
            <color indexed="81"/>
            <rFont val="Tahoma"/>
            <family val="2"/>
          </rPr>
          <t xml:space="preserve">
Equity value at exit</t>
        </r>
      </text>
    </comment>
    <comment ref="BD7" authorId="0" shapeId="0" xr:uid="{9903C51E-80B5-48F6-9A11-A6A9A6515597}">
      <text>
        <r>
          <rPr>
            <b/>
            <sz val="9"/>
            <color indexed="81"/>
            <rFont val="Tahoma"/>
            <family val="2"/>
          </rPr>
          <t>Austin Ritchie:</t>
        </r>
        <r>
          <rPr>
            <sz val="9"/>
            <color indexed="81"/>
            <rFont val="Tahoma"/>
            <family val="2"/>
          </rPr>
          <t xml:space="preserve">
Equity value at exit</t>
        </r>
      </text>
    </comment>
    <comment ref="AJ8" authorId="1" shapeId="0" xr:uid="{2964B481-DDF8-40FF-B994-FAA79D58D962}">
      <text>
        <r>
          <rPr>
            <sz val="9"/>
            <color indexed="81"/>
            <rFont val="Tahoma"/>
            <family val="2"/>
          </rPr>
          <t xml:space="preserve">
In February 2023, Catalyze closed on a $298.0MM equity capital raise from Actis Capital (“Actis”). Actis is a global private equity firm with over $24Bn in commitments since its inception in 2004. Actis has historically focused on emerging markets but is looking to grow its presence in North America. Actis represents a go-forward partner with substantial financial resources and industry-specific expertise to fund future growth and to provide key guidance and oversight to Catalyze. The $298.0MM of equity raised is comprised of $225.0MM of primary capital to fund business activities and a $73.0MM promoted valuation to be paid out as a non-contingent special distribution to Class A unitholders ($62.9MM net to EETF I) on or before December 29, 2023.</t>
        </r>
      </text>
    </comment>
    <comment ref="BD8" authorId="0" shapeId="0" xr:uid="{A41475BD-EFEA-4348-9241-02574F6519E5}">
      <text>
        <r>
          <rPr>
            <b/>
            <sz val="9"/>
            <color indexed="81"/>
            <rFont val="Tahoma"/>
            <family val="2"/>
          </rPr>
          <t>Austin Ritchie:</t>
        </r>
        <r>
          <rPr>
            <sz val="9"/>
            <color indexed="81"/>
            <rFont val="Tahoma"/>
            <family val="2"/>
          </rPr>
          <t xml:space="preserve">
Equity value remaining</t>
        </r>
      </text>
    </comment>
    <comment ref="AJ10" authorId="2" shapeId="0" xr:uid="{D1F6BC2D-1B3E-4CF0-AE5F-AF308CAC73EA}">
      <text>
        <r>
          <rPr>
            <sz val="9"/>
            <color indexed="81"/>
            <rFont val="Tahoma"/>
            <family val="2"/>
          </rPr>
          <t xml:space="preserve">
Triple Oak Power closed the sale of Prairie Switch Wind (“PSW”) on September 8, 2022. PSW is a ~165MW late stage wind project in ERCOT South. Triple Oak sold the project for ~$52.8MM in equity proceeds (equating to a ~2.0x gross ROI) to Fengate Asset Management. PSW achieved several major milestones necessary to reach construction under Triple Oak’s management: full site control; executed interconnection agreement with financial security posted; completed technical design; executed turbine supply agreement; 15-year offtake proposal from a Fortune 50 company; near-final engineering, procurement, and construction contracting. Triple Oak’s value add was validated through successful monetization of the project, and in Q4 2022, Triple Oak received the $18.2MM financial close milestone payment associated with the sale of the Prairie Switch project. Following the Prairie Switch sale, the Triple Oak team has shifted additional resources to advancing and expanding its project pipeline.</t>
        </r>
      </text>
    </comment>
    <comment ref="BD10" authorId="0" shapeId="0" xr:uid="{FD424B95-74B4-4971-A281-0254F53B8375}">
      <text>
        <r>
          <rPr>
            <b/>
            <sz val="9"/>
            <color indexed="81"/>
            <rFont val="Tahoma"/>
            <family val="2"/>
          </rPr>
          <t>Austin Ritchie:</t>
        </r>
        <r>
          <rPr>
            <sz val="9"/>
            <color indexed="81"/>
            <rFont val="Tahoma"/>
            <family val="2"/>
          </rPr>
          <t xml:space="preserve">
Equity value at exit</t>
        </r>
      </text>
    </comment>
    <comment ref="BD11" authorId="0" shapeId="0" xr:uid="{32EB882B-404A-4D22-A41F-F77825B1399D}">
      <text>
        <r>
          <rPr>
            <b/>
            <sz val="9"/>
            <color indexed="81"/>
            <rFont val="Tahoma"/>
            <family val="2"/>
          </rPr>
          <t>Austin Ritchie:</t>
        </r>
        <r>
          <rPr>
            <sz val="9"/>
            <color indexed="81"/>
            <rFont val="Tahoma"/>
            <family val="2"/>
          </rPr>
          <t xml:space="preserve">
Equity value remaining</t>
        </r>
      </text>
    </comment>
    <comment ref="BD12" authorId="0" shapeId="0" xr:uid="{2B8A2649-A8A1-42B7-9805-F0835A02619A}">
      <text>
        <r>
          <rPr>
            <b/>
            <sz val="9"/>
            <color indexed="81"/>
            <rFont val="Tahoma"/>
            <family val="2"/>
          </rPr>
          <t>Austin Ritchie:</t>
        </r>
        <r>
          <rPr>
            <sz val="9"/>
            <color indexed="81"/>
            <rFont val="Tahoma"/>
            <family val="2"/>
          </rPr>
          <t xml:space="preserve">
Equity value at exit</t>
        </r>
      </text>
    </comment>
    <comment ref="AB13" authorId="3" shapeId="0" xr:uid="{38A8695C-37D1-43CC-8410-36EC24A88196}">
      <text>
        <r>
          <rPr>
            <sz val="9"/>
            <color indexed="81"/>
            <rFont val="Tahoma"/>
            <family val="2"/>
          </rPr>
          <t xml:space="preserve">
ETF I dilligenced opportunity along side Fund XI . Fund XI made initial $13.5 million commitment with Energy Transition Fund I subsuquently joining in July 2021 .</t>
        </r>
      </text>
    </comment>
    <comment ref="BD13" authorId="0" shapeId="0" xr:uid="{63176134-D9D9-48B7-84EF-50B32A6C0D66}">
      <text>
        <r>
          <rPr>
            <b/>
            <sz val="9"/>
            <color indexed="81"/>
            <rFont val="Tahoma"/>
            <family val="2"/>
          </rPr>
          <t>Austin Ritchie:</t>
        </r>
        <r>
          <rPr>
            <sz val="9"/>
            <color indexed="81"/>
            <rFont val="Tahoma"/>
            <family val="2"/>
          </rPr>
          <t xml:space="preserve">
Estimated equity value based on $10MM of proceeds less liabilities</t>
        </r>
      </text>
    </comment>
    <comment ref="BD14" authorId="0" shapeId="0" xr:uid="{5498AFA9-71C1-4801-BF4B-D85CA83D2259}">
      <text>
        <r>
          <rPr>
            <b/>
            <sz val="9"/>
            <color indexed="81"/>
            <rFont val="Tahoma"/>
            <family val="2"/>
          </rPr>
          <t>Austin Ritchie:</t>
        </r>
        <r>
          <rPr>
            <sz val="9"/>
            <color indexed="81"/>
            <rFont val="Tahoma"/>
            <family val="2"/>
          </rPr>
          <t xml:space="preserve">
Equity value at exit</t>
        </r>
      </text>
    </comment>
    <comment ref="AB18" authorId="3" shapeId="0" xr:uid="{01987EF4-97B9-430B-95F6-09180D722CD8}">
      <text>
        <r>
          <rPr>
            <sz val="9"/>
            <color indexed="81"/>
            <rFont val="Tahoma"/>
            <family val="2"/>
          </rPr>
          <t xml:space="preserve">
ETF I dilligenced opportunity along side Fund XI . Fund XI made initial $13.5 million commitment with Energy Transition Fund I subsuquently joining in July 2021 .</t>
        </r>
      </text>
    </comment>
    <comment ref="BD18" authorId="0" shapeId="0" xr:uid="{2AE0B7C3-C068-4F09-81C5-ED49E1BAF6AA}">
      <text>
        <r>
          <rPr>
            <b/>
            <sz val="9"/>
            <color indexed="81"/>
            <rFont val="Tahoma"/>
            <family val="2"/>
          </rPr>
          <t>Austin Ritchie:</t>
        </r>
        <r>
          <rPr>
            <sz val="9"/>
            <color indexed="81"/>
            <rFont val="Tahoma"/>
            <family val="2"/>
          </rPr>
          <t xml:space="preserve">
Estimated equity value based on $10MM of proceeds less liabilities</t>
        </r>
      </text>
    </comment>
  </commentList>
</comments>
</file>

<file path=xl/sharedStrings.xml><?xml version="1.0" encoding="utf-8"?>
<sst xmlns="http://schemas.openxmlformats.org/spreadsheetml/2006/main" count="815" uniqueCount="173">
  <si>
    <t>Fund Short Name</t>
  </si>
  <si>
    <t>Deal Name</t>
  </si>
  <si>
    <t>Description</t>
  </si>
  <si>
    <t>Sector</t>
  </si>
  <si>
    <t>HQ City</t>
  </si>
  <si>
    <t>HQ State</t>
  </si>
  <si>
    <t>Geography</t>
  </si>
  <si>
    <t>Deal Type</t>
  </si>
  <si>
    <t>Deal Currency</t>
  </si>
  <si>
    <t>Cash Flow Currency</t>
  </si>
  <si>
    <t>Listed</t>
  </si>
  <si>
    <t>Deal Office Origniation</t>
  </si>
  <si>
    <t>Current / Realized Deal Office</t>
  </si>
  <si>
    <t>Deal Source</t>
  </si>
  <si>
    <t xml:space="preserve">Deal Source </t>
  </si>
  <si>
    <t>Deal Lead</t>
  </si>
  <si>
    <t>Team</t>
  </si>
  <si>
    <t>Active Board Seats (EnCap Held)</t>
  </si>
  <si>
    <t>Total Board Seats</t>
  </si>
  <si>
    <t>New/Repeat</t>
  </si>
  <si>
    <t>Source</t>
  </si>
  <si>
    <t>Role</t>
  </si>
  <si>
    <t>Control Definition</t>
  </si>
  <si>
    <t>Investment Type</t>
  </si>
  <si>
    <t>Cross-Fund?</t>
  </si>
  <si>
    <t>Add-on or at Inception</t>
  </si>
  <si>
    <t>Date of Initial Investment</t>
  </si>
  <si>
    <t>Status</t>
  </si>
  <si>
    <t>Exit Route</t>
  </si>
  <si>
    <t>Exit Date</t>
  </si>
  <si>
    <t>Primary Focus</t>
  </si>
  <si>
    <t>Buyer Name</t>
  </si>
  <si>
    <t>Capital Invested (Net to Fund)</t>
  </si>
  <si>
    <t>Realized and Unrealized Value (Net to Fund)</t>
  </si>
  <si>
    <t>ROI (x)</t>
  </si>
  <si>
    <t>Gross IRR (%)</t>
  </si>
  <si>
    <t>Houston</t>
  </si>
  <si>
    <t>Texas</t>
  </si>
  <si>
    <t>United States</t>
  </si>
  <si>
    <t>Growth Equity</t>
  </si>
  <si>
    <t>USD</t>
  </si>
  <si>
    <t>No</t>
  </si>
  <si>
    <t>Jim Hughes</t>
  </si>
  <si>
    <t>New</t>
  </si>
  <si>
    <t>Control</t>
  </si>
  <si>
    <t>Common</t>
  </si>
  <si>
    <t>Yes</t>
  </si>
  <si>
    <t>Add-on</t>
  </si>
  <si>
    <t>ETF I</t>
  </si>
  <si>
    <t>Unrealized</t>
  </si>
  <si>
    <t>N/A</t>
  </si>
  <si>
    <t>Energy Transition</t>
  </si>
  <si>
    <t>Lead</t>
  </si>
  <si>
    <t>Inception</t>
  </si>
  <si>
    <t>Realized</t>
  </si>
  <si>
    <t>Austin</t>
  </si>
  <si>
    <t xml:space="preserve"> </t>
  </si>
  <si>
    <t>Other EnCap Fund(s)</t>
  </si>
  <si>
    <t>Other Investor(s)</t>
  </si>
  <si>
    <t>Broad Reach</t>
  </si>
  <si>
    <t>Jupiter</t>
  </si>
  <si>
    <t>Catalyze</t>
  </si>
  <si>
    <t>Triple Oak</t>
  </si>
  <si>
    <t>Solar Proponent</t>
  </si>
  <si>
    <t>Paloma Solar &amp; Wind</t>
  </si>
  <si>
    <t>Arbor Renewable Gas</t>
  </si>
  <si>
    <t>ETF Module Holdings</t>
  </si>
  <si>
    <t>ETF II</t>
  </si>
  <si>
    <t>Linea Energy</t>
  </si>
  <si>
    <t>Bleutec Industries</t>
  </si>
  <si>
    <t>Renewable Power Generation &amp; Storage</t>
  </si>
  <si>
    <t>Renewable Power Services</t>
  </si>
  <si>
    <t>Shawn Cumberland</t>
  </si>
  <si>
    <t>Tim Rebhorn</t>
  </si>
  <si>
    <t>Meg Murphy</t>
  </si>
  <si>
    <t>Internal</t>
  </si>
  <si>
    <t>EnCap Upstream</t>
  </si>
  <si>
    <t>Referral / Bilateral</t>
  </si>
  <si>
    <t>Shawn Cumberland, Tim Rebhorn, Kim Driscoll, Meg Murphy</t>
  </si>
  <si>
    <t>Brownfield hybridization</t>
  </si>
  <si>
    <t>NM</t>
  </si>
  <si>
    <t>Discontinued Proof of Concept</t>
  </si>
  <si>
    <t>100% sale</t>
  </si>
  <si>
    <t>Partially Realized</t>
  </si>
  <si>
    <t>BlackRock</t>
  </si>
  <si>
    <t>Queensland Investment Corp</t>
  </si>
  <si>
    <t>Yorktown, others</t>
  </si>
  <si>
    <t>Yorktown</t>
  </si>
  <si>
    <t>Mercuria</t>
  </si>
  <si>
    <t>Capital Commitment  (At Inception)</t>
  </si>
  <si>
    <t>Current Commitment 
(Net to Fund)</t>
  </si>
  <si>
    <t xml:space="preserve">Realized Proceeds 
(Net to Fund) </t>
  </si>
  <si>
    <t>Unrealized Value 
(Net to Fund)</t>
  </si>
  <si>
    <t>Enterprise Value</t>
  </si>
  <si>
    <t>Net Debt</t>
  </si>
  <si>
    <t>Gross Equity Value</t>
  </si>
  <si>
    <t>Fund Equity Invested</t>
  </si>
  <si>
    <t>Fund Equity Ownership %</t>
  </si>
  <si>
    <t>LTM
Revenue</t>
  </si>
  <si>
    <t>LTM
EBITDA</t>
  </si>
  <si>
    <t>EBITDA
Multiple</t>
  </si>
  <si>
    <t>EBITDA
Margin %</t>
  </si>
  <si>
    <t>Metrics at Entry</t>
  </si>
  <si>
    <t>Metrics at Exit or Current Valuation</t>
  </si>
  <si>
    <t>Proceeds</t>
  </si>
  <si>
    <t>Upstream (Fund XI)</t>
  </si>
  <si>
    <t>Minority</t>
  </si>
  <si>
    <t>EETF II / Fund XI</t>
  </si>
  <si>
    <t>EETF I / Fund XI</t>
  </si>
  <si>
    <t>Actis</t>
  </si>
  <si>
    <t>Shawn Cumberland, Tim Rebhorn, Meg Murphy, Alex Dempsey, Austin Ritchie</t>
  </si>
  <si>
    <t>Tim Rebhorn, Meg Murphy, Austin Ritchie</t>
  </si>
  <si>
    <t>Partial sale</t>
  </si>
  <si>
    <t>Aither Systems</t>
  </si>
  <si>
    <t>PowerTransitions</t>
  </si>
  <si>
    <t>Parliament Energy</t>
  </si>
  <si>
    <t>Bildmore</t>
  </si>
  <si>
    <t>Quantica Infrastructure</t>
  </si>
  <si>
    <t>Developer, owner, and operator of standalone battery energy storage projects</t>
  </si>
  <si>
    <t>Developer and operator of solar and battery energy storage projects in the commercial and industrial market</t>
  </si>
  <si>
    <t>US Grid Company</t>
  </si>
  <si>
    <t>Developer of wind energy projects</t>
  </si>
  <si>
    <t>Financing of solar and wind land royalty payments</t>
  </si>
  <si>
    <t>Developer of renewable fuels projects that convert woody biomass to green syngas</t>
  </si>
  <si>
    <t>Solar module procurement to reduce price risk and risk of securing supply</t>
  </si>
  <si>
    <t>Developer, owner, and operator of wind, solar, and battery energy storage projects</t>
  </si>
  <si>
    <t>Developer and operator of offshore wind installation and support vessels</t>
  </si>
  <si>
    <t>Develop, construct, and operate utility scale solar assets in ERCOT</t>
  </si>
  <si>
    <t>Redeveloper of retiring or end of life thermal generation or other industrial load sites to solar and battery energy storage</t>
  </si>
  <si>
    <t>Developer, owner, and operator of microgrid systems for cell towers and related telecom infrastructure</t>
  </si>
  <si>
    <t>Developer of renewable energy-powered, data center-ready campuses</t>
  </si>
  <si>
    <t>Specialized Renewable Energy Finance</t>
  </si>
  <si>
    <t>Tim Rebhorn, Edward Parnell, Preston Finkbeiner</t>
  </si>
  <si>
    <t>Tim Rebhorn, Meg Murphy, Preston Finkbeiner, Austin Ritchie</t>
  </si>
  <si>
    <t>Tim Rebhorn, Shawn Cumberland, Edward Parnell, Alex Dempsey, Adil Rajabali</t>
  </si>
  <si>
    <t>Shawn Cumberland, Edward Parnell, Alex Dempsey</t>
  </si>
  <si>
    <t>Tim Rebhorn, Edward Parnell, Alex Dempsey</t>
  </si>
  <si>
    <t>Tim Rebhorn, Shawn Cumberland, Edward Parnell</t>
  </si>
  <si>
    <t>Tim Rebhorn, Jim Hughes, Edward Parnell</t>
  </si>
  <si>
    <t>Parliament</t>
  </si>
  <si>
    <t>ENGIE</t>
  </si>
  <si>
    <t>Equity Capital Partners</t>
  </si>
  <si>
    <t>Developer of utility-scale solar projects</t>
  </si>
  <si>
    <t>Provider of tax equity alternative investment products that optimize benefits of tax credits</t>
  </si>
  <si>
    <t>Renewable Fuels</t>
  </si>
  <si>
    <t>Portland</t>
  </si>
  <si>
    <t>Oregon</t>
  </si>
  <si>
    <t>New York City</t>
  </si>
  <si>
    <t>NY</t>
  </si>
  <si>
    <t>San Francisco</t>
  </si>
  <si>
    <t>California</t>
  </si>
  <si>
    <t>Kellie Metcalf</t>
  </si>
  <si>
    <t>Kellie Metcalf, Tim Rebhorn, Shawn Cumberland, Ed Parnell, Preston Finkbeiner</t>
  </si>
  <si>
    <t>Shawn Cumberland, Tim Rebhorn, Kellie Metcalf</t>
  </si>
  <si>
    <t>Shawn Cumberland, Kellie Metcalf, Tim Rebhorn, Ed Parnell, Alex Dempsey</t>
  </si>
  <si>
    <t>Kellie Metcalf, Shawn Cumberland, Tim Rebhorn, Meg Murphy, Preston Finkbeiner</t>
  </si>
  <si>
    <t>Tim Rebhorn, Shawn Cumberland, Meg Murphy, Kim Driscoll</t>
  </si>
  <si>
    <t>Shawn Cumberland, Jim Hughes, Edward Parnell</t>
  </si>
  <si>
    <t>Tim Rebhorn, Jim Hughes, Kim Driscoll, Meg Murphy</t>
  </si>
  <si>
    <t>Shawn Cumberland, Edward Parnell, Kim Driscoll, Alex Dempsey</t>
  </si>
  <si>
    <t>Yorktown, Actis, others</t>
  </si>
  <si>
    <t>Yorktown, Apollo, others</t>
  </si>
  <si>
    <t>Shawn Cumberland, Jim Hughes, Edward Parnell, Preston Finkbeiner</t>
  </si>
  <si>
    <t>Kellie Metcalf, Meg Murphy, Preston Finkbeiner</t>
  </si>
  <si>
    <t>Shawn Cumberland, Edward Parnell, Preston Finkbeiner, Adil Rajabali</t>
  </si>
  <si>
    <t>Meg Murphy, Preston Finkbeiner, Adil Rajabali</t>
  </si>
  <si>
    <t>Jim Hughes, Meg Murphy, Preston Finkbeiner, Kyle Kafka</t>
  </si>
  <si>
    <t>Substantially Realized</t>
  </si>
  <si>
    <t>Sale of Assets</t>
  </si>
  <si>
    <t>CONFIDENTIAL - As of 6/30/2025</t>
  </si>
  <si>
    <t>Plano</t>
  </si>
  <si>
    <t>Tim Rebhorn, Shawn Cumberland, Meg Murphy, Austin Ritchie</t>
  </si>
  <si>
    <t>Partners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</si>
</sst>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0_)_%;\([$$]#,##0\)_%;_(&quot;–&quot;_)_%;_(@_)_%"/>
    <numFmt numFmtId="165" formatCode="_(&quot;$&quot;* #,##0_);_(&quot;$&quot;* \(#,##0\);_(&quot;$&quot;* &quot;-&quot;??_);_(@_)"/>
    <numFmt numFmtId="166" formatCode="_(0.00\x_)_)_';_(\(0.00\x\)_'_';_(&quot;–&quot;_)_%;_(@_)_%"/>
    <numFmt numFmtId="167" formatCode="_(#,##0.0%_);\(#,##0.0%\);_(&quot;–&quot;_)_%;_(@_)_%"/>
    <numFmt numFmtId="168" formatCode="_(#,##0_)_%;\(#,##0\)_%;_(&quot;–&quot;_)_%;_(@_)_%"/>
    <numFmt numFmtId="169" formatCode="[$-409]mmm\-yy;@"/>
    <numFmt numFmtId="170" formatCode="[$$-409]#,##0.0_);\([$$-409]#,##0.0\);[$$-409]\-_);@_)"/>
  </numFmts>
  <fonts count="19" x14ac:knownFonts="1">
    <font>
      <sz val="11"/>
      <color theme="1"/>
      <name val="Garamond"/>
      <family val="2"/>
      <scheme val="minor"/>
    </font>
    <font>
      <sz val="11"/>
      <color theme="1"/>
      <name val="Garamond"/>
      <family val="2"/>
      <scheme val="minor"/>
    </font>
    <font>
      <b/>
      <sz val="11"/>
      <color rgb="FF3F3F3F"/>
      <name val="Garamond"/>
      <family val="2"/>
      <scheme val="minor"/>
    </font>
    <font>
      <sz val="10"/>
      <name val="Arial"/>
      <family val="2"/>
    </font>
    <font>
      <sz val="9"/>
      <color indexed="81"/>
      <name val="Tahoma"/>
      <family val="2"/>
    </font>
    <font>
      <b/>
      <sz val="18"/>
      <color rgb="FFFF0000"/>
      <name val="Garamond"/>
      <family val="1"/>
      <scheme val="major"/>
    </font>
    <font>
      <sz val="11"/>
      <color theme="1"/>
      <name val="Garamond"/>
      <family val="1"/>
      <scheme val="major"/>
    </font>
    <font>
      <b/>
      <sz val="11"/>
      <color theme="1"/>
      <name val="Garamond"/>
      <family val="1"/>
      <scheme val="major"/>
    </font>
    <font>
      <sz val="11"/>
      <color rgb="FFC00000"/>
      <name val="Garamond"/>
      <family val="1"/>
      <scheme val="major"/>
    </font>
    <font>
      <b/>
      <u/>
      <sz val="11"/>
      <color theme="1"/>
      <name val="Garamond"/>
      <family val="1"/>
      <scheme val="major"/>
    </font>
    <font>
      <b/>
      <u val="singleAccounting"/>
      <sz val="11"/>
      <color theme="1"/>
      <name val="Garamond"/>
      <family val="1"/>
      <scheme val="major"/>
    </font>
    <font>
      <u val="singleAccounting"/>
      <sz val="11"/>
      <color theme="1"/>
      <name val="Garamond"/>
      <family val="1"/>
      <scheme val="major"/>
    </font>
    <font>
      <b/>
      <sz val="11"/>
      <name val="Garamond"/>
      <family val="1"/>
      <scheme val="major"/>
    </font>
    <font>
      <sz val="11"/>
      <color rgb="FF000000"/>
      <name val="Garamond"/>
      <family val="1"/>
      <scheme val="major"/>
    </font>
    <font>
      <sz val="11"/>
      <color rgb="FF0000FF"/>
      <name val="Garamond"/>
      <family val="1"/>
      <scheme val="major"/>
    </font>
    <font>
      <b/>
      <sz val="11"/>
      <color rgb="FFFF0000"/>
      <name val="Garamond"/>
      <family val="1"/>
      <scheme val="major"/>
    </font>
    <font>
      <sz val="9"/>
      <color theme="1"/>
      <name val="Garamond"/>
      <family val="2"/>
      <scheme val="minor"/>
    </font>
    <font>
      <b/>
      <sz val="9"/>
      <color indexed="81"/>
      <name val="Tahoma"/>
      <family val="2"/>
    </font>
    <font>
      <b/>
      <sz val="11"/>
      <color rgb="FF0000FF"/>
      <name val="Garamond"/>
      <family val="1"/>
      <scheme val="major"/>
    </font>
  </fonts>
  <fills count="9">
    <fill>
      <patternFill patternType="none"/>
    </fill>
    <fill>
      <patternFill patternType="gray125"/>
    </fill>
    <fill>
      <patternFill patternType="solid">
        <fgColor rgb="FFF2F2F2"/>
      </patternFill>
    </fill>
    <fill>
      <patternFill patternType="solid">
        <fgColor theme="4" tint="0.79998168889431442"/>
        <bgColor indexed="65"/>
      </patternFill>
    </fill>
    <fill>
      <patternFill patternType="solid">
        <fgColor theme="0"/>
        <bgColor indexed="64"/>
      </patternFill>
    </fill>
    <fill>
      <patternFill patternType="solid">
        <fgColor rgb="FFFFFFCC"/>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4">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right/>
      <top/>
      <bottom style="thin">
        <color rgb="FF000000"/>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2" borderId="1" applyNumberFormat="0" applyAlignment="0" applyProtection="0"/>
    <xf numFmtId="0" fontId="1" fillId="3" borderId="0" applyNumberFormat="0" applyBorder="0" applyAlignment="0" applyProtection="0"/>
    <xf numFmtId="43" fontId="3" fillId="0" borderId="0" applyFont="0" applyFill="0" applyBorder="0" applyAlignment="0" applyProtection="0"/>
    <xf numFmtId="0" fontId="3" fillId="0" borderId="0"/>
    <xf numFmtId="0" fontId="1" fillId="0" borderId="0"/>
    <xf numFmtId="9"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16" fillId="0" borderId="0"/>
  </cellStyleXfs>
  <cellXfs count="51">
    <xf numFmtId="0" fontId="0" fillId="0" borderId="0" xfId="0"/>
    <xf numFmtId="0" fontId="5" fillId="0" borderId="0" xfId="0" applyFont="1"/>
    <xf numFmtId="0" fontId="6" fillId="0" borderId="0" xfId="0" applyFont="1"/>
    <xf numFmtId="0" fontId="6" fillId="4" borderId="0" xfId="0" applyFont="1" applyFill="1" applyAlignment="1">
      <alignment horizontal="center"/>
    </xf>
    <xf numFmtId="164" fontId="6" fillId="4" borderId="0" xfId="0" applyNumberFormat="1" applyFont="1" applyFill="1" applyAlignment="1">
      <alignment horizontal="center"/>
    </xf>
    <xf numFmtId="0" fontId="6" fillId="4" borderId="0" xfId="0" applyFont="1" applyFill="1"/>
    <xf numFmtId="0" fontId="8" fillId="4" borderId="0" xfId="0" applyFont="1" applyFill="1"/>
    <xf numFmtId="0" fontId="7" fillId="4" borderId="0" xfId="0" applyFont="1" applyFill="1" applyAlignment="1">
      <alignment wrapText="1"/>
    </xf>
    <xf numFmtId="0" fontId="9" fillId="4" borderId="0" xfId="0" applyFont="1" applyFill="1" applyAlignment="1">
      <alignment horizontal="center"/>
    </xf>
    <xf numFmtId="0" fontId="6" fillId="0" borderId="0" xfId="0" applyFont="1" applyAlignment="1">
      <alignment horizontal="center"/>
    </xf>
    <xf numFmtId="168" fontId="6" fillId="0" borderId="0" xfId="0" applyNumberFormat="1" applyFont="1"/>
    <xf numFmtId="0" fontId="9" fillId="4" borderId="3" xfId="0" applyFont="1" applyFill="1" applyBorder="1" applyAlignment="1">
      <alignment horizontal="centerContinuous"/>
    </xf>
    <xf numFmtId="0" fontId="9" fillId="0" borderId="3" xfId="0" applyFont="1" applyBorder="1" applyAlignment="1">
      <alignment horizontal="centerContinuous"/>
    </xf>
    <xf numFmtId="0" fontId="6" fillId="4" borderId="3" xfId="0" applyFont="1" applyFill="1" applyBorder="1" applyAlignment="1">
      <alignment horizontal="centerContinuous"/>
    </xf>
    <xf numFmtId="0" fontId="7" fillId="4" borderId="0" xfId="0" applyFont="1" applyFill="1" applyAlignment="1">
      <alignment horizontal="center"/>
    </xf>
    <xf numFmtId="0" fontId="12" fillId="2" borderId="1" xfId="3" applyFont="1" applyAlignment="1">
      <alignment horizontal="center" vertical="center" wrapText="1"/>
    </xf>
    <xf numFmtId="0" fontId="12" fillId="3" borderId="1" xfId="4" applyFont="1" applyBorder="1" applyAlignment="1">
      <alignment horizontal="center" vertical="center" wrapText="1"/>
    </xf>
    <xf numFmtId="0" fontId="12" fillId="5" borderId="1" xfId="3" applyFont="1" applyFill="1" applyAlignment="1">
      <alignment horizontal="center" vertical="center" wrapText="1"/>
    </xf>
    <xf numFmtId="0" fontId="12" fillId="6" borderId="2" xfId="3" applyFont="1" applyFill="1" applyBorder="1" applyAlignment="1">
      <alignment horizontal="center" vertical="center" wrapText="1"/>
    </xf>
    <xf numFmtId="0" fontId="12" fillId="6" borderId="1" xfId="3" applyFont="1" applyFill="1" applyAlignment="1">
      <alignment horizontal="center" vertical="center" wrapText="1"/>
    </xf>
    <xf numFmtId="0" fontId="12" fillId="7" borderId="1" xfId="3" applyFont="1" applyFill="1" applyAlignment="1">
      <alignment horizontal="center" vertical="center" wrapText="1"/>
    </xf>
    <xf numFmtId="165" fontId="14" fillId="0" borderId="0" xfId="2" applyNumberFormat="1" applyFont="1" applyFill="1" applyAlignment="1">
      <alignment horizontal="right"/>
    </xf>
    <xf numFmtId="165" fontId="14" fillId="0" borderId="0" xfId="2" applyNumberFormat="1" applyFont="1" applyFill="1" applyAlignment="1">
      <alignment horizontal="left"/>
    </xf>
    <xf numFmtId="165" fontId="13" fillId="0" borderId="0" xfId="2" applyNumberFormat="1" applyFont="1" applyFill="1" applyAlignment="1">
      <alignment horizontal="left"/>
    </xf>
    <xf numFmtId="166" fontId="13" fillId="0" borderId="0" xfId="1" applyNumberFormat="1" applyFont="1" applyFill="1" applyBorder="1" applyAlignment="1">
      <alignment horizontal="right"/>
    </xf>
    <xf numFmtId="167" fontId="14" fillId="0" borderId="0" xfId="2" applyNumberFormat="1" applyFont="1" applyFill="1" applyAlignment="1">
      <alignment horizontal="right"/>
    </xf>
    <xf numFmtId="0" fontId="15" fillId="0" borderId="0" xfId="0" applyFont="1" applyAlignment="1">
      <alignment horizontal="center"/>
    </xf>
    <xf numFmtId="0" fontId="12" fillId="8" borderId="1" xfId="3" applyFont="1" applyFill="1" applyAlignment="1">
      <alignment horizontal="center" vertical="center" wrapText="1"/>
    </xf>
    <xf numFmtId="0" fontId="11" fillId="0" borderId="0" xfId="0" applyFont="1" applyAlignment="1">
      <alignment horizontal="centerContinuous"/>
    </xf>
    <xf numFmtId="0" fontId="10" fillId="0" borderId="0" xfId="0" applyFont="1" applyAlignment="1">
      <alignment horizontal="centerContinuous"/>
    </xf>
    <xf numFmtId="165" fontId="14" fillId="0" borderId="0" xfId="0" applyNumberFormat="1" applyFont="1"/>
    <xf numFmtId="165" fontId="14" fillId="0" borderId="0" xfId="0" applyNumberFormat="1" applyFont="1" applyAlignment="1">
      <alignment horizontal="right"/>
    </xf>
    <xf numFmtId="170" fontId="15" fillId="0" borderId="0" xfId="0" applyNumberFormat="1" applyFont="1" applyAlignment="1">
      <alignment horizontal="center"/>
    </xf>
    <xf numFmtId="0" fontId="13" fillId="0" borderId="0" xfId="0" applyFont="1"/>
    <xf numFmtId="0" fontId="13" fillId="0" borderId="0" xfId="0" applyFont="1" applyAlignment="1">
      <alignment horizontal="center"/>
    </xf>
    <xf numFmtId="0" fontId="13" fillId="0" borderId="0" xfId="0" applyFont="1" applyAlignment="1">
      <alignment horizontal="left"/>
    </xf>
    <xf numFmtId="169" fontId="13" fillId="0" borderId="0" xfId="0" applyNumberFormat="1" applyFont="1"/>
    <xf numFmtId="169" fontId="13" fillId="0" borderId="0" xfId="0" applyNumberFormat="1" applyFont="1" applyAlignment="1">
      <alignment horizontal="center"/>
    </xf>
    <xf numFmtId="14" fontId="13" fillId="0" borderId="0" xfId="0" applyNumberFormat="1" applyFont="1" applyAlignment="1">
      <alignment horizontal="left"/>
    </xf>
    <xf numFmtId="169" fontId="6" fillId="0" borderId="0" xfId="0" applyNumberFormat="1" applyFont="1"/>
    <xf numFmtId="169" fontId="6" fillId="0" borderId="0" xfId="0" applyNumberFormat="1" applyFont="1" applyAlignment="1">
      <alignment horizontal="center"/>
    </xf>
    <xf numFmtId="0" fontId="7" fillId="0" borderId="0" xfId="0" applyFont="1"/>
    <xf numFmtId="0" fontId="14" fillId="0" borderId="0" xfId="0" applyFont="1" applyAlignment="1">
      <alignment horizontal="center"/>
    </xf>
    <xf numFmtId="165" fontId="13" fillId="0" borderId="0" xfId="0" applyNumberFormat="1" applyFont="1" applyAlignment="1">
      <alignment horizontal="right"/>
    </xf>
    <xf numFmtId="167" fontId="14" fillId="0" borderId="0" xfId="0" applyNumberFormat="1" applyFont="1" applyAlignment="1">
      <alignment horizontal="right"/>
    </xf>
    <xf numFmtId="0" fontId="6" fillId="0" borderId="0" xfId="0" applyFont="1" applyAlignment="1">
      <alignment horizontal="right"/>
    </xf>
    <xf numFmtId="0" fontId="14" fillId="0" borderId="0" xfId="0" applyFont="1" applyAlignment="1">
      <alignment horizontal="right"/>
    </xf>
    <xf numFmtId="165" fontId="6" fillId="0" borderId="0" xfId="0" applyNumberFormat="1" applyFont="1" applyAlignment="1">
      <alignment horizontal="right"/>
    </xf>
    <xf numFmtId="165" fontId="18" fillId="0" borderId="0" xfId="0" applyNumberFormat="1" applyFont="1" applyAlignment="1">
      <alignment horizontal="right"/>
    </xf>
    <xf numFmtId="168" fontId="6" fillId="0" borderId="0" xfId="0" applyNumberFormat="1" applyFont="1" applyAlignment="1">
      <alignment horizontal="right"/>
    </xf>
    <xf numFmtId="168" fontId="14" fillId="0" borderId="0" xfId="0" applyNumberFormat="1" applyFont="1" applyAlignment="1">
      <alignment horizontal="right"/>
    </xf>
  </cellXfs>
  <cellStyles count="13">
    <cellStyle name="20% - Accent1" xfId="4" builtinId="30"/>
    <cellStyle name="Comma" xfId="1" builtinId="3"/>
    <cellStyle name="Comma 10 2" xfId="5" xr:uid="{00000000-0005-0000-0000-000002000000}"/>
    <cellStyle name="Comma 2" xfId="9" xr:uid="{00000000-0005-0000-0000-000003000000}"/>
    <cellStyle name="Currency" xfId="2" builtinId="4"/>
    <cellStyle name="Normal" xfId="0" builtinId="0"/>
    <cellStyle name="Normal 2" xfId="12" xr:uid="{0D0FA222-F512-4B05-8A54-6D2E19BE0697}"/>
    <cellStyle name="Normal 2 2" xfId="7" xr:uid="{00000000-0005-0000-0000-000006000000}"/>
    <cellStyle name="Normal 2 2 3" xfId="11" xr:uid="{8A89EF9F-2527-4C1F-81BA-12CEA1B94D3E}"/>
    <cellStyle name="Normal 3" xfId="6" xr:uid="{00000000-0005-0000-0000-000007000000}"/>
    <cellStyle name="Output" xfId="3" builtinId="21"/>
    <cellStyle name="Percent 2" xfId="8" xr:uid="{00000000-0005-0000-0000-000009000000}"/>
    <cellStyle name="Percent 4" xfId="10" xr:uid="{F85B4F29-E772-478F-AEB6-5109C5FBA620}"/>
  </cellStyles>
  <dxfs count="0"/>
  <tableStyles count="0" defaultTableStyle="TableStyleMedium2" defaultPivotStyle="PivotStyleLight16"/>
  <colors>
    <mruColors>
      <color rgb="FFF2F2F2"/>
      <color rgb="FF0000FF"/>
      <color rgb="FFFFFFCC"/>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encapinvestments1.sharepoint.com/Fund%20Administration/Financial%20Reporting%20-%20Accounting/2022/Fund%20XI/Investor%20Reporting/Supplemental%20Portfolio%20Company%20Information/Supplemental%20Fund%20XI%20and%20Portfolio%20Company%20Information%209.30.22.xlsx?F7C3F5CE" TargetMode="External"/><Relationship Id="rId1" Type="http://schemas.openxmlformats.org/officeDocument/2006/relationships/externalLinkPath" Target="file:///\\F7C3F5CE\Supplemental%20Fund%20XI%20and%20Portfolio%20Company%20Information%209.3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Manager and Fund Information"/>
      <sheetName val="Company Information"/>
      <sheetName val="Financial Information"/>
      <sheetName val="Upstream Only"/>
      <sheetName val="Midstream Only"/>
      <sheetName val="Power Only"/>
      <sheetName val="Feedback"/>
      <sheetName val="Dropdowns"/>
      <sheetName val="Descriptions"/>
    </sheetNames>
    <sheetDataSet>
      <sheetData sheetId="0"/>
      <sheetData sheetId="1"/>
      <sheetData sheetId="2">
        <row r="8">
          <cell r="B8" t="str">
            <v>Enduring Resources IV, LLC</v>
          </cell>
        </row>
      </sheetData>
      <sheetData sheetId="3">
        <row r="13">
          <cell r="B13" t="str">
            <v>Enduring Resources IV, LLC</v>
          </cell>
        </row>
      </sheetData>
      <sheetData sheetId="4"/>
      <sheetData sheetId="5"/>
      <sheetData sheetId="6"/>
      <sheetData sheetId="7"/>
      <sheetData sheetId="8">
        <row r="2">
          <cell r="A2" t="str">
            <v>Various</v>
          </cell>
          <cell r="B2" t="str">
            <v>AED</v>
          </cell>
          <cell r="D2" t="str">
            <v>Private Company</v>
          </cell>
          <cell r="E2" t="str">
            <v>Auction</v>
          </cell>
          <cell r="F2" t="str">
            <v>10 - Energy</v>
          </cell>
          <cell r="G2" t="str">
            <v>10101010 Oil &amp; Gas Drilling</v>
          </cell>
          <cell r="H2" t="str">
            <v>Various</v>
          </cell>
        </row>
        <row r="3">
          <cell r="A3" t="str">
            <v>N/A</v>
          </cell>
          <cell r="B3" t="str">
            <v>AFN</v>
          </cell>
          <cell r="D3" t="str">
            <v>Public Company</v>
          </cell>
          <cell r="E3" t="str">
            <v>Limited Auction</v>
          </cell>
          <cell r="F3" t="str">
            <v>15 - Materials</v>
          </cell>
          <cell r="G3" t="str">
            <v>10101020 Oil &amp; Gas Equipment &amp; Services</v>
          </cell>
          <cell r="H3" t="str">
            <v>Alabama</v>
          </cell>
        </row>
        <row r="4">
          <cell r="A4" t="str">
            <v>Afghanistan</v>
          </cell>
          <cell r="B4" t="str">
            <v>ALL</v>
          </cell>
          <cell r="D4" t="str">
            <v>Government Agency</v>
          </cell>
          <cell r="E4" t="str">
            <v>New Relationship</v>
          </cell>
          <cell r="F4" t="str">
            <v>20 -Industrials</v>
          </cell>
          <cell r="G4" t="str">
            <v>10102010 Integrated Oil &amp; Gas</v>
          </cell>
          <cell r="H4" t="str">
            <v>Alaska</v>
          </cell>
        </row>
        <row r="5">
          <cell r="A5" t="str">
            <v>Albania</v>
          </cell>
          <cell r="B5" t="str">
            <v>AMD</v>
          </cell>
          <cell r="D5" t="str">
            <v>Non Profit</v>
          </cell>
          <cell r="E5" t="str">
            <v>Proprietary</v>
          </cell>
          <cell r="F5" t="str">
            <v>25 -Consumer Discretionary</v>
          </cell>
          <cell r="G5" t="str">
            <v>10102020 Oil &amp; Gas Exploration &amp; Production</v>
          </cell>
          <cell r="H5" t="str">
            <v>Arizona</v>
          </cell>
        </row>
        <row r="6">
          <cell r="A6" t="str">
            <v>Algeria</v>
          </cell>
          <cell r="B6" t="str">
            <v>ANG</v>
          </cell>
          <cell r="D6" t="str">
            <v>Educational</v>
          </cell>
          <cell r="E6" t="str">
            <v>Repeat Team</v>
          </cell>
          <cell r="F6" t="str">
            <v>30 - Consumer Staples</v>
          </cell>
          <cell r="G6" t="str">
            <v>10102030 Oil &amp; Gas Refining &amp; Marketing</v>
          </cell>
          <cell r="H6" t="str">
            <v>Arkansas</v>
          </cell>
        </row>
        <row r="7">
          <cell r="A7" t="str">
            <v>American Samoa</v>
          </cell>
          <cell r="B7" t="str">
            <v>AOA</v>
          </cell>
          <cell r="D7" t="str">
            <v>Partnership</v>
          </cell>
          <cell r="F7" t="str">
            <v>35 -Health Care</v>
          </cell>
          <cell r="G7" t="str">
            <v>10102040 Oil &amp; Gas Storage &amp; Transportation</v>
          </cell>
          <cell r="H7" t="str">
            <v>California</v>
          </cell>
        </row>
        <row r="8">
          <cell r="A8" t="str">
            <v>Andorra</v>
          </cell>
          <cell r="B8" t="str">
            <v>ARS</v>
          </cell>
          <cell r="D8" t="str">
            <v>Other</v>
          </cell>
          <cell r="F8" t="str">
            <v>40- Financials</v>
          </cell>
          <cell r="G8" t="str">
            <v>10102050 Coal &amp; Consumable Fuels</v>
          </cell>
          <cell r="H8" t="str">
            <v>Colorado</v>
          </cell>
        </row>
        <row r="9">
          <cell r="A9" t="str">
            <v>Angola</v>
          </cell>
          <cell r="B9" t="str">
            <v>AUD</v>
          </cell>
          <cell r="D9" t="str">
            <v>N/A</v>
          </cell>
          <cell r="F9" t="str">
            <v>45- Information Technology</v>
          </cell>
          <cell r="G9" t="str">
            <v>15101010 Commodity Chemicals</v>
          </cell>
          <cell r="H9" t="str">
            <v>Connecticut</v>
          </cell>
        </row>
        <row r="10">
          <cell r="A10" t="str">
            <v>Anguilla</v>
          </cell>
          <cell r="B10" t="str">
            <v>AWG</v>
          </cell>
          <cell r="F10" t="str">
            <v>50- Telecommunication Services</v>
          </cell>
          <cell r="G10" t="str">
            <v>15101020 Diversified Chemicals</v>
          </cell>
          <cell r="H10" t="str">
            <v>Delaware</v>
          </cell>
        </row>
        <row r="11">
          <cell r="A11" t="str">
            <v>Antarctica</v>
          </cell>
          <cell r="B11" t="str">
            <v>AZN</v>
          </cell>
          <cell r="F11" t="str">
            <v>55 - Utilities</v>
          </cell>
          <cell r="G11" t="str">
            <v>15101030 Fertilizers &amp; Agricultural Chemicals</v>
          </cell>
          <cell r="H11" t="str">
            <v>District of Columbia</v>
          </cell>
        </row>
        <row r="12">
          <cell r="A12" t="str">
            <v>Antigua And Barbuda</v>
          </cell>
          <cell r="B12" t="str">
            <v>BAM</v>
          </cell>
          <cell r="D12" t="str">
            <v>Unrealized</v>
          </cell>
          <cell r="G12" t="str">
            <v>15101050 Specialty Chemicals</v>
          </cell>
          <cell r="H12" t="str">
            <v>Florida</v>
          </cell>
        </row>
        <row r="13">
          <cell r="A13" t="str">
            <v>Argentina</v>
          </cell>
          <cell r="B13" t="str">
            <v>BBD</v>
          </cell>
          <cell r="D13" t="str">
            <v>Partially Realized</v>
          </cell>
          <cell r="G13" t="str">
            <v>15104010 Aluminum</v>
          </cell>
          <cell r="H13" t="str">
            <v>Georgia</v>
          </cell>
        </row>
        <row r="14">
          <cell r="A14" t="str">
            <v>Armenia</v>
          </cell>
          <cell r="B14" t="str">
            <v>BDT</v>
          </cell>
          <cell r="D14" t="str">
            <v>Fully Realized</v>
          </cell>
          <cell r="F14" t="str">
            <v>Lease &amp; Drill</v>
          </cell>
          <cell r="G14" t="str">
            <v>15104020 Diversified Metals &amp; Mining</v>
          </cell>
          <cell r="H14" t="str">
            <v>Hawaii</v>
          </cell>
        </row>
        <row r="15">
          <cell r="A15" t="str">
            <v>Aruba</v>
          </cell>
          <cell r="B15" t="str">
            <v>BGL</v>
          </cell>
          <cell r="F15" t="str">
            <v>Acquire &amp; Exploit</v>
          </cell>
          <cell r="G15" t="str">
            <v>15104030 Gold</v>
          </cell>
          <cell r="H15" t="str">
            <v>Idaho</v>
          </cell>
        </row>
        <row r="16">
          <cell r="A16" t="str">
            <v>Australia</v>
          </cell>
          <cell r="B16" t="str">
            <v>BGN</v>
          </cell>
          <cell r="F16" t="str">
            <v>Minerals</v>
          </cell>
          <cell r="G16" t="str">
            <v>15104040 Precious Metals &amp; Minerals</v>
          </cell>
          <cell r="H16" t="str">
            <v>Illinois</v>
          </cell>
        </row>
        <row r="17">
          <cell r="A17" t="str">
            <v>Austria</v>
          </cell>
          <cell r="B17" t="str">
            <v>BHD</v>
          </cell>
          <cell r="D17" t="str">
            <v>Leveraged buyout</v>
          </cell>
          <cell r="F17" t="str">
            <v>Multiple</v>
          </cell>
          <cell r="G17" t="str">
            <v>15104045 Silver</v>
          </cell>
          <cell r="H17" t="str">
            <v>Indiana</v>
          </cell>
        </row>
        <row r="18">
          <cell r="A18" t="str">
            <v>Azerbaijan</v>
          </cell>
          <cell r="B18" t="str">
            <v>BIF</v>
          </cell>
          <cell r="D18" t="str">
            <v>Growth Capital</v>
          </cell>
          <cell r="F18" t="str">
            <v>Midstream</v>
          </cell>
          <cell r="G18" t="str">
            <v>15104050 Steel</v>
          </cell>
          <cell r="H18" t="str">
            <v>Iowa</v>
          </cell>
        </row>
        <row r="19">
          <cell r="A19" t="str">
            <v>Bahamas</v>
          </cell>
          <cell r="B19" t="str">
            <v>BMD</v>
          </cell>
          <cell r="D19" t="str">
            <v>Mezzanine Capital</v>
          </cell>
          <cell r="F19" t="str">
            <v>Non Op Working Interest</v>
          </cell>
          <cell r="G19" t="str">
            <v>15105010 Forest Products</v>
          </cell>
          <cell r="H19" t="str">
            <v>Kansas</v>
          </cell>
        </row>
        <row r="20">
          <cell r="A20" t="str">
            <v>Bahrain</v>
          </cell>
          <cell r="B20" t="str">
            <v>BND</v>
          </cell>
          <cell r="D20" t="str">
            <v>Venture Capital</v>
          </cell>
          <cell r="F20" t="str">
            <v>Other</v>
          </cell>
          <cell r="G20" t="str">
            <v>15105020 Paper Products</v>
          </cell>
          <cell r="H20" t="str">
            <v>Kentucky</v>
          </cell>
        </row>
        <row r="21">
          <cell r="A21" t="str">
            <v>Bangladesh</v>
          </cell>
          <cell r="B21" t="str">
            <v>BOB</v>
          </cell>
          <cell r="D21" t="str">
            <v>Distressed and special situations</v>
          </cell>
          <cell r="G21" t="str">
            <v>203030 Marine</v>
          </cell>
          <cell r="H21" t="str">
            <v>Louisiana</v>
          </cell>
        </row>
        <row r="22">
          <cell r="A22" t="str">
            <v>Barbados</v>
          </cell>
          <cell r="B22" t="str">
            <v>BRL</v>
          </cell>
          <cell r="D22" t="str">
            <v>Secondaries</v>
          </cell>
          <cell r="G22" t="str">
            <v>203040 Road &amp; Rail</v>
          </cell>
          <cell r="H22" t="str">
            <v>Maine</v>
          </cell>
        </row>
        <row r="23">
          <cell r="A23" t="str">
            <v>Belarus</v>
          </cell>
          <cell r="B23" t="str">
            <v>BSD</v>
          </cell>
          <cell r="D23" t="str">
            <v>Other strategy</v>
          </cell>
          <cell r="G23" t="str">
            <v>203050 Transportation Infrastructure</v>
          </cell>
          <cell r="H23" t="str">
            <v>Maryland</v>
          </cell>
        </row>
        <row r="24">
          <cell r="A24" t="str">
            <v>Belgium</v>
          </cell>
          <cell r="B24" t="str">
            <v>BTN</v>
          </cell>
          <cell r="G24" t="str">
            <v>20106015 Agricultural &amp; Farm Machinery</v>
          </cell>
          <cell r="H24" t="str">
            <v>Massachusetts</v>
          </cell>
        </row>
        <row r="25">
          <cell r="A25" t="str">
            <v>Belize</v>
          </cell>
          <cell r="B25" t="str">
            <v>BWP</v>
          </cell>
          <cell r="G25" t="str">
            <v>20106020 Industrial Machinery</v>
          </cell>
          <cell r="H25" t="str">
            <v>Michigan</v>
          </cell>
        </row>
        <row r="26">
          <cell r="A26" t="str">
            <v>Benin</v>
          </cell>
          <cell r="B26" t="str">
            <v>BYR</v>
          </cell>
          <cell r="G26" t="str">
            <v>30101020 Food Distributors</v>
          </cell>
          <cell r="H26" t="str">
            <v>Minnesota</v>
          </cell>
        </row>
        <row r="27">
          <cell r="A27" t="str">
            <v>Bermuda</v>
          </cell>
          <cell r="B27" t="str">
            <v>BZD</v>
          </cell>
          <cell r="G27" t="str">
            <v>30101030 Food Retail</v>
          </cell>
          <cell r="H27" t="str">
            <v>Mississippi</v>
          </cell>
        </row>
        <row r="28">
          <cell r="A28" t="str">
            <v>Bhutan</v>
          </cell>
          <cell r="B28" t="str">
            <v>CAD</v>
          </cell>
          <cell r="G28" t="str">
            <v>302020 Food Products</v>
          </cell>
          <cell r="H28" t="str">
            <v>Missouri</v>
          </cell>
        </row>
        <row r="29">
          <cell r="A29" t="str">
            <v>Bolivia</v>
          </cell>
          <cell r="B29" t="str">
            <v>CDF</v>
          </cell>
          <cell r="C29" t="str">
            <v>Austin Chalk</v>
          </cell>
          <cell r="G29" t="str">
            <v>40201040 Specialized Finance</v>
          </cell>
          <cell r="H29" t="str">
            <v>Montana</v>
          </cell>
        </row>
        <row r="30">
          <cell r="A30" t="str">
            <v>Bosnia &amp; Herzegovina</v>
          </cell>
          <cell r="B30" t="str">
            <v>CHF</v>
          </cell>
          <cell r="C30" t="str">
            <v>Avalon</v>
          </cell>
          <cell r="E30" t="str">
            <v>Anadarko</v>
          </cell>
          <cell r="G30" t="str">
            <v>551010 Electric Utilities</v>
          </cell>
          <cell r="H30" t="str">
            <v>Nebraska</v>
          </cell>
        </row>
        <row r="31">
          <cell r="A31" t="str">
            <v>Botswana</v>
          </cell>
          <cell r="B31" t="str">
            <v>CLP</v>
          </cell>
          <cell r="C31" t="str">
            <v>Bakken</v>
          </cell>
          <cell r="E31" t="str">
            <v>Appalachian</v>
          </cell>
          <cell r="G31" t="str">
            <v>551020 Gas Utilities</v>
          </cell>
          <cell r="H31" t="str">
            <v>Nevada</v>
          </cell>
        </row>
        <row r="32">
          <cell r="A32" t="str">
            <v>Bouvet Island</v>
          </cell>
          <cell r="B32" t="str">
            <v>CNH</v>
          </cell>
          <cell r="C32" t="str">
            <v>Barnett - Gas</v>
          </cell>
          <cell r="D32" t="str">
            <v>DCF</v>
          </cell>
          <cell r="E32" t="str">
            <v>Arkoma</v>
          </cell>
          <cell r="G32" t="str">
            <v>551030 Multi-Utilities</v>
          </cell>
          <cell r="H32" t="str">
            <v>New Hampshire</v>
          </cell>
        </row>
        <row r="33">
          <cell r="A33" t="str">
            <v>Brazil</v>
          </cell>
          <cell r="B33" t="str">
            <v>CNY</v>
          </cell>
          <cell r="C33" t="str">
            <v>Barnett - Oil</v>
          </cell>
          <cell r="D33" t="str">
            <v>Precedent Transactions</v>
          </cell>
          <cell r="E33" t="str">
            <v>Bighorn</v>
          </cell>
          <cell r="G33" t="str">
            <v>551040 Water Utilities</v>
          </cell>
          <cell r="H33" t="str">
            <v>New Jersey</v>
          </cell>
        </row>
        <row r="34">
          <cell r="A34" t="str">
            <v>British Indian Ocean Territory</v>
          </cell>
          <cell r="B34" t="str">
            <v>COP</v>
          </cell>
          <cell r="C34" t="str">
            <v>Bone Spring</v>
          </cell>
          <cell r="D34" t="str">
            <v>Public Comps</v>
          </cell>
          <cell r="E34" t="str">
            <v>Brown Dense</v>
          </cell>
          <cell r="G34" t="str">
            <v>551050 Independent Power and Renewable Electricity Producers</v>
          </cell>
          <cell r="H34" t="str">
            <v>New Mexico</v>
          </cell>
        </row>
        <row r="35">
          <cell r="A35" t="str">
            <v>Brunei Darussalam</v>
          </cell>
          <cell r="B35" t="str">
            <v>CRC</v>
          </cell>
          <cell r="C35" t="str">
            <v>Bossier</v>
          </cell>
          <cell r="D35" t="str">
            <v>Publicly Listed Security</v>
          </cell>
          <cell r="E35" t="str">
            <v>DJ</v>
          </cell>
          <cell r="G35" t="str">
            <v>Other</v>
          </cell>
          <cell r="H35" t="str">
            <v>New York</v>
          </cell>
        </row>
        <row r="36">
          <cell r="A36" t="str">
            <v>Bulgaria</v>
          </cell>
          <cell r="B36" t="str">
            <v>CSD</v>
          </cell>
          <cell r="C36" t="str">
            <v>Caddo</v>
          </cell>
          <cell r="D36" t="str">
            <v>Combination of 2 or more</v>
          </cell>
          <cell r="E36" t="str">
            <v>East Texas</v>
          </cell>
          <cell r="H36" t="str">
            <v>North Carolina</v>
          </cell>
        </row>
        <row r="37">
          <cell r="A37" t="str">
            <v>Burkina Faso</v>
          </cell>
          <cell r="B37" t="str">
            <v>CUP</v>
          </cell>
          <cell r="C37" t="str">
            <v>Canyon Wash</v>
          </cell>
          <cell r="D37" t="str">
            <v>Cost</v>
          </cell>
          <cell r="E37" t="str">
            <v>Ft. Worth</v>
          </cell>
          <cell r="H37" t="str">
            <v>North Dakota</v>
          </cell>
        </row>
        <row r="38">
          <cell r="A38" t="str">
            <v>Burundi</v>
          </cell>
          <cell r="B38" t="str">
            <v>CVE</v>
          </cell>
          <cell r="C38" t="str">
            <v>Chester</v>
          </cell>
          <cell r="D38" t="str">
            <v>Asset Coverage</v>
          </cell>
          <cell r="E38" t="str">
            <v>GOM - USA</v>
          </cell>
          <cell r="G38">
            <v>1</v>
          </cell>
          <cell r="H38" t="str">
            <v>Ohio</v>
          </cell>
        </row>
        <row r="39">
          <cell r="A39" t="str">
            <v>Cambodia</v>
          </cell>
          <cell r="B39" t="str">
            <v>CYP</v>
          </cell>
          <cell r="C39" t="str">
            <v>Cleveland Sands</v>
          </cell>
          <cell r="D39" t="str">
            <v>$/Acre</v>
          </cell>
          <cell r="E39" t="str">
            <v>GOM - Mexico</v>
          </cell>
          <cell r="G39">
            <v>2</v>
          </cell>
          <cell r="H39" t="str">
            <v>Oklahoma</v>
          </cell>
        </row>
        <row r="40">
          <cell r="A40" t="str">
            <v>Cameroon</v>
          </cell>
          <cell r="B40" t="str">
            <v>CZK</v>
          </cell>
          <cell r="C40" t="str">
            <v>Cline</v>
          </cell>
          <cell r="D40" t="str">
            <v>Other</v>
          </cell>
          <cell r="E40" t="str">
            <v>Gulf Coast</v>
          </cell>
          <cell r="G40">
            <v>3</v>
          </cell>
          <cell r="H40" t="str">
            <v>Oregon</v>
          </cell>
        </row>
        <row r="41">
          <cell r="A41" t="str">
            <v>Canada</v>
          </cell>
          <cell r="B41" t="str">
            <v>DJF</v>
          </cell>
          <cell r="C41" t="str">
            <v>Cotton Valley</v>
          </cell>
          <cell r="D41" t="str">
            <v>N/A</v>
          </cell>
          <cell r="E41" t="str">
            <v>Non-North America</v>
          </cell>
          <cell r="G41">
            <v>4</v>
          </cell>
          <cell r="H41" t="str">
            <v>Pennsylvania</v>
          </cell>
        </row>
        <row r="42">
          <cell r="A42" t="str">
            <v>Cape Verde</v>
          </cell>
          <cell r="B42" t="str">
            <v>DKK</v>
          </cell>
          <cell r="C42" t="str">
            <v>Deep Pink</v>
          </cell>
          <cell r="E42" t="str">
            <v>North Louisiana</v>
          </cell>
          <cell r="G42">
            <v>5</v>
          </cell>
          <cell r="H42" t="str">
            <v>Rhode Island</v>
          </cell>
        </row>
        <row r="43">
          <cell r="A43" t="str">
            <v>Cayman Islands</v>
          </cell>
          <cell r="B43" t="str">
            <v>DOP</v>
          </cell>
          <cell r="C43" t="str">
            <v>Devonian</v>
          </cell>
          <cell r="E43" t="str">
            <v>Onshore Mexico</v>
          </cell>
          <cell r="G43">
            <v>6</v>
          </cell>
          <cell r="H43" t="str">
            <v>South Carolina</v>
          </cell>
        </row>
        <row r="44">
          <cell r="A44" t="str">
            <v>Central African Republic</v>
          </cell>
          <cell r="B44" t="str">
            <v>DZD</v>
          </cell>
          <cell r="C44" t="str">
            <v>Duvernay</v>
          </cell>
          <cell r="E44" t="str">
            <v>Permian - CBP</v>
          </cell>
          <cell r="G44">
            <v>7</v>
          </cell>
          <cell r="H44" t="str">
            <v>South Dakota</v>
          </cell>
        </row>
        <row r="45">
          <cell r="A45" t="str">
            <v>Chad</v>
          </cell>
          <cell r="B45" t="str">
            <v>ECS</v>
          </cell>
          <cell r="C45" t="str">
            <v>Eagle Ford - Dry</v>
          </cell>
          <cell r="E45" t="str">
            <v xml:space="preserve">Permian - Delaware </v>
          </cell>
          <cell r="G45">
            <v>8</v>
          </cell>
          <cell r="H45" t="str">
            <v>Tennessee</v>
          </cell>
        </row>
        <row r="46">
          <cell r="A46" t="str">
            <v>Chile</v>
          </cell>
          <cell r="B46" t="str">
            <v>EGP</v>
          </cell>
          <cell r="C46" t="str">
            <v>Eagle Ford - Liquids</v>
          </cell>
          <cell r="E46" t="str">
            <v>Permian - Midland</v>
          </cell>
          <cell r="G46">
            <v>9</v>
          </cell>
          <cell r="H46" t="str">
            <v>Texas</v>
          </cell>
        </row>
        <row r="47">
          <cell r="A47" t="str">
            <v>China</v>
          </cell>
          <cell r="B47" t="str">
            <v>ERN</v>
          </cell>
          <cell r="C47" t="str">
            <v>Eagle Ford - Oil</v>
          </cell>
          <cell r="E47" t="str">
            <v>Piceance</v>
          </cell>
          <cell r="G47">
            <v>10</v>
          </cell>
          <cell r="H47" t="str">
            <v>Utah</v>
          </cell>
        </row>
        <row r="48">
          <cell r="A48" t="str">
            <v>Christmas Island</v>
          </cell>
          <cell r="B48" t="str">
            <v>ETB</v>
          </cell>
          <cell r="C48" t="str">
            <v>Fayetteville</v>
          </cell>
          <cell r="E48" t="str">
            <v>Powder River</v>
          </cell>
          <cell r="G48">
            <v>11</v>
          </cell>
          <cell r="H48" t="str">
            <v>Vermont</v>
          </cell>
        </row>
        <row r="49">
          <cell r="A49" t="str">
            <v>Cocos (Keeling) Islands</v>
          </cell>
          <cell r="B49" t="str">
            <v>EUR</v>
          </cell>
          <cell r="C49" t="str">
            <v>Granite Wash</v>
          </cell>
          <cell r="E49" t="str">
            <v>Raton</v>
          </cell>
          <cell r="G49">
            <v>12</v>
          </cell>
          <cell r="H49" t="str">
            <v>Virginia</v>
          </cell>
        </row>
        <row r="50">
          <cell r="A50" t="str">
            <v>Colombia</v>
          </cell>
          <cell r="B50" t="str">
            <v>FJD</v>
          </cell>
          <cell r="C50" t="str">
            <v>Green Canyon</v>
          </cell>
          <cell r="E50" t="str">
            <v>Sand Wash</v>
          </cell>
          <cell r="G50">
            <v>13</v>
          </cell>
          <cell r="H50" t="str">
            <v>Washington</v>
          </cell>
        </row>
        <row r="51">
          <cell r="A51" t="str">
            <v>Comoros</v>
          </cell>
          <cell r="B51" t="str">
            <v>FKP</v>
          </cell>
          <cell r="C51" t="str">
            <v>Haynesville</v>
          </cell>
          <cell r="E51" t="str">
            <v>San Juan</v>
          </cell>
          <cell r="G51">
            <v>14</v>
          </cell>
          <cell r="H51" t="str">
            <v>West Virginia</v>
          </cell>
        </row>
        <row r="52">
          <cell r="A52" t="str">
            <v>Congo</v>
          </cell>
          <cell r="B52" t="str">
            <v>FRF</v>
          </cell>
          <cell r="C52" t="str">
            <v>Hunton</v>
          </cell>
          <cell r="E52" t="str">
            <v>SCOOP</v>
          </cell>
          <cell r="G52">
            <v>15</v>
          </cell>
          <cell r="H52" t="str">
            <v>Wisconsin</v>
          </cell>
        </row>
        <row r="53">
          <cell r="A53" t="str">
            <v>Congo, The Democratic Republic of</v>
          </cell>
          <cell r="B53" t="str">
            <v>GBP</v>
          </cell>
          <cell r="C53" t="str">
            <v>Lower Deep Red</v>
          </cell>
          <cell r="E53" t="str">
            <v>South Texas</v>
          </cell>
          <cell r="G53">
            <v>16</v>
          </cell>
          <cell r="H53" t="str">
            <v>Wyoming</v>
          </cell>
        </row>
        <row r="54">
          <cell r="A54" t="str">
            <v>Cook Islands</v>
          </cell>
          <cell r="B54" t="str">
            <v>GEL</v>
          </cell>
          <cell r="C54" t="str">
            <v>Mancos</v>
          </cell>
          <cell r="E54" t="str">
            <v>STACK</v>
          </cell>
          <cell r="G54">
            <v>17</v>
          </cell>
        </row>
        <row r="55">
          <cell r="A55" t="str">
            <v>Costa Rica</v>
          </cell>
          <cell r="B55" t="str">
            <v>GHS</v>
          </cell>
          <cell r="C55" t="str">
            <v>Maness</v>
          </cell>
          <cell r="E55" t="str">
            <v>Uinta</v>
          </cell>
          <cell r="G55">
            <v>18</v>
          </cell>
        </row>
        <row r="56">
          <cell r="A56" t="str">
            <v>Cote D'Ivoire</v>
          </cell>
          <cell r="B56" t="str">
            <v>GIP</v>
          </cell>
          <cell r="C56" t="str">
            <v>Marble Falls</v>
          </cell>
          <cell r="E56" t="str">
            <v>Western Canadian Sedementary</v>
          </cell>
          <cell r="G56">
            <v>19</v>
          </cell>
        </row>
        <row r="57">
          <cell r="A57" t="str">
            <v>Croatia</v>
          </cell>
          <cell r="B57" t="str">
            <v>GMD</v>
          </cell>
          <cell r="C57" t="str">
            <v>Marcellus</v>
          </cell>
          <cell r="E57" t="str">
            <v>Williston</v>
          </cell>
          <cell r="G57">
            <v>20</v>
          </cell>
        </row>
        <row r="58">
          <cell r="A58" t="str">
            <v>Cuba</v>
          </cell>
          <cell r="B58" t="str">
            <v>GNF</v>
          </cell>
          <cell r="C58" t="str">
            <v>Marmaton</v>
          </cell>
          <cell r="E58" t="str">
            <v>Wittenburg</v>
          </cell>
          <cell r="G58">
            <v>21</v>
          </cell>
        </row>
        <row r="59">
          <cell r="A59" t="str">
            <v>Cyprus</v>
          </cell>
          <cell r="B59" t="str">
            <v>GTQ</v>
          </cell>
          <cell r="C59" t="str">
            <v>Meramec</v>
          </cell>
          <cell r="G59">
            <v>22</v>
          </cell>
        </row>
        <row r="60">
          <cell r="A60" t="str">
            <v>Czech Republic</v>
          </cell>
          <cell r="B60" t="str">
            <v>GYD</v>
          </cell>
          <cell r="C60" t="str">
            <v>Miss Lime</v>
          </cell>
          <cell r="G60">
            <v>23</v>
          </cell>
        </row>
        <row r="61">
          <cell r="A61" t="str">
            <v>Denmark</v>
          </cell>
          <cell r="B61" t="str">
            <v>HKD</v>
          </cell>
          <cell r="C61" t="str">
            <v>Mississippi Canyon</v>
          </cell>
          <cell r="G61">
            <v>24</v>
          </cell>
        </row>
        <row r="62">
          <cell r="A62" t="str">
            <v>Djibouti</v>
          </cell>
          <cell r="B62" t="str">
            <v>HNL</v>
          </cell>
          <cell r="C62" t="str">
            <v>Mississippi Shale</v>
          </cell>
          <cell r="G62">
            <v>25</v>
          </cell>
        </row>
        <row r="63">
          <cell r="A63" t="str">
            <v>Dominica</v>
          </cell>
          <cell r="B63" t="str">
            <v>HRK</v>
          </cell>
          <cell r="C63" t="str">
            <v>Monterey</v>
          </cell>
          <cell r="G63">
            <v>26</v>
          </cell>
        </row>
        <row r="64">
          <cell r="A64" t="str">
            <v>Dominican Republic</v>
          </cell>
          <cell r="B64" t="str">
            <v>HTG</v>
          </cell>
          <cell r="C64" t="str">
            <v>Montney</v>
          </cell>
          <cell r="G64">
            <v>27</v>
          </cell>
        </row>
        <row r="65">
          <cell r="A65" t="str">
            <v>Ecuador</v>
          </cell>
          <cell r="B65" t="str">
            <v>HUF</v>
          </cell>
          <cell r="C65" t="str">
            <v>Mowry</v>
          </cell>
          <cell r="G65">
            <v>28</v>
          </cell>
        </row>
        <row r="66">
          <cell r="A66" t="str">
            <v>Egypt</v>
          </cell>
          <cell r="B66" t="str">
            <v>IDR</v>
          </cell>
          <cell r="C66" t="str">
            <v>Muddy</v>
          </cell>
          <cell r="G66">
            <v>29</v>
          </cell>
        </row>
        <row r="67">
          <cell r="A67" t="str">
            <v>El Salvador</v>
          </cell>
          <cell r="B67" t="str">
            <v>ILS</v>
          </cell>
          <cell r="C67" t="str">
            <v>Niobrara</v>
          </cell>
          <cell r="G67">
            <v>30</v>
          </cell>
        </row>
        <row r="68">
          <cell r="A68" t="str">
            <v>Equatorial Guinea</v>
          </cell>
          <cell r="B68" t="str">
            <v>INR</v>
          </cell>
          <cell r="C68" t="str">
            <v>Osage</v>
          </cell>
          <cell r="G68">
            <v>31</v>
          </cell>
        </row>
        <row r="69">
          <cell r="A69" t="str">
            <v>Eritrea</v>
          </cell>
          <cell r="B69" t="str">
            <v>IQD</v>
          </cell>
          <cell r="C69" t="str">
            <v>Oswego</v>
          </cell>
          <cell r="G69">
            <v>32</v>
          </cell>
        </row>
        <row r="70">
          <cell r="A70" t="str">
            <v>Estonia</v>
          </cell>
          <cell r="B70" t="str">
            <v>IRR</v>
          </cell>
          <cell r="C70" t="str">
            <v>Other</v>
          </cell>
          <cell r="G70">
            <v>33</v>
          </cell>
        </row>
        <row r="71">
          <cell r="A71" t="str">
            <v>Ethiopia</v>
          </cell>
          <cell r="B71" t="str">
            <v>ISK</v>
          </cell>
          <cell r="C71" t="str">
            <v>Pennsylvania</v>
          </cell>
          <cell r="G71">
            <v>34</v>
          </cell>
        </row>
        <row r="72">
          <cell r="A72" t="str">
            <v>European Union</v>
          </cell>
          <cell r="B72" t="str">
            <v>ITL</v>
          </cell>
          <cell r="C72" t="str">
            <v>Piceance</v>
          </cell>
          <cell r="G72">
            <v>35</v>
          </cell>
        </row>
        <row r="73">
          <cell r="A73" t="str">
            <v>Falkland Islands (Malvinas)</v>
          </cell>
          <cell r="B73" t="str">
            <v>JMD</v>
          </cell>
          <cell r="C73" t="str">
            <v>Pinedale</v>
          </cell>
          <cell r="G73">
            <v>36</v>
          </cell>
        </row>
        <row r="74">
          <cell r="A74" t="str">
            <v>Faroe Islands</v>
          </cell>
          <cell r="B74" t="str">
            <v>JOD</v>
          </cell>
          <cell r="C74" t="str">
            <v>San Andres</v>
          </cell>
          <cell r="G74">
            <v>37</v>
          </cell>
        </row>
        <row r="75">
          <cell r="A75" t="str">
            <v>Fiji</v>
          </cell>
          <cell r="B75" t="str">
            <v>JPY</v>
          </cell>
          <cell r="C75" t="str">
            <v>San Joaquin Valley (CA)</v>
          </cell>
          <cell r="G75">
            <v>38</v>
          </cell>
        </row>
        <row r="76">
          <cell r="A76" t="str">
            <v>Finland</v>
          </cell>
          <cell r="B76" t="str">
            <v>KES</v>
          </cell>
          <cell r="C76" t="str">
            <v>San Juan Gallup</v>
          </cell>
          <cell r="G76">
            <v>39</v>
          </cell>
        </row>
        <row r="77">
          <cell r="A77" t="str">
            <v>France</v>
          </cell>
          <cell r="B77" t="str">
            <v>KGS</v>
          </cell>
          <cell r="G77">
            <v>40</v>
          </cell>
        </row>
        <row r="78">
          <cell r="A78" t="str">
            <v>French Guiana</v>
          </cell>
          <cell r="B78" t="str">
            <v>KHR</v>
          </cell>
          <cell r="G78">
            <v>41</v>
          </cell>
        </row>
        <row r="79">
          <cell r="A79" t="str">
            <v>French Polynesia</v>
          </cell>
          <cell r="B79" t="str">
            <v>KMF</v>
          </cell>
          <cell r="G79">
            <v>42</v>
          </cell>
        </row>
        <row r="80">
          <cell r="A80" t="str">
            <v>French Southern Territories</v>
          </cell>
          <cell r="B80" t="str">
            <v>KPW</v>
          </cell>
          <cell r="G80">
            <v>43</v>
          </cell>
        </row>
        <row r="81">
          <cell r="A81" t="str">
            <v>Gabon</v>
          </cell>
          <cell r="B81" t="str">
            <v>KRW</v>
          </cell>
          <cell r="G81">
            <v>44</v>
          </cell>
        </row>
        <row r="82">
          <cell r="A82" t="str">
            <v>Gambia</v>
          </cell>
          <cell r="B82" t="str">
            <v>KWD</v>
          </cell>
          <cell r="G82">
            <v>45</v>
          </cell>
        </row>
        <row r="83">
          <cell r="A83" t="str">
            <v>Georgia</v>
          </cell>
          <cell r="B83" t="str">
            <v>KYD</v>
          </cell>
          <cell r="G83">
            <v>46</v>
          </cell>
        </row>
        <row r="84">
          <cell r="A84" t="str">
            <v>Germany</v>
          </cell>
          <cell r="B84" t="str">
            <v>KZT</v>
          </cell>
          <cell r="G84">
            <v>47</v>
          </cell>
        </row>
        <row r="85">
          <cell r="A85" t="str">
            <v>Ghana</v>
          </cell>
          <cell r="B85" t="str">
            <v>LAK</v>
          </cell>
          <cell r="G85">
            <v>48</v>
          </cell>
        </row>
        <row r="86">
          <cell r="A86" t="str">
            <v>Gibraltar</v>
          </cell>
          <cell r="B86" t="str">
            <v>LBP</v>
          </cell>
          <cell r="G86">
            <v>49</v>
          </cell>
        </row>
        <row r="87">
          <cell r="A87" t="str">
            <v>Greece</v>
          </cell>
          <cell r="B87" t="str">
            <v>LKR</v>
          </cell>
          <cell r="G87">
            <v>50</v>
          </cell>
        </row>
        <row r="88">
          <cell r="A88" t="str">
            <v>Greenland</v>
          </cell>
          <cell r="B88" t="str">
            <v>LRD</v>
          </cell>
          <cell r="G88" t="str">
            <v>N/A</v>
          </cell>
        </row>
        <row r="89">
          <cell r="A89" t="str">
            <v>Grenada</v>
          </cell>
          <cell r="B89" t="str">
            <v>LSL</v>
          </cell>
          <cell r="G89" t="str">
            <v>EETF</v>
          </cell>
        </row>
        <row r="90">
          <cell r="A90" t="str">
            <v>Guadeloupe</v>
          </cell>
          <cell r="B90" t="str">
            <v>LTL</v>
          </cell>
        </row>
        <row r="91">
          <cell r="A91" t="str">
            <v>Guam</v>
          </cell>
          <cell r="B91" t="str">
            <v>LVL</v>
          </cell>
        </row>
        <row r="92">
          <cell r="A92" t="str">
            <v>Guatemala</v>
          </cell>
          <cell r="B92" t="str">
            <v>LYD</v>
          </cell>
        </row>
        <row r="93">
          <cell r="A93" t="str">
            <v>Guernsey</v>
          </cell>
          <cell r="B93" t="str">
            <v>MAD</v>
          </cell>
        </row>
        <row r="94">
          <cell r="A94" t="str">
            <v>Guinea</v>
          </cell>
          <cell r="B94" t="str">
            <v>MDL</v>
          </cell>
        </row>
        <row r="95">
          <cell r="A95" t="str">
            <v>Guyana</v>
          </cell>
          <cell r="B95" t="str">
            <v>MGA</v>
          </cell>
        </row>
        <row r="96">
          <cell r="A96" t="str">
            <v>Haiti</v>
          </cell>
          <cell r="B96" t="str">
            <v>MKD</v>
          </cell>
        </row>
        <row r="97">
          <cell r="A97" t="str">
            <v>Heard Island And Mcdonald Islands</v>
          </cell>
          <cell r="B97" t="str">
            <v>MMK</v>
          </cell>
        </row>
        <row r="98">
          <cell r="A98" t="str">
            <v>Honduras</v>
          </cell>
          <cell r="B98" t="str">
            <v>MNT</v>
          </cell>
        </row>
        <row r="99">
          <cell r="A99" t="str">
            <v>Hong Kong</v>
          </cell>
          <cell r="B99" t="str">
            <v>MOP</v>
          </cell>
        </row>
        <row r="100">
          <cell r="A100" t="str">
            <v>Hungary</v>
          </cell>
          <cell r="B100" t="str">
            <v>MRO</v>
          </cell>
        </row>
        <row r="101">
          <cell r="A101" t="str">
            <v>Iceland</v>
          </cell>
          <cell r="B101" t="str">
            <v>MTL</v>
          </cell>
        </row>
        <row r="102">
          <cell r="A102" t="str">
            <v>India</v>
          </cell>
          <cell r="B102" t="str">
            <v>MUR</v>
          </cell>
        </row>
        <row r="103">
          <cell r="A103" t="str">
            <v>Indonesia</v>
          </cell>
          <cell r="B103" t="str">
            <v>MVR</v>
          </cell>
        </row>
        <row r="104">
          <cell r="A104" t="str">
            <v>Iran (Islamic Republic Of)</v>
          </cell>
          <cell r="B104" t="str">
            <v>MWK</v>
          </cell>
        </row>
        <row r="105">
          <cell r="A105" t="str">
            <v>Iraq</v>
          </cell>
          <cell r="B105" t="str">
            <v>MXN</v>
          </cell>
        </row>
        <row r="106">
          <cell r="A106" t="str">
            <v>Ireland</v>
          </cell>
          <cell r="B106" t="str">
            <v>MYR</v>
          </cell>
        </row>
        <row r="107">
          <cell r="A107" t="str">
            <v>Isle of Man</v>
          </cell>
          <cell r="B107" t="str">
            <v>MZN</v>
          </cell>
        </row>
        <row r="108">
          <cell r="A108" t="str">
            <v>Israel</v>
          </cell>
          <cell r="B108" t="str">
            <v>NAD</v>
          </cell>
        </row>
        <row r="109">
          <cell r="A109" t="str">
            <v>Italy</v>
          </cell>
          <cell r="B109" t="str">
            <v>NGN</v>
          </cell>
        </row>
        <row r="110">
          <cell r="A110" t="str">
            <v>Ivory Coast</v>
          </cell>
          <cell r="B110" t="str">
            <v>NIO</v>
          </cell>
        </row>
        <row r="111">
          <cell r="A111" t="str">
            <v>Jamaica</v>
          </cell>
          <cell r="B111" t="str">
            <v>NLG</v>
          </cell>
        </row>
        <row r="112">
          <cell r="A112" t="str">
            <v>Japan</v>
          </cell>
          <cell r="B112" t="str">
            <v>NOK</v>
          </cell>
        </row>
        <row r="113">
          <cell r="A113" t="str">
            <v>Jersey</v>
          </cell>
          <cell r="B113" t="str">
            <v>NPR</v>
          </cell>
        </row>
        <row r="114">
          <cell r="A114" t="str">
            <v>Jordan</v>
          </cell>
          <cell r="B114" t="str">
            <v>NZD</v>
          </cell>
        </row>
        <row r="115">
          <cell r="A115" t="str">
            <v>Kazakhstan</v>
          </cell>
          <cell r="B115" t="str">
            <v>OMR</v>
          </cell>
        </row>
        <row r="116">
          <cell r="A116" t="str">
            <v>Kenya</v>
          </cell>
          <cell r="B116" t="str">
            <v>PAB</v>
          </cell>
        </row>
        <row r="117">
          <cell r="A117" t="str">
            <v>Kiribati</v>
          </cell>
          <cell r="B117" t="str">
            <v>PEN</v>
          </cell>
        </row>
        <row r="118">
          <cell r="A118" t="str">
            <v>Korea, Democratic People's Republic Of</v>
          </cell>
          <cell r="B118" t="str">
            <v>PGK</v>
          </cell>
        </row>
        <row r="119">
          <cell r="A119" t="str">
            <v>Korea, Republic Of</v>
          </cell>
          <cell r="B119" t="str">
            <v>PHP</v>
          </cell>
        </row>
        <row r="120">
          <cell r="A120" t="str">
            <v>Kuwait</v>
          </cell>
          <cell r="B120" t="str">
            <v>PKR</v>
          </cell>
        </row>
        <row r="121">
          <cell r="A121" t="str">
            <v>Kyrgyzstan</v>
          </cell>
          <cell r="B121" t="str">
            <v>PLN</v>
          </cell>
        </row>
        <row r="122">
          <cell r="A122" t="str">
            <v>Lao People's Democratic Republic</v>
          </cell>
          <cell r="B122" t="str">
            <v>PYG</v>
          </cell>
        </row>
        <row r="123">
          <cell r="A123" t="str">
            <v>Latvia</v>
          </cell>
          <cell r="B123" t="str">
            <v>QAR</v>
          </cell>
        </row>
        <row r="124">
          <cell r="A124" t="str">
            <v>Lebanon</v>
          </cell>
          <cell r="B124" t="str">
            <v>RON</v>
          </cell>
        </row>
        <row r="125">
          <cell r="A125" t="str">
            <v>Lesotho</v>
          </cell>
          <cell r="B125" t="str">
            <v>RSD</v>
          </cell>
        </row>
        <row r="126">
          <cell r="A126" t="str">
            <v>Liberia</v>
          </cell>
          <cell r="B126" t="str">
            <v>RUB</v>
          </cell>
        </row>
        <row r="127">
          <cell r="A127" t="str">
            <v>Libyan Arab Jamahiriya</v>
          </cell>
          <cell r="B127" t="str">
            <v>RWF</v>
          </cell>
        </row>
        <row r="128">
          <cell r="A128" t="str">
            <v>Liechtenstein</v>
          </cell>
          <cell r="B128" t="str">
            <v>SAR</v>
          </cell>
        </row>
        <row r="129">
          <cell r="A129" t="str">
            <v>Lithuania</v>
          </cell>
          <cell r="B129" t="str">
            <v>SBD</v>
          </cell>
        </row>
        <row r="130">
          <cell r="A130" t="str">
            <v>Luxembourg</v>
          </cell>
          <cell r="B130" t="str">
            <v>SCR</v>
          </cell>
        </row>
        <row r="131">
          <cell r="A131" t="str">
            <v>Macau</v>
          </cell>
          <cell r="B131" t="str">
            <v>SDD</v>
          </cell>
        </row>
        <row r="132">
          <cell r="A132" t="str">
            <v>Macedonia, The Former Yugoslav Republic Of</v>
          </cell>
          <cell r="B132" t="str">
            <v>SDG</v>
          </cell>
        </row>
        <row r="133">
          <cell r="A133" t="str">
            <v>Madagascar</v>
          </cell>
          <cell r="B133" t="str">
            <v>SDP</v>
          </cell>
        </row>
        <row r="134">
          <cell r="A134" t="str">
            <v>Malawi</v>
          </cell>
          <cell r="B134" t="str">
            <v>SEK</v>
          </cell>
        </row>
        <row r="135">
          <cell r="A135" t="str">
            <v>Malaysia</v>
          </cell>
          <cell r="B135" t="str">
            <v>SGD</v>
          </cell>
        </row>
        <row r="136">
          <cell r="A136" t="str">
            <v>Maldives</v>
          </cell>
          <cell r="B136" t="str">
            <v>SHP</v>
          </cell>
        </row>
        <row r="137">
          <cell r="A137" t="str">
            <v>Mali</v>
          </cell>
          <cell r="B137" t="str">
            <v>SIT</v>
          </cell>
        </row>
        <row r="138">
          <cell r="A138" t="str">
            <v>Malta</v>
          </cell>
          <cell r="B138" t="str">
            <v>SLL</v>
          </cell>
        </row>
        <row r="139">
          <cell r="A139" t="str">
            <v>Marshall Islands</v>
          </cell>
          <cell r="B139" t="str">
            <v>SOS</v>
          </cell>
        </row>
        <row r="140">
          <cell r="A140" t="str">
            <v>Martinique</v>
          </cell>
          <cell r="B140" t="str">
            <v>SRD</v>
          </cell>
        </row>
        <row r="141">
          <cell r="A141" t="str">
            <v>Mauritania</v>
          </cell>
          <cell r="B141" t="str">
            <v>STD</v>
          </cell>
        </row>
        <row r="142">
          <cell r="A142" t="str">
            <v>Mauritius</v>
          </cell>
          <cell r="B142" t="str">
            <v>SVC</v>
          </cell>
        </row>
        <row r="143">
          <cell r="A143" t="str">
            <v>Mayotte</v>
          </cell>
          <cell r="B143" t="str">
            <v>SYP</v>
          </cell>
        </row>
        <row r="144">
          <cell r="A144" t="str">
            <v>Mexico</v>
          </cell>
          <cell r="B144" t="str">
            <v>SZL</v>
          </cell>
        </row>
        <row r="145">
          <cell r="A145" t="str">
            <v>Micronesia (Federated States Of)</v>
          </cell>
          <cell r="B145" t="str">
            <v>THB</v>
          </cell>
        </row>
        <row r="146">
          <cell r="A146" t="str">
            <v>Moldova, Republic Of</v>
          </cell>
          <cell r="B146" t="str">
            <v>TJS</v>
          </cell>
        </row>
        <row r="147">
          <cell r="A147" t="str">
            <v>Monaco</v>
          </cell>
          <cell r="B147" t="str">
            <v>TMM</v>
          </cell>
        </row>
        <row r="148">
          <cell r="A148" t="str">
            <v>Mongolia</v>
          </cell>
          <cell r="B148" t="str">
            <v>TND</v>
          </cell>
        </row>
        <row r="149">
          <cell r="A149" t="str">
            <v>Montserrat</v>
          </cell>
          <cell r="B149" t="str">
            <v>TOP</v>
          </cell>
        </row>
        <row r="150">
          <cell r="A150" t="str">
            <v>Morocco</v>
          </cell>
          <cell r="B150" t="str">
            <v>TRY</v>
          </cell>
        </row>
        <row r="151">
          <cell r="A151" t="str">
            <v>Mozambique</v>
          </cell>
          <cell r="B151" t="str">
            <v>TTD</v>
          </cell>
        </row>
        <row r="152">
          <cell r="A152" t="str">
            <v>Myanmar</v>
          </cell>
          <cell r="B152" t="str">
            <v>TWD</v>
          </cell>
        </row>
        <row r="153">
          <cell r="A153" t="str">
            <v>Namibia</v>
          </cell>
          <cell r="B153" t="str">
            <v>TZS</v>
          </cell>
        </row>
        <row r="154">
          <cell r="A154" t="str">
            <v>Nauru</v>
          </cell>
          <cell r="B154" t="str">
            <v>UAH</v>
          </cell>
        </row>
        <row r="155">
          <cell r="A155" t="str">
            <v>Nepal</v>
          </cell>
          <cell r="B155" t="str">
            <v>UGX</v>
          </cell>
        </row>
        <row r="156">
          <cell r="A156" t="str">
            <v>Netherlands</v>
          </cell>
          <cell r="B156" t="str">
            <v>USD</v>
          </cell>
        </row>
        <row r="157">
          <cell r="A157" t="str">
            <v>Netherlands Antilles</v>
          </cell>
          <cell r="B157" t="str">
            <v>UYU</v>
          </cell>
        </row>
        <row r="158">
          <cell r="A158" t="str">
            <v>New Caledonia</v>
          </cell>
          <cell r="B158" t="str">
            <v>UZS</v>
          </cell>
        </row>
        <row r="159">
          <cell r="A159" t="str">
            <v>New Zealand</v>
          </cell>
          <cell r="B159" t="str">
            <v>VEB</v>
          </cell>
        </row>
        <row r="160">
          <cell r="A160" t="str">
            <v>Nicaragua</v>
          </cell>
          <cell r="B160" t="str">
            <v>VEF</v>
          </cell>
        </row>
        <row r="161">
          <cell r="A161" t="str">
            <v>Niger</v>
          </cell>
          <cell r="B161" t="str">
            <v>VND</v>
          </cell>
        </row>
        <row r="162">
          <cell r="A162" t="str">
            <v>Nigeria</v>
          </cell>
          <cell r="B162" t="str">
            <v>VUV</v>
          </cell>
        </row>
        <row r="163">
          <cell r="A163" t="str">
            <v>Niue</v>
          </cell>
          <cell r="B163" t="str">
            <v>WST</v>
          </cell>
        </row>
        <row r="164">
          <cell r="A164" t="str">
            <v>Norfolk Island</v>
          </cell>
          <cell r="B164" t="str">
            <v>YER</v>
          </cell>
        </row>
        <row r="165">
          <cell r="A165" t="str">
            <v>Northern Mariana Islands</v>
          </cell>
          <cell r="B165" t="str">
            <v>ZAR</v>
          </cell>
        </row>
        <row r="166">
          <cell r="A166" t="str">
            <v>Norway</v>
          </cell>
          <cell r="B166" t="str">
            <v>ZMK</v>
          </cell>
        </row>
        <row r="167">
          <cell r="A167" t="str">
            <v>Oman</v>
          </cell>
          <cell r="B167" t="str">
            <v>ZMW</v>
          </cell>
        </row>
        <row r="168">
          <cell r="A168" t="str">
            <v>Pakistan</v>
          </cell>
          <cell r="B168" t="str">
            <v>ZWD</v>
          </cell>
        </row>
        <row r="169">
          <cell r="A169" t="str">
            <v>Palau</v>
          </cell>
        </row>
        <row r="170">
          <cell r="A170" t="str">
            <v>Panama</v>
          </cell>
        </row>
        <row r="171">
          <cell r="A171" t="str">
            <v>Papua New Guinea</v>
          </cell>
        </row>
        <row r="172">
          <cell r="A172" t="str">
            <v>Paraguay</v>
          </cell>
        </row>
        <row r="173">
          <cell r="A173" t="str">
            <v>Peru</v>
          </cell>
        </row>
        <row r="174">
          <cell r="A174" t="str">
            <v>Philippines</v>
          </cell>
        </row>
        <row r="175">
          <cell r="A175" t="str">
            <v>Pitcairn</v>
          </cell>
        </row>
        <row r="176">
          <cell r="A176" t="str">
            <v>Poland</v>
          </cell>
        </row>
        <row r="177">
          <cell r="A177" t="str">
            <v>Portugal</v>
          </cell>
        </row>
        <row r="178">
          <cell r="A178" t="str">
            <v>Puerto Rico</v>
          </cell>
        </row>
        <row r="179">
          <cell r="A179" t="str">
            <v>Qatar</v>
          </cell>
        </row>
        <row r="180">
          <cell r="A180" t="str">
            <v>Republic of Serbia</v>
          </cell>
        </row>
        <row r="181">
          <cell r="A181" t="str">
            <v>Reunion</v>
          </cell>
        </row>
        <row r="182">
          <cell r="A182" t="str">
            <v>Romania</v>
          </cell>
        </row>
        <row r="183">
          <cell r="A183" t="str">
            <v>Russian Federation</v>
          </cell>
        </row>
        <row r="184">
          <cell r="A184" t="str">
            <v>Rwanda</v>
          </cell>
        </row>
        <row r="185">
          <cell r="A185" t="str">
            <v>Saint Helena</v>
          </cell>
        </row>
        <row r="186">
          <cell r="A186" t="str">
            <v>Saint Kitts And Nevis</v>
          </cell>
        </row>
        <row r="187">
          <cell r="A187" t="str">
            <v>Saint Lucia</v>
          </cell>
        </row>
        <row r="188">
          <cell r="A188" t="str">
            <v>Saint Pierre And Miquelon</v>
          </cell>
        </row>
        <row r="189">
          <cell r="A189" t="str">
            <v>Saint Vincent And The Grenadines</v>
          </cell>
        </row>
        <row r="190">
          <cell r="A190" t="str">
            <v>Samoa</v>
          </cell>
        </row>
        <row r="191">
          <cell r="A191" t="str">
            <v>San Marino</v>
          </cell>
        </row>
        <row r="192">
          <cell r="A192" t="str">
            <v>Sao Tome And Principe</v>
          </cell>
        </row>
        <row r="193">
          <cell r="A193" t="str">
            <v>Saudi Arabia</v>
          </cell>
        </row>
        <row r="194">
          <cell r="A194" t="str">
            <v>Senegal</v>
          </cell>
        </row>
        <row r="195">
          <cell r="A195" t="str">
            <v>Seychelles</v>
          </cell>
        </row>
        <row r="196">
          <cell r="A196" t="str">
            <v>Sierra Leone</v>
          </cell>
        </row>
        <row r="197">
          <cell r="A197" t="str">
            <v>Singapore</v>
          </cell>
        </row>
        <row r="198">
          <cell r="A198" t="str">
            <v>Slovakia</v>
          </cell>
        </row>
        <row r="199">
          <cell r="A199" t="str">
            <v>Slovenia</v>
          </cell>
        </row>
        <row r="200">
          <cell r="A200" t="str">
            <v>Solomon Islands</v>
          </cell>
        </row>
        <row r="201">
          <cell r="A201" t="str">
            <v>Somalia</v>
          </cell>
        </row>
        <row r="202">
          <cell r="A202" t="str">
            <v>South Africa</v>
          </cell>
        </row>
        <row r="203">
          <cell r="A203" t="str">
            <v>Spain</v>
          </cell>
        </row>
        <row r="204">
          <cell r="A204" t="str">
            <v>Sri Lanka</v>
          </cell>
        </row>
        <row r="205">
          <cell r="A205" t="str">
            <v>Sudan</v>
          </cell>
        </row>
        <row r="206">
          <cell r="A206" t="str">
            <v>Suriname</v>
          </cell>
        </row>
        <row r="207">
          <cell r="A207" t="str">
            <v>Svalbard And Jan Mayen</v>
          </cell>
        </row>
        <row r="208">
          <cell r="A208" t="str">
            <v>Swaziland</v>
          </cell>
        </row>
        <row r="209">
          <cell r="A209" t="str">
            <v>Sweden</v>
          </cell>
        </row>
        <row r="210">
          <cell r="A210" t="str">
            <v>Switzerland</v>
          </cell>
        </row>
        <row r="211">
          <cell r="A211" t="str">
            <v>Syrian Arab Republic</v>
          </cell>
        </row>
        <row r="212">
          <cell r="A212" t="str">
            <v>Taiwan, Province Of China</v>
          </cell>
        </row>
        <row r="213">
          <cell r="A213" t="str">
            <v>Tajikistan</v>
          </cell>
        </row>
        <row r="214">
          <cell r="A214" t="str">
            <v>Tanzania, United Republic Of</v>
          </cell>
        </row>
        <row r="215">
          <cell r="A215" t="str">
            <v>Thailand</v>
          </cell>
        </row>
        <row r="216">
          <cell r="A216" t="str">
            <v>Togo</v>
          </cell>
        </row>
        <row r="217">
          <cell r="A217" t="str">
            <v>Tokelau</v>
          </cell>
        </row>
        <row r="218">
          <cell r="A218" t="str">
            <v>Tonga</v>
          </cell>
        </row>
        <row r="219">
          <cell r="A219" t="str">
            <v>Trinidad and Tobago</v>
          </cell>
        </row>
        <row r="220">
          <cell r="A220" t="str">
            <v>Tunisia</v>
          </cell>
        </row>
        <row r="221">
          <cell r="A221" t="str">
            <v>Turkey</v>
          </cell>
        </row>
        <row r="222">
          <cell r="A222" t="str">
            <v>Turkmenistan</v>
          </cell>
        </row>
        <row r="223">
          <cell r="A223" t="str">
            <v>Turks And Caicos Islands</v>
          </cell>
        </row>
        <row r="224">
          <cell r="A224" t="str">
            <v>Tuvalu</v>
          </cell>
        </row>
        <row r="225">
          <cell r="A225" t="str">
            <v>Uganda</v>
          </cell>
        </row>
        <row r="226">
          <cell r="A226" t="str">
            <v>Ukraine</v>
          </cell>
        </row>
        <row r="227">
          <cell r="A227" t="str">
            <v>United Arab Emirates</v>
          </cell>
        </row>
        <row r="228">
          <cell r="A228" t="str">
            <v>United Kingdom</v>
          </cell>
        </row>
        <row r="229">
          <cell r="A229" t="str">
            <v>United States</v>
          </cell>
        </row>
        <row r="230">
          <cell r="A230" t="str">
            <v>Uruguay</v>
          </cell>
        </row>
        <row r="231">
          <cell r="A231" t="str">
            <v>Uzbekistan</v>
          </cell>
        </row>
        <row r="232">
          <cell r="A232" t="str">
            <v>Vanuatu</v>
          </cell>
        </row>
        <row r="233">
          <cell r="A233" t="str">
            <v>Venezuela</v>
          </cell>
        </row>
        <row r="234">
          <cell r="A234" t="str">
            <v>Vietnam</v>
          </cell>
        </row>
        <row r="235">
          <cell r="A235" t="str">
            <v>Virgin Islands</v>
          </cell>
        </row>
        <row r="236">
          <cell r="A236" t="str">
            <v>Virgin Islands</v>
          </cell>
        </row>
        <row r="237">
          <cell r="A237" t="str">
            <v>Wallis And Futuna</v>
          </cell>
        </row>
        <row r="238">
          <cell r="A238" t="str">
            <v>Western Sahara</v>
          </cell>
        </row>
        <row r="239">
          <cell r="A239" t="str">
            <v>Yemen</v>
          </cell>
        </row>
        <row r="240">
          <cell r="A240" t="str">
            <v>Zambia</v>
          </cell>
        </row>
        <row r="241">
          <cell r="A241" t="str">
            <v>Zimbabwe</v>
          </cell>
        </row>
      </sheetData>
      <sheetData sheetId="9"/>
    </sheetDataSet>
  </externalBook>
</externalLink>
</file>

<file path=xl/theme/theme1.xml><?xml version="1.0" encoding="utf-8"?>
<a:theme xmlns:a="http://schemas.openxmlformats.org/drawingml/2006/main" name="Office Theme">
  <a:themeElements>
    <a:clrScheme name="EnCap">
      <a:dk1>
        <a:srgbClr val="000000"/>
      </a:dk1>
      <a:lt1>
        <a:sysClr val="window" lastClr="FFFFFF"/>
      </a:lt1>
      <a:dk2>
        <a:srgbClr val="BFBFBF"/>
      </a:dk2>
      <a:lt2>
        <a:srgbClr val="F2F2F2"/>
      </a:lt2>
      <a:accent1>
        <a:srgbClr val="D3222A"/>
      </a:accent1>
      <a:accent2>
        <a:srgbClr val="567632"/>
      </a:accent2>
      <a:accent3>
        <a:srgbClr val="293E6B"/>
      </a:accent3>
      <a:accent4>
        <a:srgbClr val="91A1BE"/>
      </a:accent4>
      <a:accent5>
        <a:srgbClr val="94785B"/>
      </a:accent5>
      <a:accent6>
        <a:srgbClr val="AA9D71"/>
      </a:accent6>
      <a:hlink>
        <a:srgbClr val="293E6B"/>
      </a:hlink>
      <a:folHlink>
        <a:srgbClr val="293E6B"/>
      </a:folHlink>
    </a:clrScheme>
    <a:fontScheme name="EnCap">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230E-75C2-4BB0-B49B-6834214496C1}">
  <sheetPr>
    <pageSetUpPr fitToPage="1"/>
  </sheetPr>
  <dimension ref="A1:BN25"/>
  <sheetViews>
    <sheetView showGridLines="0" tabSelected="1" zoomScaleNormal="100" workbookViewId="0">
      <pane xSplit="3" ySplit="5" topLeftCell="D6" activePane="bottomRight" state="frozen"/>
      <selection pane="topRight" activeCell="F6" sqref="F6"/>
      <selection pane="bottomLeft" activeCell="F6" sqref="F6"/>
      <selection pane="bottomRight" activeCell="D15" sqref="D15"/>
    </sheetView>
  </sheetViews>
  <sheetFormatPr defaultColWidth="9.09765625" defaultRowHeight="14.5" x14ac:dyDescent="0.35"/>
  <cols>
    <col min="1" max="1" width="1.69921875" style="2" customWidth="1"/>
    <col min="2" max="2" width="22.3984375" style="2" customWidth="1"/>
    <col min="3" max="3" width="39.3984375" style="2" customWidth="1"/>
    <col min="4" max="4" width="118.3984375" style="2" bestFit="1" customWidth="1"/>
    <col min="5" max="5" width="38.3984375" style="9" bestFit="1" customWidth="1"/>
    <col min="6" max="7" width="20.69921875" style="9" customWidth="1"/>
    <col min="8" max="8" width="23.296875" style="9" customWidth="1"/>
    <col min="9" max="9" width="15.09765625" style="2" customWidth="1"/>
    <col min="10" max="12" width="12.69921875" style="9" customWidth="1"/>
    <col min="13" max="14" width="15.3984375" style="2" customWidth="1"/>
    <col min="15" max="17" width="18.296875" style="2" customWidth="1"/>
    <col min="18" max="18" width="18.69921875" style="2" customWidth="1"/>
    <col min="19" max="19" width="95" style="2" customWidth="1"/>
    <col min="20" max="20" width="64.8984375" style="2" bestFit="1" customWidth="1"/>
    <col min="21" max="21" width="18.69921875" style="9" customWidth="1"/>
    <col min="22" max="26" width="18.69921875" style="2" customWidth="1"/>
    <col min="27" max="27" width="10.69921875" style="2" customWidth="1"/>
    <col min="28" max="29" width="18.69921875" style="2" customWidth="1"/>
    <col min="30" max="30" width="20.69921875" style="2" bestFit="1" customWidth="1"/>
    <col min="31" max="31" width="18.69921875" style="2" customWidth="1"/>
    <col min="32" max="33" width="27.8984375" style="2" bestFit="1" customWidth="1"/>
    <col min="34" max="34" width="15.296875" style="9" customWidth="1"/>
    <col min="35" max="35" width="15.296875" style="2" customWidth="1"/>
    <col min="36" max="36" width="26.59765625" style="2" customWidth="1"/>
    <col min="37" max="38" width="20.3984375" style="10" bestFit="1" customWidth="1"/>
    <col min="39" max="63" width="16.3984375" style="2" customWidth="1"/>
    <col min="64" max="64" width="24.8984375" style="2" bestFit="1" customWidth="1"/>
    <col min="65" max="65" width="1.69921875" style="2" customWidth="1"/>
    <col min="66" max="66" width="15.69921875" style="2" customWidth="1"/>
    <col min="67" max="16384" width="9.09765625" style="2"/>
  </cols>
  <sheetData>
    <row r="1" spans="1:66" ht="23" x14ac:dyDescent="0.5">
      <c r="B1" s="1" t="s">
        <v>169</v>
      </c>
      <c r="E1" s="3"/>
      <c r="F1" s="4"/>
      <c r="G1" s="4"/>
      <c r="H1" s="3"/>
      <c r="I1" s="5"/>
      <c r="J1" s="5"/>
      <c r="K1" s="5"/>
      <c r="L1" s="3"/>
      <c r="M1" s="5"/>
      <c r="N1" s="5"/>
      <c r="O1" s="5"/>
      <c r="P1" s="5"/>
      <c r="Q1" s="5"/>
      <c r="R1" s="5"/>
      <c r="S1" s="5"/>
      <c r="T1" s="5"/>
      <c r="U1" s="3"/>
      <c r="V1" s="5"/>
      <c r="W1" s="5"/>
      <c r="X1" s="5"/>
      <c r="Y1" s="5"/>
      <c r="Z1" s="5"/>
      <c r="AA1" s="5"/>
      <c r="AB1" s="5"/>
      <c r="AC1" s="5"/>
      <c r="AD1" s="5"/>
      <c r="AE1" s="5"/>
      <c r="AF1" s="5"/>
      <c r="AG1" s="5"/>
      <c r="AH1" s="3"/>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row>
    <row r="2" spans="1:66" x14ac:dyDescent="0.35">
      <c r="D2" s="5"/>
      <c r="E2" s="3"/>
      <c r="F2" s="3"/>
      <c r="G2" s="3"/>
      <c r="H2" s="3"/>
      <c r="I2" s="5"/>
      <c r="J2" s="5"/>
      <c r="K2" s="5"/>
      <c r="L2" s="3"/>
      <c r="M2" s="5"/>
      <c r="N2" s="5"/>
      <c r="O2" s="5"/>
      <c r="P2" s="5"/>
      <c r="Q2" s="5"/>
      <c r="R2" s="5"/>
      <c r="S2" s="5"/>
      <c r="T2" s="5"/>
      <c r="U2" s="3"/>
      <c r="V2" s="5"/>
      <c r="W2" s="5"/>
      <c r="X2" s="5"/>
      <c r="Y2" s="5"/>
      <c r="Z2" s="5"/>
      <c r="AA2" s="5"/>
      <c r="AB2" s="5"/>
      <c r="AC2" s="5"/>
      <c r="AD2" s="5"/>
      <c r="AE2" s="5"/>
      <c r="AF2" s="5"/>
      <c r="AG2" s="5"/>
      <c r="AH2" s="3"/>
      <c r="AI2" s="5"/>
      <c r="AJ2" s="5"/>
      <c r="AK2" s="5"/>
      <c r="AL2" s="5"/>
    </row>
    <row r="3" spans="1:66" ht="16" x14ac:dyDescent="0.5">
      <c r="B3" s="6"/>
      <c r="C3" s="5"/>
      <c r="D3" s="5"/>
      <c r="E3" s="3"/>
      <c r="F3" s="3"/>
      <c r="G3" s="3"/>
      <c r="H3" s="3"/>
      <c r="I3" s="5"/>
      <c r="J3" s="5"/>
      <c r="K3" s="5"/>
      <c r="L3" s="3"/>
      <c r="M3" s="5"/>
      <c r="N3" s="5"/>
      <c r="O3" s="5"/>
      <c r="P3" s="5"/>
      <c r="Q3" s="5"/>
      <c r="R3" s="5"/>
      <c r="S3" s="5"/>
      <c r="T3" s="5"/>
      <c r="U3" s="3"/>
      <c r="V3" s="5"/>
      <c r="W3" s="5"/>
      <c r="X3" s="5"/>
      <c r="Y3" s="5"/>
      <c r="Z3" s="5"/>
      <c r="AA3" s="5"/>
      <c r="AB3" s="7"/>
      <c r="AC3" s="5"/>
      <c r="AD3" s="5"/>
      <c r="AE3" s="5"/>
      <c r="AF3" s="5"/>
      <c r="AG3" s="5"/>
      <c r="AH3" s="3"/>
      <c r="AI3" s="5"/>
      <c r="AJ3" s="8"/>
      <c r="AK3" s="2"/>
      <c r="AL3" s="2"/>
      <c r="AS3" s="29" t="s">
        <v>102</v>
      </c>
      <c r="AT3" s="28"/>
      <c r="AU3" s="28"/>
      <c r="AV3" s="28"/>
      <c r="AW3" s="28"/>
      <c r="AX3" s="28"/>
      <c r="AY3" s="28"/>
      <c r="AZ3" s="28"/>
      <c r="BA3" s="28"/>
      <c r="BB3" s="29" t="s">
        <v>103</v>
      </c>
      <c r="BC3" s="28"/>
      <c r="BD3" s="28"/>
      <c r="BE3" s="28"/>
      <c r="BF3" s="28"/>
      <c r="BG3" s="28"/>
      <c r="BH3" s="28"/>
      <c r="BI3" s="28"/>
      <c r="BJ3" s="28"/>
      <c r="BK3" s="28"/>
      <c r="BN3" s="10"/>
    </row>
    <row r="4" spans="1:66" ht="6" customHeight="1" x14ac:dyDescent="0.35">
      <c r="B4" s="5"/>
      <c r="C4" s="5"/>
      <c r="D4" s="8"/>
      <c r="E4" s="3"/>
      <c r="F4" s="3"/>
      <c r="G4" s="3"/>
      <c r="H4" s="3"/>
      <c r="I4" s="5"/>
      <c r="J4" s="5"/>
      <c r="K4" s="5"/>
      <c r="L4" s="3"/>
      <c r="M4" s="11"/>
      <c r="N4" s="11"/>
      <c r="O4" s="12"/>
      <c r="P4" s="11"/>
      <c r="Q4" s="11"/>
      <c r="R4" s="13"/>
      <c r="S4" s="8"/>
      <c r="T4" s="8"/>
      <c r="U4" s="8"/>
      <c r="V4" s="5"/>
      <c r="W4" s="3" t="s">
        <v>56</v>
      </c>
      <c r="X4" s="5"/>
      <c r="Y4" s="5"/>
      <c r="Z4" s="5"/>
      <c r="AA4" s="3"/>
      <c r="AB4" s="5"/>
      <c r="AC4" s="5"/>
      <c r="AD4" s="14"/>
      <c r="AE4" s="5"/>
      <c r="AF4" s="5"/>
      <c r="AG4" s="5"/>
      <c r="AH4" s="3"/>
      <c r="AI4" s="8"/>
      <c r="AJ4" s="3"/>
      <c r="AK4" s="8"/>
      <c r="AL4" s="8"/>
      <c r="AM4" s="3"/>
      <c r="AN4" s="3"/>
      <c r="AO4" s="3"/>
      <c r="AP4" s="3"/>
      <c r="AQ4" s="3"/>
      <c r="AR4" s="3"/>
      <c r="AS4" s="3"/>
      <c r="AT4" s="3"/>
      <c r="AU4" s="3"/>
      <c r="AV4" s="3"/>
      <c r="AW4" s="3"/>
      <c r="AX4" s="3"/>
      <c r="AY4" s="3"/>
      <c r="AZ4" s="3"/>
      <c r="BA4" s="3"/>
      <c r="BB4" s="3"/>
      <c r="BC4" s="3"/>
      <c r="BD4" s="3"/>
      <c r="BE4" s="3"/>
      <c r="BF4" s="3"/>
      <c r="BG4" s="3"/>
      <c r="BH4" s="3"/>
      <c r="BI4" s="3"/>
      <c r="BJ4" s="3"/>
      <c r="BK4" s="3"/>
      <c r="BL4" s="3"/>
    </row>
    <row r="5" spans="1:66" ht="58" x14ac:dyDescent="0.35">
      <c r="B5" s="15" t="s">
        <v>0</v>
      </c>
      <c r="C5" s="15" t="s">
        <v>1</v>
      </c>
      <c r="D5" s="15" t="s">
        <v>2</v>
      </c>
      <c r="E5" s="15" t="s">
        <v>3</v>
      </c>
      <c r="F5" s="15" t="s">
        <v>4</v>
      </c>
      <c r="G5" s="15" t="s">
        <v>5</v>
      </c>
      <c r="H5" s="15" t="s">
        <v>6</v>
      </c>
      <c r="I5" s="15" t="s">
        <v>7</v>
      </c>
      <c r="J5" s="16" t="s">
        <v>8</v>
      </c>
      <c r="K5" s="16" t="s">
        <v>9</v>
      </c>
      <c r="L5" s="17" t="s">
        <v>10</v>
      </c>
      <c r="M5" s="18" t="s">
        <v>11</v>
      </c>
      <c r="N5" s="18" t="s">
        <v>12</v>
      </c>
      <c r="O5" s="18" t="s">
        <v>13</v>
      </c>
      <c r="P5" s="18" t="s">
        <v>14</v>
      </c>
      <c r="Q5" s="18" t="s">
        <v>14</v>
      </c>
      <c r="R5" s="18" t="s">
        <v>15</v>
      </c>
      <c r="S5" s="19" t="s">
        <v>16</v>
      </c>
      <c r="T5" s="19" t="s">
        <v>17</v>
      </c>
      <c r="U5" s="19" t="s">
        <v>18</v>
      </c>
      <c r="V5" s="19" t="s">
        <v>19</v>
      </c>
      <c r="W5" s="19" t="s">
        <v>20</v>
      </c>
      <c r="X5" s="19" t="s">
        <v>21</v>
      </c>
      <c r="Y5" s="19" t="s">
        <v>22</v>
      </c>
      <c r="Z5" s="19" t="s">
        <v>23</v>
      </c>
      <c r="AA5" s="19" t="s">
        <v>24</v>
      </c>
      <c r="AB5" s="19" t="s">
        <v>25</v>
      </c>
      <c r="AC5" s="19" t="s">
        <v>57</v>
      </c>
      <c r="AD5" s="19" t="s">
        <v>58</v>
      </c>
      <c r="AE5" s="19" t="s">
        <v>26</v>
      </c>
      <c r="AF5" s="19" t="s">
        <v>27</v>
      </c>
      <c r="AG5" s="19" t="s">
        <v>28</v>
      </c>
      <c r="AH5" s="19" t="s">
        <v>29</v>
      </c>
      <c r="AI5" s="19" t="s">
        <v>30</v>
      </c>
      <c r="AJ5" s="19" t="s">
        <v>31</v>
      </c>
      <c r="AK5" s="20" t="s">
        <v>89</v>
      </c>
      <c r="AL5" s="20" t="s">
        <v>90</v>
      </c>
      <c r="AM5" s="20" t="s">
        <v>32</v>
      </c>
      <c r="AN5" s="20" t="s">
        <v>91</v>
      </c>
      <c r="AO5" s="20" t="s">
        <v>92</v>
      </c>
      <c r="AP5" s="20" t="s">
        <v>33</v>
      </c>
      <c r="AQ5" s="20" t="s">
        <v>34</v>
      </c>
      <c r="AR5" s="20" t="s">
        <v>35</v>
      </c>
      <c r="AS5" s="27" t="s">
        <v>93</v>
      </c>
      <c r="AT5" s="27" t="s">
        <v>94</v>
      </c>
      <c r="AU5" s="27" t="s">
        <v>95</v>
      </c>
      <c r="AV5" s="27" t="s">
        <v>96</v>
      </c>
      <c r="AW5" s="27" t="s">
        <v>97</v>
      </c>
      <c r="AX5" s="27" t="s">
        <v>98</v>
      </c>
      <c r="AY5" s="27" t="s">
        <v>99</v>
      </c>
      <c r="AZ5" s="27" t="s">
        <v>100</v>
      </c>
      <c r="BA5" s="27" t="s">
        <v>101</v>
      </c>
      <c r="BB5" s="19" t="s">
        <v>93</v>
      </c>
      <c r="BC5" s="19" t="s">
        <v>94</v>
      </c>
      <c r="BD5" s="19" t="s">
        <v>95</v>
      </c>
      <c r="BE5" s="19" t="s">
        <v>96</v>
      </c>
      <c r="BF5" s="19" t="s">
        <v>104</v>
      </c>
      <c r="BG5" s="19" t="s">
        <v>97</v>
      </c>
      <c r="BH5" s="19" t="s">
        <v>98</v>
      </c>
      <c r="BI5" s="19" t="s">
        <v>99</v>
      </c>
      <c r="BJ5" s="19" t="s">
        <v>100</v>
      </c>
      <c r="BK5" s="19" t="s">
        <v>101</v>
      </c>
    </row>
    <row r="6" spans="1:66" x14ac:dyDescent="0.35">
      <c r="B6" s="33" t="s">
        <v>48</v>
      </c>
      <c r="C6" s="2" t="s">
        <v>59</v>
      </c>
      <c r="D6" s="33" t="s">
        <v>118</v>
      </c>
      <c r="E6" s="34" t="s">
        <v>70</v>
      </c>
      <c r="F6" s="34" t="s">
        <v>36</v>
      </c>
      <c r="G6" s="34" t="s">
        <v>37</v>
      </c>
      <c r="H6" s="34" t="s">
        <v>38</v>
      </c>
      <c r="I6" s="33" t="s">
        <v>39</v>
      </c>
      <c r="J6" s="34" t="s">
        <v>40</v>
      </c>
      <c r="K6" s="34" t="s">
        <v>40</v>
      </c>
      <c r="L6" s="34" t="s">
        <v>41</v>
      </c>
      <c r="M6" s="34" t="s">
        <v>36</v>
      </c>
      <c r="N6" s="34" t="s">
        <v>36</v>
      </c>
      <c r="O6" s="33" t="s">
        <v>72</v>
      </c>
      <c r="Q6" s="33"/>
      <c r="R6" s="33" t="s">
        <v>72</v>
      </c>
      <c r="S6" s="33" t="s">
        <v>154</v>
      </c>
      <c r="T6" s="33"/>
      <c r="U6" s="34"/>
      <c r="V6" s="33" t="s">
        <v>43</v>
      </c>
      <c r="W6" s="33" t="s">
        <v>75</v>
      </c>
      <c r="X6" s="33" t="s">
        <v>52</v>
      </c>
      <c r="Y6" s="33" t="s">
        <v>44</v>
      </c>
      <c r="Z6" s="33" t="s">
        <v>45</v>
      </c>
      <c r="AA6" s="35" t="s">
        <v>41</v>
      </c>
      <c r="AB6" s="33" t="s">
        <v>53</v>
      </c>
      <c r="AC6" s="33" t="s">
        <v>50</v>
      </c>
      <c r="AD6" s="33" t="s">
        <v>161</v>
      </c>
      <c r="AE6" s="36">
        <v>43861</v>
      </c>
      <c r="AF6" s="2" t="s">
        <v>54</v>
      </c>
      <c r="AG6" s="33" t="s">
        <v>82</v>
      </c>
      <c r="AH6" s="37">
        <v>45161</v>
      </c>
      <c r="AI6" s="38" t="s">
        <v>51</v>
      </c>
      <c r="AJ6" s="2" t="s">
        <v>140</v>
      </c>
      <c r="AK6" s="21">
        <v>218800000</v>
      </c>
      <c r="AL6" s="22">
        <v>363418519.31</v>
      </c>
      <c r="AM6" s="22">
        <v>363418519.31</v>
      </c>
      <c r="AN6" s="22">
        <v>692821285.70741093</v>
      </c>
      <c r="AO6" s="22">
        <v>0</v>
      </c>
      <c r="AP6" s="23">
        <f t="shared" ref="AP6" si="0">+AN6+AO6</f>
        <v>692821285.70741093</v>
      </c>
      <c r="AQ6" s="24">
        <f t="shared" ref="AQ6" si="1">+AP6/AM6</f>
        <v>1.9064006067242454</v>
      </c>
      <c r="AR6" s="25">
        <v>0.50800000000000001</v>
      </c>
      <c r="AS6" s="42" t="s">
        <v>50</v>
      </c>
      <c r="AT6" s="42" t="s">
        <v>50</v>
      </c>
      <c r="AU6" s="42" t="s">
        <v>50</v>
      </c>
      <c r="AV6" s="42" t="s">
        <v>50</v>
      </c>
      <c r="AW6" s="42" t="s">
        <v>50</v>
      </c>
      <c r="AX6" s="42" t="s">
        <v>50</v>
      </c>
      <c r="AY6" s="42" t="s">
        <v>50</v>
      </c>
      <c r="AZ6" s="42" t="s">
        <v>50</v>
      </c>
      <c r="BA6" s="42" t="s">
        <v>50</v>
      </c>
      <c r="BB6" s="31">
        <v>1574000000</v>
      </c>
      <c r="BC6" s="31">
        <v>454300000</v>
      </c>
      <c r="BD6" s="31">
        <v>1119700000</v>
      </c>
      <c r="BE6" s="31">
        <v>309168519.31</v>
      </c>
      <c r="BF6" s="31">
        <v>276454629.24000001</v>
      </c>
      <c r="BG6" s="44">
        <v>0.43551289569643803</v>
      </c>
      <c r="BH6" s="46" t="s">
        <v>50</v>
      </c>
      <c r="BI6" s="46" t="s">
        <v>50</v>
      </c>
      <c r="BJ6" s="46" t="s">
        <v>50</v>
      </c>
      <c r="BK6" s="46" t="s">
        <v>50</v>
      </c>
    </row>
    <row r="7" spans="1:66" x14ac:dyDescent="0.35">
      <c r="B7" s="33" t="s">
        <v>48</v>
      </c>
      <c r="C7" s="2" t="s">
        <v>60</v>
      </c>
      <c r="D7" s="33" t="s">
        <v>118</v>
      </c>
      <c r="E7" s="34" t="s">
        <v>70</v>
      </c>
      <c r="F7" s="34" t="s">
        <v>55</v>
      </c>
      <c r="G7" s="34" t="s">
        <v>37</v>
      </c>
      <c r="H7" s="34" t="s">
        <v>38</v>
      </c>
      <c r="I7" s="33" t="s">
        <v>39</v>
      </c>
      <c r="J7" s="34" t="s">
        <v>40</v>
      </c>
      <c r="K7" s="34" t="s">
        <v>40</v>
      </c>
      <c r="L7" s="34" t="s">
        <v>41</v>
      </c>
      <c r="M7" s="34" t="s">
        <v>36</v>
      </c>
      <c r="N7" s="34" t="s">
        <v>36</v>
      </c>
      <c r="O7" s="33" t="s">
        <v>151</v>
      </c>
      <c r="Q7" s="33"/>
      <c r="R7" s="2" t="s">
        <v>151</v>
      </c>
      <c r="S7" s="33" t="s">
        <v>152</v>
      </c>
      <c r="V7" s="33" t="s">
        <v>43</v>
      </c>
      <c r="W7" s="33" t="s">
        <v>75</v>
      </c>
      <c r="X7" s="33" t="s">
        <v>52</v>
      </c>
      <c r="Y7" s="33" t="s">
        <v>44</v>
      </c>
      <c r="Z7" s="33" t="s">
        <v>45</v>
      </c>
      <c r="AA7" s="35" t="s">
        <v>41</v>
      </c>
      <c r="AB7" s="33" t="s">
        <v>53</v>
      </c>
      <c r="AC7" s="33" t="s">
        <v>50</v>
      </c>
      <c r="AD7" s="33" t="s">
        <v>86</v>
      </c>
      <c r="AE7" s="36">
        <v>43861</v>
      </c>
      <c r="AF7" s="2" t="s">
        <v>54</v>
      </c>
      <c r="AG7" s="33" t="s">
        <v>82</v>
      </c>
      <c r="AH7" s="37">
        <v>44916</v>
      </c>
      <c r="AI7" s="38" t="s">
        <v>51</v>
      </c>
      <c r="AJ7" s="2" t="s">
        <v>84</v>
      </c>
      <c r="AK7" s="21">
        <v>172400000</v>
      </c>
      <c r="AL7" s="22">
        <v>226681837.42750001</v>
      </c>
      <c r="AM7" s="22">
        <v>226681837.42750001</v>
      </c>
      <c r="AN7" s="22">
        <v>513709557.88000005</v>
      </c>
      <c r="AO7" s="22">
        <v>0</v>
      </c>
      <c r="AP7" s="23">
        <f>+AN7+AO7</f>
        <v>513709557.88000005</v>
      </c>
      <c r="AQ7" s="24">
        <f>+AP7/AM7</f>
        <v>2.2662140192166942</v>
      </c>
      <c r="AR7" s="25">
        <v>0.56399999999999995</v>
      </c>
      <c r="AS7" s="42" t="s">
        <v>50</v>
      </c>
      <c r="AT7" s="42" t="s">
        <v>50</v>
      </c>
      <c r="AU7" s="42" t="s">
        <v>50</v>
      </c>
      <c r="AV7" s="42" t="s">
        <v>50</v>
      </c>
      <c r="AW7" s="42" t="s">
        <v>50</v>
      </c>
      <c r="AX7" s="42" t="s">
        <v>50</v>
      </c>
      <c r="AY7" s="42" t="s">
        <v>50</v>
      </c>
      <c r="AZ7" s="42" t="s">
        <v>50</v>
      </c>
      <c r="BA7" s="42" t="s">
        <v>50</v>
      </c>
      <c r="BB7" s="31">
        <v>649400000</v>
      </c>
      <c r="BC7" s="31">
        <v>55900000</v>
      </c>
      <c r="BD7" s="31">
        <v>593500000</v>
      </c>
      <c r="BE7" s="31">
        <v>226681837.42750001</v>
      </c>
      <c r="BF7" s="31">
        <v>513709557.88000005</v>
      </c>
      <c r="BG7" s="44">
        <v>0.86608429110647789</v>
      </c>
      <c r="BH7" s="46" t="s">
        <v>50</v>
      </c>
      <c r="BI7" s="46" t="s">
        <v>50</v>
      </c>
      <c r="BJ7" s="46" t="s">
        <v>50</v>
      </c>
      <c r="BK7" s="46" t="s">
        <v>50</v>
      </c>
    </row>
    <row r="8" spans="1:66" x14ac:dyDescent="0.35">
      <c r="B8" s="33" t="s">
        <v>48</v>
      </c>
      <c r="C8" s="2" t="s">
        <v>61</v>
      </c>
      <c r="D8" s="33" t="s">
        <v>119</v>
      </c>
      <c r="E8" s="34" t="s">
        <v>70</v>
      </c>
      <c r="F8" s="34" t="s">
        <v>36</v>
      </c>
      <c r="G8" s="34" t="s">
        <v>37</v>
      </c>
      <c r="H8" s="34" t="s">
        <v>38</v>
      </c>
      <c r="I8" s="33" t="s">
        <v>39</v>
      </c>
      <c r="J8" s="34" t="s">
        <v>40</v>
      </c>
      <c r="K8" s="34" t="s">
        <v>40</v>
      </c>
      <c r="L8" s="34" t="s">
        <v>41</v>
      </c>
      <c r="M8" s="34" t="s">
        <v>36</v>
      </c>
      <c r="N8" s="34" t="s">
        <v>36</v>
      </c>
      <c r="O8" s="33" t="s">
        <v>72</v>
      </c>
      <c r="Q8" s="33"/>
      <c r="R8" s="33" t="s">
        <v>72</v>
      </c>
      <c r="S8" s="33" t="s">
        <v>110</v>
      </c>
      <c r="T8" s="2" t="s">
        <v>78</v>
      </c>
      <c r="U8" s="9">
        <v>8</v>
      </c>
      <c r="V8" s="33" t="s">
        <v>43</v>
      </c>
      <c r="W8" s="33" t="s">
        <v>75</v>
      </c>
      <c r="X8" s="33" t="s">
        <v>52</v>
      </c>
      <c r="Y8" s="33" t="s">
        <v>44</v>
      </c>
      <c r="Z8" s="33" t="s">
        <v>45</v>
      </c>
      <c r="AA8" s="35" t="s">
        <v>41</v>
      </c>
      <c r="AB8" s="33" t="s">
        <v>53</v>
      </c>
      <c r="AC8" s="33" t="s">
        <v>50</v>
      </c>
      <c r="AD8" s="33" t="s">
        <v>160</v>
      </c>
      <c r="AE8" s="36">
        <v>43861</v>
      </c>
      <c r="AF8" s="33" t="s">
        <v>83</v>
      </c>
      <c r="AG8" s="33" t="s">
        <v>112</v>
      </c>
      <c r="AH8" s="37">
        <v>44981</v>
      </c>
      <c r="AI8" s="38" t="s">
        <v>51</v>
      </c>
      <c r="AJ8" s="38" t="s">
        <v>109</v>
      </c>
      <c r="AK8" s="21">
        <v>177800000</v>
      </c>
      <c r="AL8" s="22">
        <v>265346023.68999997</v>
      </c>
      <c r="AM8" s="22">
        <v>265287365.08359998</v>
      </c>
      <c r="AN8" s="22">
        <v>8249054.0708040306</v>
      </c>
      <c r="AO8" s="22">
        <v>323340417.05465299</v>
      </c>
      <c r="AP8" s="23">
        <f t="shared" ref="AP8:AP23" si="2">+AN8+AO8</f>
        <v>331589471.12545705</v>
      </c>
      <c r="AQ8" s="24">
        <f t="shared" ref="AQ8:AQ23" si="3">+AP8/AM8</f>
        <v>1.2499256081078844</v>
      </c>
      <c r="AR8" s="25">
        <v>6.5000000000000002E-2</v>
      </c>
      <c r="AS8" s="42" t="s">
        <v>50</v>
      </c>
      <c r="AT8" s="42" t="s">
        <v>50</v>
      </c>
      <c r="AU8" s="42" t="s">
        <v>50</v>
      </c>
      <c r="AV8" s="42" t="s">
        <v>50</v>
      </c>
      <c r="AW8" s="42" t="s">
        <v>50</v>
      </c>
      <c r="AX8" s="42" t="s">
        <v>50</v>
      </c>
      <c r="AY8" s="42" t="s">
        <v>50</v>
      </c>
      <c r="AZ8" s="42" t="s">
        <v>50</v>
      </c>
      <c r="BA8" s="42" t="s">
        <v>50</v>
      </c>
      <c r="BB8" s="31">
        <v>704114249.57098019</v>
      </c>
      <c r="BC8" s="31">
        <v>77668167.882625297</v>
      </c>
      <c r="BD8" s="31">
        <v>626446081.68835485</v>
      </c>
      <c r="BE8" s="31">
        <v>265287365.08360001</v>
      </c>
      <c r="BF8" s="31">
        <f>18.311631190804*1000000</f>
        <v>18311631.190804001</v>
      </c>
      <c r="BG8" s="44">
        <v>0.43582462092695679</v>
      </c>
      <c r="BH8" s="46" t="s">
        <v>50</v>
      </c>
      <c r="BI8" s="46" t="s">
        <v>50</v>
      </c>
      <c r="BJ8" s="46" t="s">
        <v>50</v>
      </c>
      <c r="BK8" s="46" t="s">
        <v>50</v>
      </c>
    </row>
    <row r="9" spans="1:66" x14ac:dyDescent="0.35">
      <c r="B9" s="33" t="s">
        <v>48</v>
      </c>
      <c r="C9" s="2" t="s">
        <v>120</v>
      </c>
      <c r="D9" s="33" t="s">
        <v>79</v>
      </c>
      <c r="E9" s="34" t="s">
        <v>70</v>
      </c>
      <c r="F9" s="34" t="s">
        <v>147</v>
      </c>
      <c r="G9" s="34" t="s">
        <v>148</v>
      </c>
      <c r="H9" s="34" t="s">
        <v>38</v>
      </c>
      <c r="I9" s="33" t="s">
        <v>39</v>
      </c>
      <c r="J9" s="34" t="s">
        <v>40</v>
      </c>
      <c r="K9" s="34" t="s">
        <v>40</v>
      </c>
      <c r="L9" s="34" t="s">
        <v>41</v>
      </c>
      <c r="M9" s="34" t="s">
        <v>36</v>
      </c>
      <c r="N9" s="34" t="s">
        <v>36</v>
      </c>
      <c r="O9" s="33" t="s">
        <v>72</v>
      </c>
      <c r="Q9" s="33"/>
      <c r="R9" s="33" t="s">
        <v>72</v>
      </c>
      <c r="S9" s="33" t="s">
        <v>153</v>
      </c>
      <c r="V9" s="33" t="s">
        <v>43</v>
      </c>
      <c r="W9" s="33" t="s">
        <v>75</v>
      </c>
      <c r="X9" s="33" t="s">
        <v>52</v>
      </c>
      <c r="Y9" s="33" t="s">
        <v>44</v>
      </c>
      <c r="Z9" s="33" t="s">
        <v>45</v>
      </c>
      <c r="AA9" s="35" t="s">
        <v>41</v>
      </c>
      <c r="AB9" s="33" t="s">
        <v>53</v>
      </c>
      <c r="AC9" s="33" t="s">
        <v>50</v>
      </c>
      <c r="AD9" s="33" t="s">
        <v>87</v>
      </c>
      <c r="AE9" s="36">
        <v>43861</v>
      </c>
      <c r="AF9" s="33" t="s">
        <v>81</v>
      </c>
      <c r="AG9" s="33" t="s">
        <v>81</v>
      </c>
      <c r="AH9" s="37">
        <v>44120</v>
      </c>
      <c r="AI9" s="38" t="s">
        <v>51</v>
      </c>
      <c r="AJ9" s="38" t="s">
        <v>50</v>
      </c>
      <c r="AK9" s="21">
        <v>216600000</v>
      </c>
      <c r="AL9" s="22">
        <v>7500000</v>
      </c>
      <c r="AM9" s="22">
        <v>7500000</v>
      </c>
      <c r="AN9" s="22">
        <v>0</v>
      </c>
      <c r="AO9" s="22">
        <v>0</v>
      </c>
      <c r="AP9" s="23">
        <f>+AN9+AO9</f>
        <v>0</v>
      </c>
      <c r="AQ9" s="49" t="s">
        <v>50</v>
      </c>
      <c r="AR9" s="50" t="s">
        <v>50</v>
      </c>
      <c r="AS9" s="42" t="s">
        <v>50</v>
      </c>
      <c r="AT9" s="42" t="s">
        <v>50</v>
      </c>
      <c r="AU9" s="42" t="s">
        <v>50</v>
      </c>
      <c r="AV9" s="42" t="s">
        <v>50</v>
      </c>
      <c r="AW9" s="42" t="s">
        <v>50</v>
      </c>
      <c r="AX9" s="42" t="s">
        <v>50</v>
      </c>
      <c r="AY9" s="42" t="s">
        <v>50</v>
      </c>
      <c r="AZ9" s="42" t="s">
        <v>50</v>
      </c>
      <c r="BA9" s="42" t="s">
        <v>50</v>
      </c>
      <c r="BB9" s="31">
        <v>0</v>
      </c>
      <c r="BC9" s="31">
        <v>0</v>
      </c>
      <c r="BD9" s="31">
        <v>0</v>
      </c>
      <c r="BE9" s="31">
        <v>7500000</v>
      </c>
      <c r="BF9" s="31">
        <v>0</v>
      </c>
      <c r="BG9" s="44">
        <v>0.92278246366353101</v>
      </c>
      <c r="BH9" s="46" t="s">
        <v>50</v>
      </c>
      <c r="BI9" s="46" t="s">
        <v>50</v>
      </c>
      <c r="BJ9" s="46" t="s">
        <v>50</v>
      </c>
      <c r="BK9" s="46" t="s">
        <v>50</v>
      </c>
    </row>
    <row r="10" spans="1:66" x14ac:dyDescent="0.35">
      <c r="B10" s="33" t="s">
        <v>48</v>
      </c>
      <c r="C10" s="2" t="s">
        <v>62</v>
      </c>
      <c r="D10" s="33" t="s">
        <v>121</v>
      </c>
      <c r="E10" s="34" t="s">
        <v>70</v>
      </c>
      <c r="F10" s="34" t="s">
        <v>145</v>
      </c>
      <c r="G10" s="34" t="s">
        <v>146</v>
      </c>
      <c r="H10" s="34" t="s">
        <v>38</v>
      </c>
      <c r="I10" s="33" t="s">
        <v>39</v>
      </c>
      <c r="J10" s="34" t="s">
        <v>40</v>
      </c>
      <c r="K10" s="34" t="s">
        <v>40</v>
      </c>
      <c r="L10" s="34" t="s">
        <v>41</v>
      </c>
      <c r="M10" s="34" t="s">
        <v>36</v>
      </c>
      <c r="N10" s="34" t="s">
        <v>36</v>
      </c>
      <c r="O10" s="33" t="s">
        <v>151</v>
      </c>
      <c r="Q10" s="33"/>
      <c r="R10" s="2" t="s">
        <v>151</v>
      </c>
      <c r="S10" s="33" t="s">
        <v>155</v>
      </c>
      <c r="V10" s="33" t="s">
        <v>43</v>
      </c>
      <c r="W10" s="33" t="s">
        <v>75</v>
      </c>
      <c r="X10" s="33" t="s">
        <v>52</v>
      </c>
      <c r="Y10" s="33" t="s">
        <v>44</v>
      </c>
      <c r="Z10" s="33" t="s">
        <v>45</v>
      </c>
      <c r="AA10" s="35" t="s">
        <v>41</v>
      </c>
      <c r="AB10" s="33" t="s">
        <v>53</v>
      </c>
      <c r="AC10" s="33" t="s">
        <v>50</v>
      </c>
      <c r="AD10" s="33" t="s">
        <v>87</v>
      </c>
      <c r="AE10" s="36">
        <v>44068</v>
      </c>
      <c r="AF10" s="2" t="s">
        <v>54</v>
      </c>
      <c r="AG10" s="33" t="s">
        <v>82</v>
      </c>
      <c r="AH10" s="37">
        <v>45282</v>
      </c>
      <c r="AI10" s="38" t="s">
        <v>51</v>
      </c>
      <c r="AJ10" s="2" t="s">
        <v>141</v>
      </c>
      <c r="AK10" s="21">
        <v>42900000</v>
      </c>
      <c r="AL10" s="22">
        <v>44621304.875</v>
      </c>
      <c r="AM10" s="22">
        <v>44621304.875</v>
      </c>
      <c r="AN10" s="22">
        <v>96197870.863616154</v>
      </c>
      <c r="AO10" s="22">
        <v>0</v>
      </c>
      <c r="AP10" s="23">
        <f>+AN10+AO10</f>
        <v>96197870.863616154</v>
      </c>
      <c r="AQ10" s="24">
        <f>+AP10/AM10</f>
        <v>2.1558730999261515</v>
      </c>
      <c r="AR10" s="25">
        <v>0.65900000000000003</v>
      </c>
      <c r="AS10" s="42" t="s">
        <v>50</v>
      </c>
      <c r="AT10" s="42" t="s">
        <v>50</v>
      </c>
      <c r="AU10" s="42" t="s">
        <v>50</v>
      </c>
      <c r="AV10" s="42" t="s">
        <v>50</v>
      </c>
      <c r="AW10" s="42" t="s">
        <v>50</v>
      </c>
      <c r="AX10" s="42" t="s">
        <v>50</v>
      </c>
      <c r="AY10" s="42" t="s">
        <v>50</v>
      </c>
      <c r="AZ10" s="42" t="s">
        <v>50</v>
      </c>
      <c r="BA10" s="42" t="s">
        <v>50</v>
      </c>
      <c r="BB10" s="43">
        <f>SUM(BC10:BD10)</f>
        <v>139361805.59234551</v>
      </c>
      <c r="BC10" s="31">
        <v>12405106.98</v>
      </c>
      <c r="BD10" s="31">
        <v>126956698.61234552</v>
      </c>
      <c r="BE10" s="31">
        <v>44621304.875000007</v>
      </c>
      <c r="BF10" s="31">
        <v>126956698.61234552</v>
      </c>
      <c r="BG10" s="44">
        <v>0.86838283616400391</v>
      </c>
      <c r="BH10" s="46" t="s">
        <v>50</v>
      </c>
      <c r="BI10" s="46" t="s">
        <v>50</v>
      </c>
      <c r="BJ10" s="46" t="s">
        <v>50</v>
      </c>
      <c r="BK10" s="46" t="s">
        <v>50</v>
      </c>
    </row>
    <row r="11" spans="1:66" x14ac:dyDescent="0.35">
      <c r="B11" s="33" t="s">
        <v>48</v>
      </c>
      <c r="C11" s="2" t="s">
        <v>63</v>
      </c>
      <c r="D11" s="33" t="s">
        <v>142</v>
      </c>
      <c r="E11" s="34" t="s">
        <v>70</v>
      </c>
      <c r="F11" s="34" t="s">
        <v>36</v>
      </c>
      <c r="G11" s="34" t="s">
        <v>37</v>
      </c>
      <c r="H11" s="34" t="s">
        <v>38</v>
      </c>
      <c r="I11" s="33" t="s">
        <v>39</v>
      </c>
      <c r="J11" s="34" t="s">
        <v>40</v>
      </c>
      <c r="K11" s="34" t="s">
        <v>40</v>
      </c>
      <c r="L11" s="34" t="s">
        <v>41</v>
      </c>
      <c r="M11" s="34" t="s">
        <v>36</v>
      </c>
      <c r="N11" s="34" t="s">
        <v>36</v>
      </c>
      <c r="O11" s="33" t="s">
        <v>73</v>
      </c>
      <c r="Q11" s="33"/>
      <c r="R11" s="33" t="s">
        <v>73</v>
      </c>
      <c r="S11" s="33" t="s">
        <v>171</v>
      </c>
      <c r="T11" s="33" t="s">
        <v>156</v>
      </c>
      <c r="U11" s="9">
        <v>6</v>
      </c>
      <c r="V11" s="33" t="s">
        <v>43</v>
      </c>
      <c r="W11" s="33" t="s">
        <v>75</v>
      </c>
      <c r="X11" s="33" t="s">
        <v>52</v>
      </c>
      <c r="Y11" s="33" t="s">
        <v>44</v>
      </c>
      <c r="Z11" s="33" t="s">
        <v>45</v>
      </c>
      <c r="AA11" s="35" t="s">
        <v>41</v>
      </c>
      <c r="AB11" s="33" t="s">
        <v>53</v>
      </c>
      <c r="AC11" s="33" t="s">
        <v>50</v>
      </c>
      <c r="AD11" s="33" t="s">
        <v>87</v>
      </c>
      <c r="AE11" s="36">
        <v>44167</v>
      </c>
      <c r="AF11" s="33" t="s">
        <v>49</v>
      </c>
      <c r="AG11" s="33" t="s">
        <v>50</v>
      </c>
      <c r="AH11" s="37" t="s">
        <v>50</v>
      </c>
      <c r="AI11" s="38" t="s">
        <v>51</v>
      </c>
      <c r="AJ11" s="38" t="s">
        <v>50</v>
      </c>
      <c r="AK11" s="21">
        <v>43400000</v>
      </c>
      <c r="AL11" s="22">
        <v>126481250</v>
      </c>
      <c r="AM11" s="22">
        <v>115981249.99999999</v>
      </c>
      <c r="AN11" s="22">
        <v>70853947.368421048</v>
      </c>
      <c r="AO11" s="22">
        <v>80490048.800246164</v>
      </c>
      <c r="AP11" s="23">
        <f t="shared" si="2"/>
        <v>151343996.1686672</v>
      </c>
      <c r="AQ11" s="24">
        <f t="shared" si="3"/>
        <v>1.304900543567751</v>
      </c>
      <c r="AR11" s="25">
        <v>0.12</v>
      </c>
      <c r="AS11" s="42" t="s">
        <v>50</v>
      </c>
      <c r="AT11" s="42" t="s">
        <v>50</v>
      </c>
      <c r="AU11" s="42" t="s">
        <v>50</v>
      </c>
      <c r="AV11" s="42" t="s">
        <v>50</v>
      </c>
      <c r="AW11" s="42" t="s">
        <v>50</v>
      </c>
      <c r="AX11" s="42" t="s">
        <v>50</v>
      </c>
      <c r="AY11" s="42" t="s">
        <v>50</v>
      </c>
      <c r="AZ11" s="42" t="s">
        <v>50</v>
      </c>
      <c r="BA11" s="42" t="s">
        <v>50</v>
      </c>
      <c r="BB11" s="43">
        <f>SUM(BC11:BD11)</f>
        <v>117835932.2029859</v>
      </c>
      <c r="BC11" s="31">
        <v>23087285.109999996</v>
      </c>
      <c r="BD11" s="31">
        <v>94748647.092985898</v>
      </c>
      <c r="BE11" s="31">
        <v>115981249.99999999</v>
      </c>
      <c r="BF11" s="31">
        <v>81250000</v>
      </c>
      <c r="BG11" s="44">
        <v>0.87203947368421064</v>
      </c>
      <c r="BH11" s="46" t="s">
        <v>50</v>
      </c>
      <c r="BI11" s="46" t="s">
        <v>50</v>
      </c>
      <c r="BJ11" s="46" t="s">
        <v>50</v>
      </c>
      <c r="BK11" s="46" t="s">
        <v>50</v>
      </c>
    </row>
    <row r="12" spans="1:66" x14ac:dyDescent="0.35">
      <c r="B12" s="33" t="s">
        <v>48</v>
      </c>
      <c r="C12" s="2" t="s">
        <v>64</v>
      </c>
      <c r="D12" s="33" t="s">
        <v>122</v>
      </c>
      <c r="E12" s="34" t="s">
        <v>70</v>
      </c>
      <c r="F12" s="34" t="s">
        <v>36</v>
      </c>
      <c r="G12" s="34" t="s">
        <v>37</v>
      </c>
      <c r="H12" s="34" t="s">
        <v>38</v>
      </c>
      <c r="I12" s="33" t="s">
        <v>39</v>
      </c>
      <c r="J12" s="34" t="s">
        <v>40</v>
      </c>
      <c r="K12" s="34" t="s">
        <v>40</v>
      </c>
      <c r="L12" s="34" t="s">
        <v>41</v>
      </c>
      <c r="M12" s="34" t="s">
        <v>36</v>
      </c>
      <c r="N12" s="34" t="s">
        <v>36</v>
      </c>
      <c r="O12" s="33" t="s">
        <v>105</v>
      </c>
      <c r="Q12" s="33"/>
      <c r="R12" s="2" t="s">
        <v>151</v>
      </c>
      <c r="S12" s="33" t="s">
        <v>163</v>
      </c>
      <c r="V12" s="33" t="s">
        <v>43</v>
      </c>
      <c r="W12" s="33" t="s">
        <v>76</v>
      </c>
      <c r="X12" s="33" t="s">
        <v>106</v>
      </c>
      <c r="Y12" s="33" t="s">
        <v>44</v>
      </c>
      <c r="Z12" s="33" t="s">
        <v>45</v>
      </c>
      <c r="AA12" s="35" t="s">
        <v>41</v>
      </c>
      <c r="AB12" s="33" t="s">
        <v>53</v>
      </c>
      <c r="AC12" s="33" t="s">
        <v>105</v>
      </c>
      <c r="AD12" s="33" t="s">
        <v>86</v>
      </c>
      <c r="AE12" s="36">
        <v>43982</v>
      </c>
      <c r="AF12" s="2" t="s">
        <v>54</v>
      </c>
      <c r="AG12" s="33" t="s">
        <v>82</v>
      </c>
      <c r="AH12" s="37">
        <v>44602</v>
      </c>
      <c r="AI12" s="38" t="s">
        <v>51</v>
      </c>
      <c r="AJ12" s="2" t="s">
        <v>85</v>
      </c>
      <c r="AK12" s="21">
        <v>196000000</v>
      </c>
      <c r="AL12" s="22">
        <v>2250000</v>
      </c>
      <c r="AM12" s="22">
        <v>2250000</v>
      </c>
      <c r="AN12" s="22">
        <v>2446174.0755102038</v>
      </c>
      <c r="AO12" s="22">
        <v>0</v>
      </c>
      <c r="AP12" s="23">
        <f>+AN12+AO12</f>
        <v>2446174.0755102038</v>
      </c>
      <c r="AQ12" s="24">
        <f>+AP12/AM12</f>
        <v>1.0871884780045351</v>
      </c>
      <c r="AR12" s="25">
        <v>0.13600000000000001</v>
      </c>
      <c r="AS12" s="42" t="s">
        <v>50</v>
      </c>
      <c r="AT12" s="42" t="s">
        <v>50</v>
      </c>
      <c r="AU12" s="42" t="s">
        <v>50</v>
      </c>
      <c r="AV12" s="42" t="s">
        <v>50</v>
      </c>
      <c r="AW12" s="42" t="s">
        <v>50</v>
      </c>
      <c r="AX12" s="42" t="s">
        <v>50</v>
      </c>
      <c r="AY12" s="42" t="s">
        <v>50</v>
      </c>
      <c r="AZ12" s="42" t="s">
        <v>50</v>
      </c>
      <c r="BA12" s="42" t="s">
        <v>50</v>
      </c>
      <c r="BB12" s="43">
        <f>SUM(BC12:BD12)</f>
        <v>49177155.189999998</v>
      </c>
      <c r="BC12" s="31">
        <v>0</v>
      </c>
      <c r="BD12" s="31">
        <v>49177155.189999998</v>
      </c>
      <c r="BE12" s="31">
        <v>2250000</v>
      </c>
      <c r="BF12" s="31">
        <v>2446174.0755102038</v>
      </c>
      <c r="BG12" s="44">
        <v>4.9742081786943719E-2</v>
      </c>
      <c r="BH12" s="46" t="s">
        <v>50</v>
      </c>
      <c r="BI12" s="46" t="s">
        <v>50</v>
      </c>
      <c r="BJ12" s="46" t="s">
        <v>50</v>
      </c>
      <c r="BK12" s="46" t="s">
        <v>50</v>
      </c>
    </row>
    <row r="13" spans="1:66" x14ac:dyDescent="0.35">
      <c r="B13" s="33" t="s">
        <v>48</v>
      </c>
      <c r="C13" s="2" t="s">
        <v>65</v>
      </c>
      <c r="D13" s="33" t="s">
        <v>123</v>
      </c>
      <c r="E13" s="34" t="s">
        <v>144</v>
      </c>
      <c r="F13" s="34" t="s">
        <v>36</v>
      </c>
      <c r="G13" s="34" t="s">
        <v>37</v>
      </c>
      <c r="H13" s="34" t="s">
        <v>38</v>
      </c>
      <c r="I13" s="33" t="s">
        <v>39</v>
      </c>
      <c r="J13" s="34" t="s">
        <v>40</v>
      </c>
      <c r="K13" s="34" t="s">
        <v>40</v>
      </c>
      <c r="L13" s="34" t="s">
        <v>41</v>
      </c>
      <c r="M13" s="34" t="s">
        <v>36</v>
      </c>
      <c r="N13" s="34" t="s">
        <v>36</v>
      </c>
      <c r="O13" s="33" t="s">
        <v>42</v>
      </c>
      <c r="Q13" s="33"/>
      <c r="R13" s="2" t="s">
        <v>151</v>
      </c>
      <c r="S13" s="33" t="s">
        <v>165</v>
      </c>
      <c r="T13" s="2" t="s">
        <v>166</v>
      </c>
      <c r="U13" s="9">
        <v>6</v>
      </c>
      <c r="V13" s="33" t="s">
        <v>43</v>
      </c>
      <c r="W13" s="33" t="s">
        <v>75</v>
      </c>
      <c r="X13" s="33" t="s">
        <v>52</v>
      </c>
      <c r="Y13" s="33" t="s">
        <v>44</v>
      </c>
      <c r="Z13" s="33" t="s">
        <v>45</v>
      </c>
      <c r="AA13" s="35" t="s">
        <v>46</v>
      </c>
      <c r="AB13" s="35" t="s">
        <v>47</v>
      </c>
      <c r="AC13" s="2" t="s">
        <v>107</v>
      </c>
      <c r="AD13" s="33" t="s">
        <v>88</v>
      </c>
      <c r="AE13" s="36">
        <v>44406</v>
      </c>
      <c r="AF13" s="33" t="s">
        <v>167</v>
      </c>
      <c r="AG13" s="33" t="s">
        <v>50</v>
      </c>
      <c r="AH13" s="37" t="s">
        <v>50</v>
      </c>
      <c r="AI13" s="38" t="s">
        <v>51</v>
      </c>
      <c r="AJ13" s="38" t="s">
        <v>50</v>
      </c>
      <c r="AK13" s="21">
        <v>48500000</v>
      </c>
      <c r="AL13" s="22">
        <v>44494978.479999997</v>
      </c>
      <c r="AM13" s="22">
        <v>44494978.479999997</v>
      </c>
      <c r="AN13" s="22">
        <v>0</v>
      </c>
      <c r="AO13" s="22">
        <v>962188.20331240899</v>
      </c>
      <c r="AP13" s="23">
        <f t="shared" si="2"/>
        <v>962188.20331240899</v>
      </c>
      <c r="AQ13" s="24">
        <f t="shared" si="3"/>
        <v>2.162464700921031E-2</v>
      </c>
      <c r="AR13" s="50" t="s">
        <v>80</v>
      </c>
      <c r="AS13" s="42" t="s">
        <v>50</v>
      </c>
      <c r="AT13" s="42" t="s">
        <v>50</v>
      </c>
      <c r="AU13" s="42" t="s">
        <v>50</v>
      </c>
      <c r="AV13" s="42" t="s">
        <v>50</v>
      </c>
      <c r="AW13" s="42" t="s">
        <v>50</v>
      </c>
      <c r="AX13" s="42" t="s">
        <v>50</v>
      </c>
      <c r="AY13" s="42" t="s">
        <v>50</v>
      </c>
      <c r="AZ13" s="42" t="s">
        <v>50</v>
      </c>
      <c r="BA13" s="42" t="s">
        <v>50</v>
      </c>
      <c r="BB13" s="43">
        <f>SUM(BC13:BD13)</f>
        <v>10000000.000000002</v>
      </c>
      <c r="BC13" s="31">
        <v>6929410.76690521</v>
      </c>
      <c r="BD13" s="31">
        <v>3070589.2330947923</v>
      </c>
      <c r="BE13" s="22">
        <v>44494978.479999997</v>
      </c>
      <c r="BF13" s="31">
        <v>0</v>
      </c>
      <c r="BG13" s="44">
        <v>0.31415552105279149</v>
      </c>
      <c r="BH13" s="46" t="s">
        <v>50</v>
      </c>
      <c r="BI13" s="46" t="s">
        <v>50</v>
      </c>
      <c r="BJ13" s="46" t="s">
        <v>50</v>
      </c>
      <c r="BK13" s="46" t="s">
        <v>50</v>
      </c>
    </row>
    <row r="14" spans="1:66" x14ac:dyDescent="0.35">
      <c r="B14" s="33" t="s">
        <v>48</v>
      </c>
      <c r="C14" s="2" t="s">
        <v>66</v>
      </c>
      <c r="D14" s="33" t="s">
        <v>124</v>
      </c>
      <c r="E14" s="34" t="s">
        <v>70</v>
      </c>
      <c r="F14" s="34" t="s">
        <v>36</v>
      </c>
      <c r="G14" s="34" t="s">
        <v>37</v>
      </c>
      <c r="H14" s="34" t="s">
        <v>38</v>
      </c>
      <c r="I14" s="33" t="s">
        <v>39</v>
      </c>
      <c r="J14" s="34" t="s">
        <v>40</v>
      </c>
      <c r="K14" s="34" t="s">
        <v>40</v>
      </c>
      <c r="L14" s="34" t="s">
        <v>41</v>
      </c>
      <c r="M14" s="34" t="s">
        <v>36</v>
      </c>
      <c r="N14" s="34" t="s">
        <v>36</v>
      </c>
      <c r="O14" s="33" t="s">
        <v>73</v>
      </c>
      <c r="Q14" s="33"/>
      <c r="R14" s="33" t="s">
        <v>73</v>
      </c>
      <c r="S14" s="33" t="s">
        <v>111</v>
      </c>
      <c r="V14" s="33" t="s">
        <v>43</v>
      </c>
      <c r="W14" s="33" t="s">
        <v>75</v>
      </c>
      <c r="X14" s="33" t="s">
        <v>52</v>
      </c>
      <c r="Y14" s="33" t="s">
        <v>44</v>
      </c>
      <c r="Z14" s="33" t="s">
        <v>45</v>
      </c>
      <c r="AA14" s="35" t="s">
        <v>41</v>
      </c>
      <c r="AB14" s="33" t="s">
        <v>53</v>
      </c>
      <c r="AC14" s="33" t="s">
        <v>50</v>
      </c>
      <c r="AD14" s="33" t="s">
        <v>50</v>
      </c>
      <c r="AE14" s="36">
        <v>44712</v>
      </c>
      <c r="AF14" s="2" t="s">
        <v>54</v>
      </c>
      <c r="AG14" s="33" t="s">
        <v>82</v>
      </c>
      <c r="AH14" s="37">
        <v>45644</v>
      </c>
      <c r="AI14" s="38" t="s">
        <v>51</v>
      </c>
      <c r="AJ14" s="38" t="s">
        <v>139</v>
      </c>
      <c r="AK14" s="21">
        <v>87500000</v>
      </c>
      <c r="AL14" s="22">
        <v>99333500</v>
      </c>
      <c r="AM14" s="22">
        <v>99333500</v>
      </c>
      <c r="AN14" s="22">
        <v>115230265.08656599</v>
      </c>
      <c r="AO14" s="22">
        <v>0</v>
      </c>
      <c r="AP14" s="23">
        <f t="shared" si="2"/>
        <v>115230265.08656599</v>
      </c>
      <c r="AQ14" s="24">
        <f t="shared" si="3"/>
        <v>1.1600342793374439</v>
      </c>
      <c r="AR14" s="25">
        <v>0.114</v>
      </c>
      <c r="AS14" s="42" t="s">
        <v>50</v>
      </c>
      <c r="AT14" s="42" t="s">
        <v>50</v>
      </c>
      <c r="AU14" s="42" t="s">
        <v>50</v>
      </c>
      <c r="AV14" s="42" t="s">
        <v>50</v>
      </c>
      <c r="AW14" s="42" t="s">
        <v>50</v>
      </c>
      <c r="AX14" s="42" t="s">
        <v>50</v>
      </c>
      <c r="AY14" s="42" t="s">
        <v>50</v>
      </c>
      <c r="AZ14" s="42" t="s">
        <v>50</v>
      </c>
      <c r="BA14" s="42" t="s">
        <v>50</v>
      </c>
      <c r="BB14" s="43">
        <f>SUM(BC14:BD14)</f>
        <v>131691731.527504</v>
      </c>
      <c r="BC14" s="31">
        <v>0</v>
      </c>
      <c r="BD14" s="31">
        <v>131691731.527504</v>
      </c>
      <c r="BE14" s="31">
        <v>99333500</v>
      </c>
      <c r="BF14" s="31">
        <v>131691731.527504</v>
      </c>
      <c r="BG14" s="44">
        <v>0.875</v>
      </c>
      <c r="BH14" s="46" t="s">
        <v>50</v>
      </c>
      <c r="BI14" s="46" t="s">
        <v>50</v>
      </c>
      <c r="BJ14" s="46" t="s">
        <v>50</v>
      </c>
      <c r="BK14" s="46" t="s">
        <v>50</v>
      </c>
    </row>
    <row r="15" spans="1:66" x14ac:dyDescent="0.35">
      <c r="AD15" s="33"/>
      <c r="AE15" s="39"/>
      <c r="AH15" s="40"/>
      <c r="AK15" s="21"/>
      <c r="AL15" s="22"/>
      <c r="AM15" s="22"/>
      <c r="AN15" s="22"/>
      <c r="AO15" s="22"/>
      <c r="AP15" s="23"/>
      <c r="AQ15" s="24"/>
      <c r="AR15" s="25"/>
      <c r="BB15" s="31"/>
      <c r="BC15" s="31"/>
      <c r="BD15" s="31"/>
      <c r="BE15" s="31"/>
      <c r="BF15" s="31"/>
      <c r="BG15" s="45"/>
      <c r="BH15" s="45"/>
      <c r="BI15" s="46"/>
      <c r="BJ15" s="46"/>
      <c r="BK15" s="46"/>
    </row>
    <row r="16" spans="1:66" s="41" customFormat="1" x14ac:dyDescent="0.35">
      <c r="A16" s="2"/>
      <c r="B16" s="33" t="s">
        <v>67</v>
      </c>
      <c r="C16" s="2" t="s">
        <v>68</v>
      </c>
      <c r="D16" s="33" t="s">
        <v>125</v>
      </c>
      <c r="E16" s="34" t="s">
        <v>70</v>
      </c>
      <c r="F16" s="34" t="s">
        <v>149</v>
      </c>
      <c r="G16" s="34" t="s">
        <v>150</v>
      </c>
      <c r="H16" s="34" t="s">
        <v>38</v>
      </c>
      <c r="I16" s="33" t="s">
        <v>39</v>
      </c>
      <c r="J16" s="34" t="s">
        <v>40</v>
      </c>
      <c r="K16" s="34" t="s">
        <v>40</v>
      </c>
      <c r="L16" s="34" t="s">
        <v>41</v>
      </c>
      <c r="M16" s="34" t="s">
        <v>36</v>
      </c>
      <c r="N16" s="34" t="s">
        <v>36</v>
      </c>
      <c r="O16" s="33" t="s">
        <v>151</v>
      </c>
      <c r="P16" s="2"/>
      <c r="Q16" s="2"/>
      <c r="R16" s="2" t="s">
        <v>72</v>
      </c>
      <c r="S16" s="33" t="s">
        <v>164</v>
      </c>
      <c r="T16" s="2" t="s">
        <v>162</v>
      </c>
      <c r="U16" s="9">
        <v>5</v>
      </c>
      <c r="V16" s="33" t="s">
        <v>43</v>
      </c>
      <c r="W16" s="33" t="s">
        <v>75</v>
      </c>
      <c r="X16" s="33" t="s">
        <v>52</v>
      </c>
      <c r="Y16" s="33" t="s">
        <v>44</v>
      </c>
      <c r="Z16" s="33" t="s">
        <v>45</v>
      </c>
      <c r="AA16" s="35" t="s">
        <v>41</v>
      </c>
      <c r="AB16" s="33" t="s">
        <v>53</v>
      </c>
      <c r="AC16" s="33" t="s">
        <v>50</v>
      </c>
      <c r="AD16" s="33" t="s">
        <v>50</v>
      </c>
      <c r="AE16" s="36">
        <v>44909</v>
      </c>
      <c r="AF16" s="33" t="s">
        <v>49</v>
      </c>
      <c r="AG16" s="33" t="s">
        <v>50</v>
      </c>
      <c r="AH16" s="37" t="s">
        <v>50</v>
      </c>
      <c r="AI16" s="38" t="s">
        <v>51</v>
      </c>
      <c r="AJ16" s="38" t="s">
        <v>50</v>
      </c>
      <c r="AK16" s="21">
        <v>297700000</v>
      </c>
      <c r="AL16" s="22">
        <v>450000000</v>
      </c>
      <c r="AM16" s="22">
        <v>169453407.53</v>
      </c>
      <c r="AN16" s="22">
        <v>0</v>
      </c>
      <c r="AO16" s="22">
        <v>188662431.25579101</v>
      </c>
      <c r="AP16" s="23">
        <f t="shared" si="2"/>
        <v>188662431.25579101</v>
      </c>
      <c r="AQ16" s="24">
        <f t="shared" si="3"/>
        <v>1.1133587338595727</v>
      </c>
      <c r="AR16" s="46" t="s">
        <v>50</v>
      </c>
      <c r="AS16" s="42" t="s">
        <v>50</v>
      </c>
      <c r="AT16" s="42" t="s">
        <v>50</v>
      </c>
      <c r="AU16" s="42" t="s">
        <v>50</v>
      </c>
      <c r="AV16" s="42" t="s">
        <v>50</v>
      </c>
      <c r="AW16" s="42" t="s">
        <v>50</v>
      </c>
      <c r="AX16" s="42" t="s">
        <v>50</v>
      </c>
      <c r="AY16" s="42" t="s">
        <v>50</v>
      </c>
      <c r="AZ16" s="42" t="s">
        <v>50</v>
      </c>
      <c r="BA16" s="42" t="s">
        <v>50</v>
      </c>
      <c r="BB16" s="43">
        <f>SUM(BC16:BD16)</f>
        <v>281303600</v>
      </c>
      <c r="BC16" s="31">
        <v>89688800</v>
      </c>
      <c r="BD16" s="31">
        <v>191614800</v>
      </c>
      <c r="BE16" s="31">
        <v>169453407.53</v>
      </c>
      <c r="BF16" s="48">
        <v>0</v>
      </c>
      <c r="BG16" s="44">
        <v>0.9949760497873259</v>
      </c>
      <c r="BH16" s="46" t="s">
        <v>50</v>
      </c>
      <c r="BI16" s="46" t="s">
        <v>50</v>
      </c>
      <c r="BJ16" s="46" t="s">
        <v>50</v>
      </c>
      <c r="BK16" s="46" t="s">
        <v>50</v>
      </c>
    </row>
    <row r="17" spans="2:63" x14ac:dyDescent="0.35">
      <c r="B17" s="33" t="s">
        <v>67</v>
      </c>
      <c r="C17" s="2" t="s">
        <v>69</v>
      </c>
      <c r="D17" s="33" t="s">
        <v>126</v>
      </c>
      <c r="E17" s="34" t="s">
        <v>71</v>
      </c>
      <c r="F17" s="34" t="s">
        <v>36</v>
      </c>
      <c r="G17" s="34" t="s">
        <v>37</v>
      </c>
      <c r="H17" s="34" t="s">
        <v>38</v>
      </c>
      <c r="I17" s="33" t="s">
        <v>39</v>
      </c>
      <c r="J17" s="34" t="s">
        <v>40</v>
      </c>
      <c r="K17" s="34" t="s">
        <v>40</v>
      </c>
      <c r="L17" s="34" t="s">
        <v>41</v>
      </c>
      <c r="M17" s="34" t="s">
        <v>36</v>
      </c>
      <c r="N17" s="34" t="s">
        <v>36</v>
      </c>
      <c r="O17" s="33" t="s">
        <v>73</v>
      </c>
      <c r="R17" s="33" t="s">
        <v>73</v>
      </c>
      <c r="S17" s="33" t="s">
        <v>132</v>
      </c>
      <c r="V17" s="33" t="s">
        <v>43</v>
      </c>
      <c r="W17" s="33" t="s">
        <v>77</v>
      </c>
      <c r="X17" s="33" t="s">
        <v>52</v>
      </c>
      <c r="Y17" s="33" t="s">
        <v>44</v>
      </c>
      <c r="Z17" s="33" t="s">
        <v>45</v>
      </c>
      <c r="AA17" s="35" t="s">
        <v>41</v>
      </c>
      <c r="AB17" s="33" t="s">
        <v>53</v>
      </c>
      <c r="AC17" s="33" t="s">
        <v>50</v>
      </c>
      <c r="AD17" s="33" t="s">
        <v>50</v>
      </c>
      <c r="AE17" s="36">
        <v>44914</v>
      </c>
      <c r="AF17" s="33" t="s">
        <v>81</v>
      </c>
      <c r="AG17" s="33" t="s">
        <v>50</v>
      </c>
      <c r="AH17" s="37">
        <v>45291</v>
      </c>
      <c r="AI17" s="38" t="s">
        <v>51</v>
      </c>
      <c r="AJ17" s="38" t="s">
        <v>50</v>
      </c>
      <c r="AK17" s="21">
        <v>69700000</v>
      </c>
      <c r="AL17" s="22">
        <v>6851000</v>
      </c>
      <c r="AM17" s="22">
        <v>6851000</v>
      </c>
      <c r="AN17" s="22">
        <v>0</v>
      </c>
      <c r="AO17" s="22">
        <v>0</v>
      </c>
      <c r="AP17" s="23">
        <f t="shared" si="2"/>
        <v>0</v>
      </c>
      <c r="AQ17" s="24">
        <f t="shared" si="3"/>
        <v>0</v>
      </c>
      <c r="AR17" s="46" t="s">
        <v>50</v>
      </c>
      <c r="AS17" s="42" t="s">
        <v>50</v>
      </c>
      <c r="AT17" s="42" t="s">
        <v>50</v>
      </c>
      <c r="AU17" s="42" t="s">
        <v>50</v>
      </c>
      <c r="AV17" s="42" t="s">
        <v>50</v>
      </c>
      <c r="AW17" s="42" t="s">
        <v>50</v>
      </c>
      <c r="AX17" s="42" t="s">
        <v>50</v>
      </c>
      <c r="AY17" s="42" t="s">
        <v>50</v>
      </c>
      <c r="AZ17" s="42" t="s">
        <v>50</v>
      </c>
      <c r="BA17" s="42" t="s">
        <v>50</v>
      </c>
      <c r="BB17" s="46" t="s">
        <v>50</v>
      </c>
      <c r="BC17" s="46" t="s">
        <v>50</v>
      </c>
      <c r="BD17" s="46" t="s">
        <v>50</v>
      </c>
      <c r="BE17" s="46" t="s">
        <v>50</v>
      </c>
      <c r="BF17" s="46" t="s">
        <v>50</v>
      </c>
      <c r="BG17" s="46" t="s">
        <v>50</v>
      </c>
      <c r="BH17" s="46" t="s">
        <v>50</v>
      </c>
      <c r="BI17" s="46" t="s">
        <v>50</v>
      </c>
      <c r="BJ17" s="46" t="s">
        <v>50</v>
      </c>
      <c r="BK17" s="46" t="s">
        <v>50</v>
      </c>
    </row>
    <row r="18" spans="2:63" x14ac:dyDescent="0.35">
      <c r="B18" s="33" t="s">
        <v>67</v>
      </c>
      <c r="C18" s="2" t="s">
        <v>65</v>
      </c>
      <c r="D18" s="33" t="s">
        <v>123</v>
      </c>
      <c r="E18" s="34" t="s">
        <v>144</v>
      </c>
      <c r="F18" s="34" t="s">
        <v>36</v>
      </c>
      <c r="G18" s="34" t="s">
        <v>37</v>
      </c>
      <c r="H18" s="34" t="s">
        <v>38</v>
      </c>
      <c r="I18" s="33" t="s">
        <v>39</v>
      </c>
      <c r="J18" s="34" t="s">
        <v>40</v>
      </c>
      <c r="K18" s="34" t="s">
        <v>40</v>
      </c>
      <c r="L18" s="34" t="s">
        <v>41</v>
      </c>
      <c r="M18" s="34" t="s">
        <v>36</v>
      </c>
      <c r="N18" s="34" t="s">
        <v>36</v>
      </c>
      <c r="O18" s="33" t="s">
        <v>42</v>
      </c>
      <c r="R18" s="2" t="s">
        <v>151</v>
      </c>
      <c r="S18" s="33" t="s">
        <v>165</v>
      </c>
      <c r="T18" s="2" t="s">
        <v>166</v>
      </c>
      <c r="U18" s="9">
        <v>6</v>
      </c>
      <c r="V18" s="33" t="s">
        <v>43</v>
      </c>
      <c r="W18" s="33" t="s">
        <v>75</v>
      </c>
      <c r="X18" s="33" t="s">
        <v>52</v>
      </c>
      <c r="Y18" s="33" t="s">
        <v>44</v>
      </c>
      <c r="Z18" s="33" t="s">
        <v>45</v>
      </c>
      <c r="AA18" s="35" t="s">
        <v>46</v>
      </c>
      <c r="AB18" s="35" t="s">
        <v>47</v>
      </c>
      <c r="AC18" s="2" t="s">
        <v>108</v>
      </c>
      <c r="AD18" s="33" t="s">
        <v>88</v>
      </c>
      <c r="AE18" s="36">
        <v>44964</v>
      </c>
      <c r="AF18" s="33" t="s">
        <v>167</v>
      </c>
      <c r="AG18" s="33" t="s">
        <v>168</v>
      </c>
      <c r="AH18" s="37" t="s">
        <v>50</v>
      </c>
      <c r="AI18" s="38" t="s">
        <v>51</v>
      </c>
      <c r="AJ18" s="38" t="s">
        <v>50</v>
      </c>
      <c r="AK18" s="21">
        <v>250000000</v>
      </c>
      <c r="AL18" s="22">
        <v>43603986.640000001</v>
      </c>
      <c r="AM18" s="22">
        <v>43603986.640000001</v>
      </c>
      <c r="AN18" s="22">
        <v>0</v>
      </c>
      <c r="AO18" s="22">
        <v>942920.81928432209</v>
      </c>
      <c r="AP18" s="23">
        <f t="shared" si="2"/>
        <v>942920.81928432209</v>
      </c>
      <c r="AQ18" s="24">
        <f t="shared" si="3"/>
        <v>2.1624647009210303E-2</v>
      </c>
      <c r="AR18" s="46" t="s">
        <v>50</v>
      </c>
      <c r="AS18" s="42" t="s">
        <v>50</v>
      </c>
      <c r="AT18" s="42" t="s">
        <v>50</v>
      </c>
      <c r="AU18" s="42" t="s">
        <v>50</v>
      </c>
      <c r="AV18" s="42" t="s">
        <v>50</v>
      </c>
      <c r="AW18" s="42" t="s">
        <v>50</v>
      </c>
      <c r="AX18" s="42" t="s">
        <v>50</v>
      </c>
      <c r="AY18" s="42" t="s">
        <v>50</v>
      </c>
      <c r="AZ18" s="42" t="s">
        <v>50</v>
      </c>
      <c r="BA18" s="42" t="s">
        <v>50</v>
      </c>
      <c r="BB18" s="43">
        <f>SUM(BC18:BD18)</f>
        <v>10000000.000000002</v>
      </c>
      <c r="BC18" s="31">
        <v>6929410.76690521</v>
      </c>
      <c r="BD18" s="31">
        <v>3070589.2330947923</v>
      </c>
      <c r="BE18" s="31">
        <v>43603986.640000001</v>
      </c>
      <c r="BF18" s="31">
        <v>0</v>
      </c>
      <c r="BG18" s="44">
        <v>0.30433664255834836</v>
      </c>
      <c r="BH18" s="46" t="s">
        <v>50</v>
      </c>
      <c r="BI18" s="46" t="s">
        <v>50</v>
      </c>
      <c r="BJ18" s="46" t="s">
        <v>50</v>
      </c>
      <c r="BK18" s="46" t="s">
        <v>50</v>
      </c>
    </row>
    <row r="19" spans="2:63" x14ac:dyDescent="0.35">
      <c r="B19" s="33" t="s">
        <v>67</v>
      </c>
      <c r="C19" s="2" t="s">
        <v>115</v>
      </c>
      <c r="D19" s="33" t="s">
        <v>127</v>
      </c>
      <c r="E19" s="34" t="s">
        <v>70</v>
      </c>
      <c r="F19" s="34" t="s">
        <v>36</v>
      </c>
      <c r="G19" s="34" t="s">
        <v>37</v>
      </c>
      <c r="H19" s="34" t="s">
        <v>38</v>
      </c>
      <c r="I19" s="33" t="s">
        <v>39</v>
      </c>
      <c r="J19" s="34" t="s">
        <v>40</v>
      </c>
      <c r="K19" s="34" t="s">
        <v>40</v>
      </c>
      <c r="L19" s="34" t="s">
        <v>41</v>
      </c>
      <c r="M19" s="34" t="s">
        <v>36</v>
      </c>
      <c r="N19" s="34" t="s">
        <v>36</v>
      </c>
      <c r="O19" s="33" t="s">
        <v>73</v>
      </c>
      <c r="R19" s="33" t="s">
        <v>74</v>
      </c>
      <c r="S19" s="33" t="s">
        <v>133</v>
      </c>
      <c r="T19" s="2" t="s">
        <v>158</v>
      </c>
      <c r="U19" s="9">
        <v>7</v>
      </c>
      <c r="V19" s="33" t="s">
        <v>43</v>
      </c>
      <c r="W19" s="33" t="s">
        <v>75</v>
      </c>
      <c r="X19" s="33" t="s">
        <v>52</v>
      </c>
      <c r="Y19" s="33" t="s">
        <v>44</v>
      </c>
      <c r="Z19" s="33" t="s">
        <v>45</v>
      </c>
      <c r="AA19" s="35" t="s">
        <v>41</v>
      </c>
      <c r="AB19" s="33" t="s">
        <v>53</v>
      </c>
      <c r="AC19" s="33" t="s">
        <v>50</v>
      </c>
      <c r="AD19" s="33" t="s">
        <v>88</v>
      </c>
      <c r="AE19" s="36">
        <v>45016</v>
      </c>
      <c r="AF19" s="33" t="s">
        <v>49</v>
      </c>
      <c r="AG19" s="33" t="s">
        <v>50</v>
      </c>
      <c r="AH19" s="37" t="s">
        <v>50</v>
      </c>
      <c r="AI19" s="38" t="s">
        <v>51</v>
      </c>
      <c r="AJ19" s="38" t="s">
        <v>50</v>
      </c>
      <c r="AK19" s="21">
        <v>150000000</v>
      </c>
      <c r="AL19" s="22">
        <v>275000000</v>
      </c>
      <c r="AM19" s="22">
        <v>259977090.03</v>
      </c>
      <c r="AN19" s="22">
        <v>0</v>
      </c>
      <c r="AO19" s="22">
        <v>300400000</v>
      </c>
      <c r="AP19" s="23">
        <f t="shared" si="2"/>
        <v>300400000</v>
      </c>
      <c r="AQ19" s="24">
        <f t="shared" si="3"/>
        <v>1.1554864313826092</v>
      </c>
      <c r="AR19" s="46" t="s">
        <v>50</v>
      </c>
      <c r="AS19" s="42" t="s">
        <v>50</v>
      </c>
      <c r="AT19" s="42" t="s">
        <v>50</v>
      </c>
      <c r="AU19" s="42" t="s">
        <v>50</v>
      </c>
      <c r="AV19" s="42" t="s">
        <v>50</v>
      </c>
      <c r="AW19" s="42" t="s">
        <v>50</v>
      </c>
      <c r="AX19" s="42" t="s">
        <v>50</v>
      </c>
      <c r="AY19" s="42" t="s">
        <v>50</v>
      </c>
      <c r="AZ19" s="42" t="s">
        <v>50</v>
      </c>
      <c r="BA19" s="42" t="s">
        <v>50</v>
      </c>
      <c r="BB19" s="47">
        <f>+BC19+BD19</f>
        <v>923524846.82698107</v>
      </c>
      <c r="BC19" s="31">
        <v>495001000</v>
      </c>
      <c r="BD19" s="31">
        <v>428523846.82698107</v>
      </c>
      <c r="BE19" s="31">
        <v>259977090.03</v>
      </c>
      <c r="BF19" s="31">
        <v>0</v>
      </c>
      <c r="BG19" s="44">
        <v>0.69999999955284142</v>
      </c>
      <c r="BH19" s="46" t="s">
        <v>50</v>
      </c>
      <c r="BI19" s="46" t="s">
        <v>50</v>
      </c>
      <c r="BJ19" s="46" t="s">
        <v>50</v>
      </c>
      <c r="BK19" s="46" t="s">
        <v>50</v>
      </c>
    </row>
    <row r="20" spans="2:63" x14ac:dyDescent="0.35">
      <c r="B20" s="33" t="s">
        <v>67</v>
      </c>
      <c r="C20" s="2" t="s">
        <v>114</v>
      </c>
      <c r="D20" s="33" t="s">
        <v>128</v>
      </c>
      <c r="E20" s="34" t="s">
        <v>70</v>
      </c>
      <c r="F20" s="34" t="s">
        <v>36</v>
      </c>
      <c r="G20" s="34" t="s">
        <v>37</v>
      </c>
      <c r="H20" s="34" t="s">
        <v>38</v>
      </c>
      <c r="I20" s="33" t="s">
        <v>39</v>
      </c>
      <c r="J20" s="34" t="s">
        <v>40</v>
      </c>
      <c r="K20" s="34" t="s">
        <v>40</v>
      </c>
      <c r="L20" s="34" t="s">
        <v>41</v>
      </c>
      <c r="M20" s="34" t="s">
        <v>36</v>
      </c>
      <c r="N20" s="34" t="s">
        <v>36</v>
      </c>
      <c r="O20" s="2" t="s">
        <v>73</v>
      </c>
      <c r="R20" s="2" t="s">
        <v>73</v>
      </c>
      <c r="S20" s="2" t="s">
        <v>134</v>
      </c>
      <c r="T20" s="2" t="s">
        <v>137</v>
      </c>
      <c r="U20" s="9">
        <v>4</v>
      </c>
      <c r="V20" s="33" t="s">
        <v>43</v>
      </c>
      <c r="W20" s="33" t="s">
        <v>75</v>
      </c>
      <c r="X20" s="33" t="s">
        <v>52</v>
      </c>
      <c r="Y20" s="33" t="s">
        <v>44</v>
      </c>
      <c r="Z20" s="33" t="s">
        <v>45</v>
      </c>
      <c r="AA20" s="35" t="s">
        <v>41</v>
      </c>
      <c r="AB20" s="33" t="s">
        <v>53</v>
      </c>
      <c r="AC20" s="33" t="s">
        <v>50</v>
      </c>
      <c r="AD20" s="2" t="s">
        <v>50</v>
      </c>
      <c r="AE20" s="36">
        <v>45030</v>
      </c>
      <c r="AF20" s="33" t="s">
        <v>54</v>
      </c>
      <c r="AG20" s="33" t="s">
        <v>82</v>
      </c>
      <c r="AH20" s="37">
        <v>45811</v>
      </c>
      <c r="AI20" s="38" t="s">
        <v>51</v>
      </c>
      <c r="AJ20" s="38" t="s">
        <v>172</v>
      </c>
      <c r="AK20" s="22">
        <v>98950000</v>
      </c>
      <c r="AL20" s="22">
        <v>98950000</v>
      </c>
      <c r="AM20" s="22">
        <v>18404700</v>
      </c>
      <c r="AN20" s="22">
        <v>0</v>
      </c>
      <c r="AO20" s="22">
        <v>28939425.117385898</v>
      </c>
      <c r="AP20" s="23">
        <f t="shared" si="2"/>
        <v>28939425.117385898</v>
      </c>
      <c r="AQ20" s="24">
        <f t="shared" si="3"/>
        <v>1.5723931994211207</v>
      </c>
      <c r="AR20" s="46" t="s">
        <v>50</v>
      </c>
      <c r="AS20" s="42" t="s">
        <v>50</v>
      </c>
      <c r="AT20" s="42" t="s">
        <v>50</v>
      </c>
      <c r="AU20" s="42" t="s">
        <v>50</v>
      </c>
      <c r="AV20" s="42" t="s">
        <v>50</v>
      </c>
      <c r="AW20" s="42" t="s">
        <v>50</v>
      </c>
      <c r="AX20" s="42" t="s">
        <v>50</v>
      </c>
      <c r="AY20" s="42" t="s">
        <v>50</v>
      </c>
      <c r="AZ20" s="42" t="s">
        <v>50</v>
      </c>
      <c r="BA20" s="42" t="s">
        <v>50</v>
      </c>
      <c r="BB20" s="43">
        <f>SUM(BC20:BD20)</f>
        <v>17100000</v>
      </c>
      <c r="BC20" s="31">
        <v>0</v>
      </c>
      <c r="BD20" s="31">
        <v>17100000</v>
      </c>
      <c r="BE20" s="22">
        <v>18404700</v>
      </c>
      <c r="BF20" s="31">
        <v>0</v>
      </c>
      <c r="BG20" s="44">
        <v>0.98950000000000005</v>
      </c>
      <c r="BH20" s="46" t="s">
        <v>50</v>
      </c>
      <c r="BI20" s="46" t="s">
        <v>50</v>
      </c>
      <c r="BJ20" s="46" t="s">
        <v>50</v>
      </c>
      <c r="BK20" s="46" t="s">
        <v>50</v>
      </c>
    </row>
    <row r="21" spans="2:63" x14ac:dyDescent="0.35">
      <c r="B21" s="33" t="s">
        <v>67</v>
      </c>
      <c r="C21" s="2" t="s">
        <v>116</v>
      </c>
      <c r="D21" s="33" t="s">
        <v>143</v>
      </c>
      <c r="E21" s="9" t="s">
        <v>131</v>
      </c>
      <c r="F21" s="34" t="s">
        <v>36</v>
      </c>
      <c r="G21" s="34" t="s">
        <v>37</v>
      </c>
      <c r="H21" s="34" t="s">
        <v>38</v>
      </c>
      <c r="I21" s="33" t="s">
        <v>39</v>
      </c>
      <c r="J21" s="34" t="s">
        <v>40</v>
      </c>
      <c r="K21" s="34" t="s">
        <v>40</v>
      </c>
      <c r="L21" s="34" t="s">
        <v>41</v>
      </c>
      <c r="M21" s="34" t="s">
        <v>36</v>
      </c>
      <c r="N21" s="34" t="s">
        <v>36</v>
      </c>
      <c r="O21" s="33" t="s">
        <v>72</v>
      </c>
      <c r="R21" s="33" t="s">
        <v>72</v>
      </c>
      <c r="S21" s="33" t="s">
        <v>135</v>
      </c>
      <c r="T21" s="2" t="s">
        <v>159</v>
      </c>
      <c r="U21" s="9">
        <v>5</v>
      </c>
      <c r="V21" s="33" t="s">
        <v>43</v>
      </c>
      <c r="W21" s="33" t="s">
        <v>75</v>
      </c>
      <c r="X21" s="33" t="s">
        <v>52</v>
      </c>
      <c r="Y21" s="33" t="s">
        <v>44</v>
      </c>
      <c r="Z21" s="33" t="s">
        <v>45</v>
      </c>
      <c r="AA21" s="35" t="s">
        <v>41</v>
      </c>
      <c r="AB21" s="33" t="s">
        <v>53</v>
      </c>
      <c r="AC21" s="33" t="s">
        <v>50</v>
      </c>
      <c r="AD21" s="2" t="s">
        <v>50</v>
      </c>
      <c r="AE21" s="36">
        <v>45364</v>
      </c>
      <c r="AF21" s="33" t="s">
        <v>49</v>
      </c>
      <c r="AG21" s="33" t="s">
        <v>50</v>
      </c>
      <c r="AH21" s="37" t="s">
        <v>50</v>
      </c>
      <c r="AI21" s="38" t="s">
        <v>51</v>
      </c>
      <c r="AJ21" s="38" t="s">
        <v>50</v>
      </c>
      <c r="AK21" s="22">
        <v>200000000</v>
      </c>
      <c r="AL21" s="22">
        <v>200000000</v>
      </c>
      <c r="AM21" s="22">
        <v>38900000</v>
      </c>
      <c r="AN21" s="22">
        <v>0</v>
      </c>
      <c r="AO21" s="22">
        <v>38900000</v>
      </c>
      <c r="AP21" s="23">
        <f t="shared" si="2"/>
        <v>38900000</v>
      </c>
      <c r="AQ21" s="24">
        <f t="shared" si="3"/>
        <v>1</v>
      </c>
      <c r="AR21" s="46" t="s">
        <v>50</v>
      </c>
      <c r="AS21" s="42" t="s">
        <v>50</v>
      </c>
      <c r="AT21" s="42" t="s">
        <v>50</v>
      </c>
      <c r="AU21" s="42" t="s">
        <v>50</v>
      </c>
      <c r="AV21" s="42" t="s">
        <v>50</v>
      </c>
      <c r="AW21" s="42" t="s">
        <v>50</v>
      </c>
      <c r="AX21" s="42" t="s">
        <v>50</v>
      </c>
      <c r="AY21" s="42" t="s">
        <v>50</v>
      </c>
      <c r="AZ21" s="42" t="s">
        <v>50</v>
      </c>
      <c r="BA21" s="42" t="s">
        <v>50</v>
      </c>
      <c r="BB21" s="43">
        <f t="shared" ref="BB21:BB23" si="4">SUM(BC21:BD21)</f>
        <v>36600000</v>
      </c>
      <c r="BC21" s="31">
        <v>0</v>
      </c>
      <c r="BD21" s="31">
        <v>36600000</v>
      </c>
      <c r="BE21" s="22">
        <v>38900000</v>
      </c>
      <c r="BF21" s="31">
        <v>0</v>
      </c>
      <c r="BG21" s="44">
        <v>1</v>
      </c>
      <c r="BH21" s="46" t="s">
        <v>50</v>
      </c>
      <c r="BI21" s="46" t="s">
        <v>50</v>
      </c>
      <c r="BJ21" s="46" t="s">
        <v>50</v>
      </c>
      <c r="BK21" s="46" t="s">
        <v>50</v>
      </c>
    </row>
    <row r="22" spans="2:63" ht="15" customHeight="1" x14ac:dyDescent="0.35">
      <c r="B22" s="33" t="s">
        <v>67</v>
      </c>
      <c r="C22" s="2" t="s">
        <v>113</v>
      </c>
      <c r="D22" s="33" t="s">
        <v>129</v>
      </c>
      <c r="E22" s="34" t="s">
        <v>70</v>
      </c>
      <c r="F22" s="9" t="s">
        <v>170</v>
      </c>
      <c r="G22" s="34" t="s">
        <v>37</v>
      </c>
      <c r="H22" s="34" t="s">
        <v>38</v>
      </c>
      <c r="I22" s="33" t="s">
        <v>39</v>
      </c>
      <c r="J22" s="34" t="s">
        <v>40</v>
      </c>
      <c r="K22" s="34" t="s">
        <v>40</v>
      </c>
      <c r="L22" s="34" t="s">
        <v>41</v>
      </c>
      <c r="M22" s="34" t="s">
        <v>36</v>
      </c>
      <c r="N22" s="34" t="s">
        <v>36</v>
      </c>
      <c r="O22" s="2" t="s">
        <v>73</v>
      </c>
      <c r="R22" s="2" t="s">
        <v>73</v>
      </c>
      <c r="S22" s="33" t="s">
        <v>136</v>
      </c>
      <c r="T22" s="2" t="s">
        <v>138</v>
      </c>
      <c r="U22" s="9">
        <v>4</v>
      </c>
      <c r="V22" s="33" t="s">
        <v>43</v>
      </c>
      <c r="W22" s="33" t="s">
        <v>77</v>
      </c>
      <c r="X22" s="33" t="s">
        <v>52</v>
      </c>
      <c r="Y22" s="33" t="s">
        <v>44</v>
      </c>
      <c r="Z22" s="33" t="s">
        <v>45</v>
      </c>
      <c r="AA22" s="35" t="s">
        <v>41</v>
      </c>
      <c r="AB22" s="33" t="s">
        <v>53</v>
      </c>
      <c r="AC22" s="33" t="s">
        <v>50</v>
      </c>
      <c r="AD22" s="2" t="s">
        <v>50</v>
      </c>
      <c r="AE22" s="36">
        <v>45482</v>
      </c>
      <c r="AF22" s="33" t="s">
        <v>49</v>
      </c>
      <c r="AG22" s="33" t="s">
        <v>50</v>
      </c>
      <c r="AH22" s="37" t="s">
        <v>50</v>
      </c>
      <c r="AI22" s="38" t="s">
        <v>51</v>
      </c>
      <c r="AJ22" s="38" t="s">
        <v>50</v>
      </c>
      <c r="AK22" s="22">
        <v>247500000</v>
      </c>
      <c r="AL22" s="22">
        <v>247500000</v>
      </c>
      <c r="AM22" s="22">
        <v>15842379</v>
      </c>
      <c r="AN22" s="22">
        <v>0</v>
      </c>
      <c r="AO22" s="22">
        <v>15842379</v>
      </c>
      <c r="AP22" s="23">
        <f t="shared" si="2"/>
        <v>15842379</v>
      </c>
      <c r="AQ22" s="24">
        <f t="shared" si="3"/>
        <v>1</v>
      </c>
      <c r="AR22" s="46" t="s">
        <v>50</v>
      </c>
      <c r="AS22" s="42" t="s">
        <v>50</v>
      </c>
      <c r="AT22" s="42" t="s">
        <v>50</v>
      </c>
      <c r="AU22" s="42" t="s">
        <v>50</v>
      </c>
      <c r="AV22" s="42" t="s">
        <v>50</v>
      </c>
      <c r="AW22" s="42" t="s">
        <v>50</v>
      </c>
      <c r="AX22" s="42" t="s">
        <v>50</v>
      </c>
      <c r="AY22" s="42" t="s">
        <v>50</v>
      </c>
      <c r="AZ22" s="42" t="s">
        <v>50</v>
      </c>
      <c r="BA22" s="42" t="s">
        <v>50</v>
      </c>
      <c r="BB22" s="43">
        <f t="shared" si="4"/>
        <v>21858535</v>
      </c>
      <c r="BC22" s="31">
        <v>0</v>
      </c>
      <c r="BD22" s="31">
        <v>21858535</v>
      </c>
      <c r="BE22" s="22">
        <v>15842379</v>
      </c>
      <c r="BF22" s="31">
        <v>0</v>
      </c>
      <c r="BG22" s="44">
        <v>0.7247685629434909</v>
      </c>
      <c r="BH22" s="46" t="s">
        <v>50</v>
      </c>
      <c r="BI22" s="46" t="s">
        <v>50</v>
      </c>
      <c r="BJ22" s="46" t="s">
        <v>50</v>
      </c>
      <c r="BK22" s="46" t="s">
        <v>50</v>
      </c>
    </row>
    <row r="23" spans="2:63" ht="15" customHeight="1" x14ac:dyDescent="0.35">
      <c r="B23" s="33" t="s">
        <v>67</v>
      </c>
      <c r="C23" s="2" t="s">
        <v>117</v>
      </c>
      <c r="D23" s="2" t="s">
        <v>130</v>
      </c>
      <c r="E23" s="34" t="s">
        <v>70</v>
      </c>
      <c r="F23" s="9" t="s">
        <v>36</v>
      </c>
      <c r="G23" s="34" t="s">
        <v>37</v>
      </c>
      <c r="H23" s="34" t="s">
        <v>38</v>
      </c>
      <c r="I23" s="33" t="s">
        <v>39</v>
      </c>
      <c r="J23" s="34" t="s">
        <v>40</v>
      </c>
      <c r="K23" s="34" t="s">
        <v>40</v>
      </c>
      <c r="L23" s="34" t="s">
        <v>41</v>
      </c>
      <c r="M23" s="34" t="s">
        <v>36</v>
      </c>
      <c r="N23" s="34" t="s">
        <v>36</v>
      </c>
      <c r="O23" s="33" t="s">
        <v>72</v>
      </c>
      <c r="R23" s="33" t="s">
        <v>72</v>
      </c>
      <c r="S23" s="33" t="s">
        <v>135</v>
      </c>
      <c r="T23" s="2" t="s">
        <v>157</v>
      </c>
      <c r="U23" s="9">
        <v>4</v>
      </c>
      <c r="V23" s="33" t="s">
        <v>43</v>
      </c>
      <c r="W23" s="33" t="s">
        <v>75</v>
      </c>
      <c r="X23" s="33" t="s">
        <v>52</v>
      </c>
      <c r="Y23" s="33" t="s">
        <v>44</v>
      </c>
      <c r="Z23" s="33" t="s">
        <v>45</v>
      </c>
      <c r="AA23" s="35" t="s">
        <v>41</v>
      </c>
      <c r="AB23" s="33" t="s">
        <v>53</v>
      </c>
      <c r="AC23" s="33" t="s">
        <v>50</v>
      </c>
      <c r="AD23" s="2" t="s">
        <v>50</v>
      </c>
      <c r="AE23" s="36">
        <v>45539</v>
      </c>
      <c r="AF23" s="33" t="s">
        <v>49</v>
      </c>
      <c r="AG23" s="33" t="s">
        <v>50</v>
      </c>
      <c r="AH23" s="37" t="s">
        <v>50</v>
      </c>
      <c r="AI23" s="38" t="s">
        <v>51</v>
      </c>
      <c r="AJ23" s="38" t="s">
        <v>50</v>
      </c>
      <c r="AK23" s="22">
        <v>299000000</v>
      </c>
      <c r="AL23" s="22">
        <v>299000000</v>
      </c>
      <c r="AM23" s="22">
        <v>46132741.060000002</v>
      </c>
      <c r="AN23" s="22">
        <v>0</v>
      </c>
      <c r="AO23" s="22">
        <v>46132741.060000002</v>
      </c>
      <c r="AP23" s="23">
        <f t="shared" si="2"/>
        <v>46132741.060000002</v>
      </c>
      <c r="AQ23" s="24">
        <f t="shared" si="3"/>
        <v>1</v>
      </c>
      <c r="AR23" s="46" t="s">
        <v>50</v>
      </c>
      <c r="AS23" s="42" t="s">
        <v>50</v>
      </c>
      <c r="AT23" s="42" t="s">
        <v>50</v>
      </c>
      <c r="AU23" s="42" t="s">
        <v>50</v>
      </c>
      <c r="AV23" s="42" t="s">
        <v>50</v>
      </c>
      <c r="AW23" s="42" t="s">
        <v>50</v>
      </c>
      <c r="AX23" s="42" t="s">
        <v>50</v>
      </c>
      <c r="AY23" s="42" t="s">
        <v>50</v>
      </c>
      <c r="AZ23" s="42" t="s">
        <v>50</v>
      </c>
      <c r="BA23" s="42" t="s">
        <v>50</v>
      </c>
      <c r="BB23" s="43">
        <f t="shared" si="4"/>
        <v>55163090</v>
      </c>
      <c r="BC23" s="31">
        <f>10313000-1750000</f>
        <v>8563000</v>
      </c>
      <c r="BD23" s="31">
        <v>46600090</v>
      </c>
      <c r="BE23" s="22">
        <v>46132741.060000002</v>
      </c>
      <c r="BF23" s="31">
        <v>0</v>
      </c>
      <c r="BG23" s="44">
        <v>0.98997107215887348</v>
      </c>
      <c r="BH23" s="46" t="s">
        <v>50</v>
      </c>
      <c r="BI23" s="46" t="s">
        <v>50</v>
      </c>
      <c r="BJ23" s="46" t="s">
        <v>50</v>
      </c>
      <c r="BK23" s="46" t="s">
        <v>50</v>
      </c>
    </row>
    <row r="24" spans="2:63" x14ac:dyDescent="0.35">
      <c r="AM24" s="10"/>
      <c r="AT24" s="26"/>
      <c r="AU24" s="26"/>
      <c r="AV24" s="26"/>
      <c r="AW24" s="26"/>
      <c r="AX24" s="26"/>
      <c r="AY24" s="26"/>
      <c r="AZ24" s="26"/>
      <c r="BA24" s="26"/>
      <c r="BB24" s="26"/>
      <c r="BC24" s="26"/>
      <c r="BD24" s="26"/>
      <c r="BE24" s="26"/>
      <c r="BF24" s="26"/>
      <c r="BG24" s="26"/>
      <c r="BH24" s="26"/>
      <c r="BI24" s="26"/>
      <c r="BJ24" s="26"/>
      <c r="BK24" s="26"/>
    </row>
    <row r="25" spans="2:63" x14ac:dyDescent="0.35">
      <c r="AL25" s="22"/>
      <c r="AM25" s="22"/>
      <c r="AN25" s="22"/>
      <c r="AT25" s="26"/>
      <c r="AU25" s="26"/>
      <c r="AV25" s="26"/>
      <c r="AW25" s="26"/>
      <c r="AX25" s="26"/>
      <c r="AY25" s="26"/>
      <c r="AZ25" s="26"/>
      <c r="BA25" s="26"/>
      <c r="BB25" s="30"/>
      <c r="BC25" s="26"/>
      <c r="BD25" s="26"/>
      <c r="BE25" s="32"/>
      <c r="BF25" s="26"/>
      <c r="BG25" s="26"/>
      <c r="BH25" s="26"/>
      <c r="BI25" s="26"/>
      <c r="BJ25" s="26"/>
      <c r="BK25" s="26"/>
    </row>
  </sheetData>
  <autoFilter ref="B5:BK5" xr:uid="{DF4F230E-75C2-4BB0-B49B-6834214496C1}"/>
  <pageMargins left="0.7" right="0.7" top="0.75" bottom="0.75" header="0.3" footer="0.3"/>
  <pageSetup paperSize="17" scale="17" fitToHeight="0" orientation="landscape" r:id="rId1"/>
  <ignoredErrors>
    <ignoredError sqref="BB21:BB23 BB16:BB18 BB15 BB20 BB12:BB14 BB11" formulaRange="1"/>
    <ignoredError sqref="BB19" formula="1" formulaRange="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b6379d-5402-4ed7-9167-0c02804ceeec" xsi:nil="true"/>
    <lcf76f155ced4ddcb4097134ff3c332f xmlns="16c4b767-81a9-4964-9cba-5e0dcfc5f91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B04DF9C75CAB4DAB32342A81611457" ma:contentTypeVersion="16" ma:contentTypeDescription="Create a new document." ma:contentTypeScope="" ma:versionID="00cbbd34d73d4c9731af3e4e91408a51">
  <xsd:schema xmlns:xsd="http://www.w3.org/2001/XMLSchema" xmlns:xs="http://www.w3.org/2001/XMLSchema" xmlns:p="http://schemas.microsoft.com/office/2006/metadata/properties" xmlns:ns2="bcb6379d-5402-4ed7-9167-0c02804ceeec" xmlns:ns3="16c4b767-81a9-4964-9cba-5e0dcfc5f91d" targetNamespace="http://schemas.microsoft.com/office/2006/metadata/properties" ma:root="true" ma:fieldsID="87a57c2a6c264e74fd25bdf777301f0e" ns2:_="" ns3:_="">
    <xsd:import namespace="bcb6379d-5402-4ed7-9167-0c02804ceeec"/>
    <xsd:import namespace="16c4b767-81a9-4964-9cba-5e0dcfc5f91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b6379d-5402-4ed7-9167-0c02804cee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1661289-e8d5-4b89-a0fe-708881da4787}" ma:internalName="TaxCatchAll" ma:showField="CatchAllData" ma:web="bcb6379d-5402-4ed7-9167-0c02804ceee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4b767-81a9-4964-9cba-5e0dcfc5f91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b760cb6-fec5-4ee0-ad3b-5c6f6537d75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645F02-FAD1-4B32-BD9E-52827F948A32}">
  <ds:schemaRefs>
    <ds:schemaRef ds:uri="e8a7dbe1-9757-4a5a-8bbf-ab43f904c320"/>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purl.org/dc/dcmitype/"/>
    <ds:schemaRef ds:uri="http://purl.org/dc/terms/"/>
    <ds:schemaRef ds:uri="http://schemas.microsoft.com/office/infopath/2007/PartnerControls"/>
    <ds:schemaRef ds:uri="752d68fe-d4c2-4b96-b7c5-17c1ac1310b1"/>
    <ds:schemaRef ds:uri="http://www.w3.org/XML/1998/namespace"/>
  </ds:schemaRefs>
</ds:datastoreItem>
</file>

<file path=customXml/itemProps2.xml><?xml version="1.0" encoding="utf-8"?>
<ds:datastoreItem xmlns:ds="http://schemas.openxmlformats.org/officeDocument/2006/customXml" ds:itemID="{90B53CDA-B85C-44C6-958A-0754D23CB65A}">
  <ds:schemaRefs>
    <ds:schemaRef ds:uri="http://schemas.microsoft.com/sharepoint/v3/contenttype/forms"/>
  </ds:schemaRefs>
</ds:datastoreItem>
</file>

<file path=customXml/itemProps3.xml><?xml version="1.0" encoding="utf-8"?>
<ds:datastoreItem xmlns:ds="http://schemas.openxmlformats.org/officeDocument/2006/customXml" ds:itemID="{BAC8595A-721B-4A3B-9AF6-536799937E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Craig Borque</dc:creator>
  <cp:keywords/>
  <dc:description/>
  <cp:lastModifiedBy>Adil Rajabali</cp:lastModifiedBy>
  <cp:revision/>
  <dcterms:created xsi:type="dcterms:W3CDTF">2017-03-06T22:59:59Z</dcterms:created>
  <dcterms:modified xsi:type="dcterms:W3CDTF">2025-08-01T14:36:30Z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0x01010035B04DF9C75CAB4DAB32342A81611457</vt:lpwstr>
  </property>
</Properties>
</file>