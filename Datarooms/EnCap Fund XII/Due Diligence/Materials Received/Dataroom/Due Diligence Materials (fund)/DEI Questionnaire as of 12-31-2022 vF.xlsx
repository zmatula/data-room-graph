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K:\Investor Relations\ESG\ESG SL Folder\LP Standardized Questionnaire\"/>
    </mc:Choice>
  </mc:AlternateContent>
  <bookViews>
    <workbookView xWindow="28680" yWindow="-120" windowWidth="29040" windowHeight="15840" activeTab="0"/>
  </bookViews>
  <sheets>
    <sheet name="DEI Questionnaire" sheetId="7" r:id="rId3"/>
    <sheet name="RTP Data Matrix" sheetId="8" r:id="rId4"/>
    <sheet name="Ownership Data Matrix" sheetId="9" r:id="rId5"/>
    <sheet name="Employee Data Matrix" sheetId="5" r:id="rId6"/>
    <sheet name="Percentage Matrix" sheetId="6" r:id="rId7"/>
    <sheet name="Key" sheetId="3" r:id="rId8"/>
  </sheets>
  <definedNames>
    <definedName name="_xlnm.Print_Area" localSheetId="0">'DEI Questionnaire'!$A$1:$C$20</definedName>
    <definedName name="_xlnm.Print_Area" localSheetId="3">'Employee Data Matrix'!$A$1:$U$35</definedName>
    <definedName name="_xlnm.Print_Area" localSheetId="2">'Ownership Data Matrix'!$A$1:$Q$15</definedName>
    <definedName name="_xlnm.Print_Area" localSheetId="4">'Percentage Matrix'!$A$1:$S$20</definedName>
    <definedName name="_xlnm.Print_Area" localSheetId="1">'RTP Data Matrix'!$A$1:$T$16</definedName>
    <definedName name="_xlnm.Print_Titles" localSheetId="0">'DEI Questionnaire'!$1:$2</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8" l="1"/>
</calcChain>
</file>

<file path=xl/sharedStrings.xml><?xml version="1.0" encoding="utf-8"?>
<sst xmlns="http://schemas.openxmlformats.org/spreadsheetml/2006/main" count="267" uniqueCount="132">
  <si>
    <t>Male</t>
  </si>
  <si>
    <t>White</t>
  </si>
  <si>
    <t>Asian</t>
  </si>
  <si>
    <t>Two or More Races</t>
  </si>
  <si>
    <t>Hispanic or Latino</t>
  </si>
  <si>
    <t>Investment Team</t>
  </si>
  <si>
    <t>Female</t>
  </si>
  <si>
    <t>Describe your firm’s practices and incentives related to charitable giving, community involvement, and volunteer programs</t>
  </si>
  <si>
    <t>A person of any ethnic group not categorized by the above</t>
  </si>
  <si>
    <t>Other Ethnic Group</t>
  </si>
  <si>
    <t>A person having two or more backgrounds</t>
  </si>
  <si>
    <t>A person with an Aboriginal or Torres Strait Islander background</t>
  </si>
  <si>
    <t>Indigenous</t>
  </si>
  <si>
    <t>A person with a North America, Central America, South America and the Caribbean</t>
  </si>
  <si>
    <t>The Americas</t>
  </si>
  <si>
    <t xml:space="preserve">A person with a background from African region other than North Africa </t>
  </si>
  <si>
    <t>African</t>
  </si>
  <si>
    <t xml:space="preserve">A person with a background from North Africa (e.g. Egyptian, Turkish) or from countries such as Bahrain, Cyprus, Iran, Iraq, Israel, Jordan, Kuwait, Lebanon, Syria, Saudi </t>
  </si>
  <si>
    <t>Middle Eastern</t>
  </si>
  <si>
    <t>A person with a South East Asian (e.g. Vietnamese, Malaysian), North-East Asian (e.g. Chinese, Japanese, Korean), or Southern or Central Asian (e.g. Indian, Sri Lankan, Afghani) background</t>
  </si>
  <si>
    <t>A person with a European background other than Anglo-Celtic – including North-West European (e.g. German, French, Dutch) or Southern or Eastern European (e.g. Italian, Greek, Polish)</t>
  </si>
  <si>
    <t>European</t>
  </si>
  <si>
    <t>A person with a British or Irish (English, Scottish, Welsh or Irish) background</t>
  </si>
  <si>
    <t>Anglo Celtic</t>
  </si>
  <si>
    <t>A person with an Australian background</t>
  </si>
  <si>
    <t>Australian</t>
  </si>
  <si>
    <t>AUSTRALIA</t>
  </si>
  <si>
    <t xml:space="preserve">A person having a Middle Eastern or Arab background </t>
  </si>
  <si>
    <t>A person having Caribbean, African or any other black background</t>
  </si>
  <si>
    <t>Black/African/Caribbean/Black British</t>
  </si>
  <si>
    <t xml:space="preserve">A person having Indian, Pakistani, Bangladeshi, Chinese or other Asian origins </t>
  </si>
  <si>
    <t>Asian/Asian British</t>
  </si>
  <si>
    <t>A person having two or more backgrounds including White and Black Caribbean, White and Black African or any other Mixed / Multiple ethnic background</t>
  </si>
  <si>
    <t>Mixed/Multiple</t>
  </si>
  <si>
    <t>A person having Scottish, English, Welsh, Northern Irish, British, Irish Gypsy Traveler, or any other White background</t>
  </si>
  <si>
    <t>UNITED KINGDOM</t>
  </si>
  <si>
    <t xml:space="preserve"> Relating to people of many races</t>
  </si>
  <si>
    <t>A person who is North American Native Indians (Status or Non-Status), Inuit or Métis. These are three separate peoples with unique heritages, languages, cultural practices and spiritual beliefs</t>
  </si>
  <si>
    <t>Aboriginal</t>
  </si>
  <si>
    <t>A person having origins of the Levant, Mesopotamia, Anatolia, Iran, the Armenian Highlands, the South Caucasus, the Arabian peninsula as well as the Sinai Peninsula</t>
  </si>
  <si>
    <t>Arab/West Asian</t>
  </si>
  <si>
    <t xml:space="preserve">A person having origins in any of the original peoples of the Far East, Southeast Asia, or the Indian subcontinent including, for example, Cambodia, China, India, Japan, Korea, Malaysia, Pakistan, the Philippine Islands, Thailand, and Vietnam
</t>
  </si>
  <si>
    <t>A person having origins of  Argentina, Bolivia, Brazil, Chile, Colombia, Costa Rica, Cuba, Dominican Republic, Ecuador, El Salvador, Guatemala, Haiti, Honduras, Mexico, Nicaragua, Panama, Paraguay, Peru, Uruguay, and Venezuela. Puerto Rico, the French West Indies, and other islands of the West Indies may also be considered part of Latin America</t>
  </si>
  <si>
    <t>Latin American</t>
  </si>
  <si>
    <t>A person having origins of black African decent, Caribbean, or African American</t>
  </si>
  <si>
    <t>Black</t>
  </si>
  <si>
    <t>A person having origins in any of the original peoples of Europe, the Middle East, or North Africa</t>
  </si>
  <si>
    <t>CANADA</t>
  </si>
  <si>
    <t>A person having origins that include two or more of the categories above</t>
  </si>
  <si>
    <t>A person having origins in any of the original peoples of North and South America (including Central America), and who maintains tribal affiliation or community attachment</t>
  </si>
  <si>
    <t>American Indian or Alaskan Native</t>
  </si>
  <si>
    <t>A person having origins in any of the original peoples of Hawaii, Guam, Samoa, or other Pacific Islands</t>
  </si>
  <si>
    <t>Hawaiian or Pacific Islander</t>
  </si>
  <si>
    <t>A person having origins in any of the original peoples of the Far East, Southeast Asia, or the Indian subcontinent including, for example, Cambodia, China, India, Japan, Korea, Malaysia, Pakistan, the Philippine Islands, Thailand, and Vietnam</t>
  </si>
  <si>
    <t>A person of Cuban, Mexican, Puerto Rican, South or Central American, or other Spanish culture or origin, regardless of race</t>
  </si>
  <si>
    <t>A person having origins in any of the black racial groups of Africa</t>
  </si>
  <si>
    <t>Black or African American</t>
  </si>
  <si>
    <t>UNITED STATES</t>
  </si>
  <si>
    <t>RACE/ETHNIC CATEGORY DESCRIPTIONS</t>
  </si>
  <si>
    <t>Does the Firm have a formal mentorship, sponsorship or employer affinity program for women and/or minorities?</t>
  </si>
  <si>
    <t>Have there been any claims of sexual or general harassment, misconduct, or discrimination against any current or former Firm employees (while employed by the Firm) within the last 5 years?</t>
  </si>
  <si>
    <t>Does firm conduct gender &amp; ethnicity pay gap studies? What policies are in play to ensure equal pay?</t>
  </si>
  <si>
    <t>Does the firm have a policy that addresses harassment, discrimination, and/or workplace violence? Are there procedures in place for reporting and investigating cases of policy violations?</t>
  </si>
  <si>
    <t>Does the firm have a family leave or parental leave policy? Please provide the details.</t>
  </si>
  <si>
    <t>Are employees trained on firm policies? How are policies enforced and employees educated on policies?</t>
  </si>
  <si>
    <t>Describe whistleblower mechanism and policies for non-retaliation</t>
  </si>
  <si>
    <t>Does the firm have a Chief Diversity Officer (or Equivalent)?</t>
  </si>
  <si>
    <t>Describe any DEI initiatives.</t>
  </si>
  <si>
    <t>Employee Wellbeing - Does the firm offer benefits that are family friendly and promote work-life balance (such as child care)?</t>
  </si>
  <si>
    <t>Does the firm engage with portfolio companies on ESG topics? What is the approach to engagement? If relevant, please provide an Engagement Report.</t>
  </si>
  <si>
    <t>Does the firm encourage portfolio companies to adopt ESG standards? Does the firm track ESG metrics for all portfolio companies? If yes, does the firm report these metrics to clients? What goals are in place to further ESG at the companies you invest in and how do you plan to measure progress?</t>
  </si>
  <si>
    <t>Board of Directors</t>
  </si>
  <si>
    <t>Partners</t>
  </si>
  <si>
    <t>Executives</t>
  </si>
  <si>
    <t>Leadership</t>
  </si>
  <si>
    <t>Portfolio Managers</t>
  </si>
  <si>
    <t>Analysts</t>
  </si>
  <si>
    <t>Operations &amp; Administrative Staff</t>
  </si>
  <si>
    <t>Operations Leadership</t>
  </si>
  <si>
    <t>Marketing/Investor Relations</t>
  </si>
  <si>
    <t>Finance/Accounting</t>
  </si>
  <si>
    <t>Legal/Compliance</t>
  </si>
  <si>
    <t>Administrative</t>
  </si>
  <si>
    <t>Other Operations</t>
  </si>
  <si>
    <t>Full Time</t>
  </si>
  <si>
    <t>Part Time</t>
  </si>
  <si>
    <t>Interns</t>
  </si>
  <si>
    <t>Other Part Time</t>
  </si>
  <si>
    <t>Veteran Status</t>
  </si>
  <si>
    <t>Total Part Time</t>
  </si>
  <si>
    <t>Total Full Time</t>
  </si>
  <si>
    <t>All Employees</t>
  </si>
  <si>
    <t>Employee Breakdown by Employee Type, Ethnicity, Gender, Veteran Status, Disability Status, and LGBTQ+ Identification</t>
  </si>
  <si>
    <t>Employee Diversity Matrix</t>
  </si>
  <si>
    <t>Ownership Data Matrix</t>
  </si>
  <si>
    <t>Retention, Turnover, and Promotion Matrix</t>
  </si>
  <si>
    <t>Firm Owners #</t>
  </si>
  <si>
    <t>Employees at Beginning of Year</t>
  </si>
  <si>
    <t>+ New Hires</t>
  </si>
  <si>
    <t>- Employees Terminated / Resigned</t>
  </si>
  <si>
    <t>Employees Retained</t>
  </si>
  <si>
    <t>Employees at End of Year</t>
  </si>
  <si>
    <t>Employees Promoted*</t>
  </si>
  <si>
    <t>% Employees Were Terminated / Resigned</t>
  </si>
  <si>
    <t>% Employees Retained</t>
  </si>
  <si>
    <t>% Employees Were Promoted</t>
  </si>
  <si>
    <t>Net Employment Creation</t>
  </si>
  <si>
    <t>DEI</t>
  </si>
  <si>
    <t>Engagement</t>
  </si>
  <si>
    <t>Employee Wellness</t>
  </si>
  <si>
    <t>Community Involvement</t>
  </si>
  <si>
    <t>Firm Structure</t>
  </si>
  <si>
    <t>Diversity and Inclusion Questionnaire Responses</t>
  </si>
  <si>
    <t>Yes. Please see Sections I-D, III-A, III-C of the Employee Handbook provided.</t>
  </si>
  <si>
    <t xml:space="preserve">Per section I-D of the EnCap Employee Handbook: EnCap is an equal opportunity employer and maintains a policy of non-discrimination with respect to all Employees and applicants for employment.  All work-related decisions, such as recruitment, hiring, training, promotion, transfer, layoff, recall, compensation and benefits, discipline, and termination of employment, and educational, recreational, and social programs, are made and administered without regard to race, color, sex (including pregnancy), religion, national origin, citizenship status, age, physical or mental disability of an otherwise qualified individual, genetic information, membership or application for membership in a uniformed service, veteran status, protected activity as defined by applicable law, or other category or characteristic protected by federal, state, or local law or ordinance.  Work-related decisions, subject to the legitimate business requirements of EnCap, are based solely on an individual’s qualifications, merit, and performance.  No person is authorized to act in a manner contrary to this commitment to equal employment opportunity.  </t>
  </si>
  <si>
    <t>We have had one harassment complaint over the last 5 years.  This incident was investigated by outside counsel and as a result the employee went through sensitivity training, is no longer in a supervisory role over the complainant and was moved to a different office as to not be in close proximity.  The complainant was satisfied with this outcome and there have been no further issues.</t>
  </si>
  <si>
    <t>Please see Section IV-L of the EnCap Employee Handbook.</t>
  </si>
  <si>
    <t>Please see section I-D of the EnCap Employee Handbook.</t>
  </si>
  <si>
    <t>EnCap's Employee Handbook and Compliance Manual are updated biannually and employees provide signed acknowledgments of those changes.</t>
  </si>
  <si>
    <t>We believe that to whom much is given, much is expected.  We express this philosophy by giving back in the form of donating through our Charitable Contribution &amp; Sponsorship Program, which is a dollar for dollar matching program and volunteering with organizations via our EnCap Engage program. Many of our employees are also involved in charities beyond our corporate programs.</t>
  </si>
  <si>
    <t>Not currently.</t>
  </si>
  <si>
    <t>We believe that diversity and inclusion can contribute to improved performance and try to foster an environment in which diversity can flourish. We recognize that genuine value is added to an organization when thoughts are shared among individuals with varying perspectives in an effort to generate better ideas. It is a responsibility shared by eveyone at EnCap to foster an inclusive and respectful work environment. We recently began offering DEI training to EnCap employees.</t>
  </si>
  <si>
    <t>EnCap offers a range of benefits aimed at supporting our employees, including a retirement savings program, fitness program, flexible spending accounts, flexible work arrangements, and parental leave to care for a newborn child or placement of child for adoption or foster care for up to 16 work-weeks.</t>
  </si>
  <si>
    <t>Yes, ESG is discussed quarterly with portfolio companies at board meetings. Please reference our annual sustainability report for more information.</t>
  </si>
  <si>
    <t>Please reference our sustainability report for detailed information on ESG at our portfolio companies.</t>
  </si>
  <si>
    <t>% of Firm Owners</t>
  </si>
  <si>
    <t>EnCap has 13 Partners and not one Partner owns more than 20%</t>
  </si>
  <si>
    <t>Retention, Turnover, and Promotion by Ethnicity, Gender, Veteran Status</t>
  </si>
  <si>
    <t>Owner Breakdown by Ethnicity, Gender, Veteran Status</t>
  </si>
  <si>
    <t>Employee Breakdown by Employee Type, Ethnicity, Gender, Veteran Status</t>
  </si>
  <si>
    <t xml:space="preserve">EnCap Transition Fund GP is owned 55% by EnCap and 45% by Transition Fund management team.  </t>
  </si>
  <si>
    <t>The diversity break down for the Transition Fund GP is 25% Female and 75% 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</si>
</sst>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Arial"/>
      <family val="2"/>
    </font>
    <font>
      <b/>
      <sz val="10"/>
      <color theme="1"/>
      <name val="Arial"/>
      <family val="2"/>
    </font>
    <font>
      <sz val="10"/>
      <color rgb="FF333333"/>
      <name val="Arial"/>
      <family val="2"/>
    </font>
    <font>
      <b/>
      <sz val="14"/>
      <color theme="1"/>
      <name val="Arial"/>
      <family val="2"/>
    </font>
    <font>
      <b/>
      <sz val="11"/>
      <color theme="1"/>
      <name val="Calibri"/>
      <family val="2"/>
      <scheme val="minor"/>
    </font>
    <font>
      <i/>
      <sz val="11"/>
      <color theme="1"/>
      <name val="Calibri"/>
      <family val="2"/>
      <scheme val="minor"/>
    </font>
    <font>
      <sz val="10"/>
      <color theme="1"/>
      <name val="Neue Haas Grotesk Text Pro"/>
      <family val="2"/>
    </font>
    <font>
      <b/>
      <sz val="10"/>
      <color theme="1"/>
      <name val="Neue Haas Grotesk Text Pro"/>
      <family val="2"/>
    </font>
    <font>
      <i/>
      <sz val="9"/>
      <color theme="1"/>
      <name val="Neue Haas Grotesk Text Pro"/>
      <family val="2"/>
    </font>
    <font>
      <sz val="14"/>
      <color theme="0"/>
      <name val="Neue Haas Grotesk Text Pro"/>
      <family val="2"/>
    </font>
    <font>
      <sz val="10"/>
      <name val="Neue Haas Grotesk Text Pro"/>
      <family val="2"/>
    </font>
  </fonts>
  <fills count="8">
    <fill>
      <patternFill patternType="none"/>
    </fill>
    <fill>
      <patternFill patternType="gray125"/>
    </fill>
    <fill>
      <patternFill patternType="solid">
        <fgColor theme="0" tint="-0.24997000396251678"/>
        <bgColor indexed="64"/>
      </patternFill>
    </fill>
    <fill>
      <patternFill patternType="solid">
        <fgColor theme="4" tint="0.5999900102615356"/>
        <bgColor indexed="64"/>
      </patternFill>
    </fill>
    <fill>
      <patternFill patternType="solid">
        <fgColor theme="0"/>
        <bgColor indexed="64"/>
      </patternFill>
    </fill>
    <fill>
      <patternFill patternType="solid">
        <fgColor theme="0" tint="-0.3499799966812134"/>
        <bgColor indexed="64"/>
      </patternFill>
    </fill>
    <fill>
      <patternFill patternType="solid">
        <fgColor theme="4" tint="-0.4999699890613556"/>
        <bgColor indexed="64"/>
      </patternFill>
    </fill>
    <fill>
      <patternFill patternType="solid">
        <fgColor theme="0" tint="-0.04997999966144562"/>
        <bgColor indexed="64"/>
      </patternFill>
    </fill>
  </fills>
  <borders count="5">
    <border>
      <left/>
      <right/>
      <top/>
      <bottom/>
      <diagonal/>
    </border>
    <border>
      <left/>
      <right/>
      <top/>
      <bottom style="thin">
        <color auto="1"/>
      </bottom>
    </border>
    <border>
      <left/>
      <right/>
      <top/>
      <bottom style="medium">
        <color auto="1"/>
      </bottom>
    </border>
    <border>
      <left/>
      <right/>
      <top/>
      <bottom style="double">
        <color auto="1"/>
      </bottom>
    </border>
    <border>
      <left/>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84">
    <xf numFmtId="0" fontId="0" fillId="0" borderId="0" xfId="0"/>
    <xf numFmtId="0" fontId="1" fillId="2" borderId="0" xfId="0" applyFont="1" applyFill="1" applyAlignment="1">
      <alignment wrapText="1"/>
    </xf>
    <xf numFmtId="0" fontId="1" fillId="2" borderId="0" xfId="0" applyFont="1" applyFill="1"/>
    <xf numFmtId="0" fontId="1" fillId="3" borderId="0" xfId="0" applyFont="1" applyFill="1" applyAlignment="1">
      <alignment wrapText="1"/>
    </xf>
    <xf numFmtId="0" fontId="1" fillId="3" borderId="0" xfId="0" applyFont="1" applyFill="1"/>
    <xf numFmtId="0" fontId="1" fillId="0" borderId="0" xfId="0" applyFont="1"/>
    <xf numFmtId="0" fontId="2" fillId="0" borderId="0" xfId="0" applyFont="1"/>
    <xf numFmtId="0" fontId="3" fillId="3" borderId="0" xfId="0" applyFont="1" applyFill="1" applyAlignment="1">
      <alignment horizontal="left" vertical="center" wrapText="1"/>
    </xf>
    <xf numFmtId="0" fontId="3" fillId="2" borderId="0" xfId="0" applyFont="1" applyFill="1" applyAlignment="1">
      <alignment horizontal="left" vertical="center" wrapText="1"/>
    </xf>
    <xf numFmtId="0" fontId="4" fillId="0" borderId="0" xfId="0" applyFont="1"/>
    <xf numFmtId="0" fontId="0" fillId="0" borderId="0" xfId="0" applyAlignment="1">
      <alignment vertical="center"/>
    </xf>
    <xf numFmtId="0" fontId="0" fillId="0" borderId="0" xfId="0" applyAlignment="1">
      <alignment vertical="center" wrapText="1"/>
    </xf>
    <xf numFmtId="0" fontId="0" fillId="4" borderId="0" xfId="0" applyFill="1"/>
    <xf numFmtId="0" fontId="0" fillId="4" borderId="1" xfId="0" applyFill="1" applyBorder="1"/>
    <xf numFmtId="0" fontId="0" fillId="4" borderId="2" xfId="0" applyFill="1" applyBorder="1"/>
    <xf numFmtId="0" fontId="0" fillId="4" borderId="3" xfId="0" applyFill="1" applyBorder="1"/>
    <xf numFmtId="0" fontId="5" fillId="4" borderId="2" xfId="0" applyFont="1" applyFill="1" applyBorder="1"/>
    <xf numFmtId="0" fontId="5" fillId="4" borderId="1" xfId="0" applyFont="1" applyFill="1" applyBorder="1"/>
    <xf numFmtId="0" fontId="5" fillId="4" borderId="0" xfId="0" applyFont="1" applyFill="1"/>
    <xf numFmtId="0" fontId="0" fillId="0" borderId="3" xfId="0" applyBorder="1"/>
    <xf numFmtId="0" fontId="7" fillId="4" borderId="0" xfId="0" applyFont="1" applyFill="1" applyAlignment="1">
      <alignment vertical="center" wrapText="1"/>
    </xf>
    <xf numFmtId="0" fontId="7" fillId="4" borderId="0" xfId="0" applyFont="1" applyFill="1"/>
    <xf numFmtId="0" fontId="7" fillId="5" borderId="4" xfId="0" applyFont="1" applyFill="1" applyBorder="1"/>
    <xf numFmtId="0" fontId="8" fillId="4" borderId="2" xfId="0" applyFont="1" applyFill="1" applyBorder="1"/>
    <xf numFmtId="0" fontId="7" fillId="4" borderId="2" xfId="0" applyFont="1" applyFill="1" applyBorder="1"/>
    <xf numFmtId="0" fontId="8" fillId="4" borderId="0" xfId="0" applyFont="1" applyFill="1"/>
    <xf numFmtId="0" fontId="8" fillId="4" borderId="1" xfId="0" applyFont="1" applyFill="1" applyBorder="1"/>
    <xf numFmtId="0" fontId="7" fillId="4" borderId="1" xfId="0" applyFont="1" applyFill="1" applyBorder="1"/>
    <xf numFmtId="0" fontId="7" fillId="4" borderId="3" xfId="0" applyFont="1" applyFill="1" applyBorder="1"/>
    <xf numFmtId="0" fontId="7" fillId="0" borderId="0" xfId="0" applyFont="1"/>
    <xf numFmtId="0" fontId="9" fillId="4" borderId="0" xfId="0" applyFont="1" applyFill="1" applyAlignment="1">
      <alignment horizontal="center"/>
    </xf>
    <xf numFmtId="0" fontId="10" fillId="6" borderId="0" xfId="0" applyFont="1" applyFill="1" applyAlignment="1">
      <alignment vertical="center"/>
    </xf>
    <xf numFmtId="0" fontId="9" fillId="4" borderId="0" xfId="0" applyFont="1" applyFill="1" applyAlignment="1">
      <alignment vertical="center"/>
    </xf>
    <xf numFmtId="0" fontId="9" fillId="4" borderId="0" xfId="0" applyFont="1" applyFill="1" applyAlignment="1">
      <alignment horizontal="center" vertical="center"/>
    </xf>
    <xf numFmtId="0" fontId="0" fillId="4" borderId="0" xfId="0" applyFill="1" applyAlignment="1">
      <alignment vertical="center"/>
    </xf>
    <xf numFmtId="0" fontId="7" fillId="5" borderId="4" xfId="0" applyFont="1" applyFill="1" applyBorder="1" applyAlignment="1">
      <alignment vertical="center"/>
    </xf>
    <xf numFmtId="0" fontId="8" fillId="4" borderId="2" xfId="0" applyFont="1" applyFill="1" applyBorder="1" applyAlignment="1">
      <alignment vertical="center"/>
    </xf>
    <xf numFmtId="0" fontId="7" fillId="4" borderId="2" xfId="0" applyFont="1" applyFill="1" applyBorder="1" applyAlignment="1">
      <alignment vertical="center"/>
    </xf>
    <xf numFmtId="9" fontId="7" fillId="4" borderId="2" xfId="15" applyFont="1" applyFill="1" applyBorder="1" applyAlignment="1">
      <alignment vertical="center"/>
    </xf>
    <xf numFmtId="0" fontId="8" fillId="4" borderId="0" xfId="0" applyFont="1" applyFill="1" applyAlignment="1">
      <alignment vertical="center"/>
    </xf>
    <xf numFmtId="0" fontId="8" fillId="4" borderId="1" xfId="0" applyFont="1" applyFill="1" applyBorder="1" applyAlignment="1">
      <alignment vertical="center"/>
    </xf>
    <xf numFmtId="0" fontId="7" fillId="4" borderId="1" xfId="0" applyFont="1" applyFill="1" applyBorder="1" applyAlignment="1">
      <alignment vertical="center"/>
    </xf>
    <xf numFmtId="9" fontId="7" fillId="4" borderId="1" xfId="15" applyFont="1" applyFill="1" applyBorder="1" applyAlignment="1">
      <alignment vertical="center"/>
    </xf>
    <xf numFmtId="0" fontId="5" fillId="4" borderId="0" xfId="0" applyFont="1" applyFill="1" applyAlignment="1">
      <alignment vertical="center"/>
    </xf>
    <xf numFmtId="0" fontId="5" fillId="4" borderId="1" xfId="0" applyFont="1" applyFill="1" applyBorder="1" applyAlignment="1">
      <alignment vertical="center"/>
    </xf>
    <xf numFmtId="9" fontId="0" fillId="4" borderId="1" xfId="15" applyFont="1" applyFill="1" applyBorder="1" applyAlignment="1">
      <alignment vertical="center"/>
    </xf>
    <xf numFmtId="0" fontId="5" fillId="4" borderId="2" xfId="0" applyFont="1" applyFill="1" applyBorder="1" applyAlignment="1">
      <alignment vertical="center"/>
    </xf>
    <xf numFmtId="0" fontId="0" fillId="4" borderId="2" xfId="0" applyFill="1" applyBorder="1" applyAlignment="1">
      <alignment vertical="center"/>
    </xf>
    <xf numFmtId="0" fontId="7" fillId="4" borderId="0" xfId="0" applyFont="1" applyFill="1" applyAlignment="1">
      <alignment vertical="center"/>
    </xf>
    <xf numFmtId="0" fontId="0" fillId="4" borderId="1" xfId="0" applyFill="1" applyBorder="1" applyAlignment="1">
      <alignment vertical="center"/>
    </xf>
    <xf numFmtId="0" fontId="0" fillId="4" borderId="4" xfId="0" applyFill="1" applyBorder="1" applyAlignment="1">
      <alignment vertical="center"/>
    </xf>
    <xf numFmtId="0" fontId="7" fillId="4" borderId="4" xfId="0" applyFont="1" applyFill="1" applyBorder="1"/>
    <xf numFmtId="9" fontId="7" fillId="4" borderId="4" xfId="15" applyFont="1" applyFill="1" applyBorder="1"/>
    <xf numFmtId="0" fontId="0" fillId="4" borderId="4" xfId="0" applyFill="1" applyBorder="1" applyAlignment="1" quotePrefix="1">
      <alignment vertical="center"/>
    </xf>
    <xf numFmtId="0" fontId="7" fillId="4" borderId="4" xfId="0" applyFont="1" applyFill="1" applyBorder="1" applyAlignment="1">
      <alignment vertical="center"/>
    </xf>
    <xf numFmtId="0" fontId="6" fillId="4" borderId="0" xfId="0" applyFont="1" applyFill="1" applyAlignment="1">
      <alignment vertical="center"/>
    </xf>
    <xf numFmtId="0" fontId="0" fillId="4" borderId="3" xfId="0" applyFill="1" applyBorder="1" applyAlignment="1">
      <alignment vertical="center"/>
    </xf>
    <xf numFmtId="0" fontId="0" fillId="4" borderId="3" xfId="0" applyFill="1" applyBorder="1" applyAlignment="1" quotePrefix="1">
      <alignment vertical="center"/>
    </xf>
    <xf numFmtId="0" fontId="7" fillId="4" borderId="3" xfId="0" applyFont="1" applyFill="1" applyBorder="1" applyAlignment="1">
      <alignment vertical="center"/>
    </xf>
    <xf numFmtId="9" fontId="0" fillId="4" borderId="0" xfId="15" applyFont="1" applyFill="1" applyAlignment="1">
      <alignment vertical="center"/>
    </xf>
    <xf numFmtId="0" fontId="5" fillId="4" borderId="1" xfId="0" applyFont="1" applyFill="1" applyBorder="1" applyAlignment="1">
      <alignment vertical="center" wrapText="1"/>
    </xf>
    <xf numFmtId="0" fontId="8" fillId="4" borderId="1" xfId="0" applyFont="1" applyFill="1" applyBorder="1" applyAlignment="1">
      <alignment vertical="center" wrapText="1"/>
    </xf>
    <xf numFmtId="0" fontId="7" fillId="4" borderId="0" xfId="0" applyFont="1" applyFill="1" applyAlignment="1">
      <alignment wrapText="1"/>
    </xf>
    <xf numFmtId="0" fontId="11" fillId="4" borderId="0" xfId="0" applyFont="1" applyFill="1"/>
    <xf numFmtId="0" fontId="11" fillId="0" borderId="4" xfId="0" applyFont="1" applyBorder="1"/>
    <xf numFmtId="0" fontId="11" fillId="4" borderId="0" xfId="0" applyFont="1" applyFill="1" applyAlignment="1">
      <alignment wrapText="1"/>
    </xf>
    <xf numFmtId="0" fontId="11" fillId="4" borderId="0" xfId="0" applyFont="1" applyFill="1" applyAlignment="1">
      <alignment vertical="center" wrapText="1"/>
    </xf>
    <xf numFmtId="9" fontId="7" fillId="0" borderId="4" xfId="15" applyFont="1" applyFill="1" applyBorder="1"/>
    <xf numFmtId="0" fontId="7" fillId="0" borderId="1" xfId="0" applyFont="1" applyBorder="1"/>
    <xf numFmtId="0" fontId="7" fillId="0" borderId="0" xfId="0" applyFont="1" applyAlignment="1">
      <alignment vertical="center" wrapText="1"/>
    </xf>
    <xf numFmtId="0" fontId="7" fillId="7" borderId="1" xfId="0" applyFont="1" applyFill="1" applyBorder="1" applyAlignment="1">
      <alignment vertical="center" wrapText="1"/>
    </xf>
    <xf numFmtId="0" fontId="10" fillId="6" borderId="0" xfId="0" applyFont="1" applyFill="1" applyAlignment="1">
      <alignment horizontal="left"/>
    </xf>
    <xf numFmtId="0" fontId="9" fillId="4" borderId="0" xfId="0" applyFont="1" applyFill="1" applyAlignment="1">
      <alignment horizontal="left"/>
    </xf>
    <xf numFmtId="0" fontId="7" fillId="0" borderId="0" xfId="0" applyFont="1" applyFill="1" applyBorder="1" applyAlignment="1">
      <alignment vertical="center" wrapText="1"/>
    </xf>
    <xf numFmtId="0" fontId="7" fillId="0" borderId="0" xfId="0" applyFont="1" applyFill="1" applyBorder="1" applyAlignment="1">
      <alignment vertical="center"/>
    </xf>
    <xf numFmtId="9" fontId="7" fillId="0" borderId="0" xfId="15" applyFont="1" applyFill="1" applyBorder="1" applyAlignment="1">
      <alignment vertical="center"/>
    </xf>
    <xf numFmtId="9" fontId="0" fillId="0" borderId="0" xfId="15" applyFont="1" applyFill="1" applyBorder="1" applyAlignment="1">
      <alignment vertical="center"/>
    </xf>
    <xf numFmtId="0" fontId="7" fillId="0" borderId="0" xfId="0" applyFont="1" applyFill="1" applyBorder="1"/>
    <xf numFmtId="9" fontId="7" fillId="0" borderId="0" xfId="15" applyFont="1" applyFill="1" applyBorder="1"/>
    <xf numFmtId="0" fontId="0" fillId="0" borderId="0" xfId="0" applyFill="1" applyBorder="1" applyAlignment="1">
      <alignment vertical="center"/>
    </xf>
    <xf numFmtId="0" fontId="10" fillId="0" borderId="0" xfId="0" applyFont="1" applyFill="1" applyAlignment="1">
      <alignment vertical="center"/>
    </xf>
    <xf numFmtId="0" fontId="10" fillId="6" borderId="0" xfId="0" applyFont="1" applyFill="1" applyAlignment="1">
      <alignment/>
    </xf>
    <xf numFmtId="0" fontId="10" fillId="0" borderId="0" xfId="0" applyFont="1" applyFill="1" applyAlignment="1">
      <alignment/>
    </xf>
    <xf numFmtId="0" fontId="9" fillId="4" borderId="0" xfId="0" applyFont="1" applyFill="1" applyAlignment="1">
      <alignmen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23">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1" Type="http://schemas.openxmlformats.org/officeDocument/2006/relationships/customXml" Target="../customXml/item2.xml" /><Relationship Id="rId10" Type="http://schemas.openxmlformats.org/officeDocument/2006/relationships/customXml" Target="../customXml/item1.xml" /><Relationship Id="rId13" Type="http://schemas.openxmlformats.org/officeDocument/2006/relationships/calcChain" Target="calcChain.xml" /><Relationship Id="rId12" Type="http://schemas.openxmlformats.org/officeDocument/2006/relationships/customXml" Target="../customXml/item3.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9" Type="http://schemas.openxmlformats.org/officeDocument/2006/relationships/sharedStrings" Target="sharedStrings.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drawings/_rels/vmlDrawing1.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2.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3.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4.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5.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6.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theme/theme1.xml><?xml version="1.0" encoding="utf-8"?>
<a:theme xmlns:a="http://schemas.openxmlformats.org/drawingml/2006/main" name="Office Theme">
  <a:themeElements>
    <a:clrScheme name="Custom 2">
      <a:dk1>
        <a:sysClr val="windowText" lastClr="000000"/>
      </a:dk1>
      <a:lt1>
        <a:sysClr val="window" lastClr="FFFFFF"/>
      </a:lt1>
      <a:dk2>
        <a:srgbClr val="3F4145"/>
      </a:dk2>
      <a:lt2>
        <a:srgbClr val="A7A7A7"/>
      </a:lt2>
      <a:accent1>
        <a:srgbClr val="004CBA"/>
      </a:accent1>
      <a:accent2>
        <a:srgbClr val="FF6C06"/>
      </a:accent2>
      <a:accent3>
        <a:srgbClr val="FFB703"/>
      </a:accent3>
      <a:accent4>
        <a:srgbClr val="00AA65"/>
      </a:accent4>
      <a:accent5>
        <a:srgbClr val="26B2DD"/>
      </a:accent5>
      <a:accent6>
        <a:srgbClr val="A7A7A7"/>
      </a:accent6>
      <a:hlink>
        <a:srgbClr val="004CBA"/>
      </a:hlink>
      <a:folHlink>
        <a:srgbClr val="004CB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vmlDrawing" Target="../drawings/vmlDrawing1.vml" /><Relationship Id="rId2"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vmlDrawing" Target="../drawings/vmlDrawing2.vml" /><Relationship Id="rId2"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3.vml" /><Relationship Id="rId2"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4.vml" /><Relationship Id="rId2"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vmlDrawing" Target="../drawings/vmlDrawing5.vml" /><Relationship Id="rId2"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19C046-FF38-47CE-B991-633AB92F5D9F}">
  <sheetPr>
    <tabColor theme="7"/>
  </sheetPr>
  <dimension ref="A1:Y23"/>
  <sheetViews>
    <sheetView tabSelected="1" view="pageLayout" zoomScaleNormal="90" zoomScaleSheetLayoutView="115" workbookViewId="0" topLeftCell="A1"/>
  </sheetViews>
  <sheetFormatPr defaultRowHeight="45" customHeight="1"/>
  <cols>
    <col min="1" max="1" width="2.7142857142857144" customWidth="1"/>
    <col min="2" max="2" width="101.85714285714286" style="11" customWidth="1"/>
    <col min="3" max="3" width="77.28571428571429" customWidth="1"/>
  </cols>
  <sheetData>
    <row r="1" spans="1:25" s="10" customFormat="1" ht="18.75">
      <c r="A1" s="31" t="s">
        <v>112</v>
      </c>
      <c r="B1" s="31"/>
      <c r="C1" s="31"/>
      <c r="D1" s="31"/>
      <c r="E1" s="31"/>
      <c r="F1" s="31"/>
      <c r="G1" s="31"/>
      <c r="H1" s="31"/>
      <c r="I1" s="31"/>
      <c r="J1" s="31"/>
      <c r="K1" s="31"/>
      <c r="L1" s="31"/>
      <c r="M1" s="31"/>
      <c r="N1" s="31"/>
      <c r="O1" s="31"/>
      <c r="P1" s="31"/>
      <c r="Q1" s="31"/>
      <c r="R1" s="31"/>
      <c r="S1" s="31"/>
      <c r="T1" s="31"/>
      <c r="U1" s="31"/>
      <c r="V1" s="31"/>
      <c r="W1" s="31"/>
      <c r="X1" s="31"/>
      <c r="Y1" s="31"/>
    </row>
    <row r="2" spans="1:25" s="10" customFormat="1" ht="15">
      <c r="A2" s="32"/>
      <c r="B2" s="32"/>
      <c r="C2" s="32"/>
      <c r="D2" s="32"/>
      <c r="E2" s="32"/>
      <c r="F2" s="32"/>
      <c r="G2" s="32"/>
      <c r="H2" s="32"/>
      <c r="I2" s="32"/>
      <c r="J2" s="32"/>
      <c r="K2" s="32"/>
      <c r="L2" s="32"/>
      <c r="M2" s="32"/>
      <c r="N2" s="32"/>
      <c r="O2" s="32"/>
      <c r="P2" s="32"/>
      <c r="Q2" s="32"/>
      <c r="R2" s="32"/>
      <c r="S2" s="32"/>
      <c r="T2" s="32"/>
      <c r="U2" s="32"/>
      <c r="V2" s="32"/>
      <c r="W2" s="32"/>
      <c r="X2" s="32"/>
      <c r="Y2" s="32"/>
    </row>
    <row r="3" spans="1:3" ht="45" customHeight="1">
      <c r="A3" s="26" t="s">
        <v>110</v>
      </c>
      <c r="B3" s="61"/>
      <c r="C3" s="26"/>
    </row>
    <row r="4" spans="1:3" ht="64.5">
      <c r="A4" s="21"/>
      <c r="B4" s="20" t="s">
        <v>7</v>
      </c>
      <c r="C4" s="62" t="s">
        <v>119</v>
      </c>
    </row>
    <row r="5" spans="1:3" ht="45" customHeight="1">
      <c r="A5" s="26" t="s">
        <v>107</v>
      </c>
      <c r="B5" s="61"/>
      <c r="C5" s="26"/>
    </row>
    <row r="6" spans="1:3" ht="77.25">
      <c r="A6" s="21"/>
      <c r="B6" s="20" t="s">
        <v>67</v>
      </c>
      <c r="C6" s="65" t="s">
        <v>121</v>
      </c>
    </row>
    <row r="7" spans="1:3" ht="25.5">
      <c r="A7" s="21"/>
      <c r="B7" s="20" t="s">
        <v>62</v>
      </c>
      <c r="C7" s="62" t="s">
        <v>113</v>
      </c>
    </row>
    <row r="8" spans="1:3" ht="179.25">
      <c r="A8" s="21"/>
      <c r="B8" s="20" t="s">
        <v>61</v>
      </c>
      <c r="C8" s="62" t="s">
        <v>114</v>
      </c>
    </row>
    <row r="9" spans="1:3" ht="63.75">
      <c r="A9" s="21"/>
      <c r="B9" s="20" t="s">
        <v>60</v>
      </c>
      <c r="C9" s="69" t="s">
        <v>115</v>
      </c>
    </row>
    <row r="10" spans="1:3" ht="45" customHeight="1">
      <c r="A10" s="26" t="s">
        <v>109</v>
      </c>
      <c r="B10" s="61"/>
      <c r="C10" s="26"/>
    </row>
    <row r="11" spans="1:3" ht="15">
      <c r="A11" s="21"/>
      <c r="B11" s="20" t="s">
        <v>63</v>
      </c>
      <c r="C11" s="21" t="s">
        <v>116</v>
      </c>
    </row>
    <row r="12" spans="1:3" ht="51.75">
      <c r="A12" s="21"/>
      <c r="B12" s="20" t="s">
        <v>68</v>
      </c>
      <c r="C12" s="65" t="s">
        <v>122</v>
      </c>
    </row>
    <row r="13" spans="1:3" ht="25.5">
      <c r="A13" s="21"/>
      <c r="B13" s="20" t="s">
        <v>59</v>
      </c>
      <c r="C13" s="63" t="s">
        <v>120</v>
      </c>
    </row>
    <row r="14" spans="1:3" ht="45" customHeight="1">
      <c r="A14" s="26" t="s">
        <v>108</v>
      </c>
      <c r="B14" s="61"/>
      <c r="C14" s="68"/>
    </row>
    <row r="15" spans="1:3" ht="45" customHeight="1">
      <c r="A15" s="21"/>
      <c r="B15" s="20" t="s">
        <v>69</v>
      </c>
      <c r="C15" s="66" t="s">
        <v>123</v>
      </c>
    </row>
    <row r="16" spans="1:3" ht="58.9" customHeight="1">
      <c r="A16" s="21"/>
      <c r="B16" s="20" t="s">
        <v>70</v>
      </c>
      <c r="C16" s="66" t="s">
        <v>124</v>
      </c>
    </row>
    <row r="17" spans="1:3" ht="45" customHeight="1">
      <c r="A17" s="26" t="s">
        <v>111</v>
      </c>
      <c r="B17" s="61"/>
      <c r="C17" s="26"/>
    </row>
    <row r="18" spans="1:3" ht="45" customHeight="1">
      <c r="A18" s="21"/>
      <c r="B18" s="20" t="s">
        <v>66</v>
      </c>
      <c r="C18" s="62" t="s">
        <v>120</v>
      </c>
    </row>
    <row r="19" spans="1:3" ht="45" customHeight="1">
      <c r="A19" s="21"/>
      <c r="B19" s="20" t="s">
        <v>65</v>
      </c>
      <c r="C19" s="62" t="s">
        <v>117</v>
      </c>
    </row>
    <row r="20" spans="1:3" ht="45" customHeight="1">
      <c r="A20" s="21"/>
      <c r="B20" s="20" t="s">
        <v>64</v>
      </c>
      <c r="C20" s="62" t="s">
        <v>118</v>
      </c>
    </row>
    <row r="22" spans="3:3" ht="45" customHeight="1">
      <c r="C22" s="21"/>
    </row>
    <row r="23" spans="1:3" ht="45" customHeight="1">
      <c r="A23" s="17"/>
      <c r="B23" s="60"/>
      <c r="C23" s="17"/>
    </row>
  </sheetData>
  <sortState ref="A3:B21">
    <sortCondition sortBy="value" ref="A3:A21"/>
  </sortState>
  <conditionalFormatting sqref="C6:C9 C15:C16 C18:C20 C22">
    <cfRule type="cellIs" priority="9" dxfId="22" operator="equal">
      <formula>""</formula>
    </cfRule>
  </conditionalFormatting>
  <conditionalFormatting sqref="C4">
    <cfRule type="cellIs" priority="7" dxfId="22" operator="equal">
      <formula>""</formula>
    </cfRule>
  </conditionalFormatting>
  <conditionalFormatting sqref="C11:C13">
    <cfRule type="cellIs" priority="6" dxfId="22" operator="equal">
      <formula>""</formula>
    </cfRule>
  </conditionalFormatting>
  <conditionalFormatting sqref="C18">
    <cfRule type="cellIs" priority="2" dxfId="22" operator="equal">
      <formula>""</formula>
    </cfRule>
  </conditionalFormatting>
  <pageMargins left="0.25" right="0.25" top="0.75" bottom="0.75" header="0.3" footer="0.3"/>
  <pageSetup orientation="portrait" paperSize="1" scale="55" r:id="rId2"/>
  <headerFooter>
    <oddHeader>&amp;C&amp;G</oddHeader>
    <oddFooter>&amp;C&amp;G</oddFooter>
  </headerFooter>
  <rowBreaks count="1" manualBreakCount="1">
    <brk id="16" max="2" man="1"/>
  </rowBreaks>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E01848-37F0-41BC-A341-E9AC77574EEE}">
  <sheetPr>
    <tabColor theme="8"/>
  </sheetPr>
  <dimension ref="A1:Y16"/>
  <sheetViews>
    <sheetView showGridLines="0" view="pageLayout" zoomScaleNormal="100" zoomScaleSheetLayoutView="100" workbookViewId="0" topLeftCell="A1">
      <selection pane="topLeft" activeCell="H14" sqref="H14"/>
    </sheetView>
  </sheetViews>
  <sheetFormatPr defaultColWidth="8.714285714285714" defaultRowHeight="15"/>
  <cols>
    <col min="1" max="1" width="3.5714285714285716" style="10" customWidth="1"/>
    <col min="2" max="2" width="33.142857142857146" style="10" customWidth="1"/>
    <col min="3" max="3" width="7" style="10" bestFit="1" customWidth="1"/>
    <col min="4" max="4" width="5.571428571428571" style="10" bestFit="1" customWidth="1"/>
    <col min="5" max="5" width="8.714285714285714" style="10"/>
    <col min="6" max="6" width="4.857142857142857" style="10" bestFit="1" customWidth="1"/>
    <col min="7" max="7" width="7" style="10" bestFit="1" customWidth="1"/>
    <col min="8" max="8" width="6.285714285714286" style="10" customWidth="1"/>
    <col min="9" max="9" width="7" style="10" bestFit="1" customWidth="1"/>
    <col min="10" max="10" width="6.428571428571429" style="10" customWidth="1"/>
    <col min="11" max="11" width="8.714285714285714" style="10"/>
    <col min="12" max="12" width="4.857142857142857" style="10" bestFit="1" customWidth="1"/>
    <col min="13" max="13" width="8.714285714285714" style="10"/>
    <col min="14" max="14" width="4.857142857142857" style="10" bestFit="1" customWidth="1"/>
    <col min="15" max="15" width="7" style="10" bestFit="1" customWidth="1"/>
    <col min="16" max="16" width="4.857142857142857" style="10" bestFit="1" customWidth="1"/>
    <col min="17" max="17" width="7" style="10" bestFit="1" customWidth="1"/>
    <col min="18" max="18" width="4.857142857142857" style="10" bestFit="1" customWidth="1"/>
    <col min="19" max="19" width="7" style="10" bestFit="1" customWidth="1"/>
    <col min="20" max="20" width="6.857142857142857" style="10" customWidth="1"/>
    <col min="21" max="21" width="7" style="10" bestFit="1" customWidth="1"/>
    <col min="22" max="22" width="4.857142857142857" style="10" bestFit="1" customWidth="1"/>
    <col min="23" max="23" width="7" style="10" bestFit="1" customWidth="1"/>
    <col min="24" max="24" width="4.857142857142857" style="10" bestFit="1" customWidth="1"/>
    <col min="25" max="16384" width="8.714285714285714" style="10"/>
  </cols>
  <sheetData>
    <row r="1" spans="1:24" ht="18.75">
      <c r="A1" s="31" t="s">
        <v>95</v>
      </c>
      <c r="B1" s="31"/>
      <c r="C1" s="31"/>
      <c r="D1" s="31"/>
      <c r="E1" s="31"/>
      <c r="F1" s="31"/>
      <c r="G1" s="31"/>
      <c r="H1" s="31"/>
      <c r="I1" s="31"/>
      <c r="J1" s="31"/>
      <c r="K1" s="31"/>
      <c r="L1" s="31"/>
      <c r="M1" s="31"/>
      <c r="N1" s="31"/>
      <c r="O1" s="31"/>
      <c r="P1" s="31"/>
      <c r="Q1" s="31"/>
      <c r="R1" s="31"/>
      <c r="S1" s="31"/>
      <c r="T1" s="31"/>
      <c r="U1" s="80"/>
      <c r="V1" s="80"/>
      <c r="W1" s="80"/>
      <c r="X1" s="80"/>
    </row>
    <row r="2" spans="1:24" ht="15">
      <c r="A2" s="32" t="s">
        <v>127</v>
      </c>
      <c r="B2" s="32"/>
      <c r="C2" s="32"/>
      <c r="D2" s="32"/>
      <c r="E2" s="32"/>
      <c r="F2" s="32"/>
      <c r="G2" s="32"/>
      <c r="H2" s="32"/>
      <c r="I2" s="32"/>
      <c r="J2" s="32"/>
      <c r="K2" s="32"/>
      <c r="L2" s="32"/>
      <c r="M2" s="32"/>
      <c r="N2" s="32"/>
      <c r="O2" s="32"/>
      <c r="P2" s="32"/>
      <c r="Q2" s="32"/>
      <c r="R2" s="32"/>
      <c r="S2" s="32"/>
      <c r="T2" s="32"/>
      <c r="U2" s="32"/>
      <c r="V2" s="32"/>
      <c r="W2" s="32"/>
      <c r="X2" s="32"/>
    </row>
    <row r="3" spans="1:24" ht="15">
      <c r="A3" s="33"/>
      <c r="B3" s="33"/>
      <c r="C3" s="33"/>
      <c r="D3" s="33"/>
      <c r="E3" s="33"/>
      <c r="F3" s="33"/>
      <c r="G3" s="33"/>
      <c r="H3" s="33"/>
      <c r="I3" s="33"/>
      <c r="J3" s="33"/>
      <c r="K3" s="33"/>
      <c r="L3" s="33"/>
      <c r="M3" s="33"/>
      <c r="N3" s="33"/>
      <c r="O3" s="33"/>
      <c r="P3" s="33"/>
      <c r="Q3" s="33"/>
      <c r="R3" s="33"/>
      <c r="S3" s="33"/>
      <c r="T3" s="33"/>
      <c r="U3" s="33"/>
      <c r="V3" s="33"/>
      <c r="W3" s="33"/>
      <c r="X3" s="33"/>
    </row>
    <row r="4" spans="1:24" s="11" customFormat="1" ht="46.9" customHeight="1">
      <c r="A4" s="20"/>
      <c r="B4" s="20"/>
      <c r="C4" s="70" t="s">
        <v>1</v>
      </c>
      <c r="D4" s="70"/>
      <c r="E4" s="70" t="s">
        <v>56</v>
      </c>
      <c r="F4" s="70"/>
      <c r="G4" s="70" t="s">
        <v>4</v>
      </c>
      <c r="H4" s="70"/>
      <c r="I4" s="70" t="s">
        <v>2</v>
      </c>
      <c r="J4" s="70"/>
      <c r="K4" s="70" t="s">
        <v>52</v>
      </c>
      <c r="L4" s="70"/>
      <c r="M4" s="70" t="s">
        <v>50</v>
      </c>
      <c r="N4" s="70"/>
      <c r="O4" s="70" t="s">
        <v>3</v>
      </c>
      <c r="P4" s="70"/>
      <c r="Q4" s="70" t="s">
        <v>9</v>
      </c>
      <c r="R4" s="70"/>
      <c r="S4" s="70" t="s">
        <v>88</v>
      </c>
      <c r="T4" s="70"/>
      <c r="U4" s="73"/>
      <c r="V4" s="73"/>
      <c r="W4" s="73"/>
      <c r="X4" s="73"/>
    </row>
    <row r="5" spans="1:25" ht="20.25" customHeight="1">
      <c r="A5" s="48"/>
      <c r="B5" s="48"/>
      <c r="C5" s="35" t="s">
        <v>6</v>
      </c>
      <c r="D5" s="35" t="s">
        <v>0</v>
      </c>
      <c r="E5" s="35" t="s">
        <v>6</v>
      </c>
      <c r="F5" s="35" t="s">
        <v>0</v>
      </c>
      <c r="G5" s="35" t="s">
        <v>6</v>
      </c>
      <c r="H5" s="35" t="s">
        <v>0</v>
      </c>
      <c r="I5" s="35" t="s">
        <v>6</v>
      </c>
      <c r="J5" s="35" t="s">
        <v>0</v>
      </c>
      <c r="K5" s="35" t="s">
        <v>6</v>
      </c>
      <c r="L5" s="35" t="s">
        <v>0</v>
      </c>
      <c r="M5" s="35" t="s">
        <v>6</v>
      </c>
      <c r="N5" s="35" t="s">
        <v>0</v>
      </c>
      <c r="O5" s="35" t="s">
        <v>6</v>
      </c>
      <c r="P5" s="35" t="s">
        <v>0</v>
      </c>
      <c r="Q5" s="35" t="s">
        <v>6</v>
      </c>
      <c r="R5" s="35" t="s">
        <v>0</v>
      </c>
      <c r="S5" s="35" t="s">
        <v>6</v>
      </c>
      <c r="T5" s="35" t="s">
        <v>0</v>
      </c>
      <c r="U5" s="74"/>
      <c r="V5" s="74"/>
      <c r="W5" s="74"/>
      <c r="X5" s="74"/>
      <c r="Y5" s="79"/>
    </row>
    <row r="6" spans="1:25" ht="20.25" customHeight="1">
      <c r="A6" s="44" t="s">
        <v>97</v>
      </c>
      <c r="B6" s="44"/>
      <c r="C6" s="48">
        <v>13</v>
      </c>
      <c r="D6" s="48">
        <v>38</v>
      </c>
      <c r="E6" s="48">
        <v>2</v>
      </c>
      <c r="F6" s="48"/>
      <c r="G6" s="48">
        <v>3</v>
      </c>
      <c r="H6" s="48">
        <v>1</v>
      </c>
      <c r="I6" s="48">
        <v>3</v>
      </c>
      <c r="J6" s="48">
        <v>2</v>
      </c>
      <c r="K6" s="48"/>
      <c r="L6" s="48"/>
      <c r="M6" s="48"/>
      <c r="N6" s="48"/>
      <c r="O6" s="48"/>
      <c r="P6" s="48"/>
      <c r="Q6" s="48"/>
      <c r="R6" s="48"/>
      <c r="S6" s="48">
        <v>1</v>
      </c>
      <c r="T6" s="48">
        <v>2</v>
      </c>
      <c r="U6" s="74"/>
      <c r="V6" s="74"/>
      <c r="W6" s="74"/>
      <c r="X6" s="74"/>
      <c r="Y6" s="79"/>
    </row>
    <row r="7" spans="1:25" ht="20.25" customHeight="1">
      <c r="A7" s="34"/>
      <c r="B7" s="53" t="s">
        <v>99</v>
      </c>
      <c r="C7" s="54"/>
      <c r="D7" s="54">
        <v>1</v>
      </c>
      <c r="E7" s="54">
        <v>1</v>
      </c>
      <c r="F7" s="54"/>
      <c r="G7" s="54">
        <v>1</v>
      </c>
      <c r="H7" s="54"/>
      <c r="I7" s="54">
        <v>1</v>
      </c>
      <c r="J7" s="54"/>
      <c r="K7" s="54"/>
      <c r="L7" s="54"/>
      <c r="M7" s="54"/>
      <c r="N7" s="54"/>
      <c r="O7" s="54"/>
      <c r="P7" s="54"/>
      <c r="Q7" s="54"/>
      <c r="R7" s="54"/>
      <c r="S7" s="54"/>
      <c r="T7" s="54"/>
      <c r="U7" s="74"/>
      <c r="V7" s="74"/>
      <c r="W7" s="74"/>
      <c r="X7" s="74"/>
      <c r="Y7" s="79"/>
    </row>
    <row r="8" spans="1:25" ht="20.25" customHeight="1">
      <c r="A8" s="34"/>
      <c r="B8" s="43" t="s">
        <v>100</v>
      </c>
      <c r="C8" s="48">
        <f>C6-C7</f>
        <v>13</v>
      </c>
      <c r="D8" s="48">
        <f t="shared" si="0" ref="D8:T8">D6-D7</f>
        <v>37</v>
      </c>
      <c r="E8" s="48">
        <f t="shared" si="0"/>
        <v>1</v>
      </c>
      <c r="F8" s="48">
        <f t="shared" si="0"/>
        <v>0</v>
      </c>
      <c r="G8" s="48">
        <f t="shared" si="0"/>
        <v>2</v>
      </c>
      <c r="H8" s="48">
        <f t="shared" si="0"/>
        <v>1</v>
      </c>
      <c r="I8" s="48">
        <f t="shared" si="0"/>
        <v>2</v>
      </c>
      <c r="J8" s="48">
        <f t="shared" si="0"/>
        <v>2</v>
      </c>
      <c r="K8" s="48">
        <f t="shared" si="0"/>
        <v>0</v>
      </c>
      <c r="L8" s="48">
        <f t="shared" si="0"/>
        <v>0</v>
      </c>
      <c r="M8" s="48">
        <f t="shared" si="0"/>
        <v>0</v>
      </c>
      <c r="N8" s="48">
        <f t="shared" si="0"/>
        <v>0</v>
      </c>
      <c r="O8" s="48">
        <f t="shared" si="0"/>
        <v>0</v>
      </c>
      <c r="P8" s="48">
        <f t="shared" si="0"/>
        <v>0</v>
      </c>
      <c r="Q8" s="48">
        <f t="shared" si="0"/>
        <v>0</v>
      </c>
      <c r="R8" s="48">
        <f t="shared" si="0"/>
        <v>0</v>
      </c>
      <c r="S8" s="48">
        <f t="shared" si="0"/>
        <v>1</v>
      </c>
      <c r="T8" s="48">
        <f t="shared" si="0"/>
        <v>2</v>
      </c>
      <c r="U8" s="74"/>
      <c r="V8" s="74"/>
      <c r="W8" s="74"/>
      <c r="X8" s="74"/>
      <c r="Y8" s="79"/>
    </row>
    <row r="9" spans="1:25" ht="20.25" customHeight="1">
      <c r="A9" s="34"/>
      <c r="B9" s="55" t="s">
        <v>102</v>
      </c>
      <c r="C9" s="48">
        <v>2</v>
      </c>
      <c r="D9" s="48">
        <v>5</v>
      </c>
      <c r="E9" s="48"/>
      <c r="F9" s="48"/>
      <c r="G9" s="48"/>
      <c r="H9" s="48"/>
      <c r="I9" s="48"/>
      <c r="J9" s="48"/>
      <c r="K9" s="48"/>
      <c r="L9" s="48"/>
      <c r="M9" s="48"/>
      <c r="N9" s="48"/>
      <c r="O9" s="48"/>
      <c r="P9" s="48"/>
      <c r="Q9" s="48"/>
      <c r="R9" s="48"/>
      <c r="S9" s="48"/>
      <c r="T9" s="48"/>
      <c r="U9" s="74"/>
      <c r="V9" s="74"/>
      <c r="W9" s="74"/>
      <c r="X9" s="74"/>
      <c r="Y9" s="79"/>
    </row>
    <row r="10" spans="1:25" ht="20.25" customHeight="1" thickBot="1">
      <c r="A10" s="56"/>
      <c r="B10" s="57" t="s">
        <v>98</v>
      </c>
      <c r="C10" s="58">
        <v>3</v>
      </c>
      <c r="D10" s="58">
        <v>3</v>
      </c>
      <c r="E10" s="58"/>
      <c r="F10" s="58">
        <v>1</v>
      </c>
      <c r="G10" s="58"/>
      <c r="H10" s="58"/>
      <c r="I10" s="58"/>
      <c r="J10" s="58">
        <v>1</v>
      </c>
      <c r="K10" s="58"/>
      <c r="L10" s="58"/>
      <c r="M10" s="58"/>
      <c r="N10" s="58"/>
      <c r="O10" s="58"/>
      <c r="P10" s="58"/>
      <c r="Q10" s="58"/>
      <c r="R10" s="58"/>
      <c r="S10" s="58"/>
      <c r="T10" s="58"/>
      <c r="U10" s="74"/>
      <c r="V10" s="74"/>
      <c r="W10" s="74"/>
      <c r="X10" s="74"/>
      <c r="Y10" s="79"/>
    </row>
    <row r="11" spans="1:25" s="34" customFormat="1" ht="20.25" customHeight="1" thickTop="1">
      <c r="A11" s="43" t="s">
        <v>101</v>
      </c>
      <c r="C11" s="34">
        <f>C6-C7+C10</f>
        <v>16</v>
      </c>
      <c r="D11" s="34">
        <f t="shared" si="1" ref="D11:T11">D6-D7+D10</f>
        <v>40</v>
      </c>
      <c r="E11" s="34">
        <f t="shared" si="1"/>
        <v>1</v>
      </c>
      <c r="F11" s="34">
        <f t="shared" si="1"/>
        <v>1</v>
      </c>
      <c r="G11" s="34">
        <f t="shared" si="1"/>
        <v>2</v>
      </c>
      <c r="H11" s="34">
        <f t="shared" si="1"/>
        <v>1</v>
      </c>
      <c r="I11" s="34">
        <f t="shared" si="1"/>
        <v>2</v>
      </c>
      <c r="J11" s="34">
        <f t="shared" si="1"/>
        <v>3</v>
      </c>
      <c r="K11" s="34">
        <f t="shared" si="1"/>
        <v>0</v>
      </c>
      <c r="L11" s="34">
        <f t="shared" si="1"/>
        <v>0</v>
      </c>
      <c r="M11" s="34">
        <f t="shared" si="1"/>
        <v>0</v>
      </c>
      <c r="N11" s="34">
        <f t="shared" si="1"/>
        <v>0</v>
      </c>
      <c r="O11" s="34">
        <f t="shared" si="1"/>
        <v>0</v>
      </c>
      <c r="P11" s="34">
        <f t="shared" si="1"/>
        <v>0</v>
      </c>
      <c r="Q11" s="34">
        <f t="shared" si="1"/>
        <v>0</v>
      </c>
      <c r="R11" s="34">
        <f t="shared" si="1"/>
        <v>0</v>
      </c>
      <c r="S11" s="34">
        <f t="shared" si="1"/>
        <v>1</v>
      </c>
      <c r="T11" s="34">
        <f t="shared" si="1"/>
        <v>2</v>
      </c>
      <c r="U11" s="79"/>
      <c r="V11" s="79"/>
      <c r="W11" s="79"/>
      <c r="X11" s="79"/>
      <c r="Y11" s="79"/>
    </row>
    <row r="12" spans="1:24" ht="20.25" customHeight="1">
      <c r="A12" s="34"/>
      <c r="B12" s="34"/>
      <c r="C12" s="34"/>
      <c r="D12" s="34"/>
      <c r="E12" s="34"/>
      <c r="F12" s="34"/>
      <c r="G12" s="34"/>
      <c r="H12" s="34"/>
      <c r="I12" s="34"/>
      <c r="J12" s="34"/>
      <c r="K12" s="34"/>
      <c r="L12" s="34"/>
      <c r="M12" s="34"/>
      <c r="N12" s="34"/>
      <c r="O12" s="34"/>
      <c r="P12" s="34"/>
      <c r="Q12" s="34"/>
      <c r="R12" s="34"/>
      <c r="S12" s="34"/>
      <c r="T12" s="34"/>
      <c r="U12" s="34"/>
      <c r="V12" s="34"/>
      <c r="W12" s="34"/>
      <c r="X12" s="34"/>
    </row>
    <row r="13" spans="1:24" ht="20.25" customHeight="1">
      <c r="A13" s="59" t="s">
        <v>103</v>
      </c>
      <c r="B13" s="34"/>
      <c r="C13" s="59">
        <f>IFERROR(C7/C6,0)</f>
        <v>0</v>
      </c>
      <c r="D13" s="59">
        <f t="shared" si="2" ref="D13:T13">IFERROR(D7/D6,0)</f>
        <v>0.02631578947368421</v>
      </c>
      <c r="E13" s="59">
        <f t="shared" si="2"/>
        <v>0.50</v>
      </c>
      <c r="F13" s="59">
        <f t="shared" si="2"/>
        <v>0</v>
      </c>
      <c r="G13" s="59">
        <f t="shared" si="2"/>
        <v>0.3333333333333333</v>
      </c>
      <c r="H13" s="59">
        <f t="shared" si="2"/>
        <v>0</v>
      </c>
      <c r="I13" s="59">
        <f t="shared" si="2"/>
        <v>0.3333333333333333</v>
      </c>
      <c r="J13" s="59">
        <f t="shared" si="2"/>
        <v>0</v>
      </c>
      <c r="K13" s="59">
        <f t="shared" si="2"/>
        <v>0</v>
      </c>
      <c r="L13" s="59">
        <f t="shared" si="2"/>
        <v>0</v>
      </c>
      <c r="M13" s="59">
        <f t="shared" si="2"/>
        <v>0</v>
      </c>
      <c r="N13" s="59">
        <f t="shared" si="2"/>
        <v>0</v>
      </c>
      <c r="O13" s="59">
        <f t="shared" si="2"/>
        <v>0</v>
      </c>
      <c r="P13" s="59">
        <f t="shared" si="2"/>
        <v>0</v>
      </c>
      <c r="Q13" s="59">
        <f t="shared" si="2"/>
        <v>0</v>
      </c>
      <c r="R13" s="59">
        <f t="shared" si="2"/>
        <v>0</v>
      </c>
      <c r="S13" s="59">
        <f t="shared" si="2"/>
        <v>0</v>
      </c>
      <c r="T13" s="59">
        <f t="shared" si="2"/>
        <v>0</v>
      </c>
      <c r="U13" s="59"/>
      <c r="V13" s="59"/>
      <c r="W13" s="59"/>
      <c r="X13" s="59"/>
    </row>
    <row r="14" spans="1:24" ht="20.25" customHeight="1">
      <c r="A14" s="59" t="s">
        <v>104</v>
      </c>
      <c r="B14" s="34"/>
      <c r="C14" s="59">
        <f>IFERROR(C8/C6,0)</f>
        <v>1</v>
      </c>
      <c r="D14" s="59">
        <f t="shared" si="3" ref="D14:T14">IFERROR(D8/D6,0)</f>
        <v>0.9736842105263158</v>
      </c>
      <c r="E14" s="59">
        <f t="shared" si="3"/>
        <v>0.50</v>
      </c>
      <c r="F14" s="59">
        <f t="shared" si="3"/>
        <v>0</v>
      </c>
      <c r="G14" s="59">
        <f t="shared" si="3"/>
        <v>0.6666666666666666</v>
      </c>
      <c r="H14" s="59">
        <f>IFERROR(H8/H6,0)</f>
        <v>1</v>
      </c>
      <c r="I14" s="59">
        <f t="shared" si="3"/>
        <v>0.6666666666666666</v>
      </c>
      <c r="J14" s="59">
        <f t="shared" si="3"/>
        <v>1</v>
      </c>
      <c r="K14" s="59">
        <f t="shared" si="3"/>
        <v>0</v>
      </c>
      <c r="L14" s="59">
        <f t="shared" si="3"/>
        <v>0</v>
      </c>
      <c r="M14" s="59">
        <f t="shared" si="3"/>
        <v>0</v>
      </c>
      <c r="N14" s="59">
        <f t="shared" si="3"/>
        <v>0</v>
      </c>
      <c r="O14" s="59">
        <f t="shared" si="3"/>
        <v>0</v>
      </c>
      <c r="P14" s="59">
        <f t="shared" si="3"/>
        <v>0</v>
      </c>
      <c r="Q14" s="59">
        <f t="shared" si="3"/>
        <v>0</v>
      </c>
      <c r="R14" s="59">
        <f t="shared" si="3"/>
        <v>0</v>
      </c>
      <c r="S14" s="59">
        <f t="shared" si="3"/>
        <v>1</v>
      </c>
      <c r="T14" s="59">
        <f t="shared" si="3"/>
        <v>1</v>
      </c>
      <c r="U14" s="59"/>
      <c r="V14" s="59"/>
      <c r="W14" s="59"/>
      <c r="X14" s="59"/>
    </row>
    <row r="15" spans="1:24" ht="20.25" customHeight="1">
      <c r="A15" s="59" t="s">
        <v>105</v>
      </c>
      <c r="B15" s="34"/>
      <c r="C15" s="59">
        <f>IFERROR(C9/C6,0)</f>
        <v>0.15384615384615385</v>
      </c>
      <c r="D15" s="59">
        <f t="shared" si="4" ref="D15:T15">IFERROR(D9/D6,0)</f>
        <v>0.13157894736842105</v>
      </c>
      <c r="E15" s="59">
        <f t="shared" si="4"/>
        <v>0</v>
      </c>
      <c r="F15" s="59">
        <f t="shared" si="4"/>
        <v>0</v>
      </c>
      <c r="G15" s="59">
        <f t="shared" si="4"/>
        <v>0</v>
      </c>
      <c r="H15" s="59">
        <f t="shared" si="4"/>
        <v>0</v>
      </c>
      <c r="I15" s="59">
        <f t="shared" si="4"/>
        <v>0</v>
      </c>
      <c r="J15" s="59">
        <f t="shared" si="4"/>
        <v>0</v>
      </c>
      <c r="K15" s="59">
        <f t="shared" si="4"/>
        <v>0</v>
      </c>
      <c r="L15" s="59">
        <f t="shared" si="4"/>
        <v>0</v>
      </c>
      <c r="M15" s="59">
        <f t="shared" si="4"/>
        <v>0</v>
      </c>
      <c r="N15" s="59">
        <f t="shared" si="4"/>
        <v>0</v>
      </c>
      <c r="O15" s="59">
        <f t="shared" si="4"/>
        <v>0</v>
      </c>
      <c r="P15" s="59">
        <f t="shared" si="4"/>
        <v>0</v>
      </c>
      <c r="Q15" s="59">
        <f t="shared" si="4"/>
        <v>0</v>
      </c>
      <c r="R15" s="59">
        <f t="shared" si="4"/>
        <v>0</v>
      </c>
      <c r="S15" s="59">
        <f t="shared" si="4"/>
        <v>0</v>
      </c>
      <c r="T15" s="59">
        <f t="shared" si="4"/>
        <v>0</v>
      </c>
      <c r="U15" s="59"/>
      <c r="V15" s="59"/>
      <c r="W15" s="59"/>
      <c r="X15" s="59"/>
    </row>
    <row r="16" spans="1:24" ht="20.25" customHeight="1">
      <c r="A16" s="34" t="s">
        <v>106</v>
      </c>
      <c r="B16" s="34"/>
      <c r="C16" s="34">
        <f>C10-C7</f>
        <v>3</v>
      </c>
      <c r="D16" s="34">
        <f t="shared" si="5" ref="D16:T16">D10-D7</f>
        <v>2</v>
      </c>
      <c r="E16" s="34">
        <f t="shared" si="5"/>
        <v>-1</v>
      </c>
      <c r="F16" s="34">
        <f t="shared" si="5"/>
        <v>1</v>
      </c>
      <c r="G16" s="34">
        <f t="shared" si="5"/>
        <v>-1</v>
      </c>
      <c r="H16" s="34">
        <f t="shared" si="5"/>
        <v>0</v>
      </c>
      <c r="I16" s="34">
        <f t="shared" si="5"/>
        <v>-1</v>
      </c>
      <c r="J16" s="34">
        <f t="shared" si="5"/>
        <v>1</v>
      </c>
      <c r="K16" s="34">
        <f t="shared" si="5"/>
        <v>0</v>
      </c>
      <c r="L16" s="34">
        <f t="shared" si="5"/>
        <v>0</v>
      </c>
      <c r="M16" s="34">
        <f t="shared" si="5"/>
        <v>0</v>
      </c>
      <c r="N16" s="34">
        <f t="shared" si="5"/>
        <v>0</v>
      </c>
      <c r="O16" s="34">
        <f t="shared" si="5"/>
        <v>0</v>
      </c>
      <c r="P16" s="34">
        <f t="shared" si="5"/>
        <v>0</v>
      </c>
      <c r="Q16" s="34">
        <f t="shared" si="5"/>
        <v>0</v>
      </c>
      <c r="R16" s="34">
        <f t="shared" si="5"/>
        <v>0</v>
      </c>
      <c r="S16" s="34">
        <f t="shared" si="5"/>
        <v>0</v>
      </c>
      <c r="T16" s="34">
        <f t="shared" si="5"/>
        <v>0</v>
      </c>
      <c r="U16" s="34"/>
      <c r="V16" s="34"/>
      <c r="W16" s="34"/>
      <c r="X16" s="34"/>
    </row>
  </sheetData>
  <mergeCells count="11">
    <mergeCell ref="S4:T4"/>
    <mergeCell ref="U4:V4"/>
    <mergeCell ref="W4:X4"/>
    <mergeCell ref="C4:D4"/>
    <mergeCell ref="E4:F4"/>
    <mergeCell ref="G4:H4"/>
    <mergeCell ref="I4:J4"/>
    <mergeCell ref="K4:L4"/>
    <mergeCell ref="M4:N4"/>
    <mergeCell ref="O4:P4"/>
    <mergeCell ref="Q4:R4"/>
  </mergeCells>
  <conditionalFormatting sqref="C6:T10">
    <cfRule type="cellIs" priority="1" dxfId="22" operator="equal">
      <formula>""</formula>
    </cfRule>
  </conditionalFormatting>
  <pageMargins left="0.25" right="0.25" top="0.75" bottom="0.75" header="0.3" footer="0.3"/>
  <pageSetup orientation="landscape" paperSize="1" scale="75" r:id="rId2"/>
  <headerFooter>
    <oddHeader>&amp;C&amp;G</oddHeader>
    <oddFooter>&amp;C&amp;G</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000606-A4E9-4D89-BDA8-ABB941350631}">
  <sheetPr>
    <tabColor theme="8"/>
  </sheetPr>
  <dimension ref="A1:Y20"/>
  <sheetViews>
    <sheetView showGridLines="0" view="pageLayout" zoomScaleNormal="120" zoomScaleSheetLayoutView="100" workbookViewId="0" topLeftCell="A1">
      <selection pane="topLeft" activeCell="U13" sqref="U13"/>
    </sheetView>
  </sheetViews>
  <sheetFormatPr defaultRowHeight="15"/>
  <cols>
    <col min="1" max="1" width="18.142857142857142" customWidth="1"/>
    <col min="2" max="2" width="7" bestFit="1" customWidth="1"/>
    <col min="3" max="3" width="6.571428571428571" customWidth="1"/>
    <col min="5" max="5" width="4.857142857142857" bestFit="1" customWidth="1"/>
    <col min="6" max="6" width="7" bestFit="1" customWidth="1"/>
    <col min="7" max="7" width="4.857142857142857" bestFit="1" customWidth="1"/>
    <col min="8" max="8" width="7" bestFit="1" customWidth="1"/>
    <col min="9" max="9" width="4.857142857142857" bestFit="1" customWidth="1"/>
    <col min="10" max="10" width="7" bestFit="1" customWidth="1"/>
    <col min="11" max="11" width="4.857142857142857" bestFit="1" customWidth="1"/>
    <col min="12" max="12" width="7.857142857142857" customWidth="1"/>
    <col min="13" max="13" width="6.428571428571429" customWidth="1"/>
    <col min="14" max="14" width="7" bestFit="1" customWidth="1"/>
    <col min="15" max="15" width="4.857142857142857" bestFit="1" customWidth="1"/>
    <col min="16" max="16" width="7" bestFit="1" customWidth="1"/>
    <col min="17" max="17" width="4.857142857142857" bestFit="1" customWidth="1"/>
  </cols>
  <sheetData>
    <row r="1" spans="1:25" ht="18.75">
      <c r="A1" s="81" t="s">
        <v>94</v>
      </c>
      <c r="B1" s="81"/>
      <c r="C1" s="81"/>
      <c r="D1" s="81"/>
      <c r="E1" s="81"/>
      <c r="F1" s="81"/>
      <c r="G1" s="81"/>
      <c r="H1" s="81"/>
      <c r="I1" s="81"/>
      <c r="J1" s="81"/>
      <c r="K1" s="81"/>
      <c r="L1" s="81"/>
      <c r="M1" s="81"/>
      <c r="N1" s="81"/>
      <c r="O1" s="81"/>
      <c r="P1" s="81"/>
      <c r="Q1" s="81"/>
      <c r="R1" s="82"/>
      <c r="S1" s="82"/>
      <c r="T1" s="82"/>
      <c r="U1" s="82"/>
      <c r="V1" s="82"/>
      <c r="W1" s="82"/>
      <c r="X1" s="82"/>
      <c r="Y1" s="82"/>
    </row>
    <row r="2" spans="1:25" ht="15">
      <c r="A2" s="83" t="s">
        <v>128</v>
      </c>
      <c r="B2" s="83"/>
      <c r="C2" s="83"/>
      <c r="D2" s="83"/>
      <c r="E2" s="83"/>
      <c r="F2" s="83"/>
      <c r="G2" s="83"/>
      <c r="H2" s="83"/>
      <c r="I2" s="83"/>
      <c r="J2" s="83"/>
      <c r="K2" s="83"/>
      <c r="L2" s="83"/>
      <c r="M2" s="83"/>
      <c r="N2" s="83"/>
      <c r="O2" s="83"/>
      <c r="P2" s="83"/>
      <c r="Q2" s="83"/>
      <c r="R2" s="83"/>
      <c r="S2" s="83"/>
      <c r="T2" s="83"/>
      <c r="U2" s="83"/>
      <c r="V2" s="83"/>
      <c r="W2" s="83"/>
      <c r="X2" s="83"/>
      <c r="Y2" s="83"/>
    </row>
    <row r="3" spans="1:23" ht="15">
      <c r="A3" s="30"/>
      <c r="B3" s="30"/>
      <c r="C3" s="30"/>
      <c r="D3" s="30"/>
      <c r="E3" s="30"/>
      <c r="F3" s="30"/>
      <c r="G3" s="30"/>
      <c r="H3" s="30"/>
      <c r="I3" s="30"/>
      <c r="J3" s="30"/>
      <c r="K3" s="30"/>
      <c r="L3" s="30"/>
      <c r="M3" s="30"/>
      <c r="N3" s="30"/>
      <c r="O3" s="30"/>
      <c r="P3" s="30"/>
      <c r="Q3" s="30"/>
      <c r="R3" s="30"/>
      <c r="S3" s="30"/>
      <c r="T3" s="30"/>
      <c r="U3" s="30"/>
      <c r="V3" s="30"/>
      <c r="W3" s="30"/>
    </row>
    <row r="4" spans="1:17" s="11" customFormat="1" ht="56.25" customHeight="1">
      <c r="A4" s="20"/>
      <c r="B4" s="70" t="s">
        <v>1</v>
      </c>
      <c r="C4" s="70"/>
      <c r="D4" s="70" t="s">
        <v>56</v>
      </c>
      <c r="E4" s="70"/>
      <c r="F4" s="70" t="s">
        <v>4</v>
      </c>
      <c r="G4" s="70"/>
      <c r="H4" s="70" t="s">
        <v>2</v>
      </c>
      <c r="I4" s="70"/>
      <c r="J4" s="70" t="s">
        <v>52</v>
      </c>
      <c r="K4" s="70"/>
      <c r="L4" s="70" t="s">
        <v>50</v>
      </c>
      <c r="M4" s="70"/>
      <c r="N4" s="70" t="s">
        <v>3</v>
      </c>
      <c r="O4" s="70"/>
      <c r="P4" s="70" t="s">
        <v>9</v>
      </c>
      <c r="Q4" s="70"/>
    </row>
    <row r="5" spans="1:17" ht="14.25" customHeight="1">
      <c r="A5" s="48"/>
      <c r="B5" s="35" t="s">
        <v>6</v>
      </c>
      <c r="C5" s="35" t="s">
        <v>0</v>
      </c>
      <c r="D5" s="35" t="s">
        <v>6</v>
      </c>
      <c r="E5" s="35" t="s">
        <v>0</v>
      </c>
      <c r="F5" s="35" t="s">
        <v>6</v>
      </c>
      <c r="G5" s="35" t="s">
        <v>0</v>
      </c>
      <c r="H5" s="35" t="s">
        <v>6</v>
      </c>
      <c r="I5" s="35" t="s">
        <v>0</v>
      </c>
      <c r="J5" s="35" t="s">
        <v>6</v>
      </c>
      <c r="K5" s="35" t="s">
        <v>0</v>
      </c>
      <c r="L5" s="35" t="s">
        <v>6</v>
      </c>
      <c r="M5" s="35" t="s">
        <v>0</v>
      </c>
      <c r="N5" s="35" t="s">
        <v>6</v>
      </c>
      <c r="O5" s="35" t="s">
        <v>0</v>
      </c>
      <c r="P5" s="35" t="s">
        <v>6</v>
      </c>
      <c r="Q5" s="35" t="s">
        <v>0</v>
      </c>
    </row>
    <row r="6" spans="1:17" ht="20.25" customHeight="1">
      <c r="A6" s="49" t="s">
        <v>96</v>
      </c>
      <c r="B6" s="51">
        <v>1</v>
      </c>
      <c r="C6" s="64">
        <v>12</v>
      </c>
      <c r="D6" s="51"/>
      <c r="E6" s="51"/>
      <c r="F6" s="51"/>
      <c r="G6" s="51"/>
      <c r="H6" s="51"/>
      <c r="I6" s="51"/>
      <c r="J6" s="51"/>
      <c r="K6" s="51"/>
      <c r="L6" s="51"/>
      <c r="M6" s="51"/>
      <c r="N6" s="51"/>
      <c r="O6" s="51"/>
      <c r="P6" s="51"/>
      <c r="Q6" s="51"/>
    </row>
    <row r="7" spans="1:17" ht="20.25" customHeight="1">
      <c r="A7" s="50" t="s">
        <v>125</v>
      </c>
      <c r="B7" s="67">
        <v>0.08</v>
      </c>
      <c r="C7" s="52">
        <v>0.92</v>
      </c>
      <c r="D7" s="52"/>
      <c r="E7" s="52"/>
      <c r="F7" s="52"/>
      <c r="G7" s="52"/>
      <c r="H7" s="52"/>
      <c r="I7" s="52"/>
      <c r="J7" s="52"/>
      <c r="K7" s="52"/>
      <c r="L7" s="52"/>
      <c r="M7" s="52"/>
      <c r="N7" s="52"/>
      <c r="O7" s="52"/>
      <c r="P7" s="52"/>
      <c r="Q7" s="52"/>
    </row>
    <row r="8" spans="1:17" ht="15">
      <c r="A8" s="34" t="s">
        <v>130</v>
      </c>
      <c r="B8" s="34"/>
      <c r="C8" s="34"/>
      <c r="D8" s="34"/>
      <c r="E8" s="34"/>
      <c r="F8" s="34"/>
      <c r="G8" s="34"/>
      <c r="H8" s="34"/>
      <c r="I8" s="34"/>
      <c r="J8" s="34"/>
      <c r="K8" s="34"/>
      <c r="L8" s="34"/>
      <c r="M8" s="34"/>
      <c r="N8" s="34"/>
      <c r="O8" s="34"/>
      <c r="P8" s="34"/>
      <c r="Q8" s="34"/>
    </row>
    <row r="9" spans="1:17" ht="15">
      <c r="A9" s="34" t="s">
        <v>131</v>
      </c>
      <c r="B9" s="34"/>
      <c r="C9" s="34"/>
      <c r="D9" s="34"/>
      <c r="E9" s="34"/>
      <c r="F9" s="34"/>
      <c r="G9" s="34"/>
      <c r="H9" s="34"/>
      <c r="I9" s="34"/>
      <c r="J9" s="34"/>
      <c r="K9" s="34"/>
      <c r="L9" s="34"/>
      <c r="M9" s="34"/>
      <c r="N9" s="34"/>
      <c r="O9" s="34"/>
      <c r="P9" s="34"/>
      <c r="Q9" s="34"/>
    </row>
    <row r="10" spans="1:17" ht="15">
      <c r="A10" s="34" t="s">
        <v>126</v>
      </c>
      <c r="B10" s="34"/>
      <c r="C10" s="34"/>
      <c r="D10" s="34"/>
      <c r="E10" s="34"/>
      <c r="F10" s="34"/>
      <c r="G10" s="34"/>
      <c r="H10" s="34"/>
      <c r="I10" s="34"/>
      <c r="J10" s="34"/>
      <c r="K10" s="34"/>
      <c r="L10" s="34"/>
      <c r="M10" s="34"/>
      <c r="N10" s="34"/>
      <c r="O10" s="34"/>
      <c r="P10" s="34"/>
      <c r="Q10" s="34"/>
    </row>
    <row r="11" spans="1:17" ht="15">
      <c r="A11" s="34"/>
      <c r="B11" s="34"/>
      <c r="C11" s="34"/>
      <c r="D11" s="34"/>
      <c r="E11" s="34"/>
      <c r="F11" s="34"/>
      <c r="G11" s="34"/>
      <c r="H11" s="34"/>
      <c r="I11" s="34"/>
      <c r="J11" s="34"/>
      <c r="K11" s="34"/>
      <c r="L11" s="34"/>
      <c r="M11" s="34"/>
      <c r="N11" s="34"/>
      <c r="O11" s="34"/>
      <c r="P11" s="34"/>
      <c r="Q11" s="34"/>
    </row>
    <row r="12" spans="1:17" ht="30" customHeight="1">
      <c r="A12" s="34"/>
      <c r="B12" s="70" t="s">
        <v>88</v>
      </c>
      <c r="C12" s="70"/>
      <c r="D12" s="73"/>
      <c r="E12" s="73"/>
      <c r="F12" s="73"/>
      <c r="G12" s="73"/>
      <c r="H12" s="34"/>
      <c r="I12" s="34"/>
      <c r="J12" s="34"/>
      <c r="K12" s="34"/>
      <c r="L12" s="34"/>
      <c r="M12" s="34"/>
      <c r="N12" s="34"/>
      <c r="O12" s="34"/>
      <c r="P12" s="34"/>
      <c r="Q12" s="34"/>
    </row>
    <row r="13" spans="1:17" ht="15">
      <c r="A13" s="34"/>
      <c r="B13" s="35" t="s">
        <v>6</v>
      </c>
      <c r="C13" s="35" t="s">
        <v>0</v>
      </c>
      <c r="D13" s="74"/>
      <c r="E13" s="74"/>
      <c r="F13" s="74"/>
      <c r="G13" s="74"/>
      <c r="H13" s="34"/>
      <c r="I13" s="34"/>
      <c r="J13" s="34"/>
      <c r="K13" s="34"/>
      <c r="L13" s="34"/>
      <c r="M13" s="34"/>
      <c r="N13" s="34"/>
      <c r="O13" s="34"/>
      <c r="P13" s="34"/>
      <c r="Q13" s="34"/>
    </row>
    <row r="14" spans="1:17" ht="20.25" customHeight="1">
      <c r="A14" s="49" t="s">
        <v>96</v>
      </c>
      <c r="B14" s="51">
        <v>1</v>
      </c>
      <c r="C14" s="51">
        <v>2</v>
      </c>
      <c r="D14" s="77"/>
      <c r="E14" s="77"/>
      <c r="F14" s="77"/>
      <c r="G14" s="77"/>
      <c r="H14" s="34"/>
      <c r="I14" s="34"/>
      <c r="J14" s="34"/>
      <c r="K14" s="34"/>
      <c r="L14" s="34"/>
      <c r="M14" s="34"/>
      <c r="N14" s="34"/>
      <c r="O14" s="34"/>
      <c r="P14" s="34"/>
      <c r="Q14" s="34"/>
    </row>
    <row r="15" spans="1:17" ht="20.25" customHeight="1">
      <c r="A15" s="50" t="s">
        <v>125</v>
      </c>
      <c r="B15" s="67">
        <v>0.08</v>
      </c>
      <c r="C15" s="52">
        <v>0.15</v>
      </c>
      <c r="D15" s="78"/>
      <c r="E15" s="78"/>
      <c r="F15" s="78"/>
      <c r="G15" s="78"/>
      <c r="H15" s="34"/>
      <c r="I15" s="34"/>
      <c r="J15" s="34"/>
      <c r="K15" s="34"/>
      <c r="L15" s="34"/>
      <c r="M15" s="34"/>
      <c r="N15" s="34"/>
      <c r="O15" s="34"/>
      <c r="P15" s="34"/>
      <c r="Q15" s="34"/>
    </row>
    <row r="16" spans="1:17" ht="193.5" customHeight="1">
      <c r="A16" s="10"/>
      <c r="B16" s="34"/>
      <c r="C16" s="34"/>
      <c r="D16" s="34"/>
      <c r="E16" s="34"/>
      <c r="F16" s="34"/>
      <c r="G16" s="34"/>
      <c r="H16" s="34"/>
      <c r="I16" s="34"/>
      <c r="J16" s="34"/>
      <c r="K16" s="34"/>
      <c r="L16" s="34"/>
      <c r="M16" s="34"/>
      <c r="N16" s="34"/>
      <c r="O16" s="34"/>
      <c r="P16" s="34"/>
      <c r="Q16" s="34"/>
    </row>
    <row r="17" spans="1:17" ht="15">
      <c r="A17" s="10"/>
      <c r="B17" s="10"/>
      <c r="C17" s="10"/>
      <c r="D17" s="10"/>
      <c r="E17" s="10"/>
      <c r="F17" s="10"/>
      <c r="G17" s="10"/>
      <c r="H17" s="10"/>
      <c r="I17" s="10"/>
      <c r="J17" s="10"/>
      <c r="K17" s="10"/>
      <c r="L17" s="10"/>
      <c r="M17" s="10"/>
      <c r="N17" s="10"/>
      <c r="O17" s="10"/>
      <c r="P17" s="10"/>
      <c r="Q17" s="10"/>
    </row>
    <row r="18" spans="1:17" ht="15">
      <c r="A18" s="10"/>
      <c r="B18" s="10"/>
      <c r="C18" s="10"/>
      <c r="D18" s="10"/>
      <c r="E18" s="10"/>
      <c r="F18" s="10"/>
      <c r="G18" s="10"/>
      <c r="H18" s="10"/>
      <c r="I18" s="10"/>
      <c r="J18" s="10"/>
      <c r="K18" s="10"/>
      <c r="L18" s="10"/>
      <c r="M18" s="10"/>
      <c r="N18" s="10"/>
      <c r="O18" s="10"/>
      <c r="P18" s="10"/>
      <c r="Q18" s="10"/>
    </row>
    <row r="19" spans="1:17" ht="15">
      <c r="A19" s="10"/>
      <c r="B19" s="10"/>
      <c r="C19" s="10"/>
      <c r="D19" s="10"/>
      <c r="E19" s="10"/>
      <c r="F19" s="10"/>
      <c r="G19" s="10"/>
      <c r="H19" s="10"/>
      <c r="I19" s="10"/>
      <c r="J19" s="10"/>
      <c r="K19" s="10"/>
      <c r="L19" s="10"/>
      <c r="M19" s="10"/>
      <c r="N19" s="10"/>
      <c r="O19" s="10"/>
      <c r="P19" s="10"/>
      <c r="Q19" s="10"/>
    </row>
    <row r="20" spans="1:17" ht="15">
      <c r="A20" s="10"/>
      <c r="B20" s="10"/>
      <c r="C20" s="10"/>
      <c r="D20" s="10"/>
      <c r="E20" s="10"/>
      <c r="F20" s="10"/>
      <c r="G20" s="10"/>
      <c r="H20" s="10"/>
      <c r="I20" s="10"/>
      <c r="J20" s="10"/>
      <c r="K20" s="10"/>
      <c r="L20" s="10"/>
      <c r="M20" s="10"/>
      <c r="N20" s="10"/>
      <c r="O20" s="10"/>
      <c r="P20" s="10"/>
      <c r="Q20" s="10"/>
    </row>
  </sheetData>
  <mergeCells count="11">
    <mergeCell ref="B12:C12"/>
    <mergeCell ref="D12:E12"/>
    <mergeCell ref="F12:G12"/>
    <mergeCell ref="B4:C4"/>
    <mergeCell ref="D4:E4"/>
    <mergeCell ref="F4:G4"/>
    <mergeCell ref="H4:I4"/>
    <mergeCell ref="J4:K4"/>
    <mergeCell ref="L4:M4"/>
    <mergeCell ref="N4:O4"/>
    <mergeCell ref="P4:Q4"/>
  </mergeCells>
  <conditionalFormatting sqref="C6:Q6">
    <cfRule type="cellIs" priority="10" dxfId="22" operator="equal">
      <formula>""</formula>
    </cfRule>
  </conditionalFormatting>
  <conditionalFormatting sqref="B6">
    <cfRule type="cellIs" priority="9" dxfId="22" operator="equal">
      <formula>""</formula>
    </cfRule>
  </conditionalFormatting>
  <conditionalFormatting sqref="C7:Q7">
    <cfRule type="cellIs" priority="8" dxfId="22" operator="equal">
      <formula>""</formula>
    </cfRule>
  </conditionalFormatting>
  <conditionalFormatting sqref="C14">
    <cfRule type="cellIs" priority="6" dxfId="22" operator="equal">
      <formula>""</formula>
    </cfRule>
  </conditionalFormatting>
  <conditionalFormatting sqref="B14">
    <cfRule type="cellIs" priority="5" dxfId="22" operator="equal">
      <formula>""</formula>
    </cfRule>
  </conditionalFormatting>
  <conditionalFormatting sqref="C15">
    <cfRule type="cellIs" priority="4" dxfId="22" operator="equal">
      <formula>""</formula>
    </cfRule>
  </conditionalFormatting>
  <conditionalFormatting sqref="B7">
    <cfRule type="cellIs" priority="2" dxfId="22" operator="equal">
      <formula>""</formula>
    </cfRule>
  </conditionalFormatting>
  <conditionalFormatting sqref="B15">
    <cfRule type="cellIs" priority="1" dxfId="22" operator="equal">
      <formula>""</formula>
    </cfRule>
  </conditionalFormatting>
  <pageMargins left="0.25" right="0.25" top="0.75" bottom="0.75" header="0.3" footer="0.3"/>
  <pageSetup orientation="landscape" paperSize="1" scale="105" r:id="rId2"/>
  <headerFooter>
    <oddHeader>&amp;C&amp;G</oddHeader>
    <oddFooter>&amp;C&amp;G</oddFoot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87BA76-6DB1-4981-97E4-39CDA523AB1F}">
  <sheetPr>
    <tabColor theme="8"/>
  </sheetPr>
  <dimension ref="A1:U35"/>
  <sheetViews>
    <sheetView showGridLines="0" view="pageLayout" zoomScaleNormal="100" zoomScaleSheetLayoutView="100" workbookViewId="0" topLeftCell="A1">
      <pane ySplit="5" topLeftCell="A6" activePane="bottomLeft" state="frozen"/>
      <selection pane="topLeft" activeCell="A1" sqref="A1"/>
      <selection pane="bottomLeft" activeCell="G31" sqref="G31"/>
    </sheetView>
  </sheetViews>
  <sheetFormatPr defaultRowHeight="15"/>
  <cols>
    <col min="1" max="1" width="3.5714285714285716" customWidth="1"/>
    <col min="2" max="2" width="2.5714285714285716" customWidth="1"/>
    <col min="3" max="3" width="31.285714285714285" customWidth="1"/>
  </cols>
  <sheetData>
    <row r="1" spans="1:21" ht="18.75">
      <c r="A1" s="71" t="s">
        <v>93</v>
      </c>
      <c r="B1" s="71"/>
      <c r="C1" s="71"/>
      <c r="D1" s="71"/>
      <c r="E1" s="71"/>
      <c r="F1" s="71"/>
      <c r="G1" s="71"/>
      <c r="H1" s="71"/>
      <c r="I1" s="71"/>
      <c r="J1" s="71"/>
      <c r="K1" s="71"/>
      <c r="L1" s="71"/>
      <c r="M1" s="71"/>
      <c r="N1" s="71"/>
      <c r="O1" s="71"/>
      <c r="P1" s="71"/>
      <c r="Q1" s="71"/>
      <c r="R1" s="71"/>
      <c r="S1" s="71"/>
      <c r="T1" s="71"/>
      <c r="U1" s="71"/>
    </row>
    <row r="2" spans="1:21" ht="15">
      <c r="A2" s="72" t="s">
        <v>129</v>
      </c>
      <c r="B2" s="72"/>
      <c r="C2" s="72"/>
      <c r="D2" s="72"/>
      <c r="E2" s="72"/>
      <c r="F2" s="72"/>
      <c r="G2" s="72"/>
      <c r="H2" s="72"/>
      <c r="I2" s="72"/>
      <c r="J2" s="72"/>
      <c r="K2" s="72"/>
      <c r="L2" s="72"/>
      <c r="M2" s="72"/>
      <c r="N2" s="72"/>
      <c r="O2" s="72"/>
      <c r="P2" s="72"/>
      <c r="Q2" s="72"/>
      <c r="R2" s="72"/>
      <c r="S2" s="72"/>
      <c r="T2" s="72"/>
      <c r="U2" s="72"/>
    </row>
    <row r="3" spans="1:21" ht="15">
      <c r="A3" s="30"/>
      <c r="B3" s="30"/>
      <c r="C3" s="30"/>
      <c r="D3" s="30"/>
      <c r="E3" s="30"/>
      <c r="F3" s="30"/>
      <c r="G3" s="30"/>
      <c r="H3" s="30"/>
      <c r="I3" s="30"/>
      <c r="J3" s="30"/>
      <c r="K3" s="30"/>
      <c r="L3" s="30"/>
      <c r="M3" s="30"/>
      <c r="N3" s="30"/>
      <c r="O3" s="30"/>
      <c r="P3" s="30"/>
      <c r="Q3" s="30"/>
      <c r="R3" s="30"/>
      <c r="S3" s="30"/>
      <c r="T3" s="30"/>
      <c r="U3" s="30"/>
    </row>
    <row r="4" spans="1:21" s="11" customFormat="1" ht="34.9" customHeight="1">
      <c r="A4" s="20"/>
      <c r="B4" s="20"/>
      <c r="C4" s="20"/>
      <c r="D4" s="70" t="s">
        <v>1</v>
      </c>
      <c r="E4" s="70"/>
      <c r="F4" s="70" t="s">
        <v>56</v>
      </c>
      <c r="G4" s="70"/>
      <c r="H4" s="70" t="s">
        <v>4</v>
      </c>
      <c r="I4" s="70"/>
      <c r="J4" s="70" t="s">
        <v>2</v>
      </c>
      <c r="K4" s="70"/>
      <c r="L4" s="70" t="s">
        <v>52</v>
      </c>
      <c r="M4" s="70"/>
      <c r="N4" s="70" t="s">
        <v>50</v>
      </c>
      <c r="O4" s="70"/>
      <c r="P4" s="70" t="s">
        <v>3</v>
      </c>
      <c r="Q4" s="70"/>
      <c r="R4" s="70" t="s">
        <v>9</v>
      </c>
      <c r="S4" s="70"/>
      <c r="T4" s="70" t="s">
        <v>88</v>
      </c>
      <c r="U4" s="70"/>
    </row>
    <row r="5" spans="1:21" ht="14.25" customHeight="1">
      <c r="A5" s="21"/>
      <c r="B5" s="21"/>
      <c r="C5" s="21"/>
      <c r="D5" s="22" t="s">
        <v>6</v>
      </c>
      <c r="E5" s="22" t="s">
        <v>0</v>
      </c>
      <c r="F5" s="22" t="s">
        <v>6</v>
      </c>
      <c r="G5" s="22" t="s">
        <v>0</v>
      </c>
      <c r="H5" s="22" t="s">
        <v>6</v>
      </c>
      <c r="I5" s="22" t="s">
        <v>0</v>
      </c>
      <c r="J5" s="22" t="s">
        <v>6</v>
      </c>
      <c r="K5" s="22" t="s">
        <v>0</v>
      </c>
      <c r="L5" s="22" t="s">
        <v>6</v>
      </c>
      <c r="M5" s="22" t="s">
        <v>0</v>
      </c>
      <c r="N5" s="22" t="s">
        <v>6</v>
      </c>
      <c r="O5" s="22" t="s">
        <v>0</v>
      </c>
      <c r="P5" s="22" t="s">
        <v>6</v>
      </c>
      <c r="Q5" s="22" t="s">
        <v>0</v>
      </c>
      <c r="R5" s="22" t="s">
        <v>6</v>
      </c>
      <c r="S5" s="22" t="s">
        <v>0</v>
      </c>
      <c r="T5" s="22" t="s">
        <v>6</v>
      </c>
      <c r="U5" s="22" t="s">
        <v>0</v>
      </c>
    </row>
    <row r="6" spans="1:21" ht="15.75" thickBot="1">
      <c r="A6" s="23" t="s">
        <v>84</v>
      </c>
      <c r="B6" s="23"/>
      <c r="C6" s="24"/>
      <c r="D6" s="24"/>
      <c r="E6" s="24"/>
      <c r="F6" s="24"/>
      <c r="G6" s="24"/>
      <c r="H6" s="24"/>
      <c r="I6" s="24"/>
      <c r="J6" s="24"/>
      <c r="K6" s="24"/>
      <c r="L6" s="24"/>
      <c r="M6" s="24"/>
      <c r="N6" s="24"/>
      <c r="O6" s="24"/>
      <c r="P6" s="24"/>
      <c r="Q6" s="24"/>
      <c r="R6" s="24"/>
      <c r="S6" s="24"/>
      <c r="T6" s="24"/>
      <c r="U6" s="24"/>
    </row>
    <row r="7" spans="1:21" ht="15">
      <c r="A7" s="25"/>
      <c r="B7" s="26" t="s">
        <v>74</v>
      </c>
      <c r="C7" s="27"/>
      <c r="D7" s="27"/>
      <c r="E7" s="27"/>
      <c r="F7" s="27"/>
      <c r="G7" s="27"/>
      <c r="H7" s="27"/>
      <c r="I7" s="27"/>
      <c r="J7" s="27"/>
      <c r="K7" s="27"/>
      <c r="L7" s="27"/>
      <c r="M7" s="27"/>
      <c r="N7" s="27"/>
      <c r="O7" s="27"/>
      <c r="P7" s="27"/>
      <c r="Q7" s="27"/>
      <c r="R7" s="27"/>
      <c r="S7" s="27"/>
      <c r="T7" s="27"/>
      <c r="U7" s="27"/>
    </row>
    <row r="8" spans="1:21" ht="15">
      <c r="A8" s="21"/>
      <c r="B8" s="21"/>
      <c r="C8" s="21" t="s">
        <v>71</v>
      </c>
      <c r="D8" s="21">
        <v>0</v>
      </c>
      <c r="E8" s="21">
        <v>0</v>
      </c>
      <c r="F8" s="21"/>
      <c r="G8" s="21"/>
      <c r="H8" s="21"/>
      <c r="I8" s="21"/>
      <c r="J8" s="21"/>
      <c r="K8" s="21"/>
      <c r="L8" s="21"/>
      <c r="M8" s="21"/>
      <c r="N8" s="21"/>
      <c r="O8" s="21"/>
      <c r="P8" s="21"/>
      <c r="Q8" s="21"/>
      <c r="R8" s="21"/>
      <c r="S8" s="21"/>
      <c r="T8" s="21"/>
      <c r="U8" s="21"/>
    </row>
    <row r="9" spans="1:21" ht="15">
      <c r="A9" s="21"/>
      <c r="B9" s="21"/>
      <c r="C9" s="21" t="s">
        <v>72</v>
      </c>
      <c r="D9" s="21">
        <v>1</v>
      </c>
      <c r="E9" s="21">
        <v>12</v>
      </c>
      <c r="F9" s="21"/>
      <c r="G9" s="21"/>
      <c r="H9" s="21"/>
      <c r="I9" s="21"/>
      <c r="J9" s="21"/>
      <c r="K9" s="21"/>
      <c r="L9" s="21"/>
      <c r="M9" s="21"/>
      <c r="N9" s="21"/>
      <c r="O9" s="21"/>
      <c r="P9" s="21"/>
      <c r="Q9" s="21"/>
      <c r="R9" s="21"/>
      <c r="S9" s="21"/>
      <c r="T9" s="21">
        <v>1</v>
      </c>
      <c r="U9" s="21">
        <v>2</v>
      </c>
    </row>
    <row r="10" spans="1:21" ht="15.75" thickBot="1">
      <c r="A10" s="21"/>
      <c r="B10" s="28"/>
      <c r="C10" s="28" t="s">
        <v>73</v>
      </c>
      <c r="D10" s="28">
        <v>1</v>
      </c>
      <c r="E10" s="28">
        <v>3</v>
      </c>
      <c r="F10" s="28"/>
      <c r="G10" s="28"/>
      <c r="H10" s="28"/>
      <c r="I10" s="28"/>
      <c r="J10" s="28">
        <v>1</v>
      </c>
      <c r="K10" s="28">
        <v>1</v>
      </c>
      <c r="L10" s="28"/>
      <c r="M10" s="28"/>
      <c r="N10" s="28"/>
      <c r="O10" s="28"/>
      <c r="P10" s="28"/>
      <c r="Q10" s="28"/>
      <c r="R10" s="28"/>
      <c r="S10" s="28"/>
      <c r="T10" s="28"/>
      <c r="U10" s="28"/>
    </row>
    <row r="11" spans="1:21" ht="15.75" thickTop="1">
      <c r="A11" s="21"/>
      <c r="B11" s="21" t="str">
        <f>"Total "&amp;B7</f>
        <v>Total Leadership</v>
      </c>
      <c r="C11" s="29"/>
      <c r="D11" s="21">
        <f>SUM(D8:D10)</f>
        <v>2</v>
      </c>
      <c r="E11" s="21">
        <f t="shared" si="0" ref="E11:U11">SUM(E8:E10)</f>
        <v>15</v>
      </c>
      <c r="F11" s="21">
        <f t="shared" si="0"/>
        <v>0</v>
      </c>
      <c r="G11" s="21">
        <f t="shared" si="0"/>
        <v>0</v>
      </c>
      <c r="H11" s="21">
        <f t="shared" si="0"/>
        <v>0</v>
      </c>
      <c r="I11" s="21">
        <f t="shared" si="0"/>
        <v>0</v>
      </c>
      <c r="J11" s="21">
        <f t="shared" si="0"/>
        <v>1</v>
      </c>
      <c r="K11" s="21">
        <f t="shared" si="0"/>
        <v>1</v>
      </c>
      <c r="L11" s="21">
        <f t="shared" si="0"/>
        <v>0</v>
      </c>
      <c r="M11" s="21">
        <f t="shared" si="0"/>
        <v>0</v>
      </c>
      <c r="N11" s="21">
        <f t="shared" si="0"/>
        <v>0</v>
      </c>
      <c r="O11" s="21">
        <f t="shared" si="0"/>
        <v>0</v>
      </c>
      <c r="P11" s="21">
        <f t="shared" si="0"/>
        <v>0</v>
      </c>
      <c r="Q11" s="21">
        <f t="shared" si="0"/>
        <v>0</v>
      </c>
      <c r="R11" s="21">
        <f t="shared" si="0"/>
        <v>0</v>
      </c>
      <c r="S11" s="21">
        <f t="shared" si="0"/>
        <v>0</v>
      </c>
      <c r="T11" s="21">
        <f t="shared" si="0"/>
        <v>1</v>
      </c>
      <c r="U11" s="21">
        <f t="shared" si="0"/>
        <v>2</v>
      </c>
    </row>
    <row r="12" spans="1:21" ht="15">
      <c r="A12" s="12"/>
      <c r="B12" s="12"/>
      <c r="C12" s="12"/>
      <c r="D12" s="12"/>
      <c r="E12" s="12"/>
      <c r="F12" s="12"/>
      <c r="G12" s="12"/>
      <c r="H12" s="12"/>
      <c r="I12" s="12"/>
      <c r="J12" s="12"/>
      <c r="K12" s="12"/>
      <c r="L12" s="12"/>
      <c r="M12" s="12"/>
      <c r="N12" s="12"/>
      <c r="O12" s="12"/>
      <c r="P12" s="12"/>
      <c r="Q12" s="12"/>
      <c r="R12" s="12"/>
      <c r="S12" s="12"/>
      <c r="T12" s="12"/>
      <c r="U12" s="12"/>
    </row>
    <row r="13" spans="1:21" ht="15">
      <c r="A13" s="18"/>
      <c r="B13" s="17" t="s">
        <v>5</v>
      </c>
      <c r="C13" s="17"/>
      <c r="D13" s="13"/>
      <c r="E13" s="13"/>
      <c r="F13" s="13"/>
      <c r="G13" s="13"/>
      <c r="H13" s="13"/>
      <c r="I13" s="13"/>
      <c r="J13" s="13"/>
      <c r="K13" s="13"/>
      <c r="L13" s="13"/>
      <c r="M13" s="13"/>
      <c r="N13" s="13"/>
      <c r="O13" s="13"/>
      <c r="P13" s="13"/>
      <c r="Q13" s="13"/>
      <c r="R13" s="13"/>
      <c r="S13" s="13"/>
      <c r="T13" s="13"/>
      <c r="U13" s="13"/>
    </row>
    <row r="14" spans="1:21" ht="15">
      <c r="A14" s="12"/>
      <c r="B14" s="12"/>
      <c r="C14" s="12" t="s">
        <v>75</v>
      </c>
      <c r="D14" s="12">
        <v>1</v>
      </c>
      <c r="E14" s="12">
        <v>11</v>
      </c>
      <c r="F14" s="12"/>
      <c r="G14" s="12"/>
      <c r="H14" s="12"/>
      <c r="I14" s="12"/>
      <c r="J14" s="12"/>
      <c r="K14" s="12"/>
      <c r="L14" s="12"/>
      <c r="M14" s="12"/>
      <c r="N14" s="12"/>
      <c r="O14" s="12"/>
      <c r="P14" s="12"/>
      <c r="Q14" s="12"/>
      <c r="R14" s="12"/>
      <c r="S14" s="12"/>
      <c r="T14" s="12"/>
      <c r="U14" s="12"/>
    </row>
    <row r="15" spans="1:21" ht="15.75" thickBot="1">
      <c r="A15" s="12"/>
      <c r="B15" s="15"/>
      <c r="C15" s="15" t="s">
        <v>76</v>
      </c>
      <c r="D15" s="15">
        <v>0</v>
      </c>
      <c r="E15" s="15">
        <v>5</v>
      </c>
      <c r="F15" s="15"/>
      <c r="G15" s="15">
        <v>1</v>
      </c>
      <c r="H15" s="15"/>
      <c r="I15" s="15"/>
      <c r="J15" s="15"/>
      <c r="K15" s="15">
        <v>1</v>
      </c>
      <c r="L15" s="15"/>
      <c r="M15" s="15"/>
      <c r="N15" s="15"/>
      <c r="O15" s="15"/>
      <c r="P15" s="15"/>
      <c r="Q15" s="15"/>
      <c r="R15" s="15"/>
      <c r="S15" s="15"/>
      <c r="T15" s="15"/>
      <c r="U15" s="15"/>
    </row>
    <row r="16" spans="1:21" ht="15.75" thickTop="1">
      <c r="A16" s="12"/>
      <c r="B16" s="12" t="str">
        <f>"Total "&amp;B13</f>
        <v>Total Investment Team</v>
      </c>
      <c r="D16" s="12">
        <f>SUM(D14:D15)</f>
        <v>1</v>
      </c>
      <c r="E16" s="12">
        <f t="shared" si="1" ref="E16:U16">SUM(E14:E15)</f>
        <v>16</v>
      </c>
      <c r="F16" s="12">
        <f t="shared" si="1"/>
        <v>0</v>
      </c>
      <c r="G16" s="12">
        <f t="shared" si="1"/>
        <v>1</v>
      </c>
      <c r="H16" s="12">
        <f t="shared" si="1"/>
        <v>0</v>
      </c>
      <c r="I16" s="12">
        <f t="shared" si="1"/>
        <v>0</v>
      </c>
      <c r="J16" s="12">
        <f t="shared" si="1"/>
        <v>0</v>
      </c>
      <c r="K16" s="12">
        <f t="shared" si="1"/>
        <v>1</v>
      </c>
      <c r="L16" s="12">
        <f t="shared" si="1"/>
        <v>0</v>
      </c>
      <c r="M16" s="12">
        <f t="shared" si="1"/>
        <v>0</v>
      </c>
      <c r="N16" s="12">
        <f t="shared" si="1"/>
        <v>0</v>
      </c>
      <c r="O16" s="12">
        <f t="shared" si="1"/>
        <v>0</v>
      </c>
      <c r="P16" s="12">
        <f t="shared" si="1"/>
        <v>0</v>
      </c>
      <c r="Q16" s="12">
        <f t="shared" si="1"/>
        <v>0</v>
      </c>
      <c r="R16" s="12">
        <f t="shared" si="1"/>
        <v>0</v>
      </c>
      <c r="S16" s="12">
        <f t="shared" si="1"/>
        <v>0</v>
      </c>
      <c r="T16" s="12">
        <f t="shared" si="1"/>
        <v>0</v>
      </c>
      <c r="U16" s="12">
        <f t="shared" si="1"/>
        <v>0</v>
      </c>
    </row>
    <row r="17" spans="1:21" ht="15">
      <c r="A17" s="12"/>
      <c r="B17" s="12"/>
      <c r="C17" s="12"/>
      <c r="D17" s="12"/>
      <c r="E17" s="12"/>
      <c r="F17" s="12"/>
      <c r="G17" s="12"/>
      <c r="H17" s="12"/>
      <c r="I17" s="12"/>
      <c r="J17" s="12"/>
      <c r="K17" s="12"/>
      <c r="L17" s="12"/>
      <c r="M17" s="12"/>
      <c r="N17" s="12"/>
      <c r="O17" s="12"/>
      <c r="P17" s="12"/>
      <c r="Q17" s="12"/>
      <c r="R17" s="12"/>
      <c r="S17" s="12"/>
      <c r="T17" s="12"/>
      <c r="U17" s="12"/>
    </row>
    <row r="18" spans="1:21" ht="15">
      <c r="A18" s="12"/>
      <c r="B18" s="17" t="s">
        <v>77</v>
      </c>
      <c r="C18" s="17"/>
      <c r="D18" s="13"/>
      <c r="E18" s="13"/>
      <c r="F18" s="13"/>
      <c r="G18" s="13"/>
      <c r="H18" s="13"/>
      <c r="I18" s="13"/>
      <c r="J18" s="13"/>
      <c r="K18" s="13"/>
      <c r="L18" s="13"/>
      <c r="M18" s="13"/>
      <c r="N18" s="13"/>
      <c r="O18" s="13"/>
      <c r="P18" s="13"/>
      <c r="Q18" s="13"/>
      <c r="R18" s="13"/>
      <c r="S18" s="13"/>
      <c r="T18" s="13"/>
      <c r="U18" s="13"/>
    </row>
    <row r="19" spans="1:21" ht="15">
      <c r="A19" s="12"/>
      <c r="B19" s="12"/>
      <c r="C19" s="12" t="s">
        <v>78</v>
      </c>
      <c r="D19" s="12">
        <v>0</v>
      </c>
      <c r="E19" s="12">
        <v>0</v>
      </c>
      <c r="F19" s="12"/>
      <c r="G19" s="12"/>
      <c r="H19" s="12"/>
      <c r="I19" s="12"/>
      <c r="J19" s="12"/>
      <c r="K19" s="12"/>
      <c r="L19" s="12"/>
      <c r="M19" s="12"/>
      <c r="N19" s="12"/>
      <c r="O19" s="12"/>
      <c r="P19" s="12"/>
      <c r="Q19" s="12"/>
      <c r="R19" s="12"/>
      <c r="S19" s="12"/>
      <c r="T19" s="12"/>
      <c r="U19" s="12"/>
    </row>
    <row r="20" spans="1:21" ht="15">
      <c r="A20" s="12"/>
      <c r="B20" s="12"/>
      <c r="C20" s="12" t="s">
        <v>79</v>
      </c>
      <c r="D20" s="12">
        <v>1</v>
      </c>
      <c r="E20" s="12">
        <v>1</v>
      </c>
      <c r="F20" s="12"/>
      <c r="G20" s="12"/>
      <c r="H20" s="12"/>
      <c r="I20" s="12"/>
      <c r="J20" s="12"/>
      <c r="K20" s="12"/>
      <c r="L20" s="12"/>
      <c r="M20" s="12"/>
      <c r="N20" s="12"/>
      <c r="O20" s="12"/>
      <c r="P20" s="12"/>
      <c r="Q20" s="12"/>
      <c r="R20" s="12"/>
      <c r="S20" s="12"/>
      <c r="T20" s="12"/>
      <c r="U20" s="12"/>
    </row>
    <row r="21" spans="1:21" ht="15">
      <c r="A21" s="12"/>
      <c r="B21" s="12"/>
      <c r="C21" s="12" t="s">
        <v>80</v>
      </c>
      <c r="D21" s="12">
        <v>4</v>
      </c>
      <c r="E21" s="12">
        <v>7</v>
      </c>
      <c r="F21" s="12"/>
      <c r="G21" s="12"/>
      <c r="H21" s="12"/>
      <c r="I21" s="12"/>
      <c r="J21" s="12">
        <v>1</v>
      </c>
      <c r="K21" s="12"/>
      <c r="L21" s="12"/>
      <c r="M21" s="12"/>
      <c r="N21" s="12"/>
      <c r="O21" s="12"/>
      <c r="P21" s="12"/>
      <c r="Q21" s="12"/>
      <c r="R21" s="12"/>
      <c r="S21" s="12"/>
      <c r="T21" s="12"/>
      <c r="U21" s="12"/>
    </row>
    <row r="22" spans="1:21" ht="15">
      <c r="A22" s="12"/>
      <c r="B22" s="12"/>
      <c r="C22" s="12" t="s">
        <v>81</v>
      </c>
      <c r="D22" s="12">
        <v>0</v>
      </c>
      <c r="E22" s="12">
        <v>0</v>
      </c>
      <c r="F22" s="12">
        <v>1</v>
      </c>
      <c r="G22" s="12"/>
      <c r="H22" s="12"/>
      <c r="I22" s="12"/>
      <c r="J22" s="12"/>
      <c r="K22" s="12"/>
      <c r="L22" s="12"/>
      <c r="M22" s="12"/>
      <c r="N22" s="12"/>
      <c r="O22" s="12"/>
      <c r="P22" s="12"/>
      <c r="Q22" s="12"/>
      <c r="R22" s="12"/>
      <c r="S22" s="12"/>
      <c r="T22" s="12"/>
      <c r="U22" s="12"/>
    </row>
    <row r="23" spans="1:21" ht="15">
      <c r="A23" s="12"/>
      <c r="B23" s="12"/>
      <c r="C23" s="12" t="s">
        <v>82</v>
      </c>
      <c r="D23" s="12">
        <v>7</v>
      </c>
      <c r="E23" s="12">
        <v>0</v>
      </c>
      <c r="F23" s="12"/>
      <c r="G23" s="12"/>
      <c r="H23" s="12">
        <v>2</v>
      </c>
      <c r="I23" s="12">
        <v>1</v>
      </c>
      <c r="J23" s="12"/>
      <c r="K23" s="12"/>
      <c r="L23" s="12"/>
      <c r="M23" s="12"/>
      <c r="N23" s="12"/>
      <c r="O23" s="12"/>
      <c r="P23" s="12"/>
      <c r="Q23" s="12"/>
      <c r="R23" s="12"/>
      <c r="S23" s="12"/>
      <c r="T23" s="12"/>
      <c r="U23" s="12"/>
    </row>
    <row r="24" spans="1:21" ht="15.75" thickBot="1">
      <c r="A24" s="12"/>
      <c r="B24" s="15"/>
      <c r="C24" s="15" t="s">
        <v>83</v>
      </c>
      <c r="D24" s="15">
        <v>1</v>
      </c>
      <c r="E24" s="15">
        <v>1</v>
      </c>
      <c r="F24" s="15"/>
      <c r="G24" s="15"/>
      <c r="H24" s="15"/>
      <c r="I24" s="15"/>
      <c r="J24" s="15"/>
      <c r="K24" s="15">
        <v>1</v>
      </c>
      <c r="L24" s="15"/>
      <c r="M24" s="15"/>
      <c r="N24" s="15"/>
      <c r="O24" s="15"/>
      <c r="P24" s="15"/>
      <c r="Q24" s="15"/>
      <c r="R24" s="15"/>
      <c r="S24" s="15"/>
      <c r="T24" s="15"/>
      <c r="U24" s="15"/>
    </row>
    <row r="25" spans="1:21" ht="15.75" thickTop="1">
      <c r="A25" s="12"/>
      <c r="B25" s="12" t="str">
        <f>"Total "&amp;B18</f>
        <v>Total Operations &amp; Administrative Staff</v>
      </c>
      <c r="D25" s="12">
        <f>SUM(D19:D24)</f>
        <v>13</v>
      </c>
      <c r="E25" s="12">
        <f t="shared" si="2" ref="E25:U25">SUM(E19:E24)</f>
        <v>9</v>
      </c>
      <c r="F25" s="12">
        <f t="shared" si="2"/>
        <v>1</v>
      </c>
      <c r="G25" s="12">
        <f t="shared" si="2"/>
        <v>0</v>
      </c>
      <c r="H25" s="12">
        <f t="shared" si="2"/>
        <v>2</v>
      </c>
      <c r="I25" s="12">
        <f t="shared" si="2"/>
        <v>1</v>
      </c>
      <c r="J25" s="12">
        <f t="shared" si="2"/>
        <v>1</v>
      </c>
      <c r="K25" s="12">
        <f t="shared" si="2"/>
        <v>1</v>
      </c>
      <c r="L25" s="12">
        <f t="shared" si="2"/>
        <v>0</v>
      </c>
      <c r="M25" s="12">
        <f t="shared" si="2"/>
        <v>0</v>
      </c>
      <c r="N25" s="12">
        <f t="shared" si="2"/>
        <v>0</v>
      </c>
      <c r="O25" s="12">
        <f t="shared" si="2"/>
        <v>0</v>
      </c>
      <c r="P25" s="12">
        <f t="shared" si="2"/>
        <v>0</v>
      </c>
      <c r="Q25" s="12">
        <f t="shared" si="2"/>
        <v>0</v>
      </c>
      <c r="R25" s="12">
        <f t="shared" si="2"/>
        <v>0</v>
      </c>
      <c r="S25" s="12">
        <f t="shared" si="2"/>
        <v>0</v>
      </c>
      <c r="T25" s="12">
        <f t="shared" si="2"/>
        <v>0</v>
      </c>
      <c r="U25" s="12">
        <f t="shared" si="2"/>
        <v>0</v>
      </c>
    </row>
    <row r="26" spans="1:21" ht="15">
      <c r="A26" s="12"/>
      <c r="B26" s="12"/>
      <c r="C26" s="12"/>
      <c r="D26" s="12"/>
      <c r="E26" s="12"/>
      <c r="F26" s="12"/>
      <c r="G26" s="12"/>
      <c r="H26" s="12"/>
      <c r="I26" s="12"/>
      <c r="J26" s="12"/>
      <c r="K26" s="12"/>
      <c r="L26" s="12"/>
      <c r="M26" s="12"/>
      <c r="N26" s="12"/>
      <c r="O26" s="12"/>
      <c r="P26" s="12"/>
      <c r="Q26" s="12"/>
      <c r="R26" s="12"/>
      <c r="S26" s="12"/>
      <c r="T26" s="12"/>
      <c r="U26" s="12"/>
    </row>
    <row r="27" spans="1:21" ht="15.75" thickBot="1">
      <c r="A27" s="16" t="s">
        <v>85</v>
      </c>
      <c r="B27" s="16"/>
      <c r="C27" s="14"/>
      <c r="D27" s="14"/>
      <c r="E27" s="14"/>
      <c r="F27" s="14"/>
      <c r="G27" s="14"/>
      <c r="H27" s="14"/>
      <c r="I27" s="14"/>
      <c r="J27" s="14"/>
      <c r="K27" s="14"/>
      <c r="L27" s="14"/>
      <c r="M27" s="14"/>
      <c r="N27" s="14"/>
      <c r="O27" s="14"/>
      <c r="P27" s="14"/>
      <c r="Q27" s="14"/>
      <c r="R27" s="14"/>
      <c r="S27" s="14"/>
      <c r="T27" s="14"/>
      <c r="U27" s="14"/>
    </row>
    <row r="28" spans="1:21" ht="15">
      <c r="A28" s="12"/>
      <c r="B28" s="12"/>
      <c r="C28" s="12" t="s">
        <v>86</v>
      </c>
      <c r="D28" s="12">
        <v>0</v>
      </c>
      <c r="E28" s="12">
        <v>0</v>
      </c>
      <c r="F28" s="12"/>
      <c r="G28" s="12"/>
      <c r="H28" s="12"/>
      <c r="I28" s="12"/>
      <c r="J28" s="12"/>
      <c r="K28" s="12"/>
      <c r="L28" s="12"/>
      <c r="M28" s="12"/>
      <c r="N28" s="12"/>
      <c r="O28" s="12"/>
      <c r="P28" s="12"/>
      <c r="Q28" s="12"/>
      <c r="R28" s="12"/>
      <c r="S28" s="12"/>
      <c r="T28" s="12"/>
      <c r="U28" s="12"/>
    </row>
    <row r="29" spans="1:21" ht="15.75" thickBot="1">
      <c r="A29" s="12"/>
      <c r="B29" s="15"/>
      <c r="C29" s="15" t="s">
        <v>87</v>
      </c>
      <c r="D29" s="15">
        <v>0</v>
      </c>
      <c r="E29" s="15">
        <v>0</v>
      </c>
      <c r="F29" s="15"/>
      <c r="G29" s="15"/>
      <c r="H29" s="15"/>
      <c r="I29" s="15"/>
      <c r="J29" s="15"/>
      <c r="K29" s="15"/>
      <c r="L29" s="15"/>
      <c r="M29" s="15"/>
      <c r="N29" s="15"/>
      <c r="O29" s="15"/>
      <c r="P29" s="15"/>
      <c r="Q29" s="15"/>
      <c r="R29" s="15"/>
      <c r="S29" s="15"/>
      <c r="T29" s="15"/>
      <c r="U29" s="15"/>
    </row>
    <row r="30" spans="1:21" ht="15.75" thickTop="1">
      <c r="A30" s="12"/>
      <c r="B30" s="12"/>
      <c r="C30" s="12"/>
      <c r="D30" s="12">
        <f>SUM(D28:D29)</f>
        <v>0</v>
      </c>
      <c r="E30" s="12">
        <f t="shared" si="3" ref="E30:U30">SUM(E28:E29)</f>
        <v>0</v>
      </c>
      <c r="F30" s="12">
        <f t="shared" si="3"/>
        <v>0</v>
      </c>
      <c r="G30" s="12">
        <f t="shared" si="3"/>
        <v>0</v>
      </c>
      <c r="H30" s="12">
        <f t="shared" si="3"/>
        <v>0</v>
      </c>
      <c r="I30" s="12">
        <f t="shared" si="3"/>
        <v>0</v>
      </c>
      <c r="J30" s="12">
        <f t="shared" si="3"/>
        <v>0</v>
      </c>
      <c r="K30" s="12">
        <f t="shared" si="3"/>
        <v>0</v>
      </c>
      <c r="L30" s="12">
        <f t="shared" si="3"/>
        <v>0</v>
      </c>
      <c r="M30" s="12">
        <f t="shared" si="3"/>
        <v>0</v>
      </c>
      <c r="N30" s="12">
        <f t="shared" si="3"/>
        <v>0</v>
      </c>
      <c r="O30" s="12">
        <f t="shared" si="3"/>
        <v>0</v>
      </c>
      <c r="P30" s="12">
        <f t="shared" si="3"/>
        <v>0</v>
      </c>
      <c r="Q30" s="12">
        <f t="shared" si="3"/>
        <v>0</v>
      </c>
      <c r="R30" s="12">
        <f t="shared" si="3"/>
        <v>0</v>
      </c>
      <c r="S30" s="12">
        <f t="shared" si="3"/>
        <v>0</v>
      </c>
      <c r="T30" s="12">
        <f t="shared" si="3"/>
        <v>0</v>
      </c>
      <c r="U30" s="12">
        <f t="shared" si="3"/>
        <v>0</v>
      </c>
    </row>
    <row r="31" spans="1:21" ht="15">
      <c r="A31" s="12"/>
      <c r="B31" s="12"/>
      <c r="C31" s="12"/>
      <c r="D31" s="12"/>
      <c r="E31" s="12"/>
      <c r="F31" s="12"/>
      <c r="G31" s="12"/>
      <c r="H31" s="12"/>
      <c r="I31" s="12"/>
      <c r="J31" s="12"/>
      <c r="K31" s="12"/>
      <c r="L31" s="12"/>
      <c r="M31" s="12"/>
      <c r="N31" s="12"/>
      <c r="O31" s="12"/>
      <c r="P31" s="12"/>
      <c r="Q31" s="12"/>
      <c r="R31" s="12"/>
      <c r="S31" s="12"/>
      <c r="T31" s="12"/>
      <c r="U31" s="12"/>
    </row>
    <row r="32" spans="1:21" ht="15">
      <c r="A32" s="12"/>
      <c r="B32" s="12"/>
      <c r="C32" s="12"/>
      <c r="D32" s="12"/>
      <c r="E32" s="12"/>
      <c r="F32" s="12"/>
      <c r="G32" s="12"/>
      <c r="H32" s="12"/>
      <c r="I32" s="12"/>
      <c r="J32" s="12"/>
      <c r="K32" s="12"/>
      <c r="L32" s="12"/>
      <c r="M32" s="12"/>
      <c r="N32" s="12"/>
      <c r="O32" s="12"/>
      <c r="P32" s="12"/>
      <c r="Q32" s="12"/>
      <c r="R32" s="12"/>
      <c r="S32" s="12"/>
      <c r="T32" s="12"/>
      <c r="U32" s="12"/>
    </row>
    <row r="33" spans="1:21" ht="15">
      <c r="A33" s="12" t="s">
        <v>90</v>
      </c>
      <c r="B33" s="12"/>
      <c r="C33" s="12"/>
      <c r="D33" s="12">
        <f>SUM(D11,D16,D25)</f>
        <v>16</v>
      </c>
      <c r="E33" s="12">
        <f t="shared" si="4" ref="E33:U33">SUM(E11,E16,E25)</f>
        <v>40</v>
      </c>
      <c r="F33" s="12">
        <f t="shared" si="4"/>
        <v>1</v>
      </c>
      <c r="G33" s="12">
        <f t="shared" si="4"/>
        <v>1</v>
      </c>
      <c r="H33" s="12">
        <f t="shared" si="4"/>
        <v>2</v>
      </c>
      <c r="I33" s="12">
        <f t="shared" si="4"/>
        <v>1</v>
      </c>
      <c r="J33" s="12">
        <f t="shared" si="4"/>
        <v>2</v>
      </c>
      <c r="K33" s="12">
        <f t="shared" si="4"/>
        <v>3</v>
      </c>
      <c r="L33" s="12">
        <f t="shared" si="4"/>
        <v>0</v>
      </c>
      <c r="M33" s="12">
        <f t="shared" si="4"/>
        <v>0</v>
      </c>
      <c r="N33" s="12">
        <f t="shared" si="4"/>
        <v>0</v>
      </c>
      <c r="O33" s="12">
        <f t="shared" si="4"/>
        <v>0</v>
      </c>
      <c r="P33" s="12">
        <f t="shared" si="4"/>
        <v>0</v>
      </c>
      <c r="Q33" s="12">
        <f t="shared" si="4"/>
        <v>0</v>
      </c>
      <c r="R33" s="12">
        <f t="shared" si="4"/>
        <v>0</v>
      </c>
      <c r="S33" s="12">
        <f t="shared" si="4"/>
        <v>0</v>
      </c>
      <c r="T33" s="12">
        <f t="shared" si="4"/>
        <v>1</v>
      </c>
      <c r="U33" s="12">
        <f t="shared" si="4"/>
        <v>2</v>
      </c>
    </row>
    <row r="34" spans="1:21" ht="15.75" thickBot="1">
      <c r="A34" s="15" t="s">
        <v>89</v>
      </c>
      <c r="B34" s="19"/>
      <c r="C34" s="15"/>
      <c r="D34" s="15">
        <f>D30</f>
        <v>0</v>
      </c>
      <c r="E34" s="15">
        <f t="shared" si="5" ref="E34:U34">E30</f>
        <v>0</v>
      </c>
      <c r="F34" s="15">
        <f t="shared" si="5"/>
        <v>0</v>
      </c>
      <c r="G34" s="15">
        <f t="shared" si="5"/>
        <v>0</v>
      </c>
      <c r="H34" s="15">
        <f t="shared" si="5"/>
        <v>0</v>
      </c>
      <c r="I34" s="15">
        <f t="shared" si="5"/>
        <v>0</v>
      </c>
      <c r="J34" s="15">
        <f t="shared" si="5"/>
        <v>0</v>
      </c>
      <c r="K34" s="15">
        <f t="shared" si="5"/>
        <v>0</v>
      </c>
      <c r="L34" s="15">
        <f t="shared" si="5"/>
        <v>0</v>
      </c>
      <c r="M34" s="15">
        <f t="shared" si="5"/>
        <v>0</v>
      </c>
      <c r="N34" s="15">
        <f t="shared" si="5"/>
        <v>0</v>
      </c>
      <c r="O34" s="15">
        <f t="shared" si="5"/>
        <v>0</v>
      </c>
      <c r="P34" s="15">
        <f t="shared" si="5"/>
        <v>0</v>
      </c>
      <c r="Q34" s="15">
        <f t="shared" si="5"/>
        <v>0</v>
      </c>
      <c r="R34" s="15">
        <f t="shared" si="5"/>
        <v>0</v>
      </c>
      <c r="S34" s="15">
        <f t="shared" si="5"/>
        <v>0</v>
      </c>
      <c r="T34" s="15">
        <f t="shared" si="5"/>
        <v>0</v>
      </c>
      <c r="U34" s="15">
        <f t="shared" si="5"/>
        <v>0</v>
      </c>
    </row>
    <row r="35" spans="1:21" ht="15.75" thickTop="1">
      <c r="A35" s="12" t="s">
        <v>91</v>
      </c>
      <c r="B35" s="12"/>
      <c r="C35" s="12"/>
      <c r="D35" s="12">
        <f>SUM(D33:D34)</f>
        <v>16</v>
      </c>
      <c r="E35" s="12">
        <f t="shared" si="6" ref="E35:U35">SUM(E33:E34)</f>
        <v>40</v>
      </c>
      <c r="F35" s="12">
        <f t="shared" si="6"/>
        <v>1</v>
      </c>
      <c r="G35" s="12">
        <f t="shared" si="6"/>
        <v>1</v>
      </c>
      <c r="H35" s="12">
        <f t="shared" si="6"/>
        <v>2</v>
      </c>
      <c r="I35" s="12">
        <f t="shared" si="6"/>
        <v>1</v>
      </c>
      <c r="J35" s="12">
        <f t="shared" si="6"/>
        <v>2</v>
      </c>
      <c r="K35" s="12">
        <f t="shared" si="6"/>
        <v>3</v>
      </c>
      <c r="L35" s="12">
        <f t="shared" si="6"/>
        <v>0</v>
      </c>
      <c r="M35" s="12">
        <f t="shared" si="6"/>
        <v>0</v>
      </c>
      <c r="N35" s="12">
        <f t="shared" si="6"/>
        <v>0</v>
      </c>
      <c r="O35" s="12">
        <f t="shared" si="6"/>
        <v>0</v>
      </c>
      <c r="P35" s="12">
        <f t="shared" si="6"/>
        <v>0</v>
      </c>
      <c r="Q35" s="12">
        <f t="shared" si="6"/>
        <v>0</v>
      </c>
      <c r="R35" s="12">
        <f t="shared" si="6"/>
        <v>0</v>
      </c>
      <c r="S35" s="12">
        <f t="shared" si="6"/>
        <v>0</v>
      </c>
      <c r="T35" s="12">
        <f t="shared" si="6"/>
        <v>1</v>
      </c>
      <c r="U35" s="12">
        <f t="shared" si="6"/>
        <v>2</v>
      </c>
    </row>
  </sheetData>
  <mergeCells count="11">
    <mergeCell ref="A1:U1"/>
    <mergeCell ref="A2:U2"/>
    <mergeCell ref="D4:E4"/>
    <mergeCell ref="F4:G4"/>
    <mergeCell ref="H4:I4"/>
    <mergeCell ref="J4:K4"/>
    <mergeCell ref="L4:M4"/>
    <mergeCell ref="N4:O4"/>
    <mergeCell ref="P4:Q4"/>
    <mergeCell ref="R4:S4"/>
    <mergeCell ref="T4:U4"/>
  </mergeCells>
  <conditionalFormatting sqref="D8:U10 D14:U15 D19:U24 D28:U29">
    <cfRule type="cellIs" priority="1" dxfId="22" operator="equal">
      <formula>""</formula>
    </cfRule>
  </conditionalFormatting>
  <pageMargins left="0.25" right="0.25" top="0.75" bottom="0.75" header="0.3" footer="0.3"/>
  <pageSetup orientation="landscape" paperSize="1" scale="58" r:id="rId2"/>
  <headerFooter>
    <oddHeader>&amp;C&amp;G</oddHeader>
    <oddFooter>&amp;C&amp;G</oddFooter>
  </headerFooter>
  <legacyDrawingHF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169363-A64E-4141-B4AE-782206CB8998}">
  <sheetPr>
    <tabColor theme="8"/>
  </sheetPr>
  <dimension ref="A1:Y20"/>
  <sheetViews>
    <sheetView showGridLines="0" view="pageLayout" zoomScaleNormal="115" zoomScaleSheetLayoutView="100" workbookViewId="0" topLeftCell="A1">
      <selection pane="topLeft" activeCell="N18" sqref="N18"/>
    </sheetView>
  </sheetViews>
  <sheetFormatPr defaultColWidth="8.714285714285714" defaultRowHeight="15"/>
  <cols>
    <col min="1" max="1" width="8.714285714285714" style="10"/>
    <col min="2" max="2" width="29.285714285714285" style="10" bestFit="1" customWidth="1"/>
    <col min="3" max="16384" width="8.714285714285714" style="10"/>
  </cols>
  <sheetData>
    <row r="1" spans="1:25" ht="18.75">
      <c r="A1" s="31" t="s">
        <v>93</v>
      </c>
      <c r="B1" s="31"/>
      <c r="C1" s="31"/>
      <c r="D1" s="31"/>
      <c r="E1" s="31"/>
      <c r="F1" s="31"/>
      <c r="G1" s="31"/>
      <c r="H1" s="31"/>
      <c r="I1" s="31"/>
      <c r="J1" s="31"/>
      <c r="K1" s="31"/>
      <c r="L1" s="31"/>
      <c r="M1" s="31"/>
      <c r="N1" s="31"/>
      <c r="O1" s="31"/>
      <c r="P1" s="31"/>
      <c r="Q1" s="31"/>
      <c r="R1" s="31"/>
      <c r="S1" s="31"/>
      <c r="T1" s="31"/>
      <c r="U1" s="31"/>
      <c r="V1" s="31"/>
      <c r="W1" s="31"/>
      <c r="X1" s="31"/>
      <c r="Y1" s="31"/>
    </row>
    <row r="2" spans="1:25" ht="15">
      <c r="A2" s="32" t="s">
        <v>92</v>
      </c>
      <c r="B2" s="32"/>
      <c r="C2" s="32"/>
      <c r="D2" s="32"/>
      <c r="E2" s="32"/>
      <c r="F2" s="32"/>
      <c r="G2" s="32"/>
      <c r="H2" s="32"/>
      <c r="I2" s="32"/>
      <c r="J2" s="32"/>
      <c r="K2" s="32"/>
      <c r="L2" s="32"/>
      <c r="M2" s="32"/>
      <c r="N2" s="32"/>
      <c r="O2" s="32"/>
      <c r="P2" s="32"/>
      <c r="Q2" s="32"/>
      <c r="R2" s="32"/>
      <c r="S2" s="32"/>
      <c r="T2" s="32"/>
      <c r="U2" s="32"/>
      <c r="V2" s="32"/>
      <c r="W2" s="32"/>
      <c r="X2" s="32"/>
      <c r="Y2" s="32"/>
    </row>
    <row r="3" spans="1:25" ht="15">
      <c r="A3" s="33"/>
      <c r="B3" s="33"/>
      <c r="C3" s="33"/>
      <c r="D3" s="33"/>
      <c r="E3" s="33"/>
      <c r="F3" s="33"/>
      <c r="G3" s="33"/>
      <c r="H3" s="33"/>
      <c r="I3" s="33"/>
      <c r="J3" s="33"/>
      <c r="K3" s="33"/>
      <c r="L3" s="33"/>
      <c r="M3" s="33"/>
      <c r="N3" s="33"/>
      <c r="O3" s="33"/>
      <c r="P3" s="33"/>
      <c r="Q3" s="33"/>
      <c r="R3" s="33"/>
      <c r="S3" s="33"/>
      <c r="T3" s="33"/>
      <c r="U3" s="33"/>
      <c r="V3" s="33"/>
      <c r="W3" s="33"/>
      <c r="X3" s="33"/>
      <c r="Y3" s="33"/>
    </row>
    <row r="4" spans="1:19" ht="33" customHeight="1">
      <c r="A4" s="34"/>
      <c r="B4" s="34"/>
      <c r="C4" s="34"/>
      <c r="D4" s="70" t="s">
        <v>1</v>
      </c>
      <c r="E4" s="70"/>
      <c r="F4" s="70" t="s">
        <v>56</v>
      </c>
      <c r="G4" s="70"/>
      <c r="H4" s="70" t="s">
        <v>4</v>
      </c>
      <c r="I4" s="70"/>
      <c r="J4" s="70" t="s">
        <v>2</v>
      </c>
      <c r="K4" s="70"/>
      <c r="L4" s="70" t="s">
        <v>52</v>
      </c>
      <c r="M4" s="70"/>
      <c r="N4" s="70" t="s">
        <v>50</v>
      </c>
      <c r="O4" s="70"/>
      <c r="P4" s="70" t="s">
        <v>3</v>
      </c>
      <c r="Q4" s="70"/>
      <c r="R4" s="70" t="s">
        <v>9</v>
      </c>
      <c r="S4" s="70"/>
    </row>
    <row r="5" spans="1:19" ht="15">
      <c r="A5" s="34"/>
      <c r="B5" s="34"/>
      <c r="C5" s="34"/>
      <c r="D5" s="35" t="s">
        <v>6</v>
      </c>
      <c r="E5" s="35" t="s">
        <v>0</v>
      </c>
      <c r="F5" s="35" t="s">
        <v>6</v>
      </c>
      <c r="G5" s="35" t="s">
        <v>0</v>
      </c>
      <c r="H5" s="35" t="s">
        <v>6</v>
      </c>
      <c r="I5" s="35" t="s">
        <v>0</v>
      </c>
      <c r="J5" s="35" t="s">
        <v>6</v>
      </c>
      <c r="K5" s="35" t="s">
        <v>0</v>
      </c>
      <c r="L5" s="35" t="s">
        <v>6</v>
      </c>
      <c r="M5" s="35" t="s">
        <v>0</v>
      </c>
      <c r="N5" s="35" t="s">
        <v>6</v>
      </c>
      <c r="O5" s="35" t="s">
        <v>0</v>
      </c>
      <c r="P5" s="35" t="s">
        <v>6</v>
      </c>
      <c r="Q5" s="35" t="s">
        <v>0</v>
      </c>
      <c r="R5" s="35" t="s">
        <v>6</v>
      </c>
      <c r="S5" s="35" t="s">
        <v>0</v>
      </c>
    </row>
    <row r="6" spans="1:19" ht="20.25" customHeight="1" thickBot="1">
      <c r="A6" s="36" t="s">
        <v>84</v>
      </c>
      <c r="B6" s="36"/>
      <c r="C6" s="37"/>
      <c r="D6" s="38">
        <f>IFERROR('Employee Data Matrix'!D33/SUM('Employee Data Matrix'!$D$33:$S$33),0)</f>
        <v>0.24242424242424243</v>
      </c>
      <c r="E6" s="38">
        <f>IFERROR('Employee Data Matrix'!E33/SUM('Employee Data Matrix'!$D$33:$S$33),0)</f>
        <v>0.6060606060606061</v>
      </c>
      <c r="F6" s="38">
        <f>IFERROR('Employee Data Matrix'!F33/SUM('Employee Data Matrix'!$D$33:$S$33),0)</f>
        <v>0.015151515151515152</v>
      </c>
      <c r="G6" s="38">
        <f>IFERROR('Employee Data Matrix'!G33/SUM('Employee Data Matrix'!$D$33:$S$33),0)</f>
        <v>0.015151515151515152</v>
      </c>
      <c r="H6" s="38">
        <f>IFERROR('Employee Data Matrix'!H33/SUM('Employee Data Matrix'!$D$33:$S$33),0)</f>
        <v>0.030303030303030304</v>
      </c>
      <c r="I6" s="38">
        <f>IFERROR('Employee Data Matrix'!I33/SUM('Employee Data Matrix'!$D$33:$S$33),0)</f>
        <v>0.015151515151515152</v>
      </c>
      <c r="J6" s="38">
        <f>IFERROR('Employee Data Matrix'!J33/SUM('Employee Data Matrix'!$D$33:$S$33),0)</f>
        <v>0.030303030303030304</v>
      </c>
      <c r="K6" s="38">
        <f>IFERROR('Employee Data Matrix'!K33/SUM('Employee Data Matrix'!$D$33:$S$33),0)</f>
        <v>0.045454545454545456</v>
      </c>
      <c r="L6" s="38">
        <f>IFERROR('Employee Data Matrix'!L33/SUM('Employee Data Matrix'!$D$33:$S$33),0)</f>
        <v>0</v>
      </c>
      <c r="M6" s="38">
        <f>IFERROR('Employee Data Matrix'!M33/SUM('Employee Data Matrix'!$D$33:$S$33),0)</f>
        <v>0</v>
      </c>
      <c r="N6" s="38">
        <f>IFERROR('Employee Data Matrix'!N33/SUM('Employee Data Matrix'!$D$33:$S$33),0)</f>
        <v>0</v>
      </c>
      <c r="O6" s="38">
        <f>IFERROR('Employee Data Matrix'!O33/SUM('Employee Data Matrix'!$D$33:$S$33),0)</f>
        <v>0</v>
      </c>
      <c r="P6" s="38">
        <f>IFERROR('Employee Data Matrix'!P33/SUM('Employee Data Matrix'!$D$33:$S$33),0)</f>
        <v>0</v>
      </c>
      <c r="Q6" s="38">
        <f>IFERROR('Employee Data Matrix'!Q33/SUM('Employee Data Matrix'!$D$33:$S$33),0)</f>
        <v>0</v>
      </c>
      <c r="R6" s="38">
        <f>IFERROR('Employee Data Matrix'!R33/SUM('Employee Data Matrix'!$D$33:$S$33),0)</f>
        <v>0</v>
      </c>
      <c r="S6" s="38">
        <f>IFERROR('Employee Data Matrix'!S33/SUM('Employee Data Matrix'!$D$33:$S$33),0)</f>
        <v>0</v>
      </c>
    </row>
    <row r="7" spans="1:19" ht="20.25" customHeight="1">
      <c r="A7" s="39"/>
      <c r="B7" s="40" t="s">
        <v>74</v>
      </c>
      <c r="C7" s="41"/>
      <c r="D7" s="42">
        <f>IFERROR('Employee Data Matrix'!D11/SUM('Employee Data Matrix'!$D$33:$S$33),0)</f>
        <v>0.030303030303030304</v>
      </c>
      <c r="E7" s="42">
        <f>IFERROR('Employee Data Matrix'!E11/SUM('Employee Data Matrix'!$D$33:$S$33),0)</f>
        <v>0.22727272727272727</v>
      </c>
      <c r="F7" s="42">
        <f>IFERROR('Employee Data Matrix'!F11/SUM('Employee Data Matrix'!$D$33:$S$33),0)</f>
        <v>0</v>
      </c>
      <c r="G7" s="42">
        <f>IFERROR('Employee Data Matrix'!G11/SUM('Employee Data Matrix'!$D$33:$S$33),0)</f>
        <v>0</v>
      </c>
      <c r="H7" s="42">
        <f>IFERROR('Employee Data Matrix'!H11/SUM('Employee Data Matrix'!$D$33:$S$33),0)</f>
        <v>0</v>
      </c>
      <c r="I7" s="42">
        <f>IFERROR('Employee Data Matrix'!I11/SUM('Employee Data Matrix'!$D$33:$S$33),0)</f>
        <v>0</v>
      </c>
      <c r="J7" s="42">
        <f>IFERROR('Employee Data Matrix'!J11/SUM('Employee Data Matrix'!$D$33:$S$33),0)</f>
        <v>0.015151515151515152</v>
      </c>
      <c r="K7" s="42">
        <f>IFERROR('Employee Data Matrix'!K11/SUM('Employee Data Matrix'!$D$33:$S$33),0)</f>
        <v>0.015151515151515152</v>
      </c>
      <c r="L7" s="42">
        <f>IFERROR('Employee Data Matrix'!L11/SUM('Employee Data Matrix'!$D$33:$S$33),0)</f>
        <v>0</v>
      </c>
      <c r="M7" s="42">
        <f>IFERROR('Employee Data Matrix'!M11/SUM('Employee Data Matrix'!$D$33:$S$33),0)</f>
        <v>0</v>
      </c>
      <c r="N7" s="42">
        <f>IFERROR('Employee Data Matrix'!N11/SUM('Employee Data Matrix'!$D$33:$S$33),0)</f>
        <v>0</v>
      </c>
      <c r="O7" s="42">
        <f>IFERROR('Employee Data Matrix'!O11/SUM('Employee Data Matrix'!$D$33:$S$33),0)</f>
        <v>0</v>
      </c>
      <c r="P7" s="42">
        <f>IFERROR('Employee Data Matrix'!P11/SUM('Employee Data Matrix'!$D$33:$S$33),0)</f>
        <v>0</v>
      </c>
      <c r="Q7" s="42">
        <f>IFERROR('Employee Data Matrix'!Q11/SUM('Employee Data Matrix'!$D$33:$S$33),0)</f>
        <v>0</v>
      </c>
      <c r="R7" s="42">
        <f>IFERROR('Employee Data Matrix'!R11/SUM('Employee Data Matrix'!$D$33:$S$33),0)</f>
        <v>0</v>
      </c>
      <c r="S7" s="42">
        <f>IFERROR('Employee Data Matrix'!S11/SUM('Employee Data Matrix'!$D$33:$S$33),0)</f>
        <v>0</v>
      </c>
    </row>
    <row r="8" spans="1:19" ht="20.25" customHeight="1">
      <c r="A8" s="43"/>
      <c r="B8" s="44" t="s">
        <v>5</v>
      </c>
      <c r="C8" s="44"/>
      <c r="D8" s="42">
        <f>IFERROR('Employee Data Matrix'!D16/SUM('Employee Data Matrix'!$D$33:$S$33),0)</f>
        <v>0.015151515151515152</v>
      </c>
      <c r="E8" s="42">
        <f>IFERROR('Employee Data Matrix'!E16/SUM('Employee Data Matrix'!$D$33:$S$33),0)</f>
        <v>0.24242424242424243</v>
      </c>
      <c r="F8" s="42">
        <f>IFERROR('Employee Data Matrix'!F16/SUM('Employee Data Matrix'!$D$33:$S$33),0)</f>
        <v>0</v>
      </c>
      <c r="G8" s="42">
        <f>IFERROR('Employee Data Matrix'!G16/SUM('Employee Data Matrix'!$D$33:$S$33),0)</f>
        <v>0.015151515151515152</v>
      </c>
      <c r="H8" s="42">
        <f>IFERROR('Employee Data Matrix'!H16/SUM('Employee Data Matrix'!$D$33:$S$33),0)</f>
        <v>0</v>
      </c>
      <c r="I8" s="42">
        <f>IFERROR('Employee Data Matrix'!I16/SUM('Employee Data Matrix'!$D$33:$S$33),0)</f>
        <v>0</v>
      </c>
      <c r="J8" s="42">
        <f>IFERROR('Employee Data Matrix'!J16/SUM('Employee Data Matrix'!$D$33:$S$33),0)</f>
        <v>0</v>
      </c>
      <c r="K8" s="42">
        <f>IFERROR('Employee Data Matrix'!K16/SUM('Employee Data Matrix'!$D$33:$S$33),0)</f>
        <v>0.015151515151515152</v>
      </c>
      <c r="L8" s="42">
        <f>IFERROR('Employee Data Matrix'!L16/SUM('Employee Data Matrix'!$D$33:$S$33),0)</f>
        <v>0</v>
      </c>
      <c r="M8" s="42">
        <f>IFERROR('Employee Data Matrix'!M16/SUM('Employee Data Matrix'!$D$33:$S$33),0)</f>
        <v>0</v>
      </c>
      <c r="N8" s="42">
        <f>IFERROR('Employee Data Matrix'!N16/SUM('Employee Data Matrix'!$D$33:$S$33),0)</f>
        <v>0</v>
      </c>
      <c r="O8" s="42">
        <f>IFERROR('Employee Data Matrix'!O16/SUM('Employee Data Matrix'!$D$33:$S$33),0)</f>
        <v>0</v>
      </c>
      <c r="P8" s="42">
        <f>IFERROR('Employee Data Matrix'!P16/SUM('Employee Data Matrix'!$D$33:$S$33),0)</f>
        <v>0</v>
      </c>
      <c r="Q8" s="42">
        <f>IFERROR('Employee Data Matrix'!Q16/SUM('Employee Data Matrix'!$D$33:$S$33),0)</f>
        <v>0</v>
      </c>
      <c r="R8" s="42">
        <f>IFERROR('Employee Data Matrix'!R16/SUM('Employee Data Matrix'!$D$33:$S$33),0)</f>
        <v>0</v>
      </c>
      <c r="S8" s="42">
        <f>IFERROR('Employee Data Matrix'!S16/SUM('Employee Data Matrix'!$D$33:$S$33),0)</f>
        <v>0</v>
      </c>
    </row>
    <row r="9" spans="1:19" ht="20.25" customHeight="1">
      <c r="A9" s="34"/>
      <c r="B9" s="44" t="s">
        <v>77</v>
      </c>
      <c r="C9" s="44"/>
      <c r="D9" s="45">
        <f>IFERROR('Employee Data Matrix'!D25/SUM('Employee Data Matrix'!$D$33:$S$33),0)</f>
        <v>0.19696969696969696</v>
      </c>
      <c r="E9" s="45">
        <f>IFERROR('Employee Data Matrix'!E25/SUM('Employee Data Matrix'!$D$33:$S$33),0)</f>
        <v>0.13636363636363635</v>
      </c>
      <c r="F9" s="45">
        <f>IFERROR('Employee Data Matrix'!F25/SUM('Employee Data Matrix'!$D$33:$S$33),0)</f>
        <v>0.015151515151515152</v>
      </c>
      <c r="G9" s="45">
        <f>IFERROR('Employee Data Matrix'!G25/SUM('Employee Data Matrix'!$D$33:$S$33),0)</f>
        <v>0</v>
      </c>
      <c r="H9" s="45">
        <f>IFERROR('Employee Data Matrix'!H25/SUM('Employee Data Matrix'!$D$33:$S$33),0)</f>
        <v>0.030303030303030304</v>
      </c>
      <c r="I9" s="45">
        <f>IFERROR('Employee Data Matrix'!I25/SUM('Employee Data Matrix'!$D$33:$S$33),0)</f>
        <v>0.015151515151515152</v>
      </c>
      <c r="J9" s="45">
        <f>IFERROR('Employee Data Matrix'!J25/SUM('Employee Data Matrix'!$D$33:$S$33),0)</f>
        <v>0.015151515151515152</v>
      </c>
      <c r="K9" s="45">
        <f>IFERROR('Employee Data Matrix'!K25/SUM('Employee Data Matrix'!$D$33:$S$33),0)</f>
        <v>0.015151515151515152</v>
      </c>
      <c r="L9" s="45">
        <f>IFERROR('Employee Data Matrix'!L25/SUM('Employee Data Matrix'!$D$33:$S$33),0)</f>
        <v>0</v>
      </c>
      <c r="M9" s="45">
        <f>IFERROR('Employee Data Matrix'!M25/SUM('Employee Data Matrix'!$D$33:$S$33),0)</f>
        <v>0</v>
      </c>
      <c r="N9" s="45">
        <f>IFERROR('Employee Data Matrix'!N25/SUM('Employee Data Matrix'!$D$33:$S$33),0)</f>
        <v>0</v>
      </c>
      <c r="O9" s="45">
        <f>IFERROR('Employee Data Matrix'!O25/SUM('Employee Data Matrix'!$D$33:$S$33),0)</f>
        <v>0</v>
      </c>
      <c r="P9" s="45">
        <f>IFERROR('Employee Data Matrix'!P25/SUM('Employee Data Matrix'!$D$33:$S$33),0)</f>
        <v>0</v>
      </c>
      <c r="Q9" s="45">
        <f>IFERROR('Employee Data Matrix'!Q25/SUM('Employee Data Matrix'!$D$33:$S$33),0)</f>
        <v>0</v>
      </c>
      <c r="R9" s="45">
        <f>IFERROR('Employee Data Matrix'!R25/SUM('Employee Data Matrix'!$D$33:$S$33),0)</f>
        <v>0</v>
      </c>
      <c r="S9" s="45">
        <f>IFERROR('Employee Data Matrix'!S25/SUM('Employee Data Matrix'!$D$33:$S$33),0)</f>
        <v>0</v>
      </c>
    </row>
    <row r="10" spans="1:19" ht="20.25" customHeight="1" thickBot="1">
      <c r="A10" s="46" t="s">
        <v>85</v>
      </c>
      <c r="B10" s="46"/>
      <c r="C10" s="47"/>
      <c r="D10" s="38">
        <f>IFERROR('Employee Data Matrix'!D34/SUM('Employee Data Matrix'!$D$34:$S$34),0)</f>
        <v>0</v>
      </c>
      <c r="E10" s="38">
        <f>IFERROR('Employee Data Matrix'!E34/SUM('Employee Data Matrix'!$D$34:$S$34),0)</f>
        <v>0</v>
      </c>
      <c r="F10" s="38">
        <f>IFERROR('Employee Data Matrix'!F34/SUM('Employee Data Matrix'!$D$34:$S$34),0)</f>
        <v>0</v>
      </c>
      <c r="G10" s="38">
        <f>IFERROR('Employee Data Matrix'!G34/SUM('Employee Data Matrix'!$D$34:$S$34),0)</f>
        <v>0</v>
      </c>
      <c r="H10" s="38">
        <f>IFERROR('Employee Data Matrix'!H34/SUM('Employee Data Matrix'!$D$34:$S$34),0)</f>
        <v>0</v>
      </c>
      <c r="I10" s="38">
        <f>IFERROR('Employee Data Matrix'!I34/SUM('Employee Data Matrix'!$D$34:$S$34),0)</f>
        <v>0</v>
      </c>
      <c r="J10" s="38">
        <f>IFERROR('Employee Data Matrix'!J34/SUM('Employee Data Matrix'!$D$34:$S$34),0)</f>
        <v>0</v>
      </c>
      <c r="K10" s="38">
        <f>IFERROR('Employee Data Matrix'!K34/SUM('Employee Data Matrix'!$D$34:$S$34),0)</f>
        <v>0</v>
      </c>
      <c r="L10" s="38">
        <f>IFERROR('Employee Data Matrix'!L34/SUM('Employee Data Matrix'!$D$34:$S$34),0)</f>
        <v>0</v>
      </c>
      <c r="M10" s="38">
        <f>IFERROR('Employee Data Matrix'!M34/SUM('Employee Data Matrix'!$D$34:$S$34),0)</f>
        <v>0</v>
      </c>
      <c r="N10" s="38">
        <f>IFERROR('Employee Data Matrix'!N34/SUM('Employee Data Matrix'!$D$34:$S$34),0)</f>
        <v>0</v>
      </c>
      <c r="O10" s="38">
        <f>IFERROR('Employee Data Matrix'!O34/SUM('Employee Data Matrix'!$D$34:$S$34),0)</f>
        <v>0</v>
      </c>
      <c r="P10" s="38">
        <f>IFERROR('Employee Data Matrix'!P34/SUM('Employee Data Matrix'!$D$34:$S$34),0)</f>
        <v>0</v>
      </c>
      <c r="Q10" s="38">
        <f>IFERROR('Employee Data Matrix'!Q34/SUM('Employee Data Matrix'!$D$34:$S$34),0)</f>
        <v>0</v>
      </c>
      <c r="R10" s="38">
        <f>IFERROR('Employee Data Matrix'!R34/SUM('Employee Data Matrix'!$D$34:$S$34),0)</f>
        <v>0</v>
      </c>
      <c r="S10" s="38">
        <f>IFERROR('Employee Data Matrix'!S34/SUM('Employee Data Matrix'!$D$34:$S$34),0)</f>
        <v>0</v>
      </c>
    </row>
    <row r="11" spans="1:19" ht="20.25" customHeight="1" thickBot="1">
      <c r="A11" s="46" t="s">
        <v>91</v>
      </c>
      <c r="B11" s="46"/>
      <c r="C11" s="47"/>
      <c r="D11" s="38">
        <f>IFERROR('Employee Data Matrix'!D35/SUM('Employee Data Matrix'!$D$35:$S$35),0)</f>
        <v>0.24242424242424243</v>
      </c>
      <c r="E11" s="38">
        <f>IFERROR('Employee Data Matrix'!E35/SUM('Employee Data Matrix'!$D$35:$S$35),0)</f>
        <v>0.6060606060606061</v>
      </c>
      <c r="F11" s="38">
        <f>IFERROR('Employee Data Matrix'!F35/SUM('Employee Data Matrix'!$D$35:$S$35),0)</f>
        <v>0.015151515151515152</v>
      </c>
      <c r="G11" s="38">
        <f>IFERROR('Employee Data Matrix'!G35/SUM('Employee Data Matrix'!$D$35:$S$35),0)</f>
        <v>0.015151515151515152</v>
      </c>
      <c r="H11" s="38">
        <f>IFERROR('Employee Data Matrix'!H35/SUM('Employee Data Matrix'!$D$35:$S$35),0)</f>
        <v>0.030303030303030304</v>
      </c>
      <c r="I11" s="38">
        <f>IFERROR('Employee Data Matrix'!I35/SUM('Employee Data Matrix'!$D$35:$S$35),0)</f>
        <v>0.015151515151515152</v>
      </c>
      <c r="J11" s="38">
        <f>IFERROR('Employee Data Matrix'!J35/SUM('Employee Data Matrix'!$D$35:$S$35),0)</f>
        <v>0.030303030303030304</v>
      </c>
      <c r="K11" s="38">
        <f>IFERROR('Employee Data Matrix'!K35/SUM('Employee Data Matrix'!$D$35:$S$35),0)</f>
        <v>0.045454545454545456</v>
      </c>
      <c r="L11" s="38">
        <f>IFERROR('Employee Data Matrix'!L35/SUM('Employee Data Matrix'!$D$35:$S$35),0)</f>
        <v>0</v>
      </c>
      <c r="M11" s="38">
        <f>IFERROR('Employee Data Matrix'!M35/SUM('Employee Data Matrix'!$D$35:$S$35),0)</f>
        <v>0</v>
      </c>
      <c r="N11" s="38">
        <f>IFERROR('Employee Data Matrix'!N35/SUM('Employee Data Matrix'!$D$35:$S$35),0)</f>
        <v>0</v>
      </c>
      <c r="O11" s="38">
        <f>IFERROR('Employee Data Matrix'!O35/SUM('Employee Data Matrix'!$D$35:$S$35),0)</f>
        <v>0</v>
      </c>
      <c r="P11" s="38">
        <f>IFERROR('Employee Data Matrix'!P35/SUM('Employee Data Matrix'!$D$35:$S$35),0)</f>
        <v>0</v>
      </c>
      <c r="Q11" s="38">
        <f>IFERROR('Employee Data Matrix'!Q35/SUM('Employee Data Matrix'!$D$35:$S$35),0)</f>
        <v>0</v>
      </c>
      <c r="R11" s="38">
        <f>IFERROR('Employee Data Matrix'!R35/SUM('Employee Data Matrix'!$D$35:$S$35),0)</f>
        <v>0</v>
      </c>
      <c r="S11" s="38">
        <f>IFERROR('Employee Data Matrix'!S35/SUM('Employee Data Matrix'!$D$35:$S$35),0)</f>
        <v>0</v>
      </c>
    </row>
    <row r="12" spans="1:19" ht="15">
      <c r="A12" s="34"/>
      <c r="B12" s="34"/>
      <c r="C12" s="34"/>
      <c r="D12" s="34"/>
      <c r="E12" s="34"/>
      <c r="F12" s="34"/>
      <c r="G12" s="34"/>
      <c r="H12" s="34"/>
      <c r="I12" s="34"/>
      <c r="J12" s="34"/>
      <c r="K12" s="34"/>
      <c r="L12" s="34"/>
      <c r="M12" s="34"/>
      <c r="N12" s="34"/>
      <c r="O12" s="34"/>
      <c r="P12" s="34"/>
      <c r="Q12" s="34"/>
      <c r="R12" s="34"/>
      <c r="S12" s="34"/>
    </row>
    <row r="13" spans="1:19" ht="30" customHeight="1">
      <c r="A13" s="34"/>
      <c r="B13" s="34"/>
      <c r="C13" s="34"/>
      <c r="D13" s="70" t="s">
        <v>88</v>
      </c>
      <c r="E13" s="70"/>
      <c r="F13" s="73"/>
      <c r="G13" s="73"/>
      <c r="H13" s="73"/>
      <c r="I13" s="73"/>
      <c r="J13" s="34"/>
      <c r="K13" s="34"/>
      <c r="L13" s="34"/>
      <c r="M13" s="34"/>
      <c r="N13" s="34"/>
      <c r="O13" s="34"/>
      <c r="P13" s="34"/>
      <c r="Q13" s="34"/>
      <c r="R13" s="34"/>
      <c r="S13" s="34"/>
    </row>
    <row r="14" spans="1:19" ht="15">
      <c r="A14" s="34"/>
      <c r="B14" s="34"/>
      <c r="C14" s="34"/>
      <c r="D14" s="35" t="s">
        <v>6</v>
      </c>
      <c r="E14" s="35" t="s">
        <v>0</v>
      </c>
      <c r="F14" s="74"/>
      <c r="G14" s="74"/>
      <c r="H14" s="74"/>
      <c r="I14" s="74"/>
      <c r="J14" s="34"/>
      <c r="K14" s="34"/>
      <c r="L14" s="34"/>
      <c r="M14" s="34"/>
      <c r="N14" s="34"/>
      <c r="O14" s="34"/>
      <c r="P14" s="34"/>
      <c r="Q14" s="34"/>
      <c r="R14" s="34"/>
      <c r="S14" s="34"/>
    </row>
    <row r="15" spans="1:19" ht="20.25" customHeight="1" thickBot="1">
      <c r="A15" s="36" t="s">
        <v>84</v>
      </c>
      <c r="B15" s="36"/>
      <c r="C15" s="37"/>
      <c r="D15" s="38">
        <f>IFERROR('Employee Data Matrix'!T33/SUM('Employee Data Matrix'!$D$33:$S$33),0)</f>
        <v>0.015151515151515152</v>
      </c>
      <c r="E15" s="38">
        <f>IFERROR('Employee Data Matrix'!U33/SUM('Employee Data Matrix'!$D$33:$S$33),0)</f>
        <v>0.030303030303030304</v>
      </c>
      <c r="F15" s="75"/>
      <c r="G15" s="75"/>
      <c r="H15" s="75"/>
      <c r="I15" s="75"/>
      <c r="J15" s="34"/>
      <c r="K15" s="34"/>
      <c r="L15" s="34"/>
      <c r="M15" s="34"/>
      <c r="N15" s="34"/>
      <c r="O15" s="34"/>
      <c r="P15" s="34"/>
      <c r="Q15" s="34"/>
      <c r="R15" s="34"/>
      <c r="S15" s="34"/>
    </row>
    <row r="16" spans="1:19" ht="20.25" customHeight="1">
      <c r="A16" s="39"/>
      <c r="B16" s="40" t="s">
        <v>74</v>
      </c>
      <c r="C16" s="41"/>
      <c r="D16" s="42">
        <f>IFERROR('Employee Data Matrix'!T11/SUM('Employee Data Matrix'!$D$33:$S$33),0)</f>
        <v>0.015151515151515152</v>
      </c>
      <c r="E16" s="42">
        <f>IFERROR('Employee Data Matrix'!U11/SUM('Employee Data Matrix'!$D$33:$S$33),0)</f>
        <v>0.030303030303030304</v>
      </c>
      <c r="F16" s="75"/>
      <c r="G16" s="75"/>
      <c r="H16" s="75"/>
      <c r="I16" s="75"/>
      <c r="J16" s="34"/>
      <c r="K16" s="34"/>
      <c r="L16" s="34"/>
      <c r="M16" s="34"/>
      <c r="N16" s="34"/>
      <c r="O16" s="34"/>
      <c r="P16" s="34"/>
      <c r="Q16" s="34"/>
      <c r="R16" s="34"/>
      <c r="S16" s="34"/>
    </row>
    <row r="17" spans="1:19" ht="20.25" customHeight="1">
      <c r="A17" s="43"/>
      <c r="B17" s="44" t="s">
        <v>5</v>
      </c>
      <c r="C17" s="44"/>
      <c r="D17" s="42">
        <f>IFERROR('Employee Data Matrix'!T16/SUM('Employee Data Matrix'!$D$33:$S$33),0)</f>
        <v>0</v>
      </c>
      <c r="E17" s="42">
        <f>IFERROR('Employee Data Matrix'!U16/SUM('Employee Data Matrix'!$D$33:$S$33),0)</f>
        <v>0</v>
      </c>
      <c r="F17" s="75"/>
      <c r="G17" s="75"/>
      <c r="H17" s="75"/>
      <c r="I17" s="75"/>
      <c r="J17" s="34"/>
      <c r="K17" s="34"/>
      <c r="L17" s="34"/>
      <c r="M17" s="34"/>
      <c r="N17" s="34"/>
      <c r="O17" s="34"/>
      <c r="P17" s="34"/>
      <c r="Q17" s="34"/>
      <c r="R17" s="34"/>
      <c r="S17" s="34"/>
    </row>
    <row r="18" spans="1:19" ht="20.25" customHeight="1">
      <c r="A18" s="34"/>
      <c r="B18" s="44" t="s">
        <v>77</v>
      </c>
      <c r="C18" s="44"/>
      <c r="D18" s="45">
        <f>IFERROR('Employee Data Matrix'!T25/SUM('Employee Data Matrix'!$D$33:$S$33),0)</f>
        <v>0</v>
      </c>
      <c r="E18" s="45">
        <f>IFERROR('Employee Data Matrix'!U25/SUM('Employee Data Matrix'!$D$33:$S$33),0)</f>
        <v>0</v>
      </c>
      <c r="F18" s="76"/>
      <c r="G18" s="76"/>
      <c r="H18" s="76"/>
      <c r="I18" s="76"/>
      <c r="J18" s="34"/>
      <c r="K18" s="34"/>
      <c r="L18" s="34"/>
      <c r="M18" s="34"/>
      <c r="N18" s="34"/>
      <c r="O18" s="34"/>
      <c r="P18" s="34"/>
      <c r="Q18" s="34"/>
      <c r="R18" s="34"/>
      <c r="S18" s="34"/>
    </row>
    <row r="19" spans="1:19" ht="20.25" customHeight="1" thickBot="1">
      <c r="A19" s="46" t="s">
        <v>85</v>
      </c>
      <c r="B19" s="46"/>
      <c r="C19" s="47"/>
      <c r="D19" s="38">
        <f>IFERROR('Employee Data Matrix'!T34/SUM('Employee Data Matrix'!$D$34:$S$34),0)</f>
        <v>0</v>
      </c>
      <c r="E19" s="38">
        <f>IFERROR('Employee Data Matrix'!U34/SUM('Employee Data Matrix'!$D$34:$S$34),0)</f>
        <v>0</v>
      </c>
      <c r="F19" s="75"/>
      <c r="G19" s="75"/>
      <c r="H19" s="75"/>
      <c r="I19" s="75"/>
      <c r="J19" s="34"/>
      <c r="K19" s="34"/>
      <c r="L19" s="34"/>
      <c r="M19" s="34"/>
      <c r="N19" s="34"/>
      <c r="O19" s="34"/>
      <c r="P19" s="34"/>
      <c r="Q19" s="34"/>
      <c r="R19" s="34"/>
      <c r="S19" s="34"/>
    </row>
    <row r="20" spans="1:19" ht="20.25" customHeight="1" thickBot="1">
      <c r="A20" s="46" t="s">
        <v>91</v>
      </c>
      <c r="B20" s="46"/>
      <c r="C20" s="47"/>
      <c r="D20" s="38">
        <f>IFERROR('Employee Data Matrix'!T35/SUM('Employee Data Matrix'!$D$35:$S$35),0)</f>
        <v>0.015151515151515152</v>
      </c>
      <c r="E20" s="38">
        <f>IFERROR('Employee Data Matrix'!U35/SUM('Employee Data Matrix'!$D$35:$S$35),0)</f>
        <v>0.030303030303030304</v>
      </c>
      <c r="F20" s="75"/>
      <c r="G20" s="75"/>
      <c r="H20" s="75"/>
      <c r="I20" s="75"/>
      <c r="J20" s="34"/>
      <c r="K20" s="34"/>
      <c r="L20" s="34"/>
      <c r="M20" s="34"/>
      <c r="N20" s="34"/>
      <c r="O20" s="34"/>
      <c r="P20" s="34"/>
      <c r="Q20" s="34"/>
      <c r="R20" s="34"/>
      <c r="S20" s="34"/>
    </row>
  </sheetData>
  <mergeCells count="11">
    <mergeCell ref="D13:E13"/>
    <mergeCell ref="F13:G13"/>
    <mergeCell ref="H13:I13"/>
    <mergeCell ref="D4:E4"/>
    <mergeCell ref="F4:G4"/>
    <mergeCell ref="H4:I4"/>
    <mergeCell ref="J4:K4"/>
    <mergeCell ref="L4:M4"/>
    <mergeCell ref="N4:O4"/>
    <mergeCell ref="P4:Q4"/>
    <mergeCell ref="R4:S4"/>
  </mergeCells>
  <pageMargins left="0.25" right="0.25" top="0.75" bottom="0.75" header="0.3" footer="0.3"/>
  <pageSetup orientation="landscape" paperSize="1" scale="71" r:id="rId2"/>
  <headerFooter>
    <oddHeader>&amp;C&amp;G</oddHeader>
    <oddFooter>&amp;C&amp;G</oddFooter>
  </headerFooter>
  <colBreaks count="1" manualBreakCount="1">
    <brk id="19" max="19" man="1"/>
  </colBreaks>
  <legacyDrawingHF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120026-61E6-4F35-A340-88C0C9A651E5}">
  <sheetPr>
    <tabColor theme="9"/>
  </sheetPr>
  <dimension ref="A1:B41"/>
  <sheetViews>
    <sheetView view="pageLayout" zoomScaleNormal="100" workbookViewId="0" topLeftCell="A1"/>
  </sheetViews>
  <sheetFormatPr defaultRowHeight="15"/>
  <cols>
    <col min="1" max="1" width="40" customWidth="1"/>
    <col min="2" max="2" width="85.85714285714286" customWidth="1"/>
  </cols>
  <sheetData>
    <row r="1" spans="1:2" ht="18">
      <c r="A1" s="9" t="s">
        <v>58</v>
      </c>
      <c r="B1" s="5"/>
    </row>
    <row r="2" spans="1:2" ht="15">
      <c r="A2" s="5"/>
      <c r="B2" s="5"/>
    </row>
    <row r="3" spans="1:2" ht="15">
      <c r="A3" s="6" t="s">
        <v>57</v>
      </c>
      <c r="B3" s="5"/>
    </row>
    <row r="4" spans="1:2" ht="15">
      <c r="A4" s="4" t="s">
        <v>1</v>
      </c>
      <c r="B4" s="7" t="s">
        <v>46</v>
      </c>
    </row>
    <row r="5" spans="1:2" ht="15">
      <c r="A5" s="2" t="s">
        <v>56</v>
      </c>
      <c r="B5" s="8" t="s">
        <v>55</v>
      </c>
    </row>
    <row r="6" spans="1:2" ht="25.5">
      <c r="A6" s="4" t="s">
        <v>4</v>
      </c>
      <c r="B6" s="7" t="s">
        <v>54</v>
      </c>
    </row>
    <row r="7" spans="1:2" ht="38.25">
      <c r="A7" s="2" t="s">
        <v>2</v>
      </c>
      <c r="B7" s="8" t="s">
        <v>53</v>
      </c>
    </row>
    <row r="8" spans="1:2" ht="25.5">
      <c r="A8" s="4" t="s">
        <v>52</v>
      </c>
      <c r="B8" s="7" t="s">
        <v>51</v>
      </c>
    </row>
    <row r="9" spans="1:2" ht="25.5">
      <c r="A9" s="2" t="s">
        <v>50</v>
      </c>
      <c r="B9" s="8" t="s">
        <v>49</v>
      </c>
    </row>
    <row r="10" spans="1:2" ht="15">
      <c r="A10" s="4" t="s">
        <v>3</v>
      </c>
      <c r="B10" s="4" t="s">
        <v>48</v>
      </c>
    </row>
    <row r="11" spans="1:2" ht="15">
      <c r="A11" s="2" t="s">
        <v>9</v>
      </c>
      <c r="B11" s="2" t="s">
        <v>8</v>
      </c>
    </row>
    <row r="12" spans="1:2" ht="15">
      <c r="A12" s="5"/>
      <c r="B12" s="5"/>
    </row>
    <row r="13" spans="1:2" ht="15">
      <c r="A13" s="6" t="s">
        <v>47</v>
      </c>
      <c r="B13" s="5"/>
    </row>
    <row r="14" spans="1:2" ht="15">
      <c r="A14" s="4" t="s">
        <v>1</v>
      </c>
      <c r="B14" s="7" t="s">
        <v>46</v>
      </c>
    </row>
    <row r="15" spans="1:2" ht="15">
      <c r="A15" s="2" t="s">
        <v>45</v>
      </c>
      <c r="B15" s="2" t="s">
        <v>44</v>
      </c>
    </row>
    <row r="16" spans="1:2" ht="51">
      <c r="A16" s="4" t="s">
        <v>43</v>
      </c>
      <c r="B16" s="7" t="s">
        <v>42</v>
      </c>
    </row>
    <row r="17" spans="1:2" ht="51.75">
      <c r="A17" s="2" t="s">
        <v>2</v>
      </c>
      <c r="B17" s="1" t="s">
        <v>41</v>
      </c>
    </row>
    <row r="18" spans="1:2" ht="26.25">
      <c r="A18" s="4" t="s">
        <v>40</v>
      </c>
      <c r="B18" s="3" t="s">
        <v>39</v>
      </c>
    </row>
    <row r="19" spans="1:2" ht="26.25">
      <c r="A19" s="2" t="s">
        <v>38</v>
      </c>
      <c r="B19" s="1" t="s">
        <v>37</v>
      </c>
    </row>
    <row r="20" spans="1:2" ht="15">
      <c r="A20" s="4" t="s">
        <v>3</v>
      </c>
      <c r="B20" s="4" t="s">
        <v>36</v>
      </c>
    </row>
    <row r="21" spans="1:2" ht="15">
      <c r="A21" s="2" t="s">
        <v>9</v>
      </c>
      <c r="B21" s="2" t="s">
        <v>8</v>
      </c>
    </row>
    <row r="22" spans="1:2" ht="15">
      <c r="A22" s="5"/>
      <c r="B22" s="5"/>
    </row>
    <row r="23" spans="1:2" ht="15">
      <c r="A23" s="6" t="s">
        <v>35</v>
      </c>
      <c r="B23" s="6"/>
    </row>
    <row r="24" spans="1:2" ht="26.25">
      <c r="A24" s="4" t="s">
        <v>1</v>
      </c>
      <c r="B24" s="3" t="s">
        <v>34</v>
      </c>
    </row>
    <row r="25" spans="1:2" ht="26.25">
      <c r="A25" s="2" t="s">
        <v>33</v>
      </c>
      <c r="B25" s="1" t="s">
        <v>32</v>
      </c>
    </row>
    <row r="26" spans="1:2" ht="15">
      <c r="A26" s="4" t="s">
        <v>31</v>
      </c>
      <c r="B26" s="4" t="s">
        <v>30</v>
      </c>
    </row>
    <row r="27" spans="1:2" ht="15">
      <c r="A27" s="2" t="s">
        <v>29</v>
      </c>
      <c r="B27" s="2" t="s">
        <v>28</v>
      </c>
    </row>
    <row r="28" spans="1:2" ht="15">
      <c r="A28" s="4" t="s">
        <v>18</v>
      </c>
      <c r="B28" s="4" t="s">
        <v>27</v>
      </c>
    </row>
    <row r="29" spans="1:2" ht="15">
      <c r="A29" s="2" t="s">
        <v>9</v>
      </c>
      <c r="B29" s="2" t="s">
        <v>8</v>
      </c>
    </row>
    <row r="30" spans="1:2" ht="15">
      <c r="A30" s="5"/>
      <c r="B30" s="5"/>
    </row>
    <row r="31" spans="1:2" ht="15" hidden="1">
      <c r="A31" s="6" t="s">
        <v>26</v>
      </c>
      <c r="B31" s="5"/>
    </row>
    <row r="32" spans="1:2" ht="15" hidden="1">
      <c r="A32" s="4" t="s">
        <v>25</v>
      </c>
      <c r="B32" s="3" t="s">
        <v>24</v>
      </c>
    </row>
    <row r="33" spans="1:2" ht="15" hidden="1">
      <c r="A33" s="2" t="s">
        <v>23</v>
      </c>
      <c r="B33" s="1" t="s">
        <v>22</v>
      </c>
    </row>
    <row r="34" spans="1:2" ht="26.25" hidden="1">
      <c r="A34" s="4" t="s">
        <v>21</v>
      </c>
      <c r="B34" s="3" t="s">
        <v>20</v>
      </c>
    </row>
    <row r="35" spans="1:2" ht="26.25" hidden="1">
      <c r="A35" s="2" t="s">
        <v>2</v>
      </c>
      <c r="B35" s="1" t="s">
        <v>19</v>
      </c>
    </row>
    <row r="36" spans="1:2" ht="26.25" hidden="1">
      <c r="A36" s="4" t="s">
        <v>18</v>
      </c>
      <c r="B36" s="3" t="s">
        <v>17</v>
      </c>
    </row>
    <row r="37" spans="1:2" ht="15" hidden="1">
      <c r="A37" s="2" t="s">
        <v>16</v>
      </c>
      <c r="B37" s="1" t="s">
        <v>15</v>
      </c>
    </row>
    <row r="38" spans="1:2" ht="15" hidden="1">
      <c r="A38" s="4" t="s">
        <v>14</v>
      </c>
      <c r="B38" s="3" t="s">
        <v>13</v>
      </c>
    </row>
    <row r="39" spans="1:2" ht="15" hidden="1">
      <c r="A39" s="2" t="s">
        <v>12</v>
      </c>
      <c r="B39" s="1" t="s">
        <v>11</v>
      </c>
    </row>
    <row r="40" spans="1:2" ht="15" hidden="1">
      <c r="A40" s="4" t="s">
        <v>3</v>
      </c>
      <c r="B40" s="3" t="s">
        <v>10</v>
      </c>
    </row>
    <row r="41" spans="1:2" ht="15" hidden="1">
      <c r="A41" s="2" t="s">
        <v>9</v>
      </c>
      <c r="B41" s="1" t="s">
        <v>8</v>
      </c>
    </row>
  </sheetData>
  <pageMargins left="0.7" right="0.7" top="0.75" bottom="0.75" header="0.3" footer="0.3"/>
  <headerFooter>
    <oddHeader>&amp;C&amp;G</oddHeader>
    <oddFooter>&amp;C&amp;G</oddFooter>
  </headerFooter>
  <legacyDrawingHF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B04DF9C75CAB4DAB32342A81611457" ma:contentTypeVersion="16" ma:contentTypeDescription="Create a new document." ma:contentTypeScope="" ma:versionID="1eea900a64deb794cdb99b5f2532b621">
  <xsd:schema xmlns:xsd="http://www.w3.org/2001/XMLSchema" xmlns:xs="http://www.w3.org/2001/XMLSchema" xmlns:p="http://schemas.microsoft.com/office/2006/metadata/properties" xmlns:ns2="bcb6379d-5402-4ed7-9167-0c02804ceeec" xmlns:ns3="16c4b767-81a9-4964-9cba-5e0dcfc5f91d" targetNamespace="http://schemas.microsoft.com/office/2006/metadata/properties" ma:root="true" ma:fieldsID="94c870accb11b529575280629ed7135f" ns2:_="" ns3:_="">
    <xsd:import namespace="bcb6379d-5402-4ed7-9167-0c02804ceeec"/>
    <xsd:import namespace="16c4b767-81a9-4964-9cba-5e0dcfc5f91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6379d-5402-4ed7-9167-0c02804cee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1661289-e8d5-4b89-a0fe-708881da4787}" ma:internalName="TaxCatchAll" ma:showField="CatchAllData" ma:web="bcb6379d-5402-4ed7-9167-0c02804ceee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4b767-81a9-4964-9cba-5e0dcfc5f91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b760cb6-fec5-4ee0-ad3b-5c6f6537d75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cb6379d-5402-4ed7-9167-0c02804ceeec" xsi:nil="true"/>
    <lcf76f155ced4ddcb4097134ff3c332f xmlns="16c4b767-81a9-4964-9cba-5e0dcfc5f9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0E76E5-0EE1-4599-AFBF-2FFDA71C30B3}"/>
</file>

<file path=customXml/itemProps2.xml><?xml version="1.0" encoding="utf-8"?>
<ds:datastoreItem xmlns:ds="http://schemas.openxmlformats.org/officeDocument/2006/customXml" ds:itemID="{FC20C4CA-D6B9-463D-86F1-E00C6A09D8E4}">
  <ds:schemaRefs>
    <ds:schemaRef ds:uri="http://schemas.microsoft.com/sharepoint/v3/contenttype/forms"/>
  </ds:schemaRefs>
</ds:datastoreItem>
</file>

<file path=customXml/itemProps3.xml><?xml version="1.0" encoding="utf-8"?>
<ds:datastoreItem xmlns:ds="http://schemas.openxmlformats.org/officeDocument/2006/customXml" ds:itemID="{6AF534B3-5743-442B-94CD-9E6055FAEE3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6</vt:i4>
      </vt:variant>
    </vt:vector>
  </HeadingPairs>
  <TitlesOfParts>
    <vt:vector size="6" baseType="lpstr">
      <vt:lpstr>DEI Questionnaire</vt:lpstr>
      <vt:lpstr>RTP Data Matrix</vt:lpstr>
      <vt:lpstr>Ownership Data Matrix</vt:lpstr>
      <vt:lpstr>Employee Data Matrix</vt:lpstr>
      <vt:lpstr>Percentage Matrix</vt:lpstr>
      <vt:lpstr>Key</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Addison Holmes</dc:creator>
  <cp:keywords/>
  <dc:description/>
  <cp:lastModifiedBy>Kirby Richards</cp:lastModifiedBy>
  <dcterms:created xsi:type="dcterms:W3CDTF">2021-09-01T13:29:38Z</dcterms:created>
  <dcterms:modified xsi:type="dcterms:W3CDTF">2023-01-30T17:02:58Z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0x01010035B04DF9C75CAB4DAB32342A81611457</vt:lpwstr>
  </property>
</Properties>
</file>