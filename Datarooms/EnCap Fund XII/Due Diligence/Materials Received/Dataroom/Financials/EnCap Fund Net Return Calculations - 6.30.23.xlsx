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22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32.xml" ContentType="application/vnd.openxmlformats-officedocument.spreadsheetml.comments+xml"/>
  <Override PartName="/xl/worksheets/sheet32.xml" ContentType="application/vnd.openxmlformats-officedocument.spreadsheetml.worksheet+xml"/>
  <Override PartName="/xl/comments33.xml" ContentType="application/vnd.openxmlformats-officedocument.spreadsheetml.comments+xml"/>
  <Override PartName="/xl/worksheets/sheet33.xml" ContentType="application/vnd.openxmlformats-officedocument.spreadsheetml.worksheet+xml"/>
  <Override PartName="/xl/comments34.xml" ContentType="application/vnd.openxmlformats-officedocument.spreadsheetml.comments+xml"/>
  <Override PartName="/xl/worksheets/sheet34.xml" ContentType="application/vnd.openxmlformats-officedocument.spreadsheetml.worksheet+xml"/>
  <Override PartName="/xl/comments35.xml" ContentType="application/vnd.openxmlformats-officedocument.spreadsheetml.comments+xml"/>
  <Override PartName="/xl/worksheets/sheet35.xml" ContentType="application/vnd.openxmlformats-officedocument.spreadsheetml.worksheet+xml"/>
  <Override PartName="/xl/comments36.xml" ContentType="application/vnd.openxmlformats-officedocument.spreadsheetml.comments+xml"/>
  <Override PartName="/xl/worksheets/sheet36.xml" ContentType="application/vnd.openxmlformats-officedocument.spreadsheetml.worksheet+xml"/>
  <Override PartName="/xl/comments37.xml" ContentType="application/vnd.openxmlformats-officedocument.spreadsheetml.comments+xml"/>
  <Override PartName="/xl/worksheets/sheet37.xml" ContentType="application/vnd.openxmlformats-officedocument.spreadsheetml.worksheet+xml"/>
  <Override PartName="/xl/comments38.xml" ContentType="application/vnd.openxmlformats-officedocument.spreadsheetml.comments+xml"/>
  <Override PartName="/xl/worksheets/sheet38.xml" ContentType="application/vnd.openxmlformats-officedocument.spreadsheetml.worksheet+xml"/>
  <Override PartName="/xl/comments39.xml" ContentType="application/vnd.openxmlformats-officedocument.spreadsheetml.comments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mployees\Cole\2023\Q2\Net returns\"/>
    </mc:Choice>
  </mc:AlternateContent>
  <bookViews>
    <workbookView xWindow="-120" yWindow="-120" windowWidth="29040" windowHeight="15840" tabRatio="646" firstSheet="8" activeTab="8"/>
  </bookViews>
  <sheets>
    <sheet name="Combined A Funds" sheetId="22" state="hidden" r:id="rId3"/>
    <sheet name="Combined A Hypo" sheetId="26" state="hidden" r:id="rId4"/>
    <sheet name="ETF Main Co A funds hypo" sheetId="28" state="hidden" r:id="rId5"/>
    <sheet name="ETF A funds Combined hypo" sheetId="27" state="hidden" r:id="rId6"/>
    <sheet name="Actual Hypo %s" sheetId="38" state="hidden" r:id="rId7"/>
    <sheet name="EETF I-A w INT" sheetId="33" state="hidden" r:id="rId8"/>
    <sheet name="EETF I-A 1st close LP" sheetId="29" state="hidden" r:id="rId9"/>
    <sheet name="EETF I-A 1st close LP w INT" sheetId="32" state="hidden" r:id="rId10"/>
    <sheet name="VIII" sheetId="49" r:id="rId11"/>
    <sheet name="VIII-B" sheetId="50" r:id="rId12"/>
    <sheet name="VIII-C" sheetId="51" r:id="rId13"/>
    <sheet name="VIII-D" sheetId="52" r:id="rId14"/>
    <sheet name="Fund IX" sheetId="53" r:id="rId15"/>
    <sheet name="Fund IX-C" sheetId="54" r:id="rId16"/>
    <sheet name="Fund IX-D" sheetId="55" r:id="rId17"/>
    <sheet name="Fund X" sheetId="46" r:id="rId18"/>
    <sheet name="Fund X-C" sheetId="47" r:id="rId19"/>
    <sheet name="Fund X-D" sheetId="48" r:id="rId20"/>
    <sheet name="Fund XI" sheetId="65" r:id="rId21"/>
    <sheet name="Fund XI-C" sheetId="66" r:id="rId22"/>
    <sheet name="Fund XI-D" sheetId="67" r:id="rId23"/>
    <sheet name="EETF I-A" sheetId="23" r:id="rId24"/>
    <sheet name="EFM II" sheetId="62" r:id="rId25"/>
    <sheet name="EFM II-C" sheetId="63" r:id="rId26"/>
    <sheet name="EFM II-D" sheetId="64" r:id="rId27"/>
    <sheet name="EFM III" sheetId="59" r:id="rId28"/>
    <sheet name="EFM III-C" sheetId="60" r:id="rId29"/>
    <sheet name="EFM III-D" sheetId="61" r:id="rId30"/>
    <sheet name="EFM IV" sheetId="56" r:id="rId31"/>
    <sheet name="EFM IV-C" sheetId="57" r:id="rId32"/>
    <sheet name="EFM IV-D" sheetId="58" r:id="rId33"/>
    <sheet name="EETF I-A hypo w INT" sheetId="34" state="hidden" r:id="rId34"/>
    <sheet name="EETF I-B hypo" sheetId="39" state="hidden" r:id="rId35"/>
    <sheet name="EETF I-C hypo" sheetId="40" state="hidden" r:id="rId36"/>
    <sheet name="EETF I-E 1st close LP" sheetId="30" state="hidden" r:id="rId37"/>
    <sheet name="EETF I-E 1st close LP w INT" sheetId="36" state="hidden" r:id="rId38"/>
    <sheet name="EETF I-E w INT" sheetId="35" state="hidden" r:id="rId39"/>
    <sheet name="EETF I-E hypo" sheetId="31" state="hidden" r:id="rId40"/>
    <sheet name="EETF I-E hypo w INT" sheetId="37" state="hidden" r:id="rId41"/>
    <sheet name="EETF Co Inv I-A Hypo" sheetId="24" state="hidden" r:id="rId42"/>
    <sheet name="EETF Co Inv I-B hypo" sheetId="41" state="hidden" r:id="rId43"/>
    <sheet name="EETF Co Inv I-C hypo" sheetId="42" state="hidden" r:id="rId44"/>
    <sheet name="EETF Co Inv I-E hypo" sheetId="43" state="hidden" r:id="rId45"/>
    <sheet name="EETF Sidecar I-A Hypo" sheetId="25" state="hidden" r:id="rId46"/>
    <sheet name="EETF Sidecar I-B hypo" sheetId="44" state="hidden" r:id="rId47"/>
    <sheet name="EETF Sidecar I-C hypo" sheetId="45" state="hidden" r:id="rId48"/>
  </sheets>
  <externalReferences>
    <externalReference r:id="rId50"/>
  </externalReferences>
  <definedNames>
    <definedName name="CQ">'[1]Roll-Forward Dates'!$C$124</definedName>
    <definedName name="CQ_and_PY_Date">'[1]Roll-Forward Dates'!$C$153</definedName>
    <definedName name="CQ_CAPS">'[1]Roll-Forward Dates'!$C$125</definedName>
    <definedName name="CQ_Comparative">'[1]Roll-Forward Dates'!$C$148</definedName>
    <definedName name="CY_FiHis_ETFA">#REF!</definedName>
    <definedName name="CY_FiHis_ETFB">#REF!</definedName>
    <definedName name="CY_FiHis_ETFC">#REF!</definedName>
    <definedName name="CY_FiHis_ETFCIA">#REF!</definedName>
    <definedName name="CY_FiHis_ETFCIB">#REF!</definedName>
    <definedName name="CY_FiHis_ETFCIC">#REF!</definedName>
    <definedName name="CY_FiHis_ETFCIE">#REF!</definedName>
    <definedName name="CY_FiHis_ETFCombined">#REF!</definedName>
    <definedName name="CY_FiHis_ETFE">#REF!</definedName>
    <definedName name="CY_FiHis_ETFSCA">#REF!</definedName>
    <definedName name="CY_FiHis_ETFSCB">#REF!</definedName>
    <definedName name="CY_FiHis_ETFSCC">#REF!</definedName>
    <definedName name="CY_FiHis_FF1">'Fund X-C'!$C$163:$E$174</definedName>
    <definedName name="CY_FiHis_FF2">'Fund X-D'!$C$163:$E$174</definedName>
    <definedName name="CY_FiHis_FF3">'VIII-D'!$C$146:$E$157</definedName>
    <definedName name="CY_FiHis_MF">'Fund X'!$C$163:$E$174</definedName>
    <definedName name="CYTD">'[1]Roll-Forward Dates'!$C$147</definedName>
    <definedName name="CYTD_and_YE_PY_Date">'[1]Roll-Forward Dates'!$C$152</definedName>
    <definedName name="FS_Stm_Oprations">[1]Inc!$A$7:$C$30</definedName>
    <definedName name="Period_05">'[1]Roll-Forward Dates'!$C$126</definedName>
    <definedName name="_xlnm.Print_Area" localSheetId="22">'EFM II'!$A$1:$J$114</definedName>
    <definedName name="_xlnm.Print_Area" localSheetId="25">'EFM III'!$A$1:$O$131</definedName>
    <definedName name="_xlnm.Print_Area" localSheetId="28">'EFM IV'!$A$1:$O$82</definedName>
    <definedName name="_xlnm.Print_Area" localSheetId="15">'Fund X'!$A$1:$J$170</definedName>
    <definedName name="_xlnm.Print_Area" localSheetId="18">'Fund XI'!$A$1:$J$132</definedName>
    <definedName name="_xlnm.Print_Area" localSheetId="19">'Fund XI-C'!$A$1:$J$132</definedName>
    <definedName name="_xlnm.Print_Area" localSheetId="20">'Fund XI-D'!$A$1:$J$132</definedName>
    <definedName name="PY">'[1]Roll-Forward Dates'!$C$122</definedName>
    <definedName name="PY_Date">'[1]Roll-Forward Dates'!$C$140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A435FBDF-A80B-4D57-AA15-71134B7CED4B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CDA316E0-B48E-484E-A4CA-8413338AB44C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881AF3E5-A00B-432F-BF73-3FBDAC96144B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66" authorId="0" shapeId="0" xr:uid="{F77974F1-6EAC-40F7-BC69-B3E5A6CC743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 from all A Funds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C3EFD14F-6EB7-45C8-85B7-75A0C95F15A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F543952F-ED1A-4133-8350-78D5A352C8A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3B0A3D17-B92C-4AFC-ADA8-8151BD95316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85" authorId="0" shapeId="0" xr:uid="{E032B5BD-28EC-467D-9A65-56A8CA79E185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 from all A Funds (Hypothetical)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41" authorId="0" shapeId="0" xr:uid="{BA81D206-0101-47C4-A007-2DC38F8137F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43" authorId="0" shapeId="0" xr:uid="{35DA5D04-C6C7-4DD4-84C5-1859174638AA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F2A91D0F-391D-4BDD-B22F-F83C09086DC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DC5691FE-16D0-4310-93E9-08228C7B8D45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C66C4CEF-07CA-44DA-9C72-7837A6511D6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53" authorId="0" shapeId="0" xr:uid="{30F7B5AC-0BA2-4C93-8CF5-48E00BBF4B99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EB718A58-3405-494C-AF5D-3D36B1AABAB9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0986A76B-6CA4-4376-86B9-26B95C2CB7AC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9F181D78-15A3-4863-B1F9-7A487546E5D5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43" authorId="0" shapeId="0" xr:uid="{F572138F-35F8-45CF-99AD-31064C0D4DE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5C391B77-8F6D-4E0B-A1D2-F03BCDC95D2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EAA181EB-2689-4A96-9CCD-1C828D48CD0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779EBC22-2C8A-452B-923D-4FFE35129B1F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43" authorId="0" shapeId="0" xr:uid="{B905C5D5-C0C5-4631-BE14-7ED9251FDC2F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69" authorId="0" shapeId="0" xr:uid="{06D99DBD-3BA8-4385-B85A-674F42AAC068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5A0B2CBB-220D-4443-9C60-99F920EC0D9C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53BB5523-33A5-439C-B9E0-FAD75B626E7B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4154C0C1-E1E9-44B3-A9EC-D4C03D946E9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50" authorId="0" shapeId="0" xr:uid="{24023C51-5C5E-4CC0-8A80-98320D141651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10" authorId="0" shapeId="0" xr:uid="{FB67F8A7-1147-4794-AA44-47BEFFBB5AA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19013561-8882-4E04-B197-EE73EE6BB3D8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50" authorId="0" shapeId="0" xr:uid="{C9E7DA0F-A8A8-42F2-9E5D-9E5CF73B7E0D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10" authorId="0" shapeId="0" xr:uid="{53C282CE-B7E2-4CAC-B025-5F614868A93E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FEB3E13E-2B48-4400-A60F-A868C2476E43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50" authorId="0" shapeId="0" xr:uid="{9DED3A04-93CC-4EBD-A886-F6E9FB632B28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42" authorId="0" shapeId="0" xr:uid="{E2F0FC08-687B-4CA4-AAEC-E3AB964E787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42" authorId="0" shapeId="0" xr:uid="{BAD40DCD-AB59-477C-94E0-00EF4485193D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44" authorId="0" shapeId="0" xr:uid="{9BE67AF0-5EAA-4A31-83CC-AE97FB51D52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E7898B15-C183-4D8D-B8CA-9201D0560BF5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9D7493C0-7F44-49F2-B56E-BB4815E4A45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F8F40657-0B4F-4CA9-A8D6-60B41F2EDC33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50" authorId="0" shapeId="0" xr:uid="{4A4CD833-219D-4E16-BEBA-0CC19C987B2A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I9" authorId="0" shapeId="0" xr:uid="{9A7945BF-08E7-497A-B062-AF6DBA6A83C3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LP commits / Total commits in EETF I-A</t>
        </r>
      </text>
    </comment>
    <comment ref="G10" authorId="0" shapeId="0" xr:uid="{25914585-5EE6-42F3-A69C-5B5163F27CE4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Income less non-MF expenses</t>
        </r>
      </text>
    </comment>
    <comment ref="G13" authorId="0" shapeId="0" xr:uid="{3219882D-044E-4AB3-BE52-622F8B388AB9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Non-MF expenses</t>
        </r>
      </text>
    </comment>
    <comment ref="G50" authorId="0" shapeId="0" xr:uid="{149CE4B7-F94E-451E-A1AF-8E9ACAF4E10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sharedStrings.xml><?xml version="1.0" encoding="utf-8"?>
<sst xmlns="http://schemas.openxmlformats.org/spreadsheetml/2006/main" count="1193" uniqueCount="96">
  <si>
    <t>Total return</t>
  </si>
  <si>
    <t>Expense ratios</t>
  </si>
  <si>
    <t>Operating expenses</t>
  </si>
  <si>
    <t xml:space="preserve">Incentive allocation </t>
  </si>
  <si>
    <t>Total expenses and incentive allocation</t>
  </si>
  <si>
    <t>Net assets</t>
  </si>
  <si>
    <t>Expense ratios:</t>
  </si>
  <si>
    <t>Internal rate of return</t>
  </si>
  <si>
    <t>Internal rate of return after incentive allocation</t>
  </si>
  <si>
    <t>Net investment loss ratio</t>
  </si>
  <si>
    <t>ROI</t>
  </si>
  <si>
    <t>Net investment income/loss</t>
  </si>
  <si>
    <t>AVG NAV</t>
  </si>
  <si>
    <t>Internal rate of return net of incentive allocation</t>
  </si>
  <si>
    <t>check figure-Contributions</t>
  </si>
  <si>
    <t>check figure-Distributions</t>
  </si>
  <si>
    <t>Contributions 2020</t>
  </si>
  <si>
    <t>Unearned incentive allocation</t>
  </si>
  <si>
    <t>Operating expenses and unearned incentive allocation ratio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</si>
  <si>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</si>
  <si>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</si>
  <si>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</si>
  <si>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</si>
  <si>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</si>
  <si>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</si>
  <si>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</si>
  <si>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</si>
  <si>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</si>
  <si>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</si>
  <si>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</si>
  <si>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</si>
  <si>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INPUT CELLS</t>
  </si>
  <si>
    <t>Operating expenses ratio</t>
  </si>
  <si>
    <t>Financial Highlights EETF I-A</t>
  </si>
  <si>
    <t>Financial Highlights EETF I-B</t>
  </si>
  <si>
    <t>Financial Highlights EETF I-C</t>
  </si>
  <si>
    <t>Financial Highlights EETF I-E</t>
  </si>
  <si>
    <t>Financial Highlights EETF Co Invest I-A</t>
  </si>
  <si>
    <t>Financial Highlights EETF Co Invest I-B</t>
  </si>
  <si>
    <t>Financial Highlights EETF Co Invest I-E</t>
  </si>
  <si>
    <t>Mgmt fees</t>
  </si>
  <si>
    <t>Contributions 2021</t>
  </si>
  <si>
    <t>Financial Highlights EETF Co Invest I-C</t>
  </si>
  <si>
    <t>Financial Highlights EETF Sidecar I-A</t>
  </si>
  <si>
    <t>Financial Highlights EETF Sidecar I-B</t>
  </si>
  <si>
    <t>Financial Highlights EETF Sidecar I-C</t>
  </si>
  <si>
    <t>A</t>
  </si>
  <si>
    <t>B</t>
  </si>
  <si>
    <t>E</t>
  </si>
  <si>
    <t>Financial Highlights EETF - Combined A Funds</t>
  </si>
  <si>
    <t>Contributions</t>
  </si>
  <si>
    <t>All Activity pasted in from subsequent tabs</t>
  </si>
  <si>
    <t>Financial Highlights EETF - Combined A Funds (Hypothetical CFs)</t>
  </si>
  <si>
    <t>PY NAV</t>
  </si>
  <si>
    <t>3/31 NAV</t>
  </si>
  <si>
    <t>6/30 NAV</t>
  </si>
  <si>
    <t>9/30 NAV</t>
  </si>
  <si>
    <t>CY NAV</t>
  </si>
  <si>
    <t>Serapis</t>
  </si>
  <si>
    <t>TX GLO</t>
  </si>
  <si>
    <t>Total LP - Actual</t>
  </si>
  <si>
    <t>Total LP - Hypo</t>
  </si>
  <si>
    <t>CIA</t>
  </si>
  <si>
    <t>SCA</t>
  </si>
  <si>
    <t>CIB</t>
  </si>
  <si>
    <t>CIE</t>
  </si>
  <si>
    <t>SCB</t>
  </si>
  <si>
    <t>C*</t>
  </si>
  <si>
    <t>CIC*</t>
  </si>
  <si>
    <t>SCC*</t>
  </si>
  <si>
    <t>* Note Broad Reach tax provision only impacts the C funds</t>
  </si>
  <si>
    <t>Distributions 2021</t>
  </si>
  <si>
    <t>Contributions 2022</t>
  </si>
  <si>
    <t>Distributions 2022</t>
  </si>
  <si>
    <t>Contributions 2023</t>
  </si>
  <si>
    <t>Distributions 2023</t>
  </si>
  <si>
    <t>Contributions 2015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</si>
  <si>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</si>
  <si>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</si>
  <si>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</si>
  <si>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</si>
  <si>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</si>
  <si>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</si>
  <si>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</si>
  <si>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</si>
  <si>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Distributions 2020</t>
  </si>
  <si>
    <t xml:space="preserve">  Contributions 2010</t>
  </si>
  <si>
    <t xml:space="preserve">  Contributions 2011</t>
  </si>
  <si>
    <t>Contributions 2012</t>
  </si>
  <si>
    <t>Distribution 2012</t>
  </si>
  <si>
    <t>Contributions 2013</t>
  </si>
  <si>
    <t>Distributions 2013</t>
  </si>
  <si>
    <t>Contributions 2014</t>
  </si>
  <si>
    <t>Distributions 2014</t>
  </si>
  <si>
    <t>Distributions 2015</t>
  </si>
  <si>
    <t>Sample Investor Ownership Percentage (Pro-rata share of commitments - to calculate fund level amounts divide the cash flows in column G by the ownership %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</si>
</sst>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/dd/yy;@"/>
    <numFmt numFmtId="167" formatCode="0.00%_);\(0.00%\)"/>
    <numFmt numFmtId="168" formatCode="0.000000%"/>
    <numFmt numFmtId="169" formatCode="0.0000000%"/>
    <numFmt numFmtId="170" formatCode="&quot;&quot;#,##0.00&quot;&quot;;&quot;&quot;\-#,##0.00&quot;&quot;"/>
    <numFmt numFmtId="171" formatCode="_(* #,##0.00000_);_(* \(#,##0.00000\);_(* &quot;-&quot;??_);_(@_)"/>
    <numFmt numFmtId="172" formatCode="_(* #,##0.000000_);_(* \(#,##0.000000\);_(* &quot;-&quot;??_);_(@_)"/>
    <numFmt numFmtId="173" formatCode="0.0_);\(0.0\)"/>
    <numFmt numFmtId="174" formatCode="_(&quot;$&quot;* #,##0_);_(&quot;$&quot;* \(#,##0\);_(&quot;$&quot;* &quot;-&quot;??_);_(@_)"/>
    <numFmt numFmtId="175" formatCode="m/d;@"/>
    <numFmt numFmtId="176" formatCode="_(* #,##0_);_(* \(#,##0\);_(* &quot;—&quot;_);_(@_)"/>
  </numFmts>
  <fonts count="30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u val="double"/>
      <sz val="10"/>
      <color indexed="8"/>
      <name val="Helv"/>
      <family val="2"/>
    </font>
    <font>
      <u val="single"/>
      <sz val="10"/>
      <color indexed="8"/>
      <name val="Helv"/>
      <family val="2"/>
    </font>
    <font>
      <sz val="12"/>
      <color indexed="8"/>
      <name val="Helv"/>
      <family val="2"/>
    </font>
    <font>
      <b/>
      <sz val="12"/>
      <name val="Times New Roman"/>
      <family val="1"/>
    </font>
    <font>
      <sz val="8"/>
      <name val="Arial"/>
      <family val="2"/>
    </font>
    <font>
      <sz val="7"/>
      <name val="Arial"/>
      <family val="2"/>
    </font>
    <font>
      <sz val="8"/>
      <name val="CG Times (W1)"/>
      <family val="1"/>
    </font>
    <font>
      <sz val="9"/>
      <name val="Arial"/>
      <family val="2"/>
    </font>
    <font>
      <sz val="9"/>
      <color indexed="8"/>
      <name val="Arial"/>
      <family val="2"/>
    </font>
    <font>
      <sz val="10"/>
      <name val="Helv"/>
      <family val="2"/>
    </font>
    <font>
      <b/>
      <sz val="9"/>
      <color indexed="8"/>
      <name val="Helv"/>
      <family val="2"/>
    </font>
    <font>
      <sz val="9"/>
      <name val="Tahoma"/>
      <family val="2"/>
    </font>
    <font>
      <b/>
      <sz val="9"/>
      <name val="Tahoma"/>
      <family val="2"/>
    </font>
    <font>
      <b/>
      <sz val="8"/>
      <color rgb="FF000000"/>
      <name val="Tahoma"/>
      <family val="2"/>
    </font>
    <font>
      <i/>
      <sz val="8"/>
      <name val="Arial"/>
      <family val="2"/>
    </font>
    <font>
      <sz val="7"/>
      <name val="CG Times (W1)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i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000396251678"/>
        <bgColor indexed="64"/>
      </patternFill>
    </fill>
    <fill>
      <patternFill patternType="solid">
        <fgColor theme="0" tint="-0.34997999668121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</border>
    <border>
      <left/>
      <right/>
      <top style="thin">
        <color auto="1"/>
      </top>
      <bottom style="double">
        <color auto="1"/>
      </bottom>
    </border>
  </borders>
  <cellStyleXfs count="2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</cellStyleXfs>
  <cellXfs count="195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10" fontId="8" fillId="0" borderId="0" xfId="0" applyNumberFormat="1" applyFont="1" applyAlignment="1">
      <alignment horizontal="right" vertical="top" wrapText="1"/>
    </xf>
    <xf numFmtId="10" fontId="5" fillId="0" borderId="0" xfId="0" applyNumberFormat="1" applyFont="1" applyAlignment="1">
      <alignment horizontal="right" vertical="top" wrapText="1"/>
    </xf>
    <xf numFmtId="10" fontId="9" fillId="0" borderId="0" xfId="0" applyNumberFormat="1" applyFont="1" applyAlignment="1">
      <alignment horizontal="right" vertical="top" wrapText="1"/>
    </xf>
    <xf numFmtId="165" fontId="8" fillId="0" borderId="0" xfId="0" applyNumberFormat="1" applyFont="1" applyAlignment="1">
      <alignment horizontal="right" vertical="top" wrapText="1"/>
    </xf>
    <xf numFmtId="165" fontId="7" fillId="0" borderId="0" xfId="0" applyNumberFormat="1" applyFont="1" applyAlignment="1">
      <alignment horizontal="right" vertical="top" wrapText="1"/>
    </xf>
    <xf numFmtId="164" fontId="0" fillId="0" borderId="0" xfId="18" applyNumberFormat="1" applyFont="1"/>
    <xf numFmtId="0" fontId="0" fillId="0" borderId="0" xfId="0" applyAlignment="1">
      <alignment horizontal="center"/>
    </xf>
    <xf numFmtId="0" fontId="0" fillId="0" borderId="0" xfId="0" applyFont="1"/>
    <xf numFmtId="0" fontId="12" fillId="0" borderId="0" xfId="0" applyFont="1"/>
    <xf numFmtId="0" fontId="0" fillId="0" borderId="0" xfId="0" applyFont="1" applyAlignment="1">
      <alignment horizontal="right"/>
    </xf>
    <xf numFmtId="14" fontId="18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14" fillId="0" borderId="0" xfId="0" applyFont="1"/>
    <xf numFmtId="0" fontId="10" fillId="0" borderId="0" xfId="0" applyFont="1"/>
    <xf numFmtId="166" fontId="12" fillId="0" borderId="0" xfId="0" applyNumberFormat="1" applyFont="1"/>
    <xf numFmtId="168" fontId="13" fillId="0" borderId="0" xfId="0" applyNumberFormat="1" applyFont="1"/>
    <xf numFmtId="0" fontId="12" fillId="0" borderId="0" xfId="0" applyFont="1" applyAlignment="1">
      <alignment horizontal="center"/>
    </xf>
    <xf numFmtId="43" fontId="12" fillId="0" borderId="0" xfId="18" applyFont="1" applyFill="1" applyBorder="1"/>
    <xf numFmtId="43" fontId="12" fillId="0" borderId="0" xfId="0" applyNumberFormat="1" applyFont="1"/>
    <xf numFmtId="0" fontId="4" fillId="0" borderId="0" xfId="0" applyFont="1"/>
    <xf numFmtId="164" fontId="0" fillId="0" borderId="0" xfId="18" applyNumberFormat="1" applyFont="1" applyFill="1"/>
    <xf numFmtId="165" fontId="5" fillId="0" borderId="0" xfId="0" applyNumberFormat="1" applyFont="1" applyAlignment="1">
      <alignment horizontal="right" vertical="top" wrapText="1"/>
    </xf>
    <xf numFmtId="167" fontId="12" fillId="0" borderId="0" xfId="22" applyNumberFormat="1" applyFont="1" applyFill="1" applyAlignment="1">
      <alignment horizontal="right" wrapText="1"/>
    </xf>
    <xf numFmtId="14" fontId="0" fillId="0" borderId="0" xfId="0" applyNumberFormat="1"/>
    <xf numFmtId="43" fontId="0" fillId="0" borderId="0" xfId="18" applyFont="1" applyFill="1"/>
    <xf numFmtId="0" fontId="11" fillId="0" borderId="0" xfId="0" applyFont="1" applyAlignment="1">
      <alignment horizontal="right" vertical="top" wrapText="1"/>
    </xf>
    <xf numFmtId="165" fontId="0" fillId="0" borderId="0" xfId="15" applyNumberFormat="1" applyFont="1" applyFill="1"/>
    <xf numFmtId="43" fontId="17" fillId="0" borderId="0" xfId="0" applyNumberFormat="1" applyFont="1"/>
    <xf numFmtId="43" fontId="0" fillId="0" borderId="0" xfId="0" applyNumberFormat="1"/>
    <xf numFmtId="0" fontId="0" fillId="2" borderId="0" xfId="0" applyFont="1" applyFill="1"/>
    <xf numFmtId="9" fontId="0" fillId="0" borderId="0" xfId="15" applyFont="1" applyFill="1"/>
    <xf numFmtId="9" fontId="0" fillId="0" borderId="0" xfId="15" applyFont="1"/>
    <xf numFmtId="0" fontId="0" fillId="2" borderId="0" xfId="0" applyFill="1"/>
    <xf numFmtId="43" fontId="12" fillId="2" borderId="0" xfId="18" applyFont="1" applyFill="1"/>
    <xf numFmtId="43" fontId="13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4" fontId="0" fillId="2" borderId="0" xfId="0" applyNumberFormat="1" applyFill="1"/>
    <xf numFmtId="4" fontId="0" fillId="0" borderId="0" xfId="0" applyNumberFormat="1"/>
    <xf numFmtId="43" fontId="12" fillId="0" borderId="0" xfId="18" applyFont="1" applyFill="1"/>
    <xf numFmtId="0" fontId="15" fillId="3" borderId="0" xfId="0" applyFont="1" applyFill="1"/>
    <xf numFmtId="165" fontId="16" fillId="3" borderId="1" xfId="0" applyNumberFormat="1" applyFont="1" applyFill="1" applyBorder="1" applyAlignment="1">
      <alignment horizontal="right" vertical="top" wrapText="1"/>
    </xf>
    <xf numFmtId="165" fontId="15" fillId="3" borderId="0" xfId="15" applyNumberFormat="1" applyFont="1" applyFill="1"/>
    <xf numFmtId="165" fontId="15" fillId="3" borderId="2" xfId="15" applyNumberFormat="1" applyFont="1" applyFill="1" applyBorder="1"/>
    <xf numFmtId="165" fontId="15" fillId="3" borderId="1" xfId="15" applyNumberFormat="1" applyFont="1" applyFill="1" applyBorder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15" applyNumberFormat="1" applyFont="1" applyFill="1"/>
    <xf numFmtId="0" fontId="7" fillId="0" borderId="0" xfId="0" applyFont="1" applyAlignment="1">
      <alignment horizontal="center" wrapText="1"/>
    </xf>
    <xf numFmtId="164" fontId="0" fillId="0" borderId="0" xfId="0" applyNumberFormat="1"/>
    <xf numFmtId="164" fontId="5" fillId="0" borderId="0" xfId="18" applyNumberFormat="1" applyFont="1" applyFill="1" applyBorder="1" applyAlignment="1">
      <alignment horizontal="right" vertical="top" wrapText="1"/>
    </xf>
    <xf numFmtId="165" fontId="16" fillId="0" borderId="0" xfId="0" applyNumberFormat="1" applyFont="1" applyAlignment="1">
      <alignment horizontal="right" vertical="top" wrapText="1"/>
    </xf>
    <xf numFmtId="43" fontId="12" fillId="3" borderId="0" xfId="18" applyFont="1" applyFill="1"/>
    <xf numFmtId="0" fontId="12" fillId="3" borderId="0" xfId="0" applyFont="1" applyFill="1"/>
    <xf numFmtId="43" fontId="12" fillId="3" borderId="0" xfId="0" applyNumberFormat="1" applyFont="1" applyFill="1"/>
    <xf numFmtId="0" fontId="5" fillId="3" borderId="0" xfId="0" applyFont="1" applyFill="1" applyAlignment="1">
      <alignment vertical="top" wrapText="1"/>
    </xf>
    <xf numFmtId="165" fontId="8" fillId="3" borderId="0" xfId="0" applyNumberFormat="1" applyFont="1" applyFill="1" applyAlignment="1">
      <alignment horizontal="right" vertical="top" wrapText="1"/>
    </xf>
    <xf numFmtId="0" fontId="4" fillId="3" borderId="0" xfId="0" applyFont="1" applyFill="1"/>
    <xf numFmtId="165" fontId="7" fillId="3" borderId="0" xfId="0" applyNumberFormat="1" applyFont="1" applyFill="1" applyAlignment="1">
      <alignment horizontal="right" vertical="top" wrapText="1"/>
    </xf>
    <xf numFmtId="165" fontId="5" fillId="3" borderId="0" xfId="0" applyNumberFormat="1" applyFont="1" applyFill="1" applyAlignment="1">
      <alignment horizontal="right" vertical="top" wrapText="1"/>
    </xf>
    <xf numFmtId="165" fontId="9" fillId="3" borderId="0" xfId="0" applyNumberFormat="1" applyFont="1" applyFill="1" applyAlignment="1">
      <alignment horizontal="right" vertical="top" wrapText="1"/>
    </xf>
    <xf numFmtId="0" fontId="15" fillId="3" borderId="0" xfId="0" applyFont="1" applyFill="1" applyAlignment="1">
      <alignment horizontal="left" indent="1"/>
    </xf>
    <xf numFmtId="0" fontId="15" fillId="3" borderId="0" xfId="0" applyFont="1" applyFill="1" applyAlignment="1">
      <alignment horizontal="left" indent="2"/>
    </xf>
    <xf numFmtId="165" fontId="15" fillId="0" borderId="0" xfId="15" applyNumberFormat="1" applyFont="1" applyFill="1" applyBorder="1"/>
    <xf numFmtId="165" fontId="0" fillId="0" borderId="0" xfId="15" applyNumberFormat="1" applyFont="1" applyFill="1" applyBorder="1"/>
    <xf numFmtId="9" fontId="0" fillId="0" borderId="0" xfId="15" applyFont="1" applyFill="1" applyBorder="1"/>
    <xf numFmtId="0" fontId="7" fillId="3" borderId="0" xfId="0" applyFont="1" applyFill="1" applyAlignment="1">
      <alignment horizontal="center" wrapText="1"/>
    </xf>
    <xf numFmtId="0" fontId="15" fillId="4" borderId="0" xfId="0" applyFont="1" applyFill="1"/>
    <xf numFmtId="165" fontId="16" fillId="4" borderId="1" xfId="0" applyNumberFormat="1" applyFont="1" applyFill="1" applyBorder="1" applyAlignment="1">
      <alignment horizontal="right" vertical="top" wrapText="1"/>
    </xf>
    <xf numFmtId="165" fontId="15" fillId="4" borderId="0" xfId="15" applyNumberFormat="1" applyFont="1" applyFill="1"/>
    <xf numFmtId="0" fontId="15" fillId="4" borderId="0" xfId="0" applyFont="1" applyFill="1" applyAlignment="1">
      <alignment horizontal="left" indent="1"/>
    </xf>
    <xf numFmtId="0" fontId="15" fillId="4" borderId="0" xfId="0" applyFont="1" applyFill="1" applyAlignment="1">
      <alignment horizontal="left" indent="2"/>
    </xf>
    <xf numFmtId="165" fontId="15" fillId="4" borderId="2" xfId="15" applyNumberFormat="1" applyFont="1" applyFill="1" applyBorder="1"/>
    <xf numFmtId="165" fontId="15" fillId="4" borderId="1" xfId="15" applyNumberFormat="1" applyFont="1" applyFill="1" applyBorder="1"/>
    <xf numFmtId="0" fontId="5" fillId="4" borderId="0" xfId="0" applyFont="1" applyFill="1" applyAlignment="1">
      <alignment vertical="top" wrapText="1"/>
    </xf>
    <xf numFmtId="165" fontId="8" fillId="4" borderId="0" xfId="0" applyNumberFormat="1" applyFont="1" applyFill="1" applyAlignment="1">
      <alignment horizontal="right" vertical="top" wrapText="1"/>
    </xf>
    <xf numFmtId="0" fontId="7" fillId="4" borderId="0" xfId="0" applyFont="1" applyFill="1" applyAlignment="1">
      <alignment horizontal="center" wrapText="1"/>
    </xf>
    <xf numFmtId="0" fontId="12" fillId="4" borderId="0" xfId="0" applyFont="1" applyFill="1"/>
    <xf numFmtId="43" fontId="12" fillId="4" borderId="0" xfId="18" applyFont="1" applyFill="1"/>
    <xf numFmtId="43" fontId="12" fillId="4" borderId="0" xfId="0" applyNumberFormat="1" applyFont="1" applyFill="1"/>
    <xf numFmtId="165" fontId="16" fillId="4" borderId="0" xfId="0" applyNumberFormat="1" applyFont="1" applyFill="1" applyAlignment="1">
      <alignment horizontal="right" vertical="top" wrapText="1"/>
    </xf>
    <xf numFmtId="0" fontId="0" fillId="4" borderId="0" xfId="0" applyFill="1"/>
    <xf numFmtId="43" fontId="0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43" fontId="13" fillId="2" borderId="0" xfId="23" applyNumberFormat="1" applyFont="1" applyFill="1" applyAlignment="1">
      <alignment horizontal="center"/>
      <protection/>
    </xf>
    <xf numFmtId="14" fontId="6" fillId="0" borderId="0" xfId="0" applyNumberFormat="1" applyFont="1"/>
    <xf numFmtId="170" fontId="21" fillId="0" borderId="0" xfId="24" applyNumberFormat="1" applyFont="1" applyAlignment="1">
      <alignment horizontal="right" vertical="center" wrapText="1"/>
      <protection/>
    </xf>
    <xf numFmtId="0" fontId="22" fillId="0" borderId="0" xfId="0" applyFont="1"/>
    <xf numFmtId="43" fontId="0" fillId="5" borderId="0" xfId="0" applyNumberFormat="1" applyFill="1"/>
    <xf numFmtId="171" fontId="12" fillId="0" borderId="0" xfId="0" applyNumberFormat="1" applyFont="1"/>
    <xf numFmtId="172" fontId="12" fillId="0" borderId="0" xfId="0" applyNumberFormat="1" applyFont="1"/>
    <xf numFmtId="43" fontId="12" fillId="5" borderId="0" xfId="18" applyFont="1" applyFill="1" applyBorder="1"/>
    <xf numFmtId="164" fontId="5" fillId="5" borderId="0" xfId="18" applyNumberFormat="1" applyFont="1" applyFill="1" applyBorder="1" applyAlignment="1">
      <alignment horizontal="right" vertical="top" wrapText="1"/>
    </xf>
    <xf numFmtId="169" fontId="0" fillId="5" borderId="0" xfId="15" applyNumberFormat="1" applyFont="1" applyFill="1"/>
    <xf numFmtId="43" fontId="12" fillId="5" borderId="0" xfId="18" applyFont="1" applyFill="1"/>
    <xf numFmtId="166" fontId="12" fillId="5" borderId="0" xfId="0" applyNumberFormat="1" applyFont="1" applyFill="1"/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left" indent="2"/>
    </xf>
    <xf numFmtId="2" fontId="0" fillId="0" borderId="0" xfId="0" applyNumberFormat="1"/>
    <xf numFmtId="43" fontId="12" fillId="6" borderId="0" xfId="18" applyFont="1" applyFill="1" applyBorder="1"/>
    <xf numFmtId="0" fontId="4" fillId="0" borderId="0" xfId="0" applyFont="1" applyAlignment="1">
      <alignment horizontal="center"/>
    </xf>
    <xf numFmtId="165" fontId="0" fillId="0" borderId="0" xfId="15" applyNumberFormat="1" applyFont="1"/>
    <xf numFmtId="169" fontId="0" fillId="0" borderId="0" xfId="15" applyNumberFormat="1" applyFont="1" applyFill="1"/>
    <xf numFmtId="165" fontId="9" fillId="0" borderId="0" xfId="0" applyNumberFormat="1" applyFont="1" applyAlignment="1">
      <alignment horizontal="right" vertical="top" wrapText="1"/>
    </xf>
    <xf numFmtId="43" fontId="12" fillId="7" borderId="0" xfId="0" applyNumberFormat="1" applyFont="1" applyFill="1"/>
    <xf numFmtId="43" fontId="12" fillId="7" borderId="0" xfId="18" applyFont="1" applyFill="1" applyBorder="1"/>
    <xf numFmtId="43" fontId="0" fillId="7" borderId="0" xfId="0" applyNumberFormat="1" applyFill="1"/>
    <xf numFmtId="43" fontId="12" fillId="0" borderId="0" xfId="0" applyNumberFormat="1" applyFont="1" applyFill="1"/>
    <xf numFmtId="0" fontId="12" fillId="0" borderId="0" xfId="0" applyFont="1" applyFill="1"/>
    <xf numFmtId="43" fontId="0" fillId="0" borderId="0" xfId="0" applyNumberFormat="1" applyFill="1"/>
    <xf numFmtId="10" fontId="0" fillId="0" borderId="0" xfId="0" applyNumberFormat="1"/>
    <xf numFmtId="43" fontId="13" fillId="0" borderId="0" xfId="0" applyNumberFormat="1" applyFont="1"/>
    <xf numFmtId="165" fontId="0" fillId="0" borderId="0" xfId="15" applyNumberFormat="1" applyFont="1"/>
    <xf numFmtId="9" fontId="0" fillId="0" borderId="0" xfId="15" applyFont="1"/>
    <xf numFmtId="9" fontId="12" fillId="0" borderId="0" xfId="15" applyFont="1"/>
    <xf numFmtId="9" fontId="12" fillId="0" borderId="0" xfId="15" applyFont="1" applyFill="1"/>
    <xf numFmtId="173" fontId="12" fillId="0" borderId="0" xfId="0" applyNumberFormat="1" applyFont="1"/>
    <xf numFmtId="14" fontId="6" fillId="0" borderId="0" xfId="0" applyNumberFormat="1" applyFont="1" applyAlignment="1">
      <alignment horizontal="center" vertical="top" wrapText="1"/>
    </xf>
    <xf numFmtId="0" fontId="12" fillId="2" borderId="0" xfId="0" applyFont="1" applyFill="1"/>
    <xf numFmtId="165" fontId="0" fillId="2" borderId="0" xfId="15" applyNumberFormat="1" applyFont="1" applyFill="1"/>
    <xf numFmtId="169" fontId="13" fillId="0" borderId="0" xfId="0" applyNumberFormat="1" applyFont="1"/>
    <xf numFmtId="14" fontId="18" fillId="0" borderId="0" xfId="0" applyNumberFormat="1" applyFont="1" applyAlignment="1">
      <alignment vertical="top" wrapText="1"/>
    </xf>
    <xf numFmtId="43" fontId="12" fillId="0" borderId="0" xfId="18" applyFont="1" applyBorder="1"/>
    <xf numFmtId="174" fontId="0" fillId="0" borderId="0" xfId="16" applyNumberFormat="1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2" fillId="0" borderId="0" xfId="18" applyNumberFormat="1" applyFont="1" applyFill="1"/>
    <xf numFmtId="168" fontId="23" fillId="0" borderId="0" xfId="0" applyNumberFormat="1" applyFont="1" applyAlignment="1">
      <alignment horizontal="right"/>
    </xf>
    <xf numFmtId="43" fontId="12" fillId="2" borderId="0" xfId="0" applyNumberFormat="1" applyFont="1" applyFill="1"/>
    <xf numFmtId="43" fontId="22" fillId="0" borderId="0" xfId="18" applyFont="1"/>
    <xf numFmtId="167" fontId="12" fillId="0" borderId="0" xfId="22" applyNumberFormat="1" applyFont="1" applyAlignment="1">
      <alignment horizontal="right" wrapText="1"/>
    </xf>
    <xf numFmtId="3" fontId="0" fillId="0" borderId="0" xfId="0" applyNumberFormat="1"/>
    <xf numFmtId="164" fontId="0" fillId="0" borderId="0" xfId="18" applyNumberFormat="1" applyFont="1" applyBorder="1"/>
    <xf numFmtId="0" fontId="15" fillId="2" borderId="0" xfId="0" applyFont="1" applyFill="1" applyAlignment="1">
      <alignment horizontal="center"/>
    </xf>
    <xf numFmtId="0" fontId="15" fillId="2" borderId="0" xfId="0" applyFont="1" applyFill="1"/>
    <xf numFmtId="0" fontId="6" fillId="2" borderId="0" xfId="0" applyFont="1" applyFill="1" applyAlignment="1">
      <alignment horizontal="center" vertical="top" wrapText="1"/>
    </xf>
    <xf numFmtId="10" fontId="8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10" fontId="5" fillId="2" borderId="0" xfId="0" applyNumberFormat="1" applyFont="1" applyFill="1" applyAlignment="1">
      <alignment horizontal="right" vertical="top" wrapText="1"/>
    </xf>
    <xf numFmtId="10" fontId="9" fillId="2" borderId="0" xfId="0" applyNumberFormat="1" applyFont="1" applyFill="1" applyAlignment="1">
      <alignment horizontal="right" vertical="top" wrapText="1"/>
    </xf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14" fontId="18" fillId="2" borderId="0" xfId="0" applyNumberFormat="1" applyFont="1" applyFill="1" applyAlignment="1">
      <alignment horizontal="center" vertical="top" wrapText="1"/>
    </xf>
    <xf numFmtId="0" fontId="4" fillId="2" borderId="0" xfId="0" applyFont="1" applyFill="1"/>
    <xf numFmtId="0" fontId="5" fillId="2" borderId="0" xfId="0" applyFont="1" applyFill="1" applyAlignment="1">
      <alignment vertical="top" wrapText="1"/>
    </xf>
    <xf numFmtId="0" fontId="10" fillId="2" borderId="0" xfId="0" applyFont="1" applyFill="1"/>
    <xf numFmtId="165" fontId="0" fillId="0" borderId="0" xfId="0" applyNumberFormat="1"/>
    <xf numFmtId="0" fontId="29" fillId="0" borderId="0" xfId="0" applyFont="1" applyAlignment="1">
      <alignment horizontal="right"/>
    </xf>
    <xf numFmtId="14" fontId="12" fillId="0" borderId="0" xfId="0" applyNumberFormat="1" applyFont="1"/>
    <xf numFmtId="176" fontId="0" fillId="0" borderId="0" xfId="0" applyNumberFormat="1"/>
    <xf numFmtId="0" fontId="29" fillId="0" borderId="0" xfId="0" applyFont="1"/>
    <xf numFmtId="164" fontId="5" fillId="0" borderId="0" xfId="18" applyNumberFormat="1" applyFont="1" applyBorder="1" applyAlignment="1">
      <alignment horizontal="right" vertical="top" wrapText="1"/>
    </xf>
    <xf numFmtId="0" fontId="7" fillId="0" borderId="0" xfId="0" applyFont="1" applyFill="1" applyAlignment="1">
      <alignment horizontal="right" vertical="top" wrapText="1"/>
    </xf>
    <xf numFmtId="0" fontId="7" fillId="0" borderId="0" xfId="0" applyFont="1" applyFill="1" applyAlignment="1">
      <alignment horizontal="center" wrapText="1"/>
    </xf>
    <xf numFmtId="0" fontId="5" fillId="0" borderId="0" xfId="0" applyFont="1" applyFill="1" applyAlignment="1">
      <alignment vertical="top" wrapText="1"/>
    </xf>
    <xf numFmtId="165" fontId="8" fillId="0" borderId="0" xfId="0" applyNumberFormat="1" applyFont="1" applyFill="1" applyAlignment="1">
      <alignment horizontal="right" vertical="top" wrapText="1"/>
    </xf>
    <xf numFmtId="0" fontId="4" fillId="0" borderId="0" xfId="0" applyFont="1" applyFill="1"/>
    <xf numFmtId="165" fontId="7" fillId="0" borderId="0" xfId="0" applyNumberFormat="1" applyFont="1" applyFill="1" applyAlignment="1">
      <alignment horizontal="right" vertical="top" wrapText="1"/>
    </xf>
    <xf numFmtId="165" fontId="5" fillId="0" borderId="0" xfId="0" applyNumberFormat="1" applyFont="1" applyFill="1" applyAlignment="1">
      <alignment horizontal="right" vertical="top" wrapText="1"/>
    </xf>
    <xf numFmtId="165" fontId="9" fillId="0" borderId="0" xfId="0" applyNumberFormat="1" applyFont="1" applyFill="1" applyAlignment="1">
      <alignment horizontal="right" vertical="top" wrapText="1"/>
    </xf>
    <xf numFmtId="0" fontId="0" fillId="0" borderId="0" xfId="0" applyFill="1"/>
    <xf numFmtId="0" fontId="15" fillId="0" borderId="0" xfId="0" applyFont="1" applyFill="1" applyBorder="1"/>
    <xf numFmtId="165" fontId="16" fillId="0" borderId="0" xfId="0" applyNumberFormat="1" applyFont="1" applyFill="1" applyBorder="1" applyAlignment="1">
      <alignment horizontal="right" vertical="top" wrapText="1"/>
    </xf>
    <xf numFmtId="0" fontId="15" fillId="0" borderId="0" xfId="0" applyFont="1" applyFill="1" applyBorder="1" applyAlignment="1">
      <alignment horizontal="left" indent="1"/>
    </xf>
    <xf numFmtId="0" fontId="15" fillId="0" borderId="0" xfId="0" applyFont="1" applyFill="1" applyBorder="1" applyAlignment="1">
      <alignment horizontal="left" indent="2"/>
    </xf>
    <xf numFmtId="164" fontId="24" fillId="0" borderId="0" xfId="18" applyNumberFormat="1" applyFont="1" applyFill="1" applyBorder="1" applyAlignment="1">
      <alignment horizontal="right" vertical="top" wrapText="1"/>
    </xf>
    <xf numFmtId="165" fontId="25" fillId="0" borderId="0" xfId="0" applyNumberFormat="1" applyFont="1" applyFill="1" applyAlignment="1">
      <alignment horizontal="right" vertical="top" wrapText="1"/>
    </xf>
    <xf numFmtId="165" fontId="26" fillId="0" borderId="0" xfId="0" applyNumberFormat="1" applyFont="1" applyFill="1" applyAlignment="1">
      <alignment horizontal="right" vertical="top" wrapText="1"/>
    </xf>
    <xf numFmtId="0" fontId="0" fillId="0" borderId="0" xfId="0" applyFill="1" applyBorder="1"/>
    <xf numFmtId="0" fontId="7" fillId="0" borderId="0" xfId="0" applyFont="1" applyFill="1" applyBorder="1" applyAlignment="1">
      <alignment horizontal="center" wrapText="1"/>
    </xf>
    <xf numFmtId="43" fontId="12" fillId="0" borderId="0" xfId="0" applyNumberFormat="1" applyFont="1" applyFill="1" applyBorder="1"/>
    <xf numFmtId="0" fontId="12" fillId="0" borderId="0" xfId="0" applyFont="1" applyFill="1" applyBorder="1"/>
    <xf numFmtId="164" fontId="27" fillId="0" borderId="0" xfId="18" applyNumberFormat="1" applyFont="1" applyFill="1" applyBorder="1" applyAlignment="1">
      <alignment horizontal="right" wrapText="1"/>
    </xf>
    <xf numFmtId="165" fontId="28" fillId="0" borderId="0" xfId="0" applyNumberFormat="1" applyFont="1" applyFill="1" applyAlignment="1">
      <alignment horizontal="right" wrapText="1"/>
    </xf>
    <xf numFmtId="165" fontId="12" fillId="0" borderId="0" xfId="0" applyNumberFormat="1" applyFont="1" applyFill="1" applyAlignment="1">
      <alignment horizontal="right" wrapText="1"/>
    </xf>
    <xf numFmtId="0" fontId="7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vertical="top" wrapText="1"/>
    </xf>
    <xf numFmtId="165" fontId="8" fillId="0" borderId="0" xfId="0" applyNumberFormat="1" applyFont="1" applyFill="1" applyBorder="1" applyAlignment="1">
      <alignment horizontal="right" vertical="top" wrapText="1"/>
    </xf>
    <xf numFmtId="0" fontId="4" fillId="0" borderId="0" xfId="0" applyFont="1" applyFill="1" applyBorder="1"/>
    <xf numFmtId="165" fontId="7" fillId="0" borderId="0" xfId="0" applyNumberFormat="1" applyFont="1" applyFill="1" applyBorder="1" applyAlignment="1">
      <alignment horizontal="right" vertical="top" wrapText="1"/>
    </xf>
    <xf numFmtId="165" fontId="5" fillId="0" borderId="0" xfId="0" applyNumberFormat="1" applyFont="1" applyFill="1" applyBorder="1" applyAlignment="1">
      <alignment horizontal="right" vertical="top" wrapText="1"/>
    </xf>
    <xf numFmtId="165" fontId="9" fillId="0" borderId="0" xfId="0" applyNumberFormat="1" applyFont="1" applyFill="1" applyBorder="1" applyAlignment="1">
      <alignment horizontal="right" vertical="top" wrapText="1"/>
    </xf>
    <xf numFmtId="4" fontId="0" fillId="0" borderId="0" xfId="0" applyNumberFormat="1" applyFill="1"/>
    <xf numFmtId="175" fontId="12" fillId="0" borderId="0" xfId="0" applyNumberFormat="1" applyFont="1" applyFill="1" applyAlignment="1">
      <alignment horizontal="left"/>
    </xf>
    <xf numFmtId="43" fontId="13" fillId="0" borderId="0" xfId="0" applyNumberFormat="1" applyFont="1" applyFill="1"/>
    <xf numFmtId="41" fontId="5" fillId="0" borderId="0" xfId="18" applyNumberFormat="1" applyFont="1" applyFill="1" applyBorder="1" applyAlignment="1">
      <alignment horizontal="right" vertical="top" wrapText="1"/>
    </xf>
  </cellXfs>
  <cellStyles count="1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 2 2" xfId="20"/>
    <cellStyle name="Percent 5" xfId="21"/>
    <cellStyle name="Percent_2006 WPEOF 2006 Deloitte IRR calculation" xfId="22"/>
    <cellStyle name="Normal 2" xfId="23"/>
    <cellStyle name="Normal_EETF Co Inv I-A" xf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9" Type="http://schemas.openxmlformats.org/officeDocument/2006/relationships/worksheet" Target="worksheets/sheet37.xml"/><Relationship Id="rId26" Type="http://schemas.openxmlformats.org/officeDocument/2006/relationships/worksheet" Target="worksheets/sheet24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42" Type="http://schemas.openxmlformats.org/officeDocument/2006/relationships/worksheet" Target="worksheets/sheet40.xml"/><Relationship Id="rId47" Type="http://schemas.openxmlformats.org/officeDocument/2006/relationships/worksheet" Target="worksheets/sheet45.xml"/><Relationship Id="rId34" Type="http://schemas.openxmlformats.org/officeDocument/2006/relationships/worksheet" Target="worksheets/sheet32.xml"/><Relationship Id="rId21" Type="http://schemas.openxmlformats.org/officeDocument/2006/relationships/worksheet" Target="worksheets/sheet19.xml"/><Relationship Id="rId50" Type="http://schemas.openxmlformats.org/officeDocument/2006/relationships/externalLink" Target="externalLinks/externalLink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29" Type="http://schemas.openxmlformats.org/officeDocument/2006/relationships/worksheet" Target="worksheets/sheet27.xml"/><Relationship Id="rId16" Type="http://schemas.openxmlformats.org/officeDocument/2006/relationships/worksheet" Target="worksheets/sheet14.xml"/><Relationship Id="rId40" Type="http://schemas.openxmlformats.org/officeDocument/2006/relationships/worksheet" Target="worksheets/sheet38.xml"/><Relationship Id="rId45" Type="http://schemas.openxmlformats.org/officeDocument/2006/relationships/worksheet" Target="worksheets/sheet43.xml"/><Relationship Id="rId32" Type="http://schemas.openxmlformats.org/officeDocument/2006/relationships/worksheet" Target="worksheets/sheet30.xml"/><Relationship Id="rId37" Type="http://schemas.openxmlformats.org/officeDocument/2006/relationships/worksheet" Target="worksheets/sheet35.xml"/><Relationship Id="rId24" Type="http://schemas.openxmlformats.org/officeDocument/2006/relationships/worksheet" Target="worksheets/sheet22.xml"/><Relationship Id="rId11" Type="http://schemas.openxmlformats.org/officeDocument/2006/relationships/worksheet" Target="worksheets/sheet9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3.xml"/><Relationship Id="rId44" Type="http://schemas.openxmlformats.org/officeDocument/2006/relationships/worksheet" Target="worksheets/sheet42.xml"/><Relationship Id="rId31" Type="http://schemas.openxmlformats.org/officeDocument/2006/relationships/worksheet" Target="worksheets/sheet29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52" Type="http://schemas.openxmlformats.org/officeDocument/2006/relationships/customXml" Target="../customXml/item1.xml"/><Relationship Id="rId43" Type="http://schemas.openxmlformats.org/officeDocument/2006/relationships/worksheet" Target="worksheets/sheet4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30" Type="http://schemas.openxmlformats.org/officeDocument/2006/relationships/worksheet" Target="worksheets/sheet28.xml"/><Relationship Id="rId35" Type="http://schemas.openxmlformats.org/officeDocument/2006/relationships/worksheet" Target="worksheets/sheet33.xml"/><Relationship Id="rId22" Type="http://schemas.openxmlformats.org/officeDocument/2006/relationships/worksheet" Target="worksheets/sheet20.xml"/><Relationship Id="rId27" Type="http://schemas.openxmlformats.org/officeDocument/2006/relationships/worksheet" Target="worksheets/sheet25.xml"/><Relationship Id="rId14" Type="http://schemas.openxmlformats.org/officeDocument/2006/relationships/worksheet" Target="worksheets/sheet12.xml"/><Relationship Id="rId8" Type="http://schemas.openxmlformats.org/officeDocument/2006/relationships/worksheet" Target="worksheets/sheet6.xml"/><Relationship Id="rId51" Type="http://schemas.openxmlformats.org/officeDocument/2006/relationships/calcChain" Target="calcChain.xml"/><Relationship Id="rId3" Type="http://schemas.openxmlformats.org/officeDocument/2006/relationships/worksheet" Target="worksheets/sheet1.xml"/><Relationship Id="rId46" Type="http://schemas.openxmlformats.org/officeDocument/2006/relationships/worksheet" Target="worksheets/sheet44.xml"/><Relationship Id="rId33" Type="http://schemas.openxmlformats.org/officeDocument/2006/relationships/worksheet" Target="worksheets/sheet31.xml"/><Relationship Id="rId38" Type="http://schemas.openxmlformats.org/officeDocument/2006/relationships/worksheet" Target="worksheets/sheet36.xml"/><Relationship Id="rId25" Type="http://schemas.openxmlformats.org/officeDocument/2006/relationships/worksheet" Target="worksheets/sheet23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41" Type="http://schemas.openxmlformats.org/officeDocument/2006/relationships/worksheet" Target="worksheets/sheet39.xml"/><Relationship Id="rId20" Type="http://schemas.openxmlformats.org/officeDocument/2006/relationships/worksheet" Target="worksheets/sheet18.xml"/><Relationship Id="rId54" Type="http://schemas.openxmlformats.org/officeDocument/2006/relationships/customXml" Target="../customXml/item3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49" Type="http://schemas.openxmlformats.org/officeDocument/2006/relationships/sharedStrings" Target="sharedStrings.xml"/><Relationship Id="rId36" Type="http://schemas.openxmlformats.org/officeDocument/2006/relationships/worksheet" Target="worksheets/sheet34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15" Type="http://schemas.openxmlformats.org/officeDocument/2006/relationships/worksheet" Target="worksheets/sheet13.xml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/>
      <sheetData sheetId="2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   Interest</v>
          </cell>
          <cell r="C16">
            <v>0</v>
          </cell>
        </row>
        <row r="17">
          <cell r="A17" t="str">
            <v>        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 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vmlDrawing" Target="../drawings/vmlDrawing2.vml" /><Relationship Id="rId4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3.vml" /><Relationship Id="rId3" Type="http://schemas.openxmlformats.org/officeDocument/2006/relationships/vmlDrawing" Target="../drawings/vmlDrawing4.vml" /><Relationship Id="rId4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 /><Relationship Id="rId2" Type="http://schemas.openxmlformats.org/officeDocument/2006/relationships/vmlDrawing" Target="../drawings/vmlDrawing5.vml" /><Relationship Id="rId3" Type="http://schemas.openxmlformats.org/officeDocument/2006/relationships/vmlDrawing" Target="../drawings/vmlDrawing6.v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 /><Relationship Id="rId2" Type="http://schemas.openxmlformats.org/officeDocument/2006/relationships/vmlDrawing" Target="../drawings/vmlDrawing7.vml" /><Relationship Id="rId3" Type="http://schemas.openxmlformats.org/officeDocument/2006/relationships/vmlDrawing" Target="../drawings/vmlDrawing8.v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comments" Target="../comments6.xml" /><Relationship Id="rId2" Type="http://schemas.openxmlformats.org/officeDocument/2006/relationships/vmlDrawing" Target="../drawings/vmlDrawing10.vml" /><Relationship Id="rId3" Type="http://schemas.openxmlformats.org/officeDocument/2006/relationships/vmlDrawing" Target="../drawings/vmlDrawing11.vml" /><Relationship Id="rId4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comments" Target="../comments7.xml" /><Relationship Id="rId2" Type="http://schemas.openxmlformats.org/officeDocument/2006/relationships/vmlDrawing" Target="../drawings/vmlDrawing12.vml" /><Relationship Id="rId3" Type="http://schemas.openxmlformats.org/officeDocument/2006/relationships/vmlDrawing" Target="../drawings/vmlDrawing13.vml" /><Relationship Id="rId4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comments" Target="../comments8.xml" /><Relationship Id="rId2" Type="http://schemas.openxmlformats.org/officeDocument/2006/relationships/vmlDrawing" Target="../drawings/vmlDrawing14.vml" /><Relationship Id="rId3" Type="http://schemas.openxmlformats.org/officeDocument/2006/relationships/vmlDrawing" Target="../drawings/vmlDrawing15.vml" /><Relationship Id="rId4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6.vml" /><Relationship Id="rId2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 /><Relationship Id="rId2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Relationship Id="rId2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Relationship Id="rId2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 /><Relationship Id="rId2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 /><Relationship Id="rId2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comments" Target="../comments22.xml" /><Relationship Id="rId2" Type="http://schemas.openxmlformats.org/officeDocument/2006/relationships/vmlDrawing" Target="../drawings/vmlDrawing29.vml" /><Relationship Id="rId3" Type="http://schemas.openxmlformats.org/officeDocument/2006/relationships/vmlDrawing" Target="../drawings/vmlDrawing30.vml" /><Relationship Id="rId4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1.vml" /><Relationship Id="rId2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2.vml" /><Relationship Id="rId2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3.vml" /><Relationship Id="rId2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4.vml" /><Relationship Id="rId2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5.vml" /><Relationship Id="rId2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6.vml" /><Relationship Id="rId2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7.vml" /><Relationship Id="rId2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8.vml" /><Relationship Id="rId2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9.vml" /><Relationship Id="rId2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comments" Target="../comments32.xml" /><Relationship Id="rId2" Type="http://schemas.openxmlformats.org/officeDocument/2006/relationships/vmlDrawing" Target="../drawings/vmlDrawing40.vml" /><Relationship Id="rId3" Type="http://schemas.openxmlformats.org/officeDocument/2006/relationships/vmlDrawing" Target="../drawings/vmlDrawing41.vml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comments" Target="../comments33.xml" /><Relationship Id="rId2" Type="http://schemas.openxmlformats.org/officeDocument/2006/relationships/vmlDrawing" Target="../drawings/vmlDrawing42.vml" /><Relationship Id="rId3" Type="http://schemas.openxmlformats.org/officeDocument/2006/relationships/vmlDrawing" Target="../drawings/vmlDrawing43.vml" /><Relationship Id="rId4" Type="http://schemas.openxmlformats.org/officeDocument/2006/relationships/printerSettings" Target="../printerSettings/printerSettings30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comments" Target="../comments34.xml" /><Relationship Id="rId2" Type="http://schemas.openxmlformats.org/officeDocument/2006/relationships/vmlDrawing" Target="../drawings/vmlDrawing44.vml" /><Relationship Id="rId3" Type="http://schemas.openxmlformats.org/officeDocument/2006/relationships/vmlDrawing" Target="../drawings/vmlDrawing45.vml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comments" Target="../comments35.xml" /><Relationship Id="rId2" Type="http://schemas.openxmlformats.org/officeDocument/2006/relationships/vmlDrawing" Target="../drawings/vmlDrawing46.vml" /><Relationship Id="rId3" Type="http://schemas.openxmlformats.org/officeDocument/2006/relationships/vmlDrawing" Target="../drawings/vmlDrawing47.vml" /><Relationship Id="rId4" Type="http://schemas.openxmlformats.org/officeDocument/2006/relationships/printerSettings" Target="../printerSettings/printerSettings31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comments" Target="../comments36.xml" /><Relationship Id="rId2" Type="http://schemas.openxmlformats.org/officeDocument/2006/relationships/vmlDrawing" Target="../drawings/vmlDrawing48.vml" /><Relationship Id="rId3" Type="http://schemas.openxmlformats.org/officeDocument/2006/relationships/vmlDrawing" Target="../drawings/vmlDrawing49.vml" /><Relationship Id="rId4" Type="http://schemas.openxmlformats.org/officeDocument/2006/relationships/printerSettings" Target="../printerSettings/printerSettings32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comments" Target="../comments37.xml" /><Relationship Id="rId2" Type="http://schemas.openxmlformats.org/officeDocument/2006/relationships/vmlDrawing" Target="../drawings/vmlDrawing50.vml" /><Relationship Id="rId3" Type="http://schemas.openxmlformats.org/officeDocument/2006/relationships/vmlDrawing" Target="../drawings/vmlDrawing51.vml" /><Relationship Id="rId4" Type="http://schemas.openxmlformats.org/officeDocument/2006/relationships/printerSettings" Target="../printerSettings/printerSettings33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comments" Target="../comments38.xml" /><Relationship Id="rId2" Type="http://schemas.openxmlformats.org/officeDocument/2006/relationships/vmlDrawing" Target="../drawings/vmlDrawing52.vml" /><Relationship Id="rId3" Type="http://schemas.openxmlformats.org/officeDocument/2006/relationships/vmlDrawing" Target="../drawings/vmlDrawing53.vml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comments" Target="../comments39.xml" /><Relationship Id="rId2" Type="http://schemas.openxmlformats.org/officeDocument/2006/relationships/vmlDrawing" Target="../drawings/vmlDrawing54.vml" /><Relationship Id="rId3" Type="http://schemas.openxmlformats.org/officeDocument/2006/relationships/vmlDrawing" Target="../drawings/vmlDrawing55.vml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6.vml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7.vml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8.vml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9.vml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0.vml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1.vml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2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9B3AD2-B104-411C-9407-037EBD9FE9F9}">
  <sheetPr>
    <pageSetUpPr fitToPage="1"/>
  </sheetPr>
  <dimension ref="B4:V86"/>
  <sheetViews>
    <sheetView showGridLines="0" view="pageLayout" zoomScaleNormal="100" workbookViewId="0" topLeftCell="A52">
      <selection pane="topLeft" activeCell="C80" sqref="C80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5.571428571428571" bestFit="1" customWidth="1"/>
    <col min="10" max="10" width="19.428571428571427" bestFit="1" customWidth="1"/>
    <col min="11" max="11" width="9.142857142857142" customWidth="1"/>
    <col min="12" max="13" width="9.857142857142858" customWidth="1"/>
    <col min="14" max="14" width="8.142857142857142" customWidth="1"/>
    <col min="15" max="22" width="10.428571428571429" customWidth="1"/>
    <col min="23" max="23" width="9.142857142857142" customWidth="1"/>
  </cols>
  <sheetData>
    <row r="4" spans="2:6" ht="18">
      <c r="B4" s="1" t="s">
        <v>49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93"/>
      <c r="F7" s="3"/>
    </row>
    <row r="8" spans="3:9" ht="15.7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29562500/35776020.41</f>
        <v>0.8263216439729217</v>
      </c>
      <c r="J9" s="55" t="s">
        <v>31</v>
      </c>
      <c r="M9" s="35"/>
    </row>
    <row r="10" spans="3:15" ht="12.75">
      <c r="C10" s="62" t="s">
        <v>11</v>
      </c>
      <c r="D10" s="62"/>
      <c r="E10" s="63" t="e">
        <f>I10/(J33)</f>
        <v>#DIV/0!</v>
      </c>
      <c r="F10" s="18"/>
      <c r="G10" s="100">
        <f>0-129939-241022</f>
        <v>-370961</v>
      </c>
      <c r="H10" s="7"/>
      <c r="I10" s="12">
        <f>(G10*$I$9)+J10</f>
        <v>-752400.103369839</v>
      </c>
      <c r="J10" s="100">
        <v>-445867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 t="e">
        <f>I13/(J33)</f>
        <v>#DIV/0!</v>
      </c>
      <c r="F13" s="18"/>
      <c r="G13" s="100">
        <f>129939+241022</f>
        <v>370961</v>
      </c>
      <c r="H13" s="8"/>
      <c r="I13" s="12">
        <f>G13*$I$9+J13</f>
        <v>752400.103369839</v>
      </c>
      <c r="J13" s="56">
        <f>-J10</f>
        <v>445867</v>
      </c>
      <c r="O13" s="16"/>
    </row>
    <row r="14" spans="3:9" ht="12.75">
      <c r="C14" s="62" t="s">
        <v>3</v>
      </c>
      <c r="D14" s="62"/>
      <c r="E14" s="67" t="e">
        <f>(I14)/(J33)</f>
        <v>#DIV/0!</v>
      </c>
      <c r="F14" s="18"/>
      <c r="G14" s="100">
        <v>0</v>
      </c>
      <c r="H14" s="9"/>
      <c r="I14" s="12">
        <f>G14*$I$9</f>
        <v>0</v>
      </c>
    </row>
    <row r="15" spans="3:9" ht="12.75">
      <c r="C15" s="62" t="s">
        <v>4</v>
      </c>
      <c r="D15" s="62"/>
      <c r="E15" s="63" t="e">
        <f>E13+E14</f>
        <v>#DIV/0!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 t="e">
        <f>G68</f>
        <v>#REF!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 t="e">
        <f>-(G66+I67)/I66</f>
        <v>#REF!</v>
      </c>
      <c r="F19" s="18"/>
      <c r="G19" s="10"/>
      <c r="H19" s="7"/>
      <c r="J19" s="55"/>
      <c r="K19" s="39"/>
      <c r="L19" s="41"/>
      <c r="M19" s="42"/>
      <c r="N19" s="43"/>
    </row>
    <row r="20" spans="3:22" ht="15.75">
      <c r="C20" s="18"/>
      <c r="D20" s="18"/>
      <c r="E20" s="18"/>
      <c r="F20" s="18"/>
      <c r="G20" s="7"/>
      <c r="J20" s="55" t="s">
        <v>31</v>
      </c>
      <c r="K20" s="39"/>
      <c r="L20" s="89"/>
      <c r="M20" s="89"/>
      <c r="N20" s="90"/>
      <c r="O20" s="91"/>
      <c r="P20" s="91"/>
      <c r="Q20" s="91"/>
      <c r="R20" s="91"/>
      <c r="S20" s="91"/>
      <c r="T20" s="91"/>
      <c r="U20" s="91"/>
      <c r="V20" s="91"/>
    </row>
    <row r="21" spans="3:22" ht="15.75">
      <c r="C21" s="19"/>
      <c r="D21" s="20"/>
      <c r="E21" s="20"/>
      <c r="F21" s="20"/>
      <c r="I21" s="21"/>
      <c r="J21" s="59">
        <f>L21+M21+N21+O21+P21+Q21+R21+S21+T21+U21+V21</f>
        <v>0</v>
      </c>
      <c r="K21" s="60" t="s">
        <v>19</v>
      </c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r="22" spans="3:22" ht="12.75">
      <c r="C22" s="22"/>
      <c r="D22" s="15"/>
      <c r="E22" s="15"/>
      <c r="F22" s="15"/>
      <c r="G22" s="23"/>
      <c r="H22" s="15"/>
      <c r="I22" s="15"/>
      <c r="J22" s="59">
        <f t="shared" si="0" ref="J22:J32">L22+M22+N22+O22+P22+Q22+R22+S22+T22+U22+V22</f>
        <v>0</v>
      </c>
      <c r="K22" s="60" t="s">
        <v>20</v>
      </c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</row>
    <row r="23" spans="3:22" ht="12.75">
      <c r="C23" s="15"/>
      <c r="D23" s="15"/>
      <c r="E23" s="21"/>
      <c r="F23" s="24"/>
      <c r="G23" s="24"/>
      <c r="H23" s="15"/>
      <c r="I23" s="25"/>
      <c r="J23" s="59">
        <f t="shared" si="0"/>
        <v>0</v>
      </c>
      <c r="K23" s="60" t="s">
        <v>21</v>
      </c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</row>
    <row r="24" spans="3:22" ht="12.75">
      <c r="C24" s="15" t="s">
        <v>50</v>
      </c>
      <c r="D24" s="15"/>
      <c r="E24" s="21">
        <v>43857</v>
      </c>
      <c r="F24" s="24"/>
      <c r="G24" s="24">
        <v>-693875</v>
      </c>
      <c r="H24" s="15"/>
      <c r="I24" s="25"/>
      <c r="J24" s="59">
        <f t="shared" si="0"/>
        <v>0</v>
      </c>
      <c r="K24" s="60" t="s">
        <v>22</v>
      </c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</row>
    <row r="25" spans="3:22" ht="12.75">
      <c r="C25" s="95" t="s">
        <v>51</v>
      </c>
      <c r="D25" s="15"/>
      <c r="E25" s="21">
        <v>43985</v>
      </c>
      <c r="F25" s="24"/>
      <c r="G25" s="24">
        <v>-7416500</v>
      </c>
      <c r="H25" s="15"/>
      <c r="I25" s="25"/>
      <c r="J25" s="59">
        <f t="shared" si="0"/>
        <v>0</v>
      </c>
      <c r="K25" s="60" t="s">
        <v>23</v>
      </c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</row>
    <row r="26" spans="3:22" ht="12.75">
      <c r="C26" s="15"/>
      <c r="D26" s="15"/>
      <c r="E26" s="21">
        <v>44076</v>
      </c>
      <c r="F26" s="24"/>
      <c r="G26" s="24">
        <v>-4382625</v>
      </c>
      <c r="H26" s="15"/>
      <c r="I26" s="25"/>
      <c r="J26" s="59">
        <f t="shared" si="0"/>
        <v>0</v>
      </c>
      <c r="K26" s="60" t="s">
        <v>24</v>
      </c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r="27" spans="3:22" ht="12.75">
      <c r="C27" s="15"/>
      <c r="D27" s="15"/>
      <c r="E27" s="21">
        <v>44141</v>
      </c>
      <c r="F27" s="24"/>
      <c r="G27" s="24">
        <v>-3082950</v>
      </c>
      <c r="H27" s="15"/>
      <c r="I27" s="25"/>
      <c r="J27" s="59">
        <f t="shared" si="0"/>
        <v>0</v>
      </c>
      <c r="K27" s="60" t="s">
        <v>25</v>
      </c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</row>
    <row r="28" spans="3:22" ht="12.75">
      <c r="C28" s="15"/>
      <c r="D28" s="15"/>
      <c r="E28" s="21">
        <v>44148</v>
      </c>
      <c r="F28" s="24"/>
      <c r="G28" s="24">
        <v>-7275862.5</v>
      </c>
      <c r="H28" s="15"/>
      <c r="I28" s="25"/>
      <c r="J28" s="59">
        <f t="shared" si="0"/>
        <v>0</v>
      </c>
      <c r="K28" s="60" t="s">
        <v>26</v>
      </c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</row>
    <row r="29" spans="3:22" ht="12.75">
      <c r="C29" s="15"/>
      <c r="D29" s="15"/>
      <c r="E29" s="21">
        <v>44187</v>
      </c>
      <c r="F29" s="24"/>
      <c r="G29" s="24">
        <v>-1892000.01</v>
      </c>
      <c r="H29" s="15"/>
      <c r="I29" s="25"/>
      <c r="J29" s="59">
        <f t="shared" si="0"/>
        <v>0</v>
      </c>
      <c r="K29" s="60" t="s">
        <v>27</v>
      </c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</row>
    <row r="30" spans="3:22" ht="12.75">
      <c r="C30" s="15"/>
      <c r="D30" s="15"/>
      <c r="E30" s="21">
        <v>44203</v>
      </c>
      <c r="F30" s="24"/>
      <c r="G30" s="24">
        <v>-2.429630063E7</v>
      </c>
      <c r="H30" s="15"/>
      <c r="I30" s="25"/>
      <c r="J30" s="59">
        <f t="shared" si="0"/>
        <v>0</v>
      </c>
      <c r="K30" s="60" t="s">
        <v>28</v>
      </c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</row>
    <row r="31" spans="3:22" ht="12.75">
      <c r="C31" s="15"/>
      <c r="D31" s="15"/>
      <c r="E31" s="21">
        <v>44250</v>
      </c>
      <c r="F31" s="24"/>
      <c r="G31" s="24">
        <v>5859033.83</v>
      </c>
      <c r="H31" s="15"/>
      <c r="I31" s="25"/>
      <c r="J31" s="59">
        <f t="shared" si="0"/>
        <v>0</v>
      </c>
      <c r="K31" s="60" t="s">
        <v>29</v>
      </c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</row>
    <row r="32" spans="3:22" ht="12.75">
      <c r="C32" s="15"/>
      <c r="D32" s="15"/>
      <c r="E32" s="21">
        <v>44265</v>
      </c>
      <c r="F32" s="24"/>
      <c r="G32" s="24">
        <v>-2.07557625E7</v>
      </c>
      <c r="H32" s="15"/>
      <c r="I32" s="25"/>
      <c r="J32" s="59">
        <f t="shared" si="0"/>
        <v>0</v>
      </c>
      <c r="K32" s="60" t="s">
        <v>30</v>
      </c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</row>
    <row r="33" spans="3:14" ht="12.75">
      <c r="C33" s="15"/>
      <c r="D33" s="15"/>
      <c r="E33" s="21">
        <v>44291</v>
      </c>
      <c r="F33" s="24"/>
      <c r="G33" s="24">
        <v>-2.964214001E7</v>
      </c>
      <c r="H33" s="15"/>
      <c r="I33" s="25"/>
      <c r="J33" s="61">
        <f>SUM(J21:J32)/12</f>
        <v>0</v>
      </c>
      <c r="K33" s="60" t="s">
        <v>12</v>
      </c>
      <c r="L33" s="39"/>
      <c r="M33" s="39"/>
      <c r="N33" s="39"/>
    </row>
    <row r="34" spans="3:14" ht="12.75">
      <c r="C34" s="15"/>
      <c r="D34" s="15"/>
      <c r="E34" s="21">
        <v>44307</v>
      </c>
      <c r="F34" s="24"/>
      <c r="G34" s="24">
        <v>-3.58806175E7</v>
      </c>
      <c r="H34" s="15"/>
      <c r="I34" s="25"/>
      <c r="J34" s="25"/>
      <c r="K34" s="15"/>
      <c r="L34" s="39"/>
      <c r="M34" s="39"/>
      <c r="N34" s="39"/>
    </row>
    <row r="35" spans="3:14" ht="12.75">
      <c r="C35" s="15"/>
      <c r="D35" s="15"/>
      <c r="E35" s="21">
        <v>44319</v>
      </c>
      <c r="F35" s="24"/>
      <c r="G35" s="24">
        <v>3.780943017E7</v>
      </c>
      <c r="H35" s="15"/>
      <c r="I35" s="25"/>
      <c r="J35" s="25"/>
      <c r="K35" s="15"/>
      <c r="L35" s="39"/>
      <c r="M35" s="39"/>
      <c r="N35" s="39"/>
    </row>
    <row r="36" spans="3:14" ht="12.75">
      <c r="C36" s="15"/>
      <c r="D36" s="15"/>
      <c r="E36" s="21">
        <v>44335</v>
      </c>
      <c r="F36" s="24"/>
      <c r="G36" s="24">
        <v>-4205628.61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44344</v>
      </c>
      <c r="F37" s="24"/>
      <c r="G37" s="24">
        <v>2.026817793E7</v>
      </c>
      <c r="H37" s="15"/>
      <c r="I37" s="25"/>
      <c r="J37" s="25"/>
      <c r="K37" s="15"/>
      <c r="L37" s="39"/>
      <c r="M37" s="39"/>
      <c r="N37" s="39"/>
    </row>
    <row r="38" spans="3:14" ht="12.75">
      <c r="C38" s="15"/>
      <c r="D38" s="15"/>
      <c r="E38" s="21">
        <v>44375</v>
      </c>
      <c r="F38" s="24"/>
      <c r="G38" s="24">
        <v>-6218476.1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44405</v>
      </c>
      <c r="F39" s="24"/>
      <c r="G39" s="24">
        <v>-3521085.97</v>
      </c>
      <c r="H39" s="15"/>
      <c r="I39" s="25"/>
      <c r="J39" s="25"/>
      <c r="K39" s="15"/>
      <c r="L39" s="39"/>
      <c r="M39" s="39"/>
      <c r="N39" s="39"/>
    </row>
    <row r="40" spans="3:15" ht="12.75">
      <c r="C40" s="15"/>
      <c r="D40" s="15"/>
      <c r="E40" s="21">
        <v>44468</v>
      </c>
      <c r="F40" s="24"/>
      <c r="G40" s="24">
        <v>-1653652.87</v>
      </c>
      <c r="H40" s="15"/>
      <c r="I40" s="25"/>
      <c r="J40" s="25"/>
      <c r="K40" s="15"/>
      <c r="N40" s="30"/>
      <c r="O40" s="31"/>
    </row>
    <row r="41" spans="3:15" ht="12.75">
      <c r="C41" s="15"/>
      <c r="D41" s="15"/>
      <c r="E41" s="21">
        <v>44148</v>
      </c>
      <c r="F41" s="24"/>
      <c r="G41" s="24">
        <v>-2425287.50</v>
      </c>
      <c r="H41" s="15"/>
      <c r="I41" s="25"/>
      <c r="J41" s="25"/>
      <c r="K41" s="15"/>
      <c r="N41" s="30"/>
      <c r="O41" s="31"/>
    </row>
    <row r="42" spans="3:15" ht="12.75">
      <c r="C42" s="15"/>
      <c r="D42" s="15"/>
      <c r="E42" s="21">
        <v>44187</v>
      </c>
      <c r="F42" s="24"/>
      <c r="G42" s="24">
        <v>-200800</v>
      </c>
      <c r="H42" s="15"/>
      <c r="I42" s="25"/>
      <c r="J42" s="25"/>
      <c r="K42" s="15"/>
      <c r="N42" s="30"/>
      <c r="O42" s="31"/>
    </row>
    <row r="43" spans="3:15" ht="12.75">
      <c r="C43" s="15"/>
      <c r="D43" s="15"/>
      <c r="E43" s="21">
        <v>44203</v>
      </c>
      <c r="F43" s="24"/>
      <c r="G43" s="24">
        <v>-7819766.87</v>
      </c>
      <c r="H43" s="15"/>
      <c r="I43" s="25"/>
      <c r="J43" s="25"/>
      <c r="K43" s="15"/>
      <c r="N43" s="30"/>
      <c r="O43" s="31"/>
    </row>
    <row r="44" spans="3:15" ht="12.75">
      <c r="C44" s="15"/>
      <c r="D44" s="15"/>
      <c r="E44" s="21">
        <v>44250</v>
      </c>
      <c r="F44" s="24"/>
      <c r="G44" s="24">
        <v>1248011.28</v>
      </c>
      <c r="H44" s="15"/>
      <c r="I44" s="25"/>
      <c r="J44" s="25"/>
      <c r="K44" s="15"/>
      <c r="N44" s="30"/>
      <c r="O44" s="31"/>
    </row>
    <row r="45" spans="3:15" ht="12.75">
      <c r="C45" s="15"/>
      <c r="D45" s="15"/>
      <c r="E45" s="21">
        <v>44265</v>
      </c>
      <c r="F45" s="24"/>
      <c r="G45" s="24">
        <v>-4375937.50</v>
      </c>
      <c r="H45" s="15"/>
      <c r="I45" s="25"/>
      <c r="J45" s="25"/>
      <c r="K45" s="15"/>
      <c r="N45" s="30"/>
      <c r="O45" s="31"/>
    </row>
    <row r="46" spans="3:15" ht="12.75">
      <c r="C46" s="15"/>
      <c r="D46" s="15"/>
      <c r="E46" s="21">
        <v>44291</v>
      </c>
      <c r="F46" s="24"/>
      <c r="G46" s="24">
        <v>-9463080</v>
      </c>
      <c r="H46" s="15"/>
      <c r="I46" s="25"/>
      <c r="J46" s="25"/>
      <c r="K46" s="15"/>
      <c r="N46" s="30"/>
      <c r="O46" s="31"/>
    </row>
    <row r="47" spans="3:15" ht="12.75">
      <c r="C47" s="15"/>
      <c r="D47" s="15"/>
      <c r="E47" s="21">
        <v>44307</v>
      </c>
      <c r="F47" s="24"/>
      <c r="G47" s="24">
        <v>-9183947.5</v>
      </c>
      <c r="H47" s="15"/>
      <c r="I47" s="25"/>
      <c r="J47" s="25"/>
      <c r="K47" s="15"/>
      <c r="N47" s="30"/>
      <c r="O47" s="31"/>
    </row>
    <row r="48" spans="3:15" ht="12.75">
      <c r="C48" s="15"/>
      <c r="D48" s="15"/>
      <c r="E48" s="21">
        <v>44319</v>
      </c>
      <c r="F48" s="24"/>
      <c r="G48" s="24">
        <v>9383251.73</v>
      </c>
      <c r="H48" s="15"/>
      <c r="I48" s="25"/>
      <c r="J48" s="25"/>
      <c r="K48" s="15"/>
      <c r="N48" s="30"/>
      <c r="O48" s="31"/>
    </row>
    <row r="49" spans="3:15" ht="12.75">
      <c r="C49" s="15"/>
      <c r="D49" s="15"/>
      <c r="E49" s="21">
        <v>44335</v>
      </c>
      <c r="F49" s="24"/>
      <c r="G49" s="24">
        <v>-1331782.39</v>
      </c>
      <c r="H49" s="15"/>
      <c r="I49" s="25"/>
      <c r="J49" s="25"/>
      <c r="K49" s="15"/>
      <c r="N49" s="30"/>
      <c r="O49" s="31"/>
    </row>
    <row r="50" spans="3:15" ht="12.75">
      <c r="C50" s="15"/>
      <c r="D50" s="15"/>
      <c r="E50" s="21">
        <v>44344</v>
      </c>
      <c r="F50" s="24"/>
      <c r="G50" s="24">
        <v>5972811.57</v>
      </c>
      <c r="H50" s="15"/>
      <c r="I50" s="25"/>
      <c r="J50" s="25"/>
      <c r="K50" s="15"/>
      <c r="N50" s="30"/>
      <c r="O50" s="31"/>
    </row>
    <row r="51" spans="3:15" ht="12.75">
      <c r="C51" s="15"/>
      <c r="D51" s="15"/>
      <c r="E51" s="21">
        <v>44375</v>
      </c>
      <c r="F51" s="24"/>
      <c r="G51" s="24">
        <v>-1265158.49</v>
      </c>
      <c r="H51" s="15"/>
      <c r="I51" s="25"/>
      <c r="J51" s="25"/>
      <c r="K51" s="15"/>
      <c r="N51" s="30"/>
      <c r="O51" s="31"/>
    </row>
    <row r="52" spans="3:15" ht="12.75">
      <c r="C52" s="15"/>
      <c r="D52" s="15"/>
      <c r="E52" s="21">
        <v>44405</v>
      </c>
      <c r="F52" s="24"/>
      <c r="G52" s="24">
        <v>-889850.64</v>
      </c>
      <c r="H52" s="15"/>
      <c r="I52" s="25"/>
      <c r="J52" s="25"/>
      <c r="K52" s="15"/>
      <c r="N52" s="30"/>
      <c r="O52" s="31"/>
    </row>
    <row r="53" spans="3:15" ht="12.75">
      <c r="C53" s="15"/>
      <c r="D53" s="15"/>
      <c r="E53" s="21">
        <v>44468</v>
      </c>
      <c r="F53" s="24"/>
      <c r="G53" s="24">
        <v>-282147.76</v>
      </c>
      <c r="H53" s="15"/>
      <c r="I53" s="25"/>
      <c r="J53" s="25"/>
      <c r="K53" s="15"/>
      <c r="N53" s="30"/>
      <c r="O53" s="31"/>
    </row>
    <row r="54" spans="3:15" ht="12.75">
      <c r="C54" s="15"/>
      <c r="D54" s="15"/>
      <c r="E54" s="21">
        <v>44217</v>
      </c>
      <c r="F54" s="24"/>
      <c r="G54" s="24">
        <v>-3442634.52</v>
      </c>
      <c r="H54" s="15"/>
      <c r="I54" s="25"/>
      <c r="J54" s="25"/>
      <c r="K54" s="15"/>
      <c r="N54" s="30"/>
      <c r="O54" s="31"/>
    </row>
    <row r="55" spans="3:15" ht="12.75">
      <c r="C55" s="15"/>
      <c r="D55" s="15"/>
      <c r="E55" s="21">
        <v>44266</v>
      </c>
      <c r="F55" s="24"/>
      <c r="G55" s="24">
        <v>-2120840.59</v>
      </c>
      <c r="H55" s="15"/>
      <c r="I55" s="25"/>
      <c r="J55" s="25"/>
      <c r="K55" s="15"/>
      <c r="N55" s="30"/>
      <c r="O55" s="31"/>
    </row>
    <row r="56" spans="3:15" ht="12.75">
      <c r="C56" s="15"/>
      <c r="D56" s="15"/>
      <c r="E56" s="21">
        <v>44291</v>
      </c>
      <c r="F56" s="24"/>
      <c r="G56" s="24">
        <v>-19129600</v>
      </c>
      <c r="H56" s="15"/>
      <c r="I56" s="25"/>
      <c r="J56" s="25"/>
      <c r="K56" s="15"/>
      <c r="N56" s="30"/>
      <c r="O56" s="31"/>
    </row>
    <row r="57" spans="3:15" ht="12.75">
      <c r="C57" s="15"/>
      <c r="D57" s="15"/>
      <c r="E57" s="21">
        <v>44307</v>
      </c>
      <c r="F57" s="24"/>
      <c r="G57" s="24">
        <v>-1.213218218E7</v>
      </c>
      <c r="H57" s="15"/>
      <c r="I57" s="25"/>
      <c r="J57" s="25"/>
      <c r="K57" s="15"/>
      <c r="N57" s="30"/>
      <c r="O57" s="31"/>
    </row>
    <row r="58" spans="3:15" ht="12.75">
      <c r="C58" s="15"/>
      <c r="D58" s="15"/>
      <c r="E58" s="21">
        <v>44335</v>
      </c>
      <c r="F58" s="24"/>
      <c r="G58" s="24">
        <v>-2507797.63</v>
      </c>
      <c r="H58" s="15"/>
      <c r="I58" s="25"/>
      <c r="J58" s="25"/>
      <c r="K58" s="15"/>
      <c r="N58" s="30"/>
      <c r="O58" s="31"/>
    </row>
    <row r="59" spans="3:15" ht="12.75">
      <c r="C59" s="15"/>
      <c r="D59" s="15"/>
      <c r="E59" s="21">
        <v>44362</v>
      </c>
      <c r="F59" s="24"/>
      <c r="G59" s="24">
        <v>828064.31</v>
      </c>
      <c r="H59" s="15"/>
      <c r="I59" s="25"/>
      <c r="J59" s="25"/>
      <c r="K59" s="15"/>
      <c r="N59" s="30"/>
      <c r="O59" s="31"/>
    </row>
    <row r="60" spans="3:15" ht="12.75">
      <c r="C60" s="15"/>
      <c r="D60" s="15"/>
      <c r="E60" s="103">
        <v>44375</v>
      </c>
      <c r="F60" s="99"/>
      <c r="G60" s="99">
        <v>-2219396.18</v>
      </c>
      <c r="H60" s="15"/>
      <c r="I60" s="25"/>
      <c r="J60" s="25"/>
      <c r="K60" s="15"/>
      <c r="N60" s="30"/>
      <c r="O60" s="31"/>
    </row>
    <row r="61" spans="3:15" ht="12.75">
      <c r="C61" s="15"/>
      <c r="D61" s="15"/>
      <c r="E61" s="103"/>
      <c r="F61" s="99"/>
      <c r="G61" s="99"/>
      <c r="H61" s="15"/>
      <c r="I61" s="25"/>
      <c r="J61" s="25"/>
      <c r="K61" s="15"/>
      <c r="N61" s="30"/>
      <c r="O61" s="31"/>
    </row>
    <row r="62" spans="3:15" ht="7.5" customHeight="1">
      <c r="C62" s="15"/>
      <c r="D62" s="15"/>
      <c r="E62" s="21"/>
      <c r="F62" s="24"/>
      <c r="G62" s="24"/>
      <c r="H62" s="15"/>
      <c r="I62" s="25"/>
      <c r="J62" s="25"/>
      <c r="K62" s="15"/>
      <c r="N62" s="30"/>
      <c r="O62" s="31"/>
    </row>
    <row r="63" spans="3:15" ht="7.5" customHeight="1">
      <c r="C63" s="15"/>
      <c r="D63" s="15"/>
      <c r="E63" s="21"/>
      <c r="F63" s="24"/>
      <c r="G63" s="24"/>
      <c r="H63" s="15"/>
      <c r="I63" s="25"/>
      <c r="J63" s="25"/>
      <c r="K63" s="15"/>
      <c r="N63" s="30"/>
      <c r="O63" s="31"/>
    </row>
    <row r="64" spans="3:15" ht="7.5" customHeight="1">
      <c r="C64" s="15"/>
      <c r="D64" s="15"/>
      <c r="E64" s="21"/>
      <c r="F64" s="24"/>
      <c r="G64" s="24"/>
      <c r="H64" s="15"/>
      <c r="I64" s="25"/>
      <c r="J64" s="25"/>
      <c r="K64" s="15"/>
      <c r="N64" s="30"/>
      <c r="O64" s="31"/>
    </row>
    <row r="65" spans="3:15" ht="4.5" customHeight="1">
      <c r="C65" s="15"/>
      <c r="D65" s="15"/>
      <c r="E65" s="21"/>
      <c r="F65" s="15"/>
      <c r="G65" s="24"/>
      <c r="H65" s="15"/>
      <c r="I65" s="25"/>
      <c r="J65" s="25"/>
      <c r="O65" s="31"/>
    </row>
    <row r="66" spans="3:13" ht="12.75">
      <c r="C66" s="15" t="s">
        <v>5</v>
      </c>
      <c r="D66" s="15"/>
      <c r="E66" s="21">
        <f>+E8</f>
        <v>44561</v>
      </c>
      <c r="F66" s="15"/>
      <c r="G66" s="46" t="e">
        <f>#REF!+#REF!+#REF!</f>
        <v>#REF!</v>
      </c>
      <c r="H66" s="15"/>
      <c r="I66" s="24">
        <f>SUM(G24:G60)</f>
        <v>-1.4833890563000003E8</v>
      </c>
      <c r="J66" s="15" t="s">
        <v>14</v>
      </c>
      <c r="M66" s="31"/>
    </row>
    <row r="67" spans="3:15" ht="12.75">
      <c r="C67" s="15"/>
      <c r="D67" s="15"/>
      <c r="E67" s="15"/>
      <c r="F67" s="15"/>
      <c r="G67" s="15"/>
      <c r="H67" s="15"/>
      <c r="I67" s="24">
        <v>0</v>
      </c>
      <c r="J67" s="15" t="s">
        <v>15</v>
      </c>
      <c r="M67" s="31"/>
      <c r="O67" s="45"/>
    </row>
    <row r="68" spans="3:13" ht="12.75">
      <c r="C68" s="14" t="s">
        <v>0</v>
      </c>
      <c r="G68" s="29" t="e">
        <f>+XIRR(G24:G66,E24:E66,0.1)</f>
        <v>#REF!</v>
      </c>
      <c r="H68" s="15"/>
      <c r="M68" s="35"/>
    </row>
    <row r="69" spans="3:15" ht="12.75">
      <c r="C69" s="15"/>
      <c r="D69" s="15"/>
      <c r="E69" s="15"/>
      <c r="F69" s="15"/>
      <c r="G69" s="15"/>
      <c r="H69" s="15"/>
      <c r="O69" s="45"/>
    </row>
    <row r="70" spans="3:13" ht="12.75">
      <c r="C70" s="15"/>
      <c r="D70" s="15"/>
      <c r="E70" s="15"/>
      <c r="F70" s="15"/>
      <c r="G70" s="15"/>
      <c r="H70" s="15"/>
      <c r="I70" s="35"/>
      <c r="M70" s="35"/>
    </row>
    <row r="71" spans="3:15" ht="12.75">
      <c r="C71" s="52"/>
      <c r="D71" s="52"/>
      <c r="E71" s="53"/>
      <c r="F71" s="52"/>
      <c r="G71" s="53"/>
      <c r="H71" s="15"/>
      <c r="M71" s="35"/>
      <c r="O71" s="45"/>
    </row>
    <row r="72" spans="3:15" ht="12.75">
      <c r="C72" s="52"/>
      <c r="D72" s="52"/>
      <c r="E72" s="53"/>
      <c r="F72" s="52"/>
      <c r="G72" s="53"/>
      <c r="H72" s="15"/>
      <c r="M72" s="35"/>
      <c r="O72" s="45"/>
    </row>
    <row r="73" spans="3:15" ht="12.75">
      <c r="C73" s="52"/>
      <c r="D73" s="52"/>
      <c r="E73" s="53"/>
      <c r="F73" s="52"/>
      <c r="G73" s="53"/>
      <c r="H73" s="15"/>
      <c r="M73" s="35"/>
      <c r="O73" s="45"/>
    </row>
    <row r="74" spans="3:8" ht="12.75">
      <c r="C74" s="52"/>
      <c r="D74" s="52"/>
      <c r="E74" s="53"/>
      <c r="F74" s="52"/>
      <c r="G74" s="53"/>
      <c r="H74" s="14"/>
    </row>
    <row r="75" spans="3:8" ht="12.75">
      <c r="C75" s="52"/>
      <c r="D75" s="52"/>
      <c r="E75" s="53"/>
      <c r="F75" s="53"/>
      <c r="G75" s="53"/>
      <c r="H75" s="14"/>
    </row>
    <row r="76" spans="3:17" ht="12.75">
      <c r="C76" s="52"/>
      <c r="D76" s="52"/>
      <c r="E76" s="52"/>
      <c r="F76" s="52"/>
      <c r="G76" s="52"/>
      <c r="H76" s="14"/>
      <c r="O76" s="45"/>
      <c r="Q76" s="38"/>
    </row>
    <row r="77" spans="3:17" ht="13.5" thickBot="1">
      <c r="C77" s="47" t="s">
        <v>9</v>
      </c>
      <c r="D77" s="47"/>
      <c r="E77" s="48" t="e">
        <f>E10</f>
        <v>#DIV/0!</v>
      </c>
      <c r="F77" s="70"/>
      <c r="G77" s="58"/>
      <c r="H77" s="14"/>
      <c r="O77" s="45"/>
      <c r="Q77" s="38"/>
    </row>
    <row r="78" spans="3:17" ht="13.5" thickTop="1">
      <c r="C78" s="47"/>
      <c r="D78" s="47"/>
      <c r="E78" s="49"/>
      <c r="F78" s="70"/>
      <c r="G78" s="70"/>
      <c r="H78" s="14"/>
      <c r="Q78" s="38"/>
    </row>
    <row r="79" spans="3:17" ht="12.75">
      <c r="C79" s="47" t="s">
        <v>6</v>
      </c>
      <c r="D79" s="47"/>
      <c r="E79" s="49"/>
      <c r="F79" s="70"/>
      <c r="G79" s="70"/>
      <c r="H79" s="14"/>
      <c r="Q79" s="38"/>
    </row>
    <row r="80" spans="3:17" ht="12.75">
      <c r="C80" s="68" t="s">
        <v>2</v>
      </c>
      <c r="D80" s="47"/>
      <c r="E80" s="49" t="e">
        <f>E13</f>
        <v>#DIV/0!</v>
      </c>
      <c r="F80" s="70"/>
      <c r="G80" s="70"/>
      <c r="H80" s="14"/>
      <c r="Q80" s="38"/>
    </row>
    <row r="81" spans="3:17" ht="12.75">
      <c r="C81" s="68" t="s">
        <v>17</v>
      </c>
      <c r="D81" s="47"/>
      <c r="E81" s="49" t="e">
        <f>E14</f>
        <v>#DIV/0!</v>
      </c>
      <c r="F81" s="70"/>
      <c r="G81" s="70"/>
      <c r="H81" s="14"/>
      <c r="Q81" s="38"/>
    </row>
    <row r="82" spans="3:17" ht="13.5" thickBot="1">
      <c r="C82" s="69" t="s">
        <v>18</v>
      </c>
      <c r="D82" s="47"/>
      <c r="E82" s="50" t="e">
        <f>SUM(E80:E81)</f>
        <v>#DIV/0!</v>
      </c>
      <c r="F82" s="70"/>
      <c r="G82" s="70"/>
      <c r="H82" s="14"/>
      <c r="Q82" s="38"/>
    </row>
    <row r="83" spans="3:17" ht="13.5" thickTop="1">
      <c r="C83" s="47"/>
      <c r="D83" s="47"/>
      <c r="E83" s="49"/>
      <c r="F83" s="70"/>
      <c r="G83" s="70"/>
      <c r="H83" s="14"/>
      <c r="Q83" s="38"/>
    </row>
    <row r="84" spans="3:8" ht="13.5" thickBot="1">
      <c r="C84" s="47" t="s">
        <v>13</v>
      </c>
      <c r="D84" s="47"/>
      <c r="E84" s="51" t="e">
        <f>+E18</f>
        <v>#REF!</v>
      </c>
      <c r="F84" s="70"/>
      <c r="G84" s="70"/>
      <c r="H84" s="14"/>
    </row>
    <row r="85" spans="3:8" ht="5.1" customHeight="1" thickTop="1">
      <c r="C85" s="36"/>
      <c r="D85" s="14"/>
      <c r="E85" s="33"/>
      <c r="F85" s="33"/>
      <c r="G85" s="33"/>
      <c r="H85" s="14"/>
    </row>
    <row r="86" spans="3:8" ht="12.75">
      <c r="C86" s="36"/>
      <c r="D86" s="14"/>
      <c r="E86" s="37"/>
      <c r="F86" s="37"/>
      <c r="G86" s="37"/>
      <c r="H86" s="14"/>
    </row>
  </sheetData>
  <pageMargins left="0.75" right="0.33" top="1" bottom="1" header="0.5" footer="0.5"/>
  <pageSetup orientation="landscape" paperSize="1" scale="44" r:id="rId4"/>
  <headerFooter alignWithMargins="0">
    <oddHeader>&amp;C&amp;G</oddHeader>
    <oddFooter>&amp;C&amp;G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3D0012-ED1D-4F75-A85A-7FEE3D765328}">
  <sheetPr>
    <pageSetUpPr fitToPage="1"/>
  </sheetPr>
  <dimension ref="B4:V105"/>
  <sheetViews>
    <sheetView showGridLines="0" view="pageLayout" zoomScaleNormal="100" workbookViewId="0" topLeftCell="A58">
      <selection pane="topLeft" activeCell="G81" sqref="G81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5.571428571428571" bestFit="1" customWidth="1"/>
    <col min="10" max="10" width="19.428571428571427" bestFit="1" customWidth="1"/>
    <col min="11" max="11" width="9.142857142857142" customWidth="1"/>
    <col min="12" max="13" width="9.857142857142858" customWidth="1"/>
    <col min="14" max="14" width="8.142857142857142" customWidth="1"/>
    <col min="15" max="22" width="10.428571428571429" customWidth="1"/>
    <col min="23" max="23" width="9.142857142857142" customWidth="1"/>
  </cols>
  <sheetData>
    <row r="4" spans="2:6" ht="18">
      <c r="B4" s="1" t="s">
        <v>52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93"/>
      <c r="F7" s="3"/>
    </row>
    <row r="8" spans="3:9" ht="15.7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29562500/35776020.41</f>
        <v>0.8263216439729217</v>
      </c>
      <c r="J9" s="55" t="s">
        <v>31</v>
      </c>
      <c r="M9" s="35"/>
    </row>
    <row r="10" spans="3:15" ht="12.75">
      <c r="C10" s="62" t="s">
        <v>11</v>
      </c>
      <c r="D10" s="62"/>
      <c r="E10" s="63" t="e">
        <f>I10/(J33)</f>
        <v>#DIV/0!</v>
      </c>
      <c r="F10" s="18"/>
      <c r="G10" s="100">
        <f>0-129939-241022</f>
        <v>-370961</v>
      </c>
      <c r="H10" s="7"/>
      <c r="I10" s="12">
        <f>(G10*$I$9)+J10</f>
        <v>-752400.103369839</v>
      </c>
      <c r="J10" s="100">
        <v>-445867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 t="e">
        <f>I13/(J33)</f>
        <v>#DIV/0!</v>
      </c>
      <c r="F13" s="18"/>
      <c r="G13" s="100">
        <f>129939+241022</f>
        <v>370961</v>
      </c>
      <c r="H13" s="8"/>
      <c r="I13" s="12">
        <f>G13*$I$9+J13</f>
        <v>752400.103369839</v>
      </c>
      <c r="J13" s="56">
        <f>-J10</f>
        <v>445867</v>
      </c>
      <c r="O13" s="16"/>
    </row>
    <row r="14" spans="3:9" ht="12.75">
      <c r="C14" s="62" t="s">
        <v>3</v>
      </c>
      <c r="D14" s="62"/>
      <c r="E14" s="67" t="e">
        <f>(I14)/(J33)</f>
        <v>#DIV/0!</v>
      </c>
      <c r="F14" s="18"/>
      <c r="G14" s="100">
        <v>0</v>
      </c>
      <c r="H14" s="9"/>
      <c r="I14" s="12">
        <f>G14*$I$9</f>
        <v>0</v>
      </c>
    </row>
    <row r="15" spans="3:9" ht="12.75">
      <c r="C15" s="62" t="s">
        <v>4</v>
      </c>
      <c r="D15" s="62"/>
      <c r="E15" s="63" t="e">
        <f>E13+E14</f>
        <v>#DIV/0!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 t="e">
        <f>G87</f>
        <v>#REF!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 t="e">
        <f>-(G85+I86)/I85</f>
        <v>#REF!</v>
      </c>
      <c r="F19" s="18"/>
      <c r="G19" s="10"/>
      <c r="H19" s="7"/>
      <c r="J19" s="55"/>
      <c r="K19" s="39"/>
      <c r="L19" s="41"/>
      <c r="M19" s="42"/>
      <c r="N19" s="43"/>
    </row>
    <row r="20" spans="3:22" ht="15.75">
      <c r="C20" s="18"/>
      <c r="D20" s="18"/>
      <c r="E20" s="18"/>
      <c r="F20" s="18"/>
      <c r="G20" s="7"/>
      <c r="J20" s="55" t="s">
        <v>31</v>
      </c>
      <c r="K20" s="39"/>
      <c r="L20" s="89"/>
      <c r="M20" s="89"/>
      <c r="N20" s="90"/>
      <c r="O20" s="91"/>
      <c r="P20" s="91"/>
      <c r="Q20" s="91"/>
      <c r="R20" s="91"/>
      <c r="S20" s="91"/>
      <c r="T20" s="91"/>
      <c r="U20" s="91"/>
      <c r="V20" s="91"/>
    </row>
    <row r="21" spans="3:22" ht="15.75">
      <c r="C21" s="19"/>
      <c r="D21" s="20"/>
      <c r="E21" s="20"/>
      <c r="F21" s="20"/>
      <c r="I21" s="21"/>
      <c r="J21" s="59">
        <f>L21+M21+N21+O21+P21+Q21+R21+S21+T21+U21+V21</f>
        <v>0</v>
      </c>
      <c r="K21" s="60" t="s">
        <v>19</v>
      </c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r="22" spans="3:22" ht="12.75">
      <c r="C22" s="22"/>
      <c r="D22" s="15"/>
      <c r="E22" s="15"/>
      <c r="F22" s="15"/>
      <c r="G22" s="23"/>
      <c r="H22" s="15"/>
      <c r="I22" s="15"/>
      <c r="J22" s="59">
        <f t="shared" si="0" ref="J22:J32">L22+M22+N22+O22+P22+Q22+R22+S22+T22+U22+V22</f>
        <v>0</v>
      </c>
      <c r="K22" s="60" t="s">
        <v>20</v>
      </c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</row>
    <row r="23" spans="3:22" ht="12.75">
      <c r="C23" s="15"/>
      <c r="D23" s="15"/>
      <c r="E23" s="21"/>
      <c r="F23" s="24"/>
      <c r="G23" s="24"/>
      <c r="H23" s="15"/>
      <c r="I23" s="25"/>
      <c r="J23" s="59">
        <f t="shared" si="0"/>
        <v>0</v>
      </c>
      <c r="K23" s="60" t="s">
        <v>21</v>
      </c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</row>
    <row r="24" spans="3:22" ht="12.75">
      <c r="C24" s="15" t="s">
        <v>50</v>
      </c>
      <c r="D24" s="15"/>
      <c r="E24" s="21">
        <v>43857</v>
      </c>
      <c r="F24" s="24"/>
      <c r="G24" s="24">
        <v>-7574109.804923568</v>
      </c>
      <c r="H24" s="15"/>
      <c r="I24" s="25"/>
      <c r="J24" s="59">
        <f t="shared" si="0"/>
        <v>0</v>
      </c>
      <c r="K24" s="60" t="s">
        <v>22</v>
      </c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</row>
    <row r="25" spans="3:22" ht="12.75">
      <c r="C25" s="95" t="s">
        <v>51</v>
      </c>
      <c r="D25" s="15"/>
      <c r="E25" s="21">
        <v>43985</v>
      </c>
      <c r="F25" s="24"/>
      <c r="G25" s="24">
        <v>-8109565.189660437</v>
      </c>
      <c r="H25" s="15"/>
      <c r="I25" s="25"/>
      <c r="J25" s="59">
        <f t="shared" si="0"/>
        <v>0</v>
      </c>
      <c r="K25" s="60" t="s">
        <v>23</v>
      </c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</row>
    <row r="26" spans="3:22" ht="12.75">
      <c r="C26" s="15"/>
      <c r="D26" s="15"/>
      <c r="E26" s="21">
        <v>44076</v>
      </c>
      <c r="F26" s="24"/>
      <c r="G26" s="24">
        <v>-9256083.231992982</v>
      </c>
      <c r="H26" s="15"/>
      <c r="I26" s="25"/>
      <c r="J26" s="59">
        <f t="shared" si="0"/>
        <v>0</v>
      </c>
      <c r="K26" s="60" t="s">
        <v>24</v>
      </c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r="27" spans="3:22" ht="12.75">
      <c r="C27" s="15"/>
      <c r="D27" s="15"/>
      <c r="E27" s="21">
        <v>44117</v>
      </c>
      <c r="F27" s="24"/>
      <c r="G27" s="24">
        <v>-9231367.186914392</v>
      </c>
      <c r="H27" s="15"/>
      <c r="I27" s="25"/>
      <c r="J27" s="59">
        <f t="shared" si="0"/>
        <v>0</v>
      </c>
      <c r="K27" s="60" t="s">
        <v>25</v>
      </c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</row>
    <row r="28" spans="3:22" ht="12.75">
      <c r="C28" s="15"/>
      <c r="D28" s="15"/>
      <c r="E28" s="21">
        <v>44141</v>
      </c>
      <c r="F28" s="24"/>
      <c r="G28" s="24">
        <v>-8243800.86838629</v>
      </c>
      <c r="H28" s="15"/>
      <c r="I28" s="25"/>
      <c r="J28" s="59">
        <f t="shared" si="0"/>
        <v>0</v>
      </c>
      <c r="K28" s="60" t="s">
        <v>26</v>
      </c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</row>
    <row r="29" spans="3:22" ht="12.75">
      <c r="C29" s="15"/>
      <c r="D29" s="15"/>
      <c r="E29" s="21">
        <v>44148</v>
      </c>
      <c r="F29" s="24"/>
      <c r="G29" s="24">
        <v>-4300137.938462117</v>
      </c>
      <c r="H29" s="15"/>
      <c r="I29" s="25"/>
      <c r="J29" s="59">
        <f t="shared" si="0"/>
        <v>0</v>
      </c>
      <c r="K29" s="60" t="s">
        <v>27</v>
      </c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</row>
    <row r="30" spans="3:22" ht="12.75">
      <c r="C30" s="15"/>
      <c r="D30" s="15"/>
      <c r="E30" s="21">
        <v>44187</v>
      </c>
      <c r="F30" s="24"/>
      <c r="G30" s="24">
        <v>-3920928.24934875</v>
      </c>
      <c r="H30" s="15"/>
      <c r="I30" s="25"/>
      <c r="J30" s="59">
        <f t="shared" si="0"/>
        <v>0</v>
      </c>
      <c r="K30" s="60" t="s">
        <v>28</v>
      </c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</row>
    <row r="31" spans="3:22" ht="12.75">
      <c r="C31" s="15"/>
      <c r="D31" s="15"/>
      <c r="E31" s="21">
        <v>44203</v>
      </c>
      <c r="F31" s="24"/>
      <c r="G31" s="24">
        <v>-1.6776926572056223E7</v>
      </c>
      <c r="H31" s="15"/>
      <c r="I31" s="25"/>
      <c r="J31" s="59">
        <f t="shared" si="0"/>
        <v>0</v>
      </c>
      <c r="K31" s="60" t="s">
        <v>29</v>
      </c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</row>
    <row r="32" spans="3:22" ht="12.75">
      <c r="C32" s="15"/>
      <c r="D32" s="15"/>
      <c r="E32" s="21">
        <v>44217</v>
      </c>
      <c r="F32" s="24"/>
      <c r="G32" s="24">
        <v>-2194068.134311335</v>
      </c>
      <c r="H32" s="15"/>
      <c r="I32" s="25"/>
      <c r="J32" s="59">
        <f t="shared" si="0"/>
        <v>0</v>
      </c>
      <c r="K32" s="60" t="s">
        <v>30</v>
      </c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</row>
    <row r="33" spans="3:14" ht="12.75">
      <c r="C33" s="15"/>
      <c r="D33" s="15"/>
      <c r="E33" s="21">
        <v>44250</v>
      </c>
      <c r="F33" s="24"/>
      <c r="G33" s="24">
        <v>7925754.310333436</v>
      </c>
      <c r="H33" s="15"/>
      <c r="I33" s="25"/>
      <c r="J33" s="61">
        <f>SUM(J21:J32)/12</f>
        <v>0</v>
      </c>
      <c r="K33" s="60" t="s">
        <v>12</v>
      </c>
      <c r="L33" s="39"/>
      <c r="M33" s="39"/>
      <c r="N33" s="39"/>
    </row>
    <row r="34" spans="3:14" ht="12.75">
      <c r="C34" s="15"/>
      <c r="D34" s="15"/>
      <c r="E34" s="21">
        <v>44265</v>
      </c>
      <c r="F34" s="24"/>
      <c r="G34" s="24">
        <v>-4940200.242409889</v>
      </c>
      <c r="H34" s="15"/>
      <c r="I34" s="25"/>
      <c r="J34" s="25"/>
      <c r="K34" s="15"/>
      <c r="L34" s="39"/>
      <c r="M34" s="39"/>
      <c r="N34" s="39"/>
    </row>
    <row r="35" spans="3:14" ht="12.75">
      <c r="C35" s="15"/>
      <c r="D35" s="15"/>
      <c r="E35" s="21">
        <v>44291</v>
      </c>
      <c r="F35" s="24"/>
      <c r="G35" s="24">
        <v>-1.174301510803722E7</v>
      </c>
      <c r="H35" s="15"/>
      <c r="I35" s="25"/>
      <c r="J35" s="25"/>
      <c r="K35" s="15"/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v>-2.6632769342976484E7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v>2.6987928046194952E7</v>
      </c>
      <c r="H37" s="15"/>
      <c r="I37" s="25"/>
      <c r="J37" s="25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v>-1.275553654995366E7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24">
        <v>1.473145700854275E7</v>
      </c>
      <c r="H39" s="15"/>
      <c r="I39" s="25"/>
      <c r="J39" s="25"/>
      <c r="K39" s="15"/>
      <c r="L39" s="39"/>
      <c r="M39" s="39"/>
      <c r="N39" s="39"/>
    </row>
    <row r="40" spans="3:15" ht="12.75">
      <c r="C40" s="15"/>
      <c r="D40" s="15"/>
      <c r="E40" s="21">
        <v>44361</v>
      </c>
      <c r="F40" s="24"/>
      <c r="G40" s="24">
        <v>445749.2239307901</v>
      </c>
      <c r="H40" s="15"/>
      <c r="I40" s="25"/>
      <c r="J40" s="25"/>
      <c r="K40" s="15"/>
      <c r="N40" s="30"/>
      <c r="O40" s="31"/>
    </row>
    <row r="41" spans="3:15" ht="12.75">
      <c r="C41" s="15"/>
      <c r="D41" s="15"/>
      <c r="E41" s="21">
        <v>44375</v>
      </c>
      <c r="F41" s="24"/>
      <c r="G41" s="24">
        <v>-6218476.1</v>
      </c>
      <c r="H41" s="15"/>
      <c r="I41" s="25"/>
      <c r="J41" s="25"/>
      <c r="K41" s="15"/>
      <c r="N41" s="30"/>
      <c r="O41" s="31"/>
    </row>
    <row r="42" spans="3:15" ht="12.75">
      <c r="C42" s="15"/>
      <c r="D42" s="15"/>
      <c r="E42" s="21">
        <v>44405</v>
      </c>
      <c r="F42" s="24"/>
      <c r="G42" s="24">
        <v>-3521085.97</v>
      </c>
      <c r="H42" s="15"/>
      <c r="I42" s="25"/>
      <c r="J42" s="25"/>
      <c r="K42" s="15"/>
      <c r="N42" s="30"/>
      <c r="O42" s="31"/>
    </row>
    <row r="43" spans="3:15" ht="12.75">
      <c r="C43" s="15"/>
      <c r="D43" s="15"/>
      <c r="E43" s="21">
        <v>44468</v>
      </c>
      <c r="F43" s="24"/>
      <c r="G43" s="24">
        <v>-1653652.87</v>
      </c>
      <c r="H43" s="15"/>
      <c r="I43" s="25"/>
      <c r="J43" s="25"/>
      <c r="K43" s="15"/>
      <c r="N43" s="30"/>
      <c r="O43" s="31"/>
    </row>
    <row r="44" spans="3:15" ht="12.75">
      <c r="C44" s="15"/>
      <c r="D44" s="15"/>
      <c r="E44" s="21">
        <v>43857</v>
      </c>
      <c r="F44" s="24"/>
      <c r="G44" s="24">
        <v>-1916207.2081885647</v>
      </c>
      <c r="H44" s="15"/>
      <c r="I44" s="25"/>
      <c r="J44" s="25"/>
      <c r="K44" s="15"/>
      <c r="N44" s="30"/>
      <c r="O44" s="31"/>
    </row>
    <row r="45" spans="3:15" ht="12.75">
      <c r="C45" s="15"/>
      <c r="D45" s="15"/>
      <c r="E45" s="21">
        <v>43985</v>
      </c>
      <c r="F45" s="24"/>
      <c r="G45" s="24">
        <v>-2051674.4127584798</v>
      </c>
      <c r="H45" s="15"/>
      <c r="I45" s="25"/>
      <c r="J45" s="25"/>
      <c r="K45" s="15"/>
      <c r="N45" s="30"/>
      <c r="O45" s="31"/>
    </row>
    <row r="46" spans="3:15" ht="12.75">
      <c r="C46" s="15"/>
      <c r="D46" s="15"/>
      <c r="E46" s="21">
        <v>44076</v>
      </c>
      <c r="F46" s="24"/>
      <c r="G46" s="24">
        <v>-1929279.0074128106</v>
      </c>
      <c r="H46" s="15"/>
      <c r="I46" s="25"/>
      <c r="J46" s="25"/>
      <c r="K46" s="15"/>
      <c r="N46" s="30"/>
      <c r="O46" s="31"/>
    </row>
    <row r="47" spans="3:15" ht="12.75">
      <c r="C47" s="15"/>
      <c r="D47" s="15"/>
      <c r="E47" s="21">
        <v>44117</v>
      </c>
      <c r="F47" s="24"/>
      <c r="G47" s="24">
        <v>-2335484.0114158574</v>
      </c>
      <c r="H47" s="15"/>
      <c r="I47" s="25"/>
      <c r="J47" s="25"/>
      <c r="K47" s="15"/>
      <c r="N47" s="30"/>
      <c r="O47" s="31"/>
    </row>
    <row r="48" spans="3:15" ht="12.75">
      <c r="C48" s="15"/>
      <c r="D48" s="15"/>
      <c r="E48" s="21">
        <v>44141</v>
      </c>
      <c r="F48" s="24"/>
      <c r="G48" s="24">
        <v>-2085635.2829635444</v>
      </c>
      <c r="H48" s="15"/>
      <c r="I48" s="25"/>
      <c r="J48" s="25"/>
      <c r="K48" s="15"/>
      <c r="N48" s="30"/>
      <c r="O48" s="31"/>
    </row>
    <row r="49" spans="3:15" ht="12.75">
      <c r="C49" s="15"/>
      <c r="D49" s="15"/>
      <c r="E49" s="21">
        <v>44148</v>
      </c>
      <c r="F49" s="24"/>
      <c r="G49" s="24">
        <v>-1087910.7298343573</v>
      </c>
      <c r="H49" s="15"/>
      <c r="I49" s="25"/>
      <c r="J49" s="25"/>
      <c r="K49" s="15"/>
      <c r="N49" s="30"/>
      <c r="O49" s="31"/>
    </row>
    <row r="50" spans="3:15" ht="12.75">
      <c r="C50" s="15"/>
      <c r="D50" s="15"/>
      <c r="E50" s="21">
        <v>44187</v>
      </c>
      <c r="F50" s="24"/>
      <c r="G50" s="24">
        <v>-928393.2652129922</v>
      </c>
      <c r="H50" s="15"/>
      <c r="I50" s="25"/>
      <c r="J50" s="25"/>
      <c r="K50" s="15"/>
      <c r="N50" s="30"/>
      <c r="O50" s="31"/>
    </row>
    <row r="51" spans="3:15" ht="12.75">
      <c r="C51" s="15"/>
      <c r="D51" s="15"/>
      <c r="E51" s="21">
        <v>44203</v>
      </c>
      <c r="F51" s="24"/>
      <c r="G51" s="24">
        <v>-4138326.1023331373</v>
      </c>
      <c r="H51" s="15"/>
      <c r="I51" s="25"/>
      <c r="J51" s="25"/>
      <c r="K51" s="15"/>
      <c r="N51" s="30"/>
      <c r="O51" s="31"/>
    </row>
    <row r="52" spans="3:15" ht="12.75">
      <c r="C52" s="15"/>
      <c r="D52" s="15"/>
      <c r="E52" s="21">
        <v>44217</v>
      </c>
      <c r="F52" s="24"/>
      <c r="G52" s="24">
        <v>-555086.9057386402</v>
      </c>
      <c r="H52" s="15"/>
      <c r="I52" s="25"/>
      <c r="J52" s="25"/>
      <c r="K52" s="15"/>
      <c r="N52" s="30"/>
      <c r="O52" s="31"/>
    </row>
    <row r="53" spans="3:15" ht="12.75">
      <c r="C53" s="15"/>
      <c r="D53" s="15"/>
      <c r="E53" s="21">
        <v>44250</v>
      </c>
      <c r="F53" s="24"/>
      <c r="G53" s="24">
        <v>2005171.2919268664</v>
      </c>
      <c r="H53" s="15"/>
      <c r="I53" s="25"/>
      <c r="J53" s="25"/>
      <c r="K53" s="15"/>
      <c r="N53" s="30"/>
      <c r="O53" s="31"/>
    </row>
    <row r="54" spans="3:15" ht="12.75">
      <c r="C54" s="15"/>
      <c r="D54" s="15"/>
      <c r="E54" s="21">
        <v>44265</v>
      </c>
      <c r="F54" s="24"/>
      <c r="G54" s="24">
        <v>-1216310.9604526479</v>
      </c>
      <c r="H54" s="15"/>
      <c r="I54" s="25"/>
      <c r="J54" s="25"/>
      <c r="K54" s="15"/>
      <c r="N54" s="30"/>
      <c r="O54" s="31"/>
    </row>
    <row r="55" spans="3:15" ht="12.75">
      <c r="C55" s="15"/>
      <c r="D55" s="15"/>
      <c r="E55" s="21">
        <v>44291</v>
      </c>
      <c r="F55" s="24"/>
      <c r="G55" s="24">
        <v>-2912929.384160229</v>
      </c>
      <c r="H55" s="15"/>
      <c r="I55" s="25"/>
      <c r="J55" s="25"/>
      <c r="K55" s="15"/>
      <c r="N55" s="30"/>
      <c r="O55" s="31"/>
    </row>
    <row r="56" spans="3:15" ht="12.75">
      <c r="C56" s="15"/>
      <c r="D56" s="15"/>
      <c r="E56" s="21">
        <v>44307</v>
      </c>
      <c r="F56" s="24"/>
      <c r="G56" s="24">
        <v>-6566393.245552678</v>
      </c>
      <c r="H56" s="15"/>
      <c r="I56" s="25"/>
      <c r="J56" s="25"/>
      <c r="K56" s="15"/>
      <c r="N56" s="30"/>
      <c r="O56" s="31"/>
    </row>
    <row r="57" spans="3:15" ht="12.75">
      <c r="C57" s="15"/>
      <c r="D57" s="15"/>
      <c r="E57" s="21">
        <v>44319</v>
      </c>
      <c r="F57" s="24"/>
      <c r="G57" s="24">
        <v>6827794.105763142</v>
      </c>
      <c r="H57" s="15"/>
      <c r="I57" s="25"/>
      <c r="J57" s="25"/>
      <c r="K57" s="15"/>
      <c r="N57" s="30"/>
      <c r="O57" s="31"/>
    </row>
    <row r="58" spans="3:15" ht="12.75">
      <c r="C58" s="15"/>
      <c r="D58" s="15"/>
      <c r="E58" s="21">
        <v>44335</v>
      </c>
      <c r="F58" s="24"/>
      <c r="G58" s="24">
        <v>-3128410.2288678717</v>
      </c>
      <c r="H58" s="15"/>
      <c r="I58" s="25"/>
      <c r="J58" s="25"/>
      <c r="K58" s="15"/>
      <c r="N58" s="30"/>
      <c r="O58" s="31"/>
    </row>
    <row r="59" spans="3:15" ht="12.75">
      <c r="C59" s="15"/>
      <c r="D59" s="15"/>
      <c r="E59" s="21">
        <v>44344</v>
      </c>
      <c r="F59" s="24"/>
      <c r="G59" s="24">
        <v>3726975.822421419</v>
      </c>
      <c r="H59" s="15"/>
      <c r="I59" s="25"/>
      <c r="J59" s="25"/>
      <c r="K59" s="15"/>
      <c r="N59" s="30"/>
      <c r="O59" s="31"/>
    </row>
    <row r="60" spans="3:15" ht="12.75">
      <c r="C60" s="15"/>
      <c r="D60" s="15"/>
      <c r="E60" s="21">
        <v>44361</v>
      </c>
      <c r="F60" s="24"/>
      <c r="G60" s="24">
        <v>95572.344802588</v>
      </c>
      <c r="H60" s="15"/>
      <c r="I60" s="25"/>
      <c r="J60" s="25"/>
      <c r="K60" s="15"/>
      <c r="N60" s="30"/>
      <c r="O60" s="31"/>
    </row>
    <row r="61" spans="3:15" ht="12.75">
      <c r="C61" s="15"/>
      <c r="D61" s="15"/>
      <c r="E61" s="21">
        <v>44375</v>
      </c>
      <c r="F61" s="24"/>
      <c r="G61" s="24">
        <v>-1265158.49</v>
      </c>
      <c r="H61" s="15"/>
      <c r="I61" s="25"/>
      <c r="J61" s="25"/>
      <c r="K61" s="15"/>
      <c r="N61" s="30"/>
      <c r="O61" s="31"/>
    </row>
    <row r="62" spans="3:15" ht="12.75">
      <c r="C62" s="15"/>
      <c r="D62" s="15"/>
      <c r="E62" s="21">
        <v>44405</v>
      </c>
      <c r="F62" s="24"/>
      <c r="G62" s="24">
        <v>-889850.64</v>
      </c>
      <c r="H62" s="15"/>
      <c r="I62" s="25"/>
      <c r="J62" s="25"/>
      <c r="K62" s="15"/>
      <c r="N62" s="30"/>
      <c r="O62" s="31"/>
    </row>
    <row r="63" spans="3:15" ht="12.75">
      <c r="C63" s="15"/>
      <c r="D63" s="15"/>
      <c r="E63" s="21">
        <v>44468</v>
      </c>
      <c r="F63" s="24"/>
      <c r="G63" s="24">
        <v>-282147.76</v>
      </c>
      <c r="H63" s="15"/>
      <c r="I63" s="25"/>
      <c r="J63" s="25"/>
      <c r="K63" s="15"/>
      <c r="N63" s="30"/>
      <c r="O63" s="31"/>
    </row>
    <row r="64" spans="3:15" ht="12.75">
      <c r="C64" s="15"/>
      <c r="D64" s="15"/>
      <c r="E64" s="21">
        <v>43857</v>
      </c>
      <c r="F64" s="24"/>
      <c r="G64" s="24">
        <v>-4082817.717628563</v>
      </c>
      <c r="H64" s="15"/>
      <c r="I64" s="25"/>
      <c r="J64" s="25"/>
      <c r="K64" s="15"/>
      <c r="N64" s="30"/>
      <c r="O64" s="31"/>
    </row>
    <row r="65" spans="3:15" ht="12.75">
      <c r="C65" s="15"/>
      <c r="D65" s="15"/>
      <c r="E65" s="21">
        <v>43985</v>
      </c>
      <c r="F65" s="24"/>
      <c r="G65" s="24">
        <v>-4371454.510461896</v>
      </c>
      <c r="H65" s="15"/>
      <c r="I65" s="25"/>
      <c r="J65" s="25"/>
      <c r="K65" s="15"/>
      <c r="N65" s="30"/>
      <c r="O65" s="31"/>
    </row>
    <row r="66" spans="3:15" ht="12.75">
      <c r="C66" s="15"/>
      <c r="D66" s="15"/>
      <c r="E66" s="21">
        <v>44076</v>
      </c>
      <c r="F66" s="24"/>
      <c r="G66" s="24">
        <v>-3958564.9204578595</v>
      </c>
      <c r="H66" s="15"/>
      <c r="I66" s="25"/>
      <c r="J66" s="25"/>
      <c r="K66" s="15"/>
      <c r="N66" s="30"/>
      <c r="O66" s="31"/>
    </row>
    <row r="67" spans="3:15" ht="12.75">
      <c r="C67" s="15"/>
      <c r="D67" s="15"/>
      <c r="E67" s="21">
        <v>44117</v>
      </c>
      <c r="F67" s="24"/>
      <c r="G67" s="24">
        <v>-4976160.9602026725</v>
      </c>
      <c r="H67" s="15"/>
      <c r="I67" s="25"/>
      <c r="J67" s="25"/>
      <c r="K67" s="15"/>
      <c r="N67" s="30"/>
      <c r="O67" s="31"/>
    </row>
    <row r="68" spans="3:15" ht="12.75">
      <c r="C68" s="15"/>
      <c r="D68" s="15"/>
      <c r="E68" s="21">
        <v>44141</v>
      </c>
      <c r="F68" s="24"/>
      <c r="G68" s="24">
        <v>-4443814.139413713</v>
      </c>
      <c r="H68" s="15"/>
      <c r="I68" s="25"/>
      <c r="J68" s="25"/>
      <c r="K68" s="15"/>
      <c r="N68" s="30"/>
      <c r="O68" s="31"/>
    </row>
    <row r="69" spans="3:15" ht="12.75">
      <c r="C69" s="15"/>
      <c r="D69" s="15"/>
      <c r="E69" s="21">
        <v>44148</v>
      </c>
      <c r="F69" s="24"/>
      <c r="G69" s="24">
        <v>-2317985.8545490056</v>
      </c>
      <c r="H69" s="15"/>
      <c r="I69" s="25"/>
      <c r="J69" s="25"/>
      <c r="K69" s="15"/>
      <c r="N69" s="30"/>
      <c r="O69" s="31"/>
    </row>
    <row r="70" spans="3:15" ht="12.75">
      <c r="C70" s="15"/>
      <c r="D70" s="15"/>
      <c r="E70" s="21">
        <v>44187</v>
      </c>
      <c r="F70" s="24"/>
      <c r="G70" s="24">
        <v>-1954659.1346228386</v>
      </c>
      <c r="H70" s="15"/>
      <c r="I70" s="25"/>
      <c r="J70" s="25"/>
      <c r="K70" s="15"/>
      <c r="N70" s="30"/>
      <c r="O70" s="31"/>
    </row>
    <row r="71" spans="3:15" ht="12.75">
      <c r="C71" s="15"/>
      <c r="D71" s="15"/>
      <c r="E71" s="21">
        <v>44203</v>
      </c>
      <c r="F71" s="24"/>
      <c r="G71" s="24">
        <v>-8778291.665679384</v>
      </c>
      <c r="H71" s="15"/>
      <c r="I71" s="25"/>
      <c r="J71" s="25"/>
      <c r="K71" s="15"/>
      <c r="N71" s="30"/>
      <c r="O71" s="31"/>
    </row>
    <row r="72" spans="3:15" ht="12.75">
      <c r="C72" s="15"/>
      <c r="D72" s="15"/>
      <c r="E72" s="21">
        <v>44217</v>
      </c>
      <c r="F72" s="24"/>
      <c r="G72" s="24">
        <v>-1223795.9202524198</v>
      </c>
      <c r="H72" s="15"/>
      <c r="I72" s="25"/>
      <c r="J72" s="25"/>
      <c r="K72" s="15"/>
      <c r="N72" s="30"/>
      <c r="O72" s="31"/>
    </row>
    <row r="73" spans="3:15" ht="12.75">
      <c r="C73" s="15"/>
      <c r="D73" s="15"/>
      <c r="E73" s="21">
        <v>44250</v>
      </c>
      <c r="F73" s="24"/>
      <c r="G73" s="24">
        <v>4272371.402515644</v>
      </c>
      <c r="H73" s="15"/>
      <c r="I73" s="25"/>
      <c r="J73" s="25"/>
      <c r="K73" s="15"/>
      <c r="N73" s="30"/>
      <c r="O73" s="31"/>
    </row>
    <row r="74" spans="3:15" ht="12.75">
      <c r="C74" s="15"/>
      <c r="D74" s="15"/>
      <c r="E74" s="21">
        <v>44265</v>
      </c>
      <c r="F74" s="24"/>
      <c r="G74" s="24">
        <f>-2252124.74360582-327074.700190716</f>
        <v>-2579199.443796536</v>
      </c>
      <c r="H74" s="15"/>
      <c r="I74" s="25"/>
      <c r="J74" s="25"/>
      <c r="K74" s="15"/>
      <c r="N74" s="30"/>
      <c r="O74" s="31"/>
    </row>
    <row r="75" spans="3:15" ht="12.75">
      <c r="C75" s="15"/>
      <c r="D75" s="15"/>
      <c r="E75" s="21">
        <v>44291</v>
      </c>
      <c r="F75" s="24"/>
      <c r="G75" s="24">
        <v>-6226211.173772299</v>
      </c>
      <c r="H75" s="15"/>
      <c r="I75" s="25"/>
      <c r="J75" s="25"/>
      <c r="K75" s="15"/>
      <c r="N75" s="30"/>
      <c r="O75" s="31"/>
    </row>
    <row r="76" spans="3:15" ht="12.75">
      <c r="C76" s="15"/>
      <c r="D76" s="15"/>
      <c r="E76" s="21">
        <v>44307</v>
      </c>
      <c r="F76" s="24"/>
      <c r="G76" s="24">
        <v>-1.3927597293312676E7</v>
      </c>
      <c r="H76" s="15"/>
      <c r="I76" s="25"/>
      <c r="J76" s="25"/>
      <c r="K76" s="15"/>
      <c r="N76" s="30"/>
      <c r="O76" s="31"/>
    </row>
    <row r="77" spans="3:15" ht="12.75">
      <c r="C77" s="15"/>
      <c r="D77" s="15"/>
      <c r="E77" s="21">
        <v>44319</v>
      </c>
      <c r="F77" s="24"/>
      <c r="G77" s="24">
        <v>1.4547820626184816E7</v>
      </c>
      <c r="H77" s="15"/>
      <c r="I77" s="25"/>
      <c r="J77" s="25"/>
      <c r="K77" s="15"/>
      <c r="N77" s="30"/>
      <c r="O77" s="31"/>
    </row>
    <row r="78" spans="3:15" ht="12.75">
      <c r="C78" s="15"/>
      <c r="D78" s="15"/>
      <c r="E78" s="21">
        <v>44335</v>
      </c>
      <c r="F78" s="24"/>
      <c r="G78" s="24">
        <v>-6629243.555628181</v>
      </c>
      <c r="H78" s="15"/>
      <c r="I78" s="25"/>
      <c r="J78" s="25"/>
      <c r="K78" s="15"/>
      <c r="N78" s="30"/>
      <c r="O78" s="31"/>
    </row>
    <row r="79" spans="3:15" ht="12.75">
      <c r="C79" s="15"/>
      <c r="D79" s="15"/>
      <c r="E79" s="21">
        <v>44344</v>
      </c>
      <c r="F79" s="24"/>
      <c r="G79" s="24">
        <f>8538694.07299078-597714.174819936</f>
        <v>7940979.898170845</v>
      </c>
      <c r="H79" s="15"/>
      <c r="I79" s="25"/>
      <c r="J79" s="25"/>
      <c r="K79" s="15"/>
      <c r="N79" s="30"/>
      <c r="O79" s="31"/>
    </row>
    <row r="80" spans="3:15" ht="12.75">
      <c r="C80" s="15"/>
      <c r="D80" s="15"/>
      <c r="E80" s="21">
        <v>44361</v>
      </c>
      <c r="F80" s="24"/>
      <c r="G80" s="24">
        <f>-213231.101774318+416864.853389408</f>
        <v>203633.75161508998</v>
      </c>
      <c r="H80" s="15"/>
      <c r="I80" s="25"/>
      <c r="J80" s="25"/>
      <c r="K80" s="15"/>
      <c r="N80" s="30"/>
      <c r="O80" s="31"/>
    </row>
    <row r="81" spans="3:15" ht="12.75">
      <c r="C81" s="15"/>
      <c r="D81" s="15"/>
      <c r="E81" s="103">
        <v>44375</v>
      </c>
      <c r="F81" s="99"/>
      <c r="G81" s="99">
        <v>-2219396.18</v>
      </c>
      <c r="H81" s="15"/>
      <c r="I81" s="25"/>
      <c r="J81" s="25"/>
      <c r="K81" s="15"/>
      <c r="N81" s="30"/>
      <c r="O81" s="31"/>
    </row>
    <row r="82" spans="3:15" ht="7.5" customHeight="1">
      <c r="C82" s="15"/>
      <c r="D82" s="15"/>
      <c r="E82" s="103"/>
      <c r="F82" s="99"/>
      <c r="G82" s="99"/>
      <c r="H82" s="15"/>
      <c r="I82" s="25"/>
      <c r="J82" s="25"/>
      <c r="K82" s="15"/>
      <c r="N82" s="30"/>
      <c r="O82" s="31"/>
    </row>
    <row r="83" spans="3:15" ht="7.5" customHeight="1">
      <c r="C83" s="15"/>
      <c r="D83" s="15"/>
      <c r="E83" s="21"/>
      <c r="F83" s="24"/>
      <c r="G83" s="24"/>
      <c r="H83" s="15"/>
      <c r="I83" s="25"/>
      <c r="J83" s="25"/>
      <c r="K83" s="15"/>
      <c r="N83" s="30"/>
      <c r="O83" s="31"/>
    </row>
    <row r="84" spans="3:15" ht="4.5" customHeight="1">
      <c r="C84" s="15"/>
      <c r="D84" s="15"/>
      <c r="E84" s="21"/>
      <c r="F84" s="15"/>
      <c r="G84" s="24"/>
      <c r="H84" s="15"/>
      <c r="I84" s="25"/>
      <c r="J84" s="25"/>
      <c r="O84" s="31"/>
    </row>
    <row r="85" spans="3:13" ht="12.75">
      <c r="C85" s="15" t="s">
        <v>5</v>
      </c>
      <c r="D85" s="15"/>
      <c r="E85" s="21">
        <f>+E8</f>
        <v>44561</v>
      </c>
      <c r="F85" s="15"/>
      <c r="G85" s="46" t="e">
        <f>'EETF I-A'!G69+'EETF Co Inv I-A Hypo'!G49+'EETF Sidecar I-A Hypo'!G46</f>
        <v>#REF!</v>
      </c>
      <c r="H85" s="15"/>
      <c r="I85" s="24">
        <f>SUM(G24:G81)</f>
        <v>-1.483389056317009E8</v>
      </c>
      <c r="J85" s="15" t="s">
        <v>14</v>
      </c>
      <c r="M85" s="31"/>
    </row>
    <row r="86" spans="3:15" ht="12.75">
      <c r="C86" s="15"/>
      <c r="D86" s="15"/>
      <c r="E86" s="15"/>
      <c r="F86" s="15"/>
      <c r="G86" s="15"/>
      <c r="H86" s="15"/>
      <c r="I86" s="24">
        <v>0</v>
      </c>
      <c r="J86" s="15" t="s">
        <v>15</v>
      </c>
      <c r="M86" s="31"/>
      <c r="O86" s="45"/>
    </row>
    <row r="87" spans="3:13" ht="12.75">
      <c r="C87" s="14" t="s">
        <v>0</v>
      </c>
      <c r="G87" s="29" t="e">
        <f>+XIRR(G24:G85,E24:E85,0.1)</f>
        <v>#REF!</v>
      </c>
      <c r="H87" s="15"/>
      <c r="M87" s="35"/>
    </row>
    <row r="88" spans="3:15" ht="12.75">
      <c r="C88" s="15"/>
      <c r="D88" s="15"/>
      <c r="E88" s="15"/>
      <c r="F88" s="15"/>
      <c r="G88" s="15"/>
      <c r="H88" s="15"/>
      <c r="O88" s="45"/>
    </row>
    <row r="89" spans="3:13" ht="12.75">
      <c r="C89" s="15"/>
      <c r="D89" s="15"/>
      <c r="E89" s="15"/>
      <c r="F89" s="15"/>
      <c r="G89" s="15"/>
      <c r="H89" s="15"/>
      <c r="I89" s="35"/>
      <c r="M89" s="35"/>
    </row>
    <row r="90" spans="3:15" ht="12.75">
      <c r="C90" s="52"/>
      <c r="D90" s="52"/>
      <c r="E90" s="53"/>
      <c r="F90" s="52"/>
      <c r="G90" s="53"/>
      <c r="H90" s="15"/>
      <c r="M90" s="35"/>
      <c r="O90" s="45"/>
    </row>
    <row r="91" spans="3:15" ht="12.75">
      <c r="C91" s="52"/>
      <c r="D91" s="52"/>
      <c r="E91" s="53"/>
      <c r="F91" s="52"/>
      <c r="G91" s="53"/>
      <c r="H91" s="15"/>
      <c r="M91" s="35"/>
      <c r="O91" s="45"/>
    </row>
    <row r="92" spans="3:15" ht="12.75">
      <c r="C92" s="52"/>
      <c r="D92" s="52"/>
      <c r="E92" s="53"/>
      <c r="F92" s="52"/>
      <c r="G92" s="53"/>
      <c r="H92" s="15"/>
      <c r="M92" s="35"/>
      <c r="O92" s="45"/>
    </row>
    <row r="93" spans="3:8" ht="12.75">
      <c r="C93" s="52"/>
      <c r="D93" s="52"/>
      <c r="E93" s="53"/>
      <c r="F93" s="52"/>
      <c r="G93" s="53"/>
      <c r="H93" s="14"/>
    </row>
    <row r="94" spans="3:8" ht="12.75">
      <c r="C94" s="52"/>
      <c r="D94" s="52"/>
      <c r="E94" s="53"/>
      <c r="F94" s="53"/>
      <c r="G94" s="53"/>
      <c r="H94" s="14"/>
    </row>
    <row r="95" spans="3:17" ht="12.75">
      <c r="C95" s="52"/>
      <c r="D95" s="52"/>
      <c r="E95" s="52"/>
      <c r="F95" s="52"/>
      <c r="G95" s="52"/>
      <c r="H95" s="14"/>
      <c r="O95" s="45"/>
      <c r="Q95" s="38"/>
    </row>
    <row r="96" spans="3:17" ht="13.5" thickBot="1">
      <c r="C96" s="47" t="s">
        <v>9</v>
      </c>
      <c r="D96" s="47"/>
      <c r="E96" s="48" t="e">
        <f>E10</f>
        <v>#DIV/0!</v>
      </c>
      <c r="F96" s="70"/>
      <c r="G96" s="58"/>
      <c r="H96" s="14"/>
      <c r="O96" s="45"/>
      <c r="Q96" s="38"/>
    </row>
    <row r="97" spans="3:17" ht="13.5" thickTop="1">
      <c r="C97" s="47"/>
      <c r="D97" s="47"/>
      <c r="E97" s="49"/>
      <c r="F97" s="70"/>
      <c r="G97" s="70"/>
      <c r="H97" s="14"/>
      <c r="Q97" s="38"/>
    </row>
    <row r="98" spans="3:17" ht="12.75">
      <c r="C98" s="47" t="s">
        <v>6</v>
      </c>
      <c r="D98" s="47"/>
      <c r="E98" s="49"/>
      <c r="F98" s="70"/>
      <c r="G98" s="70"/>
      <c r="H98" s="14"/>
      <c r="Q98" s="38"/>
    </row>
    <row r="99" spans="3:17" ht="12.75">
      <c r="C99" s="68" t="s">
        <v>2</v>
      </c>
      <c r="D99" s="47"/>
      <c r="E99" s="49" t="e">
        <f>E13</f>
        <v>#DIV/0!</v>
      </c>
      <c r="F99" s="70"/>
      <c r="G99" s="70"/>
      <c r="H99" s="14"/>
      <c r="Q99" s="38"/>
    </row>
    <row r="100" spans="3:17" ht="12.75">
      <c r="C100" s="68" t="s">
        <v>17</v>
      </c>
      <c r="D100" s="47"/>
      <c r="E100" s="49" t="e">
        <f>E14</f>
        <v>#DIV/0!</v>
      </c>
      <c r="F100" s="70"/>
      <c r="G100" s="70"/>
      <c r="H100" s="14"/>
      <c r="Q100" s="38"/>
    </row>
    <row r="101" spans="3:17" ht="13.5" thickBot="1">
      <c r="C101" s="69" t="s">
        <v>18</v>
      </c>
      <c r="D101" s="47"/>
      <c r="E101" s="50" t="e">
        <f>SUM(E99:E100)</f>
        <v>#DIV/0!</v>
      </c>
      <c r="F101" s="70"/>
      <c r="G101" s="70"/>
      <c r="H101" s="14"/>
      <c r="Q101" s="38"/>
    </row>
    <row r="102" spans="3:17" ht="13.5" thickTop="1">
      <c r="C102" s="47"/>
      <c r="D102" s="47"/>
      <c r="E102" s="49"/>
      <c r="F102" s="70"/>
      <c r="G102" s="70"/>
      <c r="H102" s="14"/>
      <c r="Q102" s="38"/>
    </row>
    <row r="103" spans="3:8" ht="13.5" thickBot="1">
      <c r="C103" s="47" t="s">
        <v>13</v>
      </c>
      <c r="D103" s="47"/>
      <c r="E103" s="51" t="e">
        <f>+E18</f>
        <v>#REF!</v>
      </c>
      <c r="F103" s="70"/>
      <c r="G103" s="70"/>
      <c r="H103" s="14"/>
    </row>
    <row r="104" spans="3:8" ht="5.1" customHeight="1" thickTop="1">
      <c r="C104" s="36"/>
      <c r="D104" s="14"/>
      <c r="E104" s="33"/>
      <c r="F104" s="33"/>
      <c r="G104" s="33"/>
      <c r="H104" s="14"/>
    </row>
    <row r="105" spans="3:8" ht="12.75">
      <c r="C105" s="36"/>
      <c r="D105" s="14"/>
      <c r="E105" s="37"/>
      <c r="F105" s="37"/>
      <c r="G105" s="37"/>
      <c r="H105" s="14"/>
    </row>
  </sheetData>
  <pageMargins left="0.75" right="0.33" top="1" bottom="1" header="0.5" footer="0.5"/>
  <pageSetup orientation="landscape" paperSize="1" scale="35" r:id="rId4"/>
  <headerFooter alignWithMargins="0">
    <oddHeader>&amp;C&amp;G</oddHeader>
    <oddFooter>&amp;C&amp;G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758176-8E60-4453-B645-97563ACDBB15}">
  <dimension ref="B4:Q61"/>
  <sheetViews>
    <sheetView view="pageLayout" zoomScaleNormal="100" workbookViewId="0" topLeftCell="A16">
      <selection pane="topLeft" activeCell="G41" sqref="G41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4.142857142857142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15" ht="15.75">
      <c r="C8" s="26" t="s">
        <v>7</v>
      </c>
      <c r="D8" s="26"/>
      <c r="E8" s="11"/>
      <c r="F8" s="26"/>
      <c r="G8" s="11"/>
      <c r="H8" s="5"/>
      <c r="I8" s="27"/>
      <c r="J8" s="39"/>
      <c r="K8" s="39"/>
      <c r="L8" s="39"/>
      <c r="M8" s="39"/>
      <c r="N8" s="39"/>
      <c r="O8" s="45"/>
    </row>
    <row r="9" spans="3:15" ht="12.75" customHeight="1">
      <c r="C9" s="18" t="s">
        <v>8</v>
      </c>
      <c r="D9" s="18"/>
      <c r="E9" s="8" t="e">
        <f>G43</f>
        <v>#REF!</v>
      </c>
      <c r="F9" s="18"/>
      <c r="G9" s="28"/>
      <c r="H9" s="8"/>
      <c r="I9" s="27"/>
      <c r="J9" s="40"/>
      <c r="K9" s="39"/>
      <c r="L9" s="41"/>
      <c r="M9" s="42"/>
      <c r="N9" s="39"/>
      <c r="O9" s="45"/>
    </row>
    <row r="10" spans="3:14" ht="15.75">
      <c r="C10" s="18" t="s">
        <v>10</v>
      </c>
      <c r="D10" s="18"/>
      <c r="E10" s="34" t="e">
        <f>-(G41+I42)/I41</f>
        <v>#REF!</v>
      </c>
      <c r="F10" s="18"/>
      <c r="G10" s="10"/>
      <c r="H10" s="7"/>
      <c r="J10" s="55"/>
      <c r="K10" s="39"/>
      <c r="L10" s="41"/>
      <c r="M10" s="42"/>
      <c r="N10" s="43"/>
    </row>
    <row r="11" spans="3:14" ht="15.75">
      <c r="C11" s="18"/>
      <c r="D11" s="18"/>
      <c r="E11" s="18"/>
      <c r="F11" s="18"/>
      <c r="G11" s="7"/>
      <c r="J11" s="55"/>
      <c r="L11" s="41"/>
      <c r="M11" s="42"/>
      <c r="N11" s="39"/>
    </row>
    <row r="12" spans="3:15" ht="15.75">
      <c r="C12" s="19"/>
      <c r="D12" s="20"/>
      <c r="E12" s="20"/>
      <c r="F12" s="20"/>
      <c r="I12" s="21"/>
      <c r="J12" s="46"/>
      <c r="K12" s="15"/>
      <c r="L12" s="41"/>
      <c r="M12" s="42"/>
      <c r="N12" s="43"/>
      <c r="O12" s="45"/>
    </row>
    <row r="13" spans="3:15" ht="12.75">
      <c r="C13" s="22"/>
      <c r="D13" s="15"/>
      <c r="E13" s="15"/>
      <c r="F13" s="15"/>
      <c r="G13" s="23"/>
      <c r="H13" s="15"/>
      <c r="I13" s="15"/>
      <c r="J13" s="46"/>
      <c r="K13" s="15"/>
      <c r="L13" s="41"/>
      <c r="M13" s="42"/>
      <c r="N13" s="39"/>
      <c r="O13" s="45"/>
    </row>
    <row r="14" spans="3:15" ht="12.75">
      <c r="C14" s="15"/>
      <c r="D14" s="15"/>
      <c r="E14" s="21"/>
      <c r="F14" s="24"/>
      <c r="G14" s="24"/>
      <c r="H14" s="15"/>
      <c r="I14" s="25"/>
      <c r="J14" s="46"/>
      <c r="K14" s="15"/>
      <c r="L14" s="41"/>
      <c r="M14" s="42"/>
      <c r="N14" s="39"/>
      <c r="O14" s="45"/>
    </row>
    <row r="15" spans="3:16" ht="12.75">
      <c r="C15" s="15" t="s">
        <v>16</v>
      </c>
      <c r="D15" s="15"/>
      <c r="E15" s="21">
        <v>43857</v>
      </c>
      <c r="F15" s="24"/>
      <c r="G15" s="24">
        <f>'EETF I-A'!G24+'EETF Co Inv I-A Hypo'!G21</f>
        <v>-9490317.013112133</v>
      </c>
      <c r="H15" s="15"/>
      <c r="I15" s="21"/>
      <c r="J15" s="46"/>
      <c r="K15" s="15"/>
      <c r="L15" s="41"/>
      <c r="M15" s="42"/>
      <c r="N15" s="39"/>
      <c r="O15" s="25"/>
      <c r="P15" s="45"/>
    </row>
    <row r="16" spans="3:15" ht="12.75">
      <c r="C16" s="15"/>
      <c r="D16" s="15"/>
      <c r="E16" s="21">
        <v>43985</v>
      </c>
      <c r="F16" s="24"/>
      <c r="G16" s="24">
        <f>'EETF I-A'!G25+'EETF Co Inv I-A Hypo'!G22</f>
        <v>-1.0161239602418918E7</v>
      </c>
      <c r="H16" s="15"/>
      <c r="I16" s="21"/>
      <c r="J16" s="46"/>
      <c r="K16" s="15"/>
      <c r="L16" s="41"/>
      <c r="M16" s="42"/>
      <c r="N16" s="39"/>
      <c r="O16" s="25"/>
    </row>
    <row r="17" spans="3:16" ht="12.75">
      <c r="C17" s="15"/>
      <c r="D17" s="15"/>
      <c r="E17" s="21">
        <v>44076</v>
      </c>
      <c r="F17" s="24"/>
      <c r="G17" s="24">
        <f>'EETF I-A'!G26+'EETF Co Inv I-A Hypo'!G23</f>
        <v>-1.1185362239405792E7</v>
      </c>
      <c r="H17" s="15"/>
      <c r="I17" s="21"/>
      <c r="J17" s="46"/>
      <c r="K17" s="15"/>
      <c r="L17" s="41"/>
      <c r="M17" s="42"/>
      <c r="N17" s="39"/>
      <c r="O17" s="25"/>
      <c r="P17" s="45"/>
    </row>
    <row r="18" spans="3:16" ht="12.75">
      <c r="C18" s="15"/>
      <c r="D18" s="15"/>
      <c r="E18" s="21">
        <v>44117</v>
      </c>
      <c r="F18" s="24"/>
      <c r="G18" s="24">
        <f>'EETF I-A'!G27+'EETF Co Inv I-A Hypo'!G24</f>
        <v>-1.156685119833025E7</v>
      </c>
      <c r="H18" s="15"/>
      <c r="I18" s="21"/>
      <c r="J18" s="46"/>
      <c r="K18" s="15"/>
      <c r="L18" s="41"/>
      <c r="M18" s="42"/>
      <c r="N18" s="39"/>
      <c r="O18" s="25"/>
      <c r="P18" s="45"/>
    </row>
    <row r="19" spans="3:16" ht="12.75">
      <c r="C19" s="15"/>
      <c r="D19" s="15"/>
      <c r="E19" s="21">
        <v>44141</v>
      </c>
      <c r="F19" s="24"/>
      <c r="G19" s="24">
        <f>'EETF I-A'!G28+'EETF Co Inv I-A Hypo'!G25</f>
        <v>-1.0329436151349835E7</v>
      </c>
      <c r="H19" s="15"/>
      <c r="I19" s="21"/>
      <c r="J19" s="46"/>
      <c r="K19" s="15"/>
      <c r="L19" s="41"/>
      <c r="M19" s="42"/>
      <c r="N19" s="39"/>
      <c r="O19" s="25"/>
      <c r="P19" s="45"/>
    </row>
    <row r="20" spans="3:16" ht="12.75">
      <c r="C20" s="15"/>
      <c r="D20" s="15"/>
      <c r="E20" s="21">
        <v>44148</v>
      </c>
      <c r="F20" s="24"/>
      <c r="G20" s="24">
        <f>'EETF I-A'!G29+'EETF Co Inv I-A Hypo'!G26</f>
        <v>-5388048.668296474</v>
      </c>
      <c r="H20" s="15"/>
      <c r="I20" s="21"/>
      <c r="J20" s="46"/>
      <c r="K20" s="15"/>
      <c r="L20" s="41"/>
      <c r="M20" s="42"/>
      <c r="N20" s="39"/>
      <c r="O20" s="25"/>
      <c r="P20" s="45"/>
    </row>
    <row r="21" spans="3:15" ht="12.75">
      <c r="C21" s="15"/>
      <c r="D21" s="15"/>
      <c r="E21" s="21">
        <v>44187</v>
      </c>
      <c r="F21" s="24"/>
      <c r="G21" s="24">
        <f>'EETF I-A'!G30+'EETF Co Inv I-A Hypo'!G27</f>
        <v>-4849321.514561743</v>
      </c>
      <c r="H21" s="15"/>
      <c r="I21" s="21"/>
      <c r="J21" s="46"/>
      <c r="K21" s="15"/>
      <c r="L21" s="41"/>
      <c r="M21" s="42"/>
      <c r="N21" s="39"/>
      <c r="O21" s="25"/>
    </row>
    <row r="22" spans="3:16" ht="12.75">
      <c r="C22" s="15" t="s">
        <v>41</v>
      </c>
      <c r="D22" s="15"/>
      <c r="E22" s="21">
        <v>44203</v>
      </c>
      <c r="F22" s="24"/>
      <c r="G22" s="24">
        <f>'EETF I-A'!G31+'EETF Co Inv I-A Hypo'!G28</f>
        <v>-2.091525267438936E7</v>
      </c>
      <c r="H22" s="15"/>
      <c r="I22" s="21"/>
      <c r="J22" s="46"/>
      <c r="K22" s="15"/>
      <c r="L22" s="41"/>
      <c r="M22" s="42"/>
      <c r="N22" s="39"/>
      <c r="P22" s="45"/>
    </row>
    <row r="23" spans="3:16" ht="12.75">
      <c r="C23" s="15"/>
      <c r="D23" s="15"/>
      <c r="E23" s="21">
        <v>44217</v>
      </c>
      <c r="F23" s="24"/>
      <c r="G23" s="24">
        <f>'EETF I-A'!G32+'EETF Co Inv I-A Hypo'!G29</f>
        <v>-2749155.0400499753</v>
      </c>
      <c r="H23" s="15"/>
      <c r="I23" s="21"/>
      <c r="J23" s="46"/>
      <c r="K23" s="15"/>
      <c r="L23" s="41"/>
      <c r="M23" s="42"/>
      <c r="N23" s="39"/>
      <c r="P23" s="45"/>
    </row>
    <row r="24" spans="3:14" ht="12.75">
      <c r="C24" s="15"/>
      <c r="D24" s="15"/>
      <c r="E24" s="21">
        <v>44250</v>
      </c>
      <c r="F24" s="24"/>
      <c r="G24" s="24">
        <f>'EETF I-A'!G33+'EETF Co Inv I-A Hypo'!G30</f>
        <v>9930925.602260303</v>
      </c>
      <c r="H24" s="15"/>
      <c r="I24" s="21"/>
      <c r="J24" s="25"/>
      <c r="K24" s="15"/>
      <c r="L24" s="39"/>
      <c r="M24" s="39"/>
      <c r="N24" s="39"/>
    </row>
    <row r="25" spans="3:15" ht="12.75">
      <c r="C25" s="15"/>
      <c r="D25" s="15"/>
      <c r="E25" s="21">
        <v>44265</v>
      </c>
      <c r="F25" s="24"/>
      <c r="G25" s="24">
        <f>'EETF I-A'!G34+'EETF Co Inv I-A Hypo'!G31</f>
        <v>-6156511.202862537</v>
      </c>
      <c r="H25" s="15"/>
      <c r="I25" s="21"/>
      <c r="J25" s="25"/>
      <c r="K25" s="15"/>
      <c r="L25" s="39"/>
      <c r="M25" s="39"/>
      <c r="N25" s="39"/>
      <c r="O25" s="45"/>
    </row>
    <row r="26" spans="3:14" ht="12.75">
      <c r="C26" s="15"/>
      <c r="D26" s="15"/>
      <c r="E26" s="21">
        <v>44291</v>
      </c>
      <c r="F26" s="24"/>
      <c r="G26" s="24">
        <f>'EETF I-A'!G35+'EETF Co Inv I-A Hypo'!G32</f>
        <v>-1.465594449219745E7</v>
      </c>
      <c r="H26" s="15"/>
      <c r="I26" s="21"/>
      <c r="J26" s="25"/>
      <c r="K26" s="15"/>
      <c r="L26" s="39"/>
      <c r="M26" s="39"/>
      <c r="N26" s="39"/>
    </row>
    <row r="27" spans="3:14" ht="12.75">
      <c r="C27" s="15"/>
      <c r="D27" s="15"/>
      <c r="E27" s="21">
        <v>44307</v>
      </c>
      <c r="F27" s="24"/>
      <c r="G27" s="24">
        <f>'EETF I-A'!G36+'EETF Co Inv I-A Hypo'!G33</f>
        <v>-3.3199162588529162E7</v>
      </c>
      <c r="H27" s="15"/>
      <c r="I27" s="21"/>
      <c r="J27" s="25"/>
      <c r="K27" s="15"/>
      <c r="L27" s="39"/>
      <c r="M27" s="39"/>
      <c r="N27" s="39"/>
    </row>
    <row r="28" spans="3:14" ht="12.75">
      <c r="C28" s="15"/>
      <c r="D28" s="15"/>
      <c r="E28" s="21">
        <v>44319</v>
      </c>
      <c r="F28" s="24"/>
      <c r="G28" s="24">
        <f>'EETF I-A'!G37+'EETF Co Inv I-A Hypo'!G34</f>
        <v>3.381572215195809E7</v>
      </c>
      <c r="H28" s="15"/>
      <c r="I28" s="21"/>
      <c r="J28" s="98"/>
      <c r="K28" s="15"/>
      <c r="L28" s="39"/>
      <c r="M28" s="39"/>
      <c r="N28" s="39"/>
    </row>
    <row r="29" spans="3:14" ht="12.75">
      <c r="C29" s="15"/>
      <c r="D29" s="15"/>
      <c r="E29" s="21">
        <v>44335</v>
      </c>
      <c r="F29" s="24"/>
      <c r="G29" s="24">
        <f>'EETF I-A'!G38+'EETF Co Inv I-A Hypo'!G35</f>
        <v>-1.5883946778821532E7</v>
      </c>
      <c r="H29" s="15"/>
      <c r="I29" s="21"/>
      <c r="J29" s="25"/>
      <c r="K29" s="15"/>
      <c r="L29" s="39"/>
      <c r="M29" s="39"/>
      <c r="N29" s="39"/>
    </row>
    <row r="30" spans="3:14" ht="12.75">
      <c r="C30" s="15"/>
      <c r="D30" s="15"/>
      <c r="E30" s="21">
        <v>44344</v>
      </c>
      <c r="F30" s="24"/>
      <c r="G30" s="24">
        <f>'EETF I-A'!G39+'EETF Co Inv I-A Hypo'!G36</f>
        <v>1.845843283096417E7</v>
      </c>
      <c r="H30" s="15"/>
      <c r="I30" s="21"/>
      <c r="J30" s="25"/>
      <c r="K30" s="15"/>
      <c r="L30" s="39"/>
      <c r="M30" s="39"/>
      <c r="N30" s="39"/>
    </row>
    <row r="31" spans="3:14" ht="12.75">
      <c r="C31" s="15"/>
      <c r="D31" s="15"/>
      <c r="E31" s="21">
        <v>44361</v>
      </c>
      <c r="F31" s="24"/>
      <c r="G31" s="24">
        <f>'EETF I-A'!G40+'EETF Co Inv I-A Hypo'!G37</f>
        <v>541321.5687333781</v>
      </c>
      <c r="H31" s="15"/>
      <c r="I31" s="21"/>
      <c r="J31" s="97"/>
      <c r="K31" s="15"/>
      <c r="L31" s="39"/>
      <c r="M31" s="39"/>
      <c r="N31" s="39"/>
    </row>
    <row r="32" spans="3:14" ht="12.75">
      <c r="C32" s="15"/>
      <c r="D32" s="15"/>
      <c r="E32" s="21">
        <v>44375</v>
      </c>
      <c r="F32" s="24"/>
      <c r="G32" s="24">
        <f>'EETF I-A'!G41+'EETF Co Inv I-A Hypo'!G38</f>
        <v>-7483634.59</v>
      </c>
      <c r="H32" s="15"/>
      <c r="I32" s="21"/>
      <c r="J32" s="98"/>
      <c r="K32" s="15"/>
      <c r="L32" s="39"/>
      <c r="M32" s="39"/>
      <c r="N32" s="39"/>
    </row>
    <row r="33" spans="3:14" ht="12.75">
      <c r="C33" s="15"/>
      <c r="D33" s="15"/>
      <c r="E33" s="21">
        <v>44405</v>
      </c>
      <c r="F33" s="24"/>
      <c r="G33" s="24">
        <f>'EETF I-A'!G42+'EETF Co Inv I-A Hypo'!G39</f>
        <v>-4410936.61</v>
      </c>
      <c r="H33" s="15"/>
      <c r="I33" s="21"/>
      <c r="J33" s="25"/>
      <c r="K33" s="15"/>
      <c r="L33" s="39"/>
      <c r="M33" s="43"/>
      <c r="N33" s="39"/>
    </row>
    <row r="34" spans="3:14" ht="12.75">
      <c r="C34" s="15"/>
      <c r="D34" s="15"/>
      <c r="E34" s="21">
        <v>44468</v>
      </c>
      <c r="F34" s="24"/>
      <c r="G34" s="24">
        <f>'EETF I-A'!G43+'EETF Co Inv I-A Hypo'!G40</f>
        <v>-1935800.6300000001</v>
      </c>
      <c r="H34" s="15"/>
      <c r="I34" s="21"/>
      <c r="J34" s="25"/>
      <c r="K34" s="15"/>
      <c r="L34" s="39"/>
      <c r="M34" s="43"/>
      <c r="N34" s="39"/>
    </row>
    <row r="35" spans="3:14" ht="12.75">
      <c r="C35" s="15"/>
      <c r="D35" s="15"/>
      <c r="E35" s="21">
        <v>44475</v>
      </c>
      <c r="F35" s="24"/>
      <c r="G35" s="24">
        <f>'EETF I-A'!G44+'EETF Co Inv I-A Hypo'!G41</f>
        <v>-5065874.66</v>
      </c>
      <c r="H35" s="15"/>
      <c r="I35" s="21"/>
      <c r="J35" s="25"/>
      <c r="K35" s="15"/>
      <c r="L35" s="39"/>
      <c r="M35" s="39"/>
      <c r="N35" s="39"/>
    </row>
    <row r="36" spans="3:14" ht="12.75">
      <c r="C36" s="15"/>
      <c r="D36" s="15"/>
      <c r="E36" s="21">
        <v>44483</v>
      </c>
      <c r="F36" s="24"/>
      <c r="G36" s="24">
        <f>'EETF I-A'!G45+'EETF Co Inv I-A Hypo'!G42</f>
        <v>-5896866.96</v>
      </c>
      <c r="H36" s="15"/>
      <c r="I36" s="21"/>
      <c r="J36" s="25"/>
      <c r="K36" s="15"/>
      <c r="L36" s="39"/>
      <c r="M36" s="39"/>
      <c r="N36" s="39"/>
    </row>
    <row r="37" spans="3:14" ht="12.75">
      <c r="C37" s="15"/>
      <c r="D37" s="15"/>
      <c r="E37" s="21">
        <v>44505</v>
      </c>
      <c r="F37" s="24"/>
      <c r="G37" s="24">
        <f>'EETF I-A'!G46+'EETF Co Inv I-A Hypo'!G43</f>
        <v>-5310486.91</v>
      </c>
      <c r="H37" s="15"/>
      <c r="I37" s="21"/>
      <c r="J37" s="25"/>
      <c r="K37" s="15"/>
      <c r="L37" s="39"/>
      <c r="M37" s="39"/>
      <c r="N37" s="39"/>
    </row>
    <row r="38" spans="3:14" ht="12.75">
      <c r="C38" s="15"/>
      <c r="D38" s="15"/>
      <c r="E38" s="21">
        <v>44551</v>
      </c>
      <c r="F38" s="24"/>
      <c r="G38" s="24">
        <f>'EETF I-A'!G47+'EETF Co Inv I-A Hypo'!G44</f>
        <v>-3083410.12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44558</v>
      </c>
      <c r="F39" s="24"/>
      <c r="G39" s="24">
        <f>'EETF I-A'!G48+'EETF Co Inv I-A Hypo'!G45</f>
        <v>5.1543245160000004E7</v>
      </c>
      <c r="H39" s="15"/>
      <c r="I39" s="25"/>
      <c r="J39" s="25"/>
      <c r="K39" s="15"/>
      <c r="L39" s="39"/>
      <c r="M39" s="39"/>
      <c r="N39" s="39"/>
    </row>
    <row r="40" spans="3:15" ht="4.5" customHeight="1">
      <c r="C40" s="15"/>
      <c r="D40" s="15"/>
      <c r="E40" s="21"/>
      <c r="F40" s="15"/>
      <c r="G40" s="24"/>
      <c r="H40" s="15"/>
      <c r="I40" s="25"/>
      <c r="J40" s="25"/>
      <c r="O40" s="31"/>
    </row>
    <row r="41" spans="3:13" ht="12.75">
      <c r="C41" s="15" t="s">
        <v>5</v>
      </c>
      <c r="D41" s="15"/>
      <c r="E41" s="21">
        <v>44561</v>
      </c>
      <c r="F41" s="15"/>
      <c r="G41" s="102" t="e">
        <f>'EETF I-A'!G69+'EETF Co Inv I-A Hypo'!G49</f>
        <v>#REF!</v>
      </c>
      <c r="H41" s="15"/>
      <c r="I41" s="24">
        <f>+SUMIF($G$15:$G$40,"&lt;0",$G$15:$G$40)+G24+G28+G30+G31</f>
        <v>-1.2697115749040924E8</v>
      </c>
      <c r="J41" s="15" t="s">
        <v>14</v>
      </c>
      <c r="M41" s="31"/>
    </row>
    <row r="42" spans="3:15" ht="12.75">
      <c r="C42" s="15"/>
      <c r="D42" s="15"/>
      <c r="E42" s="15"/>
      <c r="F42" s="15"/>
      <c r="G42" s="15"/>
      <c r="H42" s="15"/>
      <c r="I42" s="24">
        <f>+SUMIF($G$15:$G$40,"&gt;0",$G$15:$G$40)-G24-G28-G30-G31</f>
        <v>5.1543245160000004E7</v>
      </c>
      <c r="J42" s="15" t="s">
        <v>15</v>
      </c>
      <c r="M42" s="31"/>
      <c r="O42" s="45"/>
    </row>
    <row r="43" spans="3:13" ht="12.75">
      <c r="C43" s="14" t="s">
        <v>0</v>
      </c>
      <c r="G43" s="29" t="e">
        <f>+XIRR(G15:G41,E15:E41,0.1)</f>
        <v>#REF!</v>
      </c>
      <c r="H43" s="15"/>
      <c r="M43" s="35"/>
    </row>
    <row r="44" spans="3:15" ht="12.75">
      <c r="C44" s="15"/>
      <c r="D44" s="15"/>
      <c r="E44" s="15"/>
      <c r="F44" s="15"/>
      <c r="G44" s="15"/>
      <c r="H44" s="15"/>
      <c r="I44" s="35"/>
      <c r="O44" s="45"/>
    </row>
    <row r="45" spans="3:13" ht="12.75">
      <c r="C45" s="15"/>
      <c r="D45" s="15"/>
      <c r="E45" s="15"/>
      <c r="F45" s="15"/>
      <c r="G45" s="15"/>
      <c r="H45" s="15"/>
      <c r="I45" s="106"/>
      <c r="M45" s="35"/>
    </row>
    <row r="46" spans="3:15" ht="12.75">
      <c r="C46" s="52"/>
      <c r="D46" s="52"/>
      <c r="E46" s="53"/>
      <c r="F46" s="52"/>
      <c r="G46" s="53"/>
      <c r="H46" s="15"/>
      <c r="I46" s="35"/>
      <c r="M46" s="35"/>
      <c r="O46" s="45"/>
    </row>
    <row r="47" spans="3:15" ht="12.75">
      <c r="C47" s="52"/>
      <c r="D47" s="52"/>
      <c r="E47" s="53"/>
      <c r="F47" s="52"/>
      <c r="G47" s="53"/>
      <c r="H47" s="15"/>
      <c r="M47" s="35"/>
      <c r="O47" s="45"/>
    </row>
    <row r="48" spans="3:15" ht="12.75">
      <c r="C48" s="52"/>
      <c r="D48" s="52"/>
      <c r="E48" s="53"/>
      <c r="F48" s="52"/>
      <c r="G48" s="53"/>
      <c r="H48" s="15"/>
      <c r="M48" s="35"/>
      <c r="O48" s="45"/>
    </row>
    <row r="49" spans="3:8" ht="12.75">
      <c r="C49" s="52"/>
      <c r="D49" s="52"/>
      <c r="E49" s="53"/>
      <c r="F49" s="52"/>
      <c r="G49" s="53"/>
      <c r="H49" s="14"/>
    </row>
    <row r="50" spans="3:8" ht="12.75">
      <c r="C50" s="52"/>
      <c r="D50" s="52"/>
      <c r="E50" s="53"/>
      <c r="F50" s="53"/>
      <c r="G50" s="53"/>
      <c r="H50" s="14"/>
    </row>
    <row r="51" spans="3:17" ht="12.75">
      <c r="C51" s="52"/>
      <c r="D51" s="52"/>
      <c r="E51" s="52"/>
      <c r="F51" s="52"/>
      <c r="G51" s="52"/>
      <c r="H51" s="14"/>
      <c r="O51" s="45"/>
      <c r="Q51" s="38"/>
    </row>
    <row r="52" spans="3:17" ht="12.75">
      <c r="C52" s="52"/>
      <c r="D52" s="52"/>
      <c r="E52" s="58"/>
      <c r="F52" s="70"/>
      <c r="G52" s="58"/>
      <c r="H52" s="14"/>
      <c r="O52" s="45"/>
      <c r="Q52" s="38"/>
    </row>
    <row r="53" spans="3:17" ht="12.75">
      <c r="C53" s="52"/>
      <c r="D53" s="52"/>
      <c r="E53" s="70"/>
      <c r="F53" s="70"/>
      <c r="G53" s="70"/>
      <c r="H53" s="14"/>
      <c r="Q53" s="38"/>
    </row>
    <row r="54" spans="3:17" ht="12.75">
      <c r="C54" s="52"/>
      <c r="D54" s="52"/>
      <c r="E54" s="70"/>
      <c r="F54" s="70"/>
      <c r="G54" s="70"/>
      <c r="H54" s="14"/>
      <c r="Q54" s="38"/>
    </row>
    <row r="55" spans="3:17" ht="12.75">
      <c r="C55" s="104"/>
      <c r="D55" s="52"/>
      <c r="E55" s="70"/>
      <c r="F55" s="70"/>
      <c r="G55" s="70"/>
      <c r="H55" s="14"/>
      <c r="Q55" s="38"/>
    </row>
    <row r="56" spans="3:17" ht="12.75">
      <c r="C56" s="104"/>
      <c r="D56" s="52"/>
      <c r="E56" s="70"/>
      <c r="F56" s="70"/>
      <c r="G56" s="70"/>
      <c r="H56" s="14"/>
      <c r="Q56" s="38"/>
    </row>
    <row r="57" spans="3:17" ht="12.75">
      <c r="C57" s="105"/>
      <c r="D57" s="52"/>
      <c r="E57" s="70"/>
      <c r="F57" s="70"/>
      <c r="G57" s="70"/>
      <c r="H57" s="14"/>
      <c r="Q57" s="38"/>
    </row>
    <row r="58" spans="3:17" ht="12.75">
      <c r="C58" s="52"/>
      <c r="D58" s="52"/>
      <c r="E58" s="70"/>
      <c r="F58" s="70"/>
      <c r="G58" s="70"/>
      <c r="H58" s="14"/>
      <c r="Q58" s="38"/>
    </row>
    <row r="59" spans="3:8" ht="12.75">
      <c r="C59" s="52"/>
      <c r="D59" s="52"/>
      <c r="E59" s="70"/>
      <c r="F59" s="70"/>
      <c r="G59" s="70"/>
      <c r="H59" s="14"/>
    </row>
    <row r="60" spans="3:8" ht="5.1" customHeight="1">
      <c r="C60" s="36"/>
      <c r="D60" s="14"/>
      <c r="E60" s="33"/>
      <c r="F60" s="33"/>
      <c r="G60" s="33"/>
      <c r="H60" s="14"/>
    </row>
    <row r="61" spans="3:8" ht="12.75">
      <c r="C61" s="36"/>
      <c r="D61" s="14"/>
      <c r="E61" s="37"/>
      <c r="F61" s="37"/>
      <c r="G61" s="37"/>
      <c r="H61" s="14"/>
    </row>
  </sheetData>
  <pageMargins left="0.7" right="0.7" top="0.75" bottom="0.75" header="0.3" footer="0.3"/>
  <headerFooter>
    <oddHeader>&amp;C&amp;G</oddHeader>
    <oddFooter>&amp;C&amp;G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FC33BE-07FD-4A29-A186-F729652AE53D}">
  <sheetPr>
    <tabColor rgb="FF92D050"/>
  </sheetPr>
  <dimension ref="B4:Q63"/>
  <sheetViews>
    <sheetView view="pageLayout" zoomScaleNormal="100" workbookViewId="0" topLeftCell="A1"/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4.142857142857142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15" ht="15.75">
      <c r="C8" s="26" t="s">
        <v>7</v>
      </c>
      <c r="D8" s="26"/>
      <c r="E8" s="11"/>
      <c r="F8" s="26"/>
      <c r="G8" s="11"/>
      <c r="H8" s="5"/>
      <c r="I8" s="27"/>
      <c r="O8" s="45"/>
    </row>
    <row r="9" spans="3:15" ht="12.75" customHeight="1">
      <c r="C9" s="18" t="s">
        <v>8</v>
      </c>
      <c r="D9" s="18"/>
      <c r="E9" s="8" t="e">
        <f>G45</f>
        <v>#REF!</v>
      </c>
      <c r="F9" s="18"/>
      <c r="G9" s="28"/>
      <c r="H9" s="8"/>
      <c r="I9" s="27"/>
      <c r="O9" s="45"/>
    </row>
    <row r="10" spans="3:8" ht="12.75">
      <c r="C10" s="18" t="s">
        <v>10</v>
      </c>
      <c r="D10" s="18"/>
      <c r="E10" s="34" t="e">
        <f>-(G43+I44)/I43</f>
        <v>#REF!</v>
      </c>
      <c r="F10" s="18"/>
      <c r="G10" s="10"/>
      <c r="H10" s="7"/>
    </row>
    <row r="11" spans="3:7" ht="12.75">
      <c r="C11" s="18"/>
      <c r="D11" s="18"/>
      <c r="E11" s="18"/>
      <c r="F11" s="18"/>
      <c r="G11" s="7"/>
    </row>
    <row r="12" spans="3:15" ht="15.75">
      <c r="C12" s="19"/>
      <c r="D12" s="20"/>
      <c r="E12" s="20"/>
      <c r="F12" s="20"/>
      <c r="I12" s="21"/>
      <c r="O12" s="45"/>
    </row>
    <row r="13" spans="3:15" ht="12.75">
      <c r="C13" s="22"/>
      <c r="D13" s="15"/>
      <c r="E13" s="15"/>
      <c r="F13" s="15"/>
      <c r="G13" s="23"/>
      <c r="H13" s="15"/>
      <c r="I13" s="15"/>
      <c r="O13" s="45"/>
    </row>
    <row r="14" spans="3:15" ht="12.75">
      <c r="C14" s="15"/>
      <c r="D14" s="15"/>
      <c r="E14" s="21"/>
      <c r="F14" s="24"/>
      <c r="G14" s="24"/>
      <c r="H14" s="15"/>
      <c r="I14" s="25"/>
      <c r="O14" s="45"/>
    </row>
    <row r="15" spans="3:16" ht="12.75">
      <c r="C15" s="15" t="s">
        <v>16</v>
      </c>
      <c r="D15" s="15"/>
      <c r="E15" s="21">
        <v>43857</v>
      </c>
      <c r="F15" s="24"/>
      <c r="G15" s="24">
        <f>'EETF I-A'!G24+'EETF Co Inv I-A Hypo'!G21+'EETF Sidecar I-A Hypo'!G21</f>
        <v>-1.3573134730740696E7</v>
      </c>
      <c r="H15" s="15"/>
      <c r="I15" s="21"/>
      <c r="O15" s="25"/>
      <c r="P15" s="45"/>
    </row>
    <row r="16" spans="3:15" ht="12.75">
      <c r="C16" s="15"/>
      <c r="D16" s="15"/>
      <c r="E16" s="21">
        <v>43985</v>
      </c>
      <c r="F16" s="24"/>
      <c r="G16" s="24">
        <f>'EETF I-A'!G25+'EETF Co Inv I-A Hypo'!G22+'EETF Sidecar I-A Hypo'!G22</f>
        <v>-1.4532694112880815E7</v>
      </c>
      <c r="H16" s="15"/>
      <c r="I16" s="21"/>
      <c r="O16" s="25"/>
    </row>
    <row r="17" spans="3:16" ht="12.75">
      <c r="C17" s="15"/>
      <c r="D17" s="15"/>
      <c r="E17" s="21">
        <v>44076</v>
      </c>
      <c r="F17" s="24"/>
      <c r="G17" s="24">
        <f>'EETF I-A'!G26+'EETF Co Inv I-A Hypo'!G23+'EETF Sidecar I-A Hypo'!G23</f>
        <v>-1.514392715986365E7</v>
      </c>
      <c r="H17" s="15"/>
      <c r="I17" s="21"/>
      <c r="O17" s="25"/>
      <c r="P17" s="45"/>
    </row>
    <row r="18" spans="3:16" ht="12.75">
      <c r="C18" s="15"/>
      <c r="D18" s="15"/>
      <c r="E18" s="21">
        <v>44117</v>
      </c>
      <c r="F18" s="24"/>
      <c r="G18" s="24">
        <f>'EETF I-A'!G27+'EETF Co Inv I-A Hypo'!G24+'EETF Sidecar I-A Hypo'!G24</f>
        <v>-1.6543012158532921E7</v>
      </c>
      <c r="H18" s="15"/>
      <c r="I18" s="21"/>
      <c r="O18" s="25"/>
      <c r="P18" s="45"/>
    </row>
    <row r="19" spans="3:16" ht="12.75">
      <c r="C19" s="15"/>
      <c r="D19" s="15"/>
      <c r="E19" s="21">
        <v>44141</v>
      </c>
      <c r="F19" s="24"/>
      <c r="G19" s="24">
        <f>'EETF I-A'!G28+'EETF Co Inv I-A Hypo'!G25+'EETF Sidecar I-A Hypo'!G25</f>
        <v>-1.4773250290763548E7</v>
      </c>
      <c r="H19" s="15"/>
      <c r="I19" s="21"/>
      <c r="O19" s="25"/>
      <c r="P19" s="45"/>
    </row>
    <row r="20" spans="3:16" ht="12.75">
      <c r="C20" s="15"/>
      <c r="D20" s="15"/>
      <c r="E20" s="21">
        <v>44148</v>
      </c>
      <c r="F20" s="24"/>
      <c r="G20" s="24">
        <f>'EETF I-A'!G29+'EETF Co Inv I-A Hypo'!G26+'EETF Sidecar I-A Hypo'!G26</f>
        <v>-7706034.52284548</v>
      </c>
      <c r="H20" s="15"/>
      <c r="I20" s="21"/>
      <c r="O20" s="25"/>
      <c r="P20" s="45"/>
    </row>
    <row r="21" spans="3:15" ht="12.75">
      <c r="C21" s="15"/>
      <c r="D21" s="15"/>
      <c r="E21" s="21">
        <v>44187</v>
      </c>
      <c r="F21" s="24"/>
      <c r="G21" s="24">
        <f>'EETF I-A'!G30+'EETF Co Inv I-A Hypo'!G27+'EETF Sidecar I-A Hypo'!G27</f>
        <v>-6803980.649184581</v>
      </c>
      <c r="H21" s="15"/>
      <c r="I21" s="21"/>
      <c r="O21" s="25"/>
    </row>
    <row r="22" spans="3:16" ht="12.75">
      <c r="C22" s="15" t="s">
        <v>41</v>
      </c>
      <c r="D22" s="15"/>
      <c r="E22" s="21">
        <v>44203</v>
      </c>
      <c r="F22" s="24"/>
      <c r="G22" s="24">
        <f>'EETF I-A'!G31+'EETF Co Inv I-A Hypo'!G28+'EETF Sidecar I-A Hypo'!G28</f>
        <v>-2.9693544340068743E7</v>
      </c>
      <c r="H22" s="15"/>
      <c r="I22" s="21"/>
      <c r="P22" s="45"/>
    </row>
    <row r="23" spans="3:16" ht="12.75">
      <c r="C23" s="15"/>
      <c r="D23" s="15"/>
      <c r="E23" s="21">
        <v>44217</v>
      </c>
      <c r="F23" s="24"/>
      <c r="G23" s="24">
        <f>'EETF I-A'!G32+'EETF Co Inv I-A Hypo'!G29+'EETF Sidecar I-A Hypo'!G29</f>
        <v>-3972950.960302395</v>
      </c>
      <c r="H23" s="15"/>
      <c r="I23" s="21"/>
      <c r="P23" s="45"/>
    </row>
    <row r="24" spans="3:9" ht="12.75">
      <c r="C24" s="15"/>
      <c r="D24" s="15"/>
      <c r="E24" s="21">
        <v>44250</v>
      </c>
      <c r="F24" s="24"/>
      <c r="G24" s="24">
        <f>'EETF I-A'!G33+'EETF Co Inv I-A Hypo'!G30+'EETF Sidecar I-A Hypo'!G30</f>
        <v>1.4203297004775947E7</v>
      </c>
      <c r="H24" s="15"/>
      <c r="I24" s="21"/>
    </row>
    <row r="25" spans="3:15" ht="12.75">
      <c r="C25" s="15"/>
      <c r="D25" s="15"/>
      <c r="E25" s="21">
        <v>44265</v>
      </c>
      <c r="F25" s="24"/>
      <c r="G25" s="24">
        <f>'EETF I-A'!G34+'EETF Co Inv I-A Hypo'!G31+'EETF Sidecar I-A Hypo'!G31</f>
        <v>-8735710.646659072</v>
      </c>
      <c r="H25" s="15"/>
      <c r="I25" s="21"/>
      <c r="O25" s="45"/>
    </row>
    <row r="26" spans="3:9" ht="12.75">
      <c r="C26" s="15"/>
      <c r="D26" s="15"/>
      <c r="E26" s="21">
        <v>44291</v>
      </c>
      <c r="F26" s="24"/>
      <c r="G26" s="24">
        <f>'EETF I-A'!G35+'EETF Co Inv I-A Hypo'!G32+'EETF Sidecar I-A Hypo'!G32</f>
        <v>-2.0882155665969748E7</v>
      </c>
      <c r="H26" s="15"/>
      <c r="I26" s="21"/>
    </row>
    <row r="27" spans="3:9" ht="12.75">
      <c r="C27" s="15"/>
      <c r="D27" s="15"/>
      <c r="E27" s="21">
        <v>44307</v>
      </c>
      <c r="F27" s="24"/>
      <c r="G27" s="24">
        <f>'EETF I-A'!G36+'EETF Co Inv I-A Hypo'!G33+'EETF Sidecar I-A Hypo'!G33</f>
        <v>-4.712675988184184E7</v>
      </c>
      <c r="H27" s="15"/>
      <c r="I27" s="21"/>
    </row>
    <row r="28" spans="3:9" ht="12.75">
      <c r="C28" s="15"/>
      <c r="D28" s="15"/>
      <c r="E28" s="21">
        <v>44319</v>
      </c>
      <c r="F28" s="24"/>
      <c r="G28" s="24">
        <f>'EETF I-A'!G37+'EETF Co Inv I-A Hypo'!G34+'EETF Sidecar I-A Hypo'!G34</f>
        <v>4.836354277814291E7</v>
      </c>
      <c r="H28" s="15"/>
      <c r="I28" s="21"/>
    </row>
    <row r="29" spans="3:9" ht="12.75">
      <c r="C29" s="15"/>
      <c r="D29" s="15"/>
      <c r="E29" s="21">
        <v>44335</v>
      </c>
      <c r="F29" s="24"/>
      <c r="G29" s="24">
        <f>'EETF I-A'!G38+'EETF Co Inv I-A Hypo'!G35+'EETF Sidecar I-A Hypo'!G35</f>
        <v>-2.2513190334449712E7</v>
      </c>
      <c r="H29" s="15"/>
      <c r="I29" s="21"/>
    </row>
    <row r="30" spans="3:9" ht="12.75">
      <c r="C30" s="15"/>
      <c r="D30" s="15"/>
      <c r="E30" s="21">
        <v>44344</v>
      </c>
      <c r="F30" s="24"/>
      <c r="G30" s="24">
        <f>'EETF I-A'!G39+'EETF Co Inv I-A Hypo'!G36+'EETF Sidecar I-A Hypo'!G36</f>
        <v>2.6399412729135014E7</v>
      </c>
      <c r="H30" s="15"/>
      <c r="I30" s="21"/>
    </row>
    <row r="31" spans="3:9" ht="12.75">
      <c r="C31" s="15"/>
      <c r="D31" s="15"/>
      <c r="E31" s="21">
        <v>44361</v>
      </c>
      <c r="F31" s="24"/>
      <c r="G31" s="24">
        <f>'EETF I-A'!G40+'EETF Co Inv I-A Hypo'!G37+'EETF Sidecar I-A Hypo'!G37</f>
        <v>744955.320348468</v>
      </c>
      <c r="H31" s="15"/>
      <c r="I31" s="21"/>
    </row>
    <row r="32" spans="3:9" ht="12.75">
      <c r="C32" s="15"/>
      <c r="D32" s="15"/>
      <c r="E32" s="21">
        <v>44375</v>
      </c>
      <c r="F32" s="24"/>
      <c r="G32" s="24">
        <f>'EETF I-A'!G41+'EETF Co Inv I-A Hypo'!G38+'EETF Sidecar I-A Hypo'!G38</f>
        <v>-9703030.77</v>
      </c>
      <c r="H32" s="15"/>
      <c r="I32" s="21"/>
    </row>
    <row r="33" spans="3:9" ht="12.75">
      <c r="C33" s="15"/>
      <c r="D33" s="15"/>
      <c r="E33" s="21">
        <v>44405</v>
      </c>
      <c r="F33" s="24"/>
      <c r="G33" s="24">
        <f>'EETF I-A'!G42+'EETF Co Inv I-A Hypo'!G39</f>
        <v>-4410936.61</v>
      </c>
      <c r="H33" s="15"/>
      <c r="I33" s="21"/>
    </row>
    <row r="34" spans="3:9" ht="12.75">
      <c r="C34" s="15"/>
      <c r="D34" s="15"/>
      <c r="E34" s="21">
        <v>44468</v>
      </c>
      <c r="F34" s="24"/>
      <c r="G34" s="24">
        <f>'EETF I-A'!G43+'EETF Co Inv I-A Hypo'!G40</f>
        <v>-1935800.6300000001</v>
      </c>
      <c r="H34" s="15"/>
      <c r="I34" s="21"/>
    </row>
    <row r="35" spans="3:9" ht="12.75">
      <c r="C35" s="15"/>
      <c r="D35" s="15"/>
      <c r="E35" s="21">
        <v>44475</v>
      </c>
      <c r="F35" s="24"/>
      <c r="G35" s="24">
        <f>'EETF I-A'!G44+'EETF Co Inv I-A Hypo'!G41+'EETF Sidecar I-A Hypo'!G39</f>
        <v>-7188775.35</v>
      </c>
      <c r="H35" s="15"/>
      <c r="I35" s="21"/>
    </row>
    <row r="36" spans="3:9" ht="12.75">
      <c r="C36" s="15"/>
      <c r="D36" s="15"/>
      <c r="E36" s="21">
        <v>44483</v>
      </c>
      <c r="F36" s="24"/>
      <c r="G36" s="24">
        <f>'EETF I-A'!G45+'EETF Co Inv I-A Hypo'!G42+'EETF Sidecar I-A Hypo'!G40</f>
        <v>-6315014.06</v>
      </c>
      <c r="H36" s="15"/>
      <c r="I36" s="21"/>
    </row>
    <row r="37" spans="3:9" ht="12.75">
      <c r="C37" s="15"/>
      <c r="D37" s="15"/>
      <c r="E37" s="21">
        <v>44505</v>
      </c>
      <c r="F37" s="24"/>
      <c r="G37" s="24">
        <f>'EETF I-A'!G46+'EETF Co Inv I-A Hypo'!G43+'EETF Sidecar I-A Hypo'!G41</f>
        <v>-7363013.66</v>
      </c>
      <c r="H37" s="15"/>
      <c r="I37" s="21"/>
    </row>
    <row r="38" spans="3:9" ht="12.75">
      <c r="C38" s="15"/>
      <c r="D38" s="15"/>
      <c r="E38" s="21">
        <v>44551</v>
      </c>
      <c r="F38" s="24"/>
      <c r="G38" s="24">
        <f>'EETF I-A'!G47+'EETF Co Inv I-A Hypo'!G44+'EETF Sidecar I-A Hypo'!G42</f>
        <v>-4273521.11</v>
      </c>
      <c r="H38" s="15"/>
      <c r="I38" s="25"/>
    </row>
    <row r="39" spans="3:9" ht="12.75">
      <c r="C39" s="15" t="s">
        <v>71</v>
      </c>
      <c r="D39" s="15"/>
      <c r="E39" s="21">
        <v>44558</v>
      </c>
      <c r="F39" s="24"/>
      <c r="G39" s="24">
        <f>'EETF I-A'!G48+'EETF Co Inv I-A Hypo'!G45+'EETF Sidecar I-A Hypo'!G43</f>
        <v>7.228958099000001E7</v>
      </c>
      <c r="H39" s="15"/>
      <c r="I39" s="25"/>
    </row>
    <row r="40" spans="3:9" ht="12.75">
      <c r="C40" s="15" t="s">
        <v>72</v>
      </c>
      <c r="D40" s="15"/>
      <c r="E40" s="21">
        <v>44599</v>
      </c>
      <c r="F40" s="24"/>
      <c r="G40" s="24">
        <f>'EETF I-A'!G49+'EETF Co Inv I-A Hypo'!G46</f>
        <v>-2191169.5300000003</v>
      </c>
      <c r="H40" s="15"/>
      <c r="I40" s="25"/>
    </row>
    <row r="41" spans="3:9" ht="12.75">
      <c r="C41" s="15"/>
      <c r="D41" s="15"/>
      <c r="E41" s="21">
        <v>44635</v>
      </c>
      <c r="F41" s="24"/>
      <c r="G41" s="24">
        <f>'EETF I-A'!G50+'EETF Co Inv I-A Hypo'!G47+'EETF Sidecar I-A Hypo'!G44</f>
        <v>-8436152.74</v>
      </c>
      <c r="H41" s="15"/>
      <c r="I41" s="25"/>
    </row>
    <row r="42" spans="3:15" ht="4.5" customHeight="1">
      <c r="C42" s="15"/>
      <c r="D42" s="15"/>
      <c r="E42" s="21"/>
      <c r="F42" s="15"/>
      <c r="G42" s="24"/>
      <c r="H42" s="15"/>
      <c r="I42" s="25"/>
      <c r="J42" s="25"/>
      <c r="O42" s="31"/>
    </row>
    <row r="43" spans="3:13" ht="12.75">
      <c r="C43" s="15" t="s">
        <v>5</v>
      </c>
      <c r="D43" s="15"/>
      <c r="E43" s="21" t="e">
        <f>#REF!</f>
        <v>#REF!</v>
      </c>
      <c r="F43" s="15"/>
      <c r="G43" s="46" t="e">
        <f>'EETF I-A'!G69+'EETF Co Inv I-A Hypo'!G49+'EETF Sidecar I-A Hypo'!G46</f>
        <v>#REF!</v>
      </c>
      <c r="H43" s="15"/>
      <c r="I43" s="24">
        <f>+SUMIF($G$15:$G$42,"&lt;0",$G$15:$G$42)+G24+G28+G30+G31</f>
        <v>-1.841065520817009E8</v>
      </c>
      <c r="J43" s="15" t="s">
        <v>14</v>
      </c>
      <c r="K43" s="114">
        <f>I43-('EETF I-A'!I69+'EETF Co Inv I-A Hypo'!I49+'EETF Sidecar I-A Hypo'!I46)</f>
        <v>7.502577143E7</v>
      </c>
      <c r="L43" s="114" t="e">
        <f>I43-(#REF!+#REF!+#REF!)</f>
        <v>#REF!</v>
      </c>
      <c r="M43" s="31"/>
    </row>
    <row r="44" spans="3:15" ht="12.75">
      <c r="C44" s="15"/>
      <c r="D44" s="15"/>
      <c r="E44" s="15"/>
      <c r="F44" s="15"/>
      <c r="G44" s="15"/>
      <c r="H44" s="15"/>
      <c r="I44" s="24">
        <f>+SUMIF($G$15:$G$42,"&gt;0",$G$15:$G$42)-G24-G28-G30-G31</f>
        <v>7.228958099000004E7</v>
      </c>
      <c r="J44" s="15" t="s">
        <v>15</v>
      </c>
      <c r="K44" s="114">
        <f>I44-('EETF I-A'!I70+'EETF Co Inv I-A Hypo'!I50+'EETF Sidecar I-A Hypo'!I47)</f>
        <v>-9.062883225000003E7</v>
      </c>
      <c r="L44" s="114" t="e">
        <f>I44-(#REF!+#REF!+#REF!)</f>
        <v>#REF!</v>
      </c>
      <c r="M44" s="31"/>
      <c r="O44" s="45"/>
    </row>
    <row r="45" spans="3:13" ht="12.75">
      <c r="C45" s="14" t="s">
        <v>0</v>
      </c>
      <c r="G45" s="29" t="e">
        <f>+XIRR(G15:G43,E15:E43,0.1)</f>
        <v>#REF!</v>
      </c>
      <c r="H45" s="15"/>
      <c r="M45" s="35"/>
    </row>
    <row r="46" spans="3:15" ht="12.75">
      <c r="C46" s="15"/>
      <c r="D46" s="15"/>
      <c r="E46" s="15"/>
      <c r="F46" s="15"/>
      <c r="G46" s="15"/>
      <c r="H46" s="15"/>
      <c r="I46" s="35"/>
      <c r="O46" s="45"/>
    </row>
    <row r="47" spans="3:13" ht="12.75">
      <c r="C47" s="15"/>
      <c r="D47" s="15"/>
      <c r="E47" s="15"/>
      <c r="F47" s="15"/>
      <c r="G47" s="15"/>
      <c r="H47" s="15"/>
      <c r="I47" s="106"/>
      <c r="M47" s="35"/>
    </row>
    <row r="48" spans="3:15" ht="12.75">
      <c r="C48" s="52"/>
      <c r="D48" s="52"/>
      <c r="E48" s="53"/>
      <c r="F48" s="52"/>
      <c r="G48" s="53"/>
      <c r="H48" s="15"/>
      <c r="I48" s="35"/>
      <c r="M48" s="35"/>
      <c r="O48" s="45"/>
    </row>
    <row r="49" spans="3:15" ht="12.75">
      <c r="C49" s="52"/>
      <c r="D49" s="52"/>
      <c r="E49" s="53"/>
      <c r="F49" s="52"/>
      <c r="G49" s="53"/>
      <c r="H49" s="15"/>
      <c r="M49" s="35"/>
      <c r="O49" s="45"/>
    </row>
    <row r="50" spans="3:15" ht="12.75">
      <c r="C50" s="52"/>
      <c r="D50" s="52"/>
      <c r="E50" s="53"/>
      <c r="F50" s="52"/>
      <c r="G50" s="53"/>
      <c r="H50" s="15"/>
      <c r="M50" s="35"/>
      <c r="O50" s="45"/>
    </row>
    <row r="51" spans="3:8" ht="12.75">
      <c r="C51" s="52"/>
      <c r="D51" s="52"/>
      <c r="E51" s="53"/>
      <c r="F51" s="52"/>
      <c r="G51" s="53"/>
      <c r="H51" s="14"/>
    </row>
    <row r="52" spans="3:8" ht="12.75">
      <c r="C52" s="52"/>
      <c r="D52" s="52"/>
      <c r="E52" s="53"/>
      <c r="F52" s="53"/>
      <c r="G52" s="53"/>
      <c r="H52" s="14"/>
    </row>
    <row r="53" spans="3:17" ht="12.75">
      <c r="C53" s="52"/>
      <c r="D53" s="52"/>
      <c r="E53" s="52"/>
      <c r="F53" s="52"/>
      <c r="G53" s="52"/>
      <c r="H53" s="14"/>
      <c r="O53" s="45"/>
      <c r="Q53" s="38"/>
    </row>
    <row r="54" spans="3:17" ht="12.75">
      <c r="C54" s="52"/>
      <c r="D54" s="52"/>
      <c r="E54" s="58"/>
      <c r="F54" s="70"/>
      <c r="G54" s="58"/>
      <c r="H54" s="14"/>
      <c r="O54" s="45"/>
      <c r="Q54" s="38"/>
    </row>
    <row r="55" spans="3:17" ht="12.75">
      <c r="C55" s="52"/>
      <c r="D55" s="52"/>
      <c r="E55" s="70"/>
      <c r="F55" s="70"/>
      <c r="G55" s="70"/>
      <c r="H55" s="14"/>
      <c r="Q55" s="38"/>
    </row>
    <row r="56" spans="3:17" ht="12.75">
      <c r="C56" s="52"/>
      <c r="D56" s="52"/>
      <c r="E56" s="70"/>
      <c r="F56" s="70"/>
      <c r="G56" s="70"/>
      <c r="H56" s="14"/>
      <c r="Q56" s="38"/>
    </row>
    <row r="57" spans="3:17" ht="12.75">
      <c r="C57" s="104"/>
      <c r="D57" s="52"/>
      <c r="E57" s="70"/>
      <c r="F57" s="70"/>
      <c r="G57" s="70"/>
      <c r="H57" s="14"/>
      <c r="Q57" s="38"/>
    </row>
    <row r="58" spans="3:17" ht="12.75">
      <c r="C58" s="104"/>
      <c r="D58" s="52"/>
      <c r="E58" s="70"/>
      <c r="F58" s="70"/>
      <c r="G58" s="70"/>
      <c r="H58" s="14"/>
      <c r="Q58" s="38"/>
    </row>
    <row r="59" spans="3:17" ht="12.75">
      <c r="C59" s="105"/>
      <c r="D59" s="52"/>
      <c r="E59" s="70"/>
      <c r="F59" s="70"/>
      <c r="G59" s="70"/>
      <c r="H59" s="14"/>
      <c r="Q59" s="38"/>
    </row>
    <row r="60" spans="3:17" ht="12.75">
      <c r="C60" s="52"/>
      <c r="D60" s="52"/>
      <c r="E60" s="70"/>
      <c r="F60" s="70"/>
      <c r="G60" s="70"/>
      <c r="H60" s="14"/>
      <c r="Q60" s="38"/>
    </row>
    <row r="61" spans="3:8" ht="12.75">
      <c r="C61" s="52"/>
      <c r="D61" s="52"/>
      <c r="E61" s="70"/>
      <c r="F61" s="70"/>
      <c r="G61" s="70"/>
      <c r="H61" s="14"/>
    </row>
    <row r="62" spans="3:8" ht="5.1" customHeight="1">
      <c r="C62" s="36"/>
      <c r="D62" s="14"/>
      <c r="E62" s="33"/>
      <c r="F62" s="33"/>
      <c r="G62" s="33"/>
      <c r="H62" s="14"/>
    </row>
    <row r="63" spans="3:8" ht="12.75">
      <c r="C63" s="36"/>
      <c r="D63" s="14"/>
      <c r="E63" s="37"/>
      <c r="F63" s="37"/>
      <c r="G63" s="37"/>
      <c r="H63" s="14"/>
    </row>
  </sheetData>
  <pageMargins left="0.7" right="0.7" top="0.75" bottom="0.75" header="0.3" footer="0.3"/>
  <headerFooter>
    <oddHeader>&amp;C&amp;G</oddHeader>
    <oddFooter>&amp;C&amp;G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64DF1D-D320-4799-8309-009E24948B00}">
  <dimension ref="A6:L9"/>
  <sheetViews>
    <sheetView view="pageLayout" zoomScaleNormal="100" workbookViewId="0" topLeftCell="A1">
      <selection pane="topLeft" activeCell="C8" sqref="C8"/>
    </sheetView>
  </sheetViews>
  <sheetFormatPr defaultRowHeight="12.75"/>
  <cols>
    <col min="1" max="1" width="15" bestFit="1" customWidth="1"/>
    <col min="11" max="11" width="11" bestFit="1" customWidth="1"/>
  </cols>
  <sheetData>
    <row r="6" spans="2:12" ht="12.75">
      <c r="B6" s="108" t="s">
        <v>46</v>
      </c>
      <c r="C6" s="108" t="s">
        <v>47</v>
      </c>
      <c r="D6" s="108" t="s">
        <v>67</v>
      </c>
      <c r="E6" s="108" t="s">
        <v>48</v>
      </c>
      <c r="F6" s="108" t="s">
        <v>62</v>
      </c>
      <c r="G6" s="108" t="s">
        <v>64</v>
      </c>
      <c r="H6" s="108" t="s">
        <v>68</v>
      </c>
      <c r="I6" s="108" t="s">
        <v>65</v>
      </c>
      <c r="J6" s="108" t="s">
        <v>63</v>
      </c>
      <c r="K6" s="108" t="s">
        <v>66</v>
      </c>
      <c r="L6" s="108" t="s">
        <v>69</v>
      </c>
    </row>
    <row r="7" spans="1:12" ht="12.75">
      <c r="A7" t="s">
        <v>60</v>
      </c>
      <c r="B7" s="109" t="e">
        <f>#REF!</f>
        <v>#REF!</v>
      </c>
      <c r="C7" s="109" t="e">
        <f>#REF!</f>
        <v>#REF!</v>
      </c>
      <c r="D7" s="109" t="e">
        <f>#REF!</f>
        <v>#REF!</v>
      </c>
      <c r="E7" s="109" t="e">
        <f>#REF!</f>
        <v>#REF!</v>
      </c>
      <c r="F7" s="109" t="e">
        <f>#REF!</f>
        <v>#REF!</v>
      </c>
      <c r="G7" s="109" t="e">
        <f>#REF!</f>
        <v>#REF!</v>
      </c>
      <c r="H7" s="109" t="e">
        <f>#REF!</f>
        <v>#REF!</v>
      </c>
      <c r="I7" s="109" t="e">
        <f>#REF!</f>
        <v>#REF!</v>
      </c>
      <c r="J7" s="109" t="e">
        <f>#REF!</f>
        <v>#REF!</v>
      </c>
      <c r="K7" s="109" t="e">
        <f>#REF!</f>
        <v>#REF!</v>
      </c>
      <c r="L7" s="109" t="e">
        <f>#REF!</f>
        <v>#REF!</v>
      </c>
    </row>
    <row r="8" spans="1:12" ht="12.75">
      <c r="A8" t="s">
        <v>61</v>
      </c>
      <c r="B8" s="109">
        <f>'EETF I-A'!G71</f>
        <v>0.25984918475151064</v>
      </c>
      <c r="C8" s="109">
        <f>'EETF I-B hypo'!G52</f>
        <v>0.37967423796653743</v>
      </c>
      <c r="D8" s="109">
        <f>'EETF I-C hypo'!G52</f>
        <v>0.2790673315525055</v>
      </c>
      <c r="E8" s="109">
        <f>'EETF I-E hypo'!G52</f>
        <v>0.38163323998451226</v>
      </c>
      <c r="F8" s="109" t="e">
        <f>'EETF Co Inv I-A Hypo'!G51</f>
        <v>#REF!</v>
      </c>
      <c r="G8" s="109" t="e">
        <f>'EETF Co Inv I-B hypo'!G49</f>
        <v>#REF!</v>
      </c>
      <c r="H8" s="109" t="e">
        <f>'EETF Co Inv I-C hypo'!G49</f>
        <v>#REF!</v>
      </c>
      <c r="I8" s="109" t="e">
        <f>'EETF Co Inv I-E hypo'!G49</f>
        <v>#REF!</v>
      </c>
      <c r="J8" s="109" t="e">
        <f>'EETF Sidecar I-A Hypo'!G48</f>
        <v>#REF!</v>
      </c>
      <c r="K8" s="109" t="e">
        <f>'EETF Sidecar I-B hypo'!G47</f>
        <v>#REF!</v>
      </c>
      <c r="L8" s="109" t="e">
        <f>'EETF Sidecar I-C hypo'!G47</f>
        <v>#REF!</v>
      </c>
    </row>
    <row r="9" spans="1:1" ht="12.75">
      <c r="A9" s="15" t="s">
        <v>70</v>
      </c>
    </row>
  </sheetData>
  <pageMargins left="0.7" right="0.7" top="0.75" bottom="0.75" header="0.3" footer="0.3"/>
  <pageSetup orientation="portrait" paperSize="1" r:id="rId2"/>
  <headerFooter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A786E5-DDE6-4353-916D-B848BFEA597E}">
  <sheetPr>
    <pageSetUpPr fitToPage="1"/>
  </sheetPr>
  <dimension ref="B4:Q73"/>
  <sheetViews>
    <sheetView showGridLines="0" view="pageLayout" zoomScaleNormal="100" workbookViewId="0" topLeftCell="A13">
      <selection pane="topLeft" activeCell="G38" sqref="G38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31.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29562500/35776020.41</f>
        <v>0.8263216439729217</v>
      </c>
      <c r="J9" s="55" t="s">
        <v>31</v>
      </c>
      <c r="M9" s="35"/>
    </row>
    <row r="10" spans="3:15" ht="12.75">
      <c r="C10" s="62" t="s">
        <v>11</v>
      </c>
      <c r="D10" s="62"/>
      <c r="E10" s="63">
        <f>I10/(J33)</f>
        <v>-0.05153097914410535</v>
      </c>
      <c r="F10" s="18"/>
      <c r="G10" s="100">
        <f>0-129939-241022</f>
        <v>-370961</v>
      </c>
      <c r="H10" s="7"/>
      <c r="I10" s="12">
        <f>(G10*$I$9)+J10</f>
        <v>-752400.103369839</v>
      </c>
      <c r="J10" s="100">
        <v>-445867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>
        <f>I13/(J33)</f>
        <v>0.05153097914410535</v>
      </c>
      <c r="F13" s="18"/>
      <c r="G13" s="100">
        <f>129939+241022</f>
        <v>370961</v>
      </c>
      <c r="H13" s="8"/>
      <c r="I13" s="12">
        <f>G13*$I$9+J13</f>
        <v>752400.103369839</v>
      </c>
      <c r="J13" s="56">
        <f>-J10</f>
        <v>445867</v>
      </c>
      <c r="O13" s="16"/>
    </row>
    <row r="14" spans="3:9" ht="12.75">
      <c r="C14" s="62" t="s">
        <v>3</v>
      </c>
      <c r="D14" s="62"/>
      <c r="E14" s="67">
        <f>(I14)/(J33)</f>
        <v>0</v>
      </c>
      <c r="F14" s="18"/>
      <c r="G14" s="100">
        <v>0</v>
      </c>
      <c r="H14" s="9"/>
      <c r="I14" s="12">
        <f>G14*$I$9</f>
        <v>0</v>
      </c>
    </row>
    <row r="15" spans="3:9" ht="12.75">
      <c r="C15" s="62" t="s">
        <v>4</v>
      </c>
      <c r="D15" s="62"/>
      <c r="E15" s="63">
        <f>E13+E14</f>
        <v>0.05153097914410535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G55</f>
        <v>0.44265723824501035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-(G53+I54)/I53</f>
        <v>1.3823748373276497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>
        <f>693875</f>
        <v>693875</v>
      </c>
      <c r="K21" s="60" t="s">
        <v>19</v>
      </c>
      <c r="L21" s="41"/>
      <c r="M21" s="42"/>
      <c r="N21" s="43"/>
      <c r="O21" s="45"/>
    </row>
    <row r="22" spans="3:15" ht="12.75">
      <c r="C22" s="22"/>
      <c r="D22" s="15"/>
      <c r="E22" s="15"/>
      <c r="F22" s="15"/>
      <c r="G22" s="23"/>
      <c r="H22" s="15"/>
      <c r="I22" s="15"/>
      <c r="J22" s="59">
        <f>693875</f>
        <v>693875</v>
      </c>
      <c r="K22" s="60" t="s">
        <v>20</v>
      </c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>
        <f>674251</f>
        <v>674251</v>
      </c>
      <c r="K23" s="60" t="s">
        <v>21</v>
      </c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-693875</v>
      </c>
      <c r="H24" s="15"/>
      <c r="I24" s="25"/>
      <c r="J24" s="59">
        <f>662813</f>
        <v>662813</v>
      </c>
      <c r="K24" s="60" t="s">
        <v>22</v>
      </c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-7416500</v>
      </c>
      <c r="H25" s="15"/>
      <c r="I25" s="25"/>
      <c r="J25" s="59">
        <f>550875</f>
        <v>550875</v>
      </c>
      <c r="K25" s="60" t="s">
        <v>23</v>
      </c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-4382625</v>
      </c>
      <c r="H26" s="15"/>
      <c r="I26" s="25"/>
      <c r="J26" s="59">
        <f>7912747</f>
        <v>7912747</v>
      </c>
      <c r="K26" s="60" t="s">
        <v>24</v>
      </c>
      <c r="L26" s="41"/>
      <c r="M26" s="42"/>
      <c r="N26" s="39"/>
      <c r="O26" s="25"/>
      <c r="P26" s="45"/>
    </row>
    <row r="27" spans="3:16" ht="12.75">
      <c r="C27" s="15"/>
      <c r="D27" s="15"/>
      <c r="E27" s="21">
        <v>44141</v>
      </c>
      <c r="F27" s="24"/>
      <c r="G27" s="24">
        <v>-3082950</v>
      </c>
      <c r="H27" s="15"/>
      <c r="I27" s="25"/>
      <c r="J27" s="59">
        <f>7837185</f>
        <v>7837185</v>
      </c>
      <c r="K27" s="60" t="s">
        <v>25</v>
      </c>
      <c r="L27" s="41"/>
      <c r="M27" s="42"/>
      <c r="N27" s="39"/>
      <c r="O27" s="25"/>
      <c r="P27" s="45"/>
    </row>
    <row r="28" spans="3:16" ht="12.75">
      <c r="C28" s="15"/>
      <c r="D28" s="15"/>
      <c r="E28" s="21">
        <v>44148</v>
      </c>
      <c r="F28" s="24"/>
      <c r="G28" s="24">
        <v>-7275862.5</v>
      </c>
      <c r="H28" s="15"/>
      <c r="I28" s="25"/>
      <c r="J28" s="59">
        <f>7837185</f>
        <v>7837185</v>
      </c>
      <c r="K28" s="60" t="s">
        <v>26</v>
      </c>
      <c r="L28" s="41"/>
      <c r="M28" s="42"/>
      <c r="N28" s="39"/>
      <c r="O28" s="25"/>
      <c r="P28" s="45"/>
    </row>
    <row r="29" spans="3:15" ht="12.75">
      <c r="C29" s="15"/>
      <c r="D29" s="15"/>
      <c r="E29" s="21">
        <v>44187</v>
      </c>
      <c r="F29" s="24"/>
      <c r="G29" s="24">
        <v>-1892000.01</v>
      </c>
      <c r="H29" s="15"/>
      <c r="I29" s="25"/>
      <c r="J29" s="59">
        <f>12208967</f>
        <v>12208967</v>
      </c>
      <c r="K29" s="60" t="s">
        <v>27</v>
      </c>
      <c r="L29" s="41"/>
      <c r="M29" s="42"/>
      <c r="N29" s="39"/>
      <c r="O29" s="25"/>
    </row>
    <row r="30" spans="3:16" ht="12.75">
      <c r="C30" s="15" t="s">
        <v>41</v>
      </c>
      <c r="D30" s="15"/>
      <c r="E30" s="21">
        <v>44203</v>
      </c>
      <c r="F30" s="24"/>
      <c r="G30" s="24">
        <v>-2.429630063E7</v>
      </c>
      <c r="H30" s="15"/>
      <c r="I30" s="25"/>
      <c r="J30" s="59">
        <f>12133404</f>
        <v>12133404</v>
      </c>
      <c r="K30" s="60" t="s">
        <v>28</v>
      </c>
      <c r="L30" s="41"/>
      <c r="M30" s="42"/>
      <c r="N30" s="39"/>
      <c r="P30" s="45"/>
    </row>
    <row r="31" spans="3:14" ht="12.75">
      <c r="C31" s="15"/>
      <c r="D31" s="15"/>
      <c r="E31" s="21">
        <v>44250</v>
      </c>
      <c r="F31" s="24"/>
      <c r="G31" s="24">
        <v>5859033.83</v>
      </c>
      <c r="H31" s="15"/>
      <c r="I31" s="25"/>
      <c r="J31" s="61">
        <f>21943654</f>
        <v>21943654</v>
      </c>
      <c r="K31" s="60" t="s">
        <v>29</v>
      </c>
      <c r="L31" s="39"/>
      <c r="M31" s="39"/>
      <c r="N31" s="39"/>
    </row>
    <row r="32" spans="3:15" ht="12.75">
      <c r="C32" s="15"/>
      <c r="D32" s="15"/>
      <c r="E32" s="21">
        <v>44265</v>
      </c>
      <c r="F32" s="24"/>
      <c r="G32" s="24">
        <v>-2.07557625E7</v>
      </c>
      <c r="H32" s="15"/>
      <c r="I32" s="25"/>
      <c r="J32" s="61">
        <f>G53</f>
        <v>102062302</v>
      </c>
      <c r="K32" s="60" t="s">
        <v>30</v>
      </c>
      <c r="L32" s="39"/>
      <c r="M32" s="39"/>
      <c r="N32" s="39"/>
      <c r="O32" s="45"/>
    </row>
    <row r="33" spans="3:14" ht="12.75">
      <c r="C33" s="15"/>
      <c r="D33" s="15"/>
      <c r="E33" s="21">
        <v>44291</v>
      </c>
      <c r="F33" s="24"/>
      <c r="G33" s="24">
        <v>-2.964214001E7</v>
      </c>
      <c r="H33" s="15"/>
      <c r="I33" s="25"/>
      <c r="J33" s="61">
        <f>SUM(J21:J32)/12</f>
        <v>1.460092775E7</v>
      </c>
      <c r="K33" s="60" t="s">
        <v>12</v>
      </c>
      <c r="L33" s="39"/>
      <c r="M33" s="39"/>
      <c r="N33" s="39"/>
    </row>
    <row r="34" spans="3:14" ht="12.75">
      <c r="C34" s="15"/>
      <c r="D34" s="15"/>
      <c r="E34" s="21">
        <v>44307</v>
      </c>
      <c r="F34" s="24"/>
      <c r="G34" s="24">
        <v>-3.58806175E7</v>
      </c>
      <c r="H34" s="15"/>
      <c r="I34" s="25"/>
      <c r="J34" s="25"/>
      <c r="K34" s="15"/>
      <c r="L34" s="39"/>
      <c r="M34" s="39"/>
      <c r="N34" s="39"/>
    </row>
    <row r="35" spans="3:14" ht="12.75">
      <c r="C35" s="15"/>
      <c r="D35" s="15"/>
      <c r="E35" s="21">
        <v>44319</v>
      </c>
      <c r="F35" s="24"/>
      <c r="G35" s="24">
        <v>3.780943017E7</v>
      </c>
      <c r="H35" s="15"/>
      <c r="I35" s="25"/>
      <c r="J35" s="25"/>
      <c r="K35" s="15"/>
      <c r="L35" s="39"/>
      <c r="M35" s="39"/>
      <c r="N35" s="39"/>
    </row>
    <row r="36" spans="3:14" ht="12.75">
      <c r="C36" s="15"/>
      <c r="D36" s="15"/>
      <c r="E36" s="21">
        <v>44335</v>
      </c>
      <c r="F36" s="24"/>
      <c r="G36" s="24">
        <v>-4205628.61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44344</v>
      </c>
      <c r="F37" s="24"/>
      <c r="G37" s="107">
        <f>20268177.93+830538.11-1675268.66</f>
        <v>1.942344738E7</v>
      </c>
      <c r="H37" s="15"/>
      <c r="I37" s="25"/>
      <c r="J37" s="25"/>
      <c r="K37" s="15"/>
      <c r="L37" s="39"/>
      <c r="M37" s="39"/>
      <c r="N37" s="39"/>
    </row>
    <row r="38" spans="3:14" ht="12.75">
      <c r="C38" s="15"/>
      <c r="D38" s="15"/>
      <c r="E38" s="21">
        <v>44375</v>
      </c>
      <c r="F38" s="24"/>
      <c r="G38" s="107">
        <f>-6218476.1-209162.1</f>
        <v>-6427638.199999999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44405</v>
      </c>
      <c r="F39" s="24"/>
      <c r="G39" s="24">
        <v>-3521085.97</v>
      </c>
      <c r="H39" s="15"/>
      <c r="I39" s="25"/>
      <c r="J39" s="25"/>
      <c r="K39" s="15"/>
      <c r="L39" s="39"/>
      <c r="M39" s="43"/>
      <c r="N39" s="39"/>
    </row>
    <row r="40" spans="3:14" ht="12.75">
      <c r="C40" s="15"/>
      <c r="D40" s="15"/>
      <c r="E40" s="21">
        <v>44468</v>
      </c>
      <c r="F40" s="24"/>
      <c r="G40" s="24">
        <v>-1653652.87</v>
      </c>
      <c r="H40" s="15"/>
      <c r="I40" s="25"/>
      <c r="J40" s="25"/>
      <c r="K40" s="15"/>
      <c r="L40" s="39"/>
      <c r="M40" s="43"/>
      <c r="N40" s="39"/>
    </row>
    <row r="41" spans="3:14" ht="12.75">
      <c r="C41" s="15"/>
      <c r="D41" s="15"/>
      <c r="E41" s="21">
        <v>44475</v>
      </c>
      <c r="F41" s="24"/>
      <c r="G41" s="24">
        <v>-4024098.30</v>
      </c>
      <c r="H41" s="15"/>
      <c r="I41" s="25"/>
      <c r="J41" s="25"/>
      <c r="K41" s="15"/>
      <c r="L41" s="39"/>
      <c r="M41" s="43"/>
      <c r="N41" s="39"/>
    </row>
    <row r="42" spans="3:14" ht="12.75">
      <c r="C42" s="15"/>
      <c r="D42" s="15"/>
      <c r="E42" s="21">
        <v>44483</v>
      </c>
      <c r="F42" s="24"/>
      <c r="G42" s="24">
        <v>-4703164.88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44505</v>
      </c>
      <c r="F43" s="24"/>
      <c r="G43" s="24">
        <v>-4225303.20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44551</v>
      </c>
      <c r="F44" s="24"/>
      <c r="G44" s="24">
        <v>-2584225.62</v>
      </c>
      <c r="H44" s="15"/>
      <c r="I44" s="25"/>
      <c r="J44" s="25"/>
      <c r="K44" s="15"/>
      <c r="L44" s="39"/>
      <c r="M44" s="43"/>
      <c r="N44" s="39"/>
    </row>
    <row r="45" spans="3:14" ht="12.75">
      <c r="C45" s="15"/>
      <c r="D45" s="15"/>
      <c r="E45" s="21">
        <v>44558</v>
      </c>
      <c r="F45" s="24"/>
      <c r="G45" s="24">
        <v>4.111236031E7</v>
      </c>
      <c r="H45" s="15"/>
      <c r="I45" s="25"/>
      <c r="J45" s="25"/>
      <c r="K45" s="15"/>
      <c r="L45" s="39"/>
      <c r="M45" s="43"/>
      <c r="N45" s="39"/>
    </row>
    <row r="46" spans="3:13" ht="12.75">
      <c r="C46" s="15"/>
      <c r="D46" s="15"/>
      <c r="E46" s="21"/>
      <c r="F46" s="24"/>
      <c r="G46" s="24"/>
      <c r="H46" s="15"/>
      <c r="I46" s="25"/>
      <c r="J46" s="25"/>
      <c r="K46" s="15"/>
      <c r="M46" s="45"/>
    </row>
    <row r="47" spans="3:13" ht="12.75">
      <c r="C47" s="15"/>
      <c r="D47" s="15"/>
      <c r="E47" s="21"/>
      <c r="F47" s="24"/>
      <c r="G47" s="24"/>
      <c r="H47" s="15"/>
      <c r="I47" s="25"/>
      <c r="J47" s="25"/>
      <c r="K47" s="15"/>
      <c r="M47" s="45"/>
    </row>
    <row r="48" spans="3:13" ht="12.75">
      <c r="C48" s="15"/>
      <c r="D48" s="15"/>
      <c r="E48" s="21"/>
      <c r="F48" s="24"/>
      <c r="G48" s="24"/>
      <c r="H48" s="15"/>
      <c r="I48" s="25"/>
      <c r="J48" s="25"/>
      <c r="K48" s="15"/>
      <c r="M48" s="45"/>
    </row>
    <row r="49" spans="3:11" ht="12.75">
      <c r="C49" s="15"/>
      <c r="D49" s="15"/>
      <c r="E49" s="21"/>
      <c r="F49" s="24"/>
      <c r="G49" s="24"/>
      <c r="H49" s="15"/>
      <c r="I49" s="25"/>
      <c r="J49" s="25"/>
      <c r="K49" s="15"/>
    </row>
    <row r="50" spans="3:14" ht="12.75">
      <c r="C50" s="15"/>
      <c r="D50" s="15"/>
      <c r="E50" s="21"/>
      <c r="F50" s="24"/>
      <c r="G50" s="24"/>
      <c r="H50" s="15"/>
      <c r="I50" s="25"/>
      <c r="J50" s="25"/>
      <c r="K50" s="15"/>
      <c r="L50" s="39"/>
      <c r="M50" s="39"/>
      <c r="N50" s="39"/>
    </row>
    <row r="51" spans="3:15" ht="7.5" customHeight="1">
      <c r="C51" s="15"/>
      <c r="D51" s="15"/>
      <c r="E51" s="21"/>
      <c r="F51" s="24"/>
      <c r="G51" s="24"/>
      <c r="H51" s="15"/>
      <c r="I51" s="25"/>
      <c r="J51" s="25"/>
      <c r="K51" s="15"/>
      <c r="N51" s="30"/>
      <c r="O51" s="31"/>
    </row>
    <row r="52" spans="3:15" ht="4.5" customHeight="1">
      <c r="C52" s="15"/>
      <c r="D52" s="15"/>
      <c r="E52" s="21"/>
      <c r="F52" s="15"/>
      <c r="G52" s="24"/>
      <c r="H52" s="15"/>
      <c r="I52" s="25"/>
      <c r="J52" s="25"/>
      <c r="O52" s="31"/>
    </row>
    <row r="53" spans="3:13" ht="12.75">
      <c r="C53" s="15" t="s">
        <v>5</v>
      </c>
      <c r="D53" s="15"/>
      <c r="E53" s="21">
        <f>+E8</f>
        <v>44561</v>
      </c>
      <c r="F53" s="15"/>
      <c r="G53" s="102">
        <v>102062302</v>
      </c>
      <c r="H53" s="15"/>
      <c r="I53" s="24">
        <f>+SUMIF($G$24:$G$52,"&lt;0",$G$24:$G$52)+G31+G35+G37</f>
        <v>-1.0357151942E8</v>
      </c>
      <c r="J53" s="15" t="s">
        <v>14</v>
      </c>
      <c r="M53" s="31"/>
    </row>
    <row r="54" spans="3:15" ht="12.75">
      <c r="C54" s="15"/>
      <c r="D54" s="15"/>
      <c r="E54" s="15"/>
      <c r="F54" s="15"/>
      <c r="G54" s="15"/>
      <c r="H54" s="15"/>
      <c r="I54" s="24">
        <f>+SUMIF($G$24:$G$52,"&gt;0",$G$24:$G$52)-G31-G35-G37</f>
        <v>4.111236031E7</v>
      </c>
      <c r="J54" s="15" t="s">
        <v>15</v>
      </c>
      <c r="M54" s="31"/>
      <c r="O54" s="45"/>
    </row>
    <row r="55" spans="3:13" ht="12.75">
      <c r="C55" s="14" t="s">
        <v>0</v>
      </c>
      <c r="G55" s="29">
        <f>+XIRR(G24:G53,E24:E53,0.1)</f>
        <v>0.44265723824501035</v>
      </c>
      <c r="H55" s="15"/>
      <c r="M55" s="35"/>
    </row>
    <row r="56" spans="3:15" ht="12.75">
      <c r="C56" s="15"/>
      <c r="D56" s="15"/>
      <c r="E56" s="15"/>
      <c r="F56" s="15"/>
      <c r="G56" s="15"/>
      <c r="H56" s="15"/>
      <c r="O56" s="45"/>
    </row>
    <row r="57" spans="3:13" ht="12.75">
      <c r="C57" s="15"/>
      <c r="D57" s="15"/>
      <c r="E57" s="15"/>
      <c r="F57" s="15"/>
      <c r="G57" s="15"/>
      <c r="H57" s="15"/>
      <c r="M57" s="35"/>
    </row>
    <row r="58" spans="3:15" ht="12.75">
      <c r="C58" s="52"/>
      <c r="D58" s="52"/>
      <c r="E58" s="53"/>
      <c r="F58" s="52"/>
      <c r="G58" s="53"/>
      <c r="H58" s="15"/>
      <c r="M58" s="35"/>
      <c r="O58" s="45"/>
    </row>
    <row r="59" spans="3:15" ht="12.75">
      <c r="C59" s="52"/>
      <c r="D59" s="52"/>
      <c r="E59" s="53"/>
      <c r="F59" s="52"/>
      <c r="G59" s="53"/>
      <c r="H59" s="15"/>
      <c r="M59" s="35"/>
      <c r="O59" s="45"/>
    </row>
    <row r="60" spans="3:15" ht="12.75">
      <c r="C60" s="52"/>
      <c r="D60" s="52"/>
      <c r="E60" s="53"/>
      <c r="F60" s="52"/>
      <c r="G60" s="53"/>
      <c r="H60" s="15"/>
      <c r="M60" s="35"/>
      <c r="O60" s="45"/>
    </row>
    <row r="61" spans="3:8" ht="12.75">
      <c r="C61" s="52"/>
      <c r="D61" s="52"/>
      <c r="E61" s="53"/>
      <c r="F61" s="52"/>
      <c r="G61" s="53"/>
      <c r="H61" s="14"/>
    </row>
    <row r="62" spans="3:8" ht="12.75">
      <c r="C62" s="52"/>
      <c r="D62" s="52"/>
      <c r="E62" s="53"/>
      <c r="F62" s="53"/>
      <c r="G62" s="53"/>
      <c r="H62" s="14"/>
    </row>
    <row r="63" spans="3:17" ht="12.75">
      <c r="C63" s="52"/>
      <c r="D63" s="52"/>
      <c r="E63" s="52"/>
      <c r="F63" s="52"/>
      <c r="G63" s="52"/>
      <c r="H63" s="14"/>
      <c r="O63" s="45"/>
      <c r="Q63" s="38"/>
    </row>
    <row r="64" spans="3:17" ht="13.5" thickBot="1">
      <c r="C64" s="47" t="s">
        <v>9</v>
      </c>
      <c r="D64" s="47"/>
      <c r="E64" s="48">
        <f>E10</f>
        <v>-0.05153097914410535</v>
      </c>
      <c r="F64" s="70"/>
      <c r="G64" s="58"/>
      <c r="H64" s="14"/>
      <c r="O64" s="45"/>
      <c r="Q64" s="38"/>
    </row>
    <row r="65" spans="3:17" ht="13.5" thickTop="1">
      <c r="C65" s="47"/>
      <c r="D65" s="47"/>
      <c r="E65" s="49"/>
      <c r="F65" s="70"/>
      <c r="G65" s="70"/>
      <c r="H65" s="14"/>
      <c r="Q65" s="38"/>
    </row>
    <row r="66" spans="3:17" ht="12.75">
      <c r="C66" s="47" t="s">
        <v>6</v>
      </c>
      <c r="D66" s="47"/>
      <c r="E66" s="49"/>
      <c r="F66" s="70"/>
      <c r="G66" s="70"/>
      <c r="H66" s="14"/>
      <c r="Q66" s="38"/>
    </row>
    <row r="67" spans="3:17" ht="12.75">
      <c r="C67" s="68" t="s">
        <v>2</v>
      </c>
      <c r="D67" s="47"/>
      <c r="E67" s="49">
        <f>E13</f>
        <v>0.05153097914410535</v>
      </c>
      <c r="F67" s="70"/>
      <c r="G67" s="70"/>
      <c r="H67" s="14"/>
      <c r="Q67" s="38"/>
    </row>
    <row r="68" spans="3:17" ht="12.75">
      <c r="C68" s="68" t="s">
        <v>17</v>
      </c>
      <c r="D68" s="47"/>
      <c r="E68" s="49">
        <f>E14</f>
        <v>0</v>
      </c>
      <c r="F68" s="70"/>
      <c r="G68" s="70"/>
      <c r="H68" s="14"/>
      <c r="Q68" s="38"/>
    </row>
    <row r="69" spans="3:17" ht="13.5" thickBot="1">
      <c r="C69" s="69" t="s">
        <v>18</v>
      </c>
      <c r="D69" s="47"/>
      <c r="E69" s="50">
        <f>SUM(E67:E68)</f>
        <v>0.05153097914410535</v>
      </c>
      <c r="F69" s="70"/>
      <c r="G69" s="70"/>
      <c r="H69" s="14"/>
      <c r="Q69" s="38"/>
    </row>
    <row r="70" spans="3:17" ht="13.5" thickTop="1">
      <c r="C70" s="47"/>
      <c r="D70" s="47"/>
      <c r="E70" s="49"/>
      <c r="F70" s="70"/>
      <c r="G70" s="70"/>
      <c r="H70" s="14"/>
      <c r="Q70" s="38"/>
    </row>
    <row r="71" spans="3:8" ht="13.5" thickBot="1">
      <c r="C71" s="47" t="s">
        <v>13</v>
      </c>
      <c r="D71" s="47"/>
      <c r="E71" s="51">
        <f>+E18</f>
        <v>0.44265723824501035</v>
      </c>
      <c r="F71" s="70"/>
      <c r="G71" s="70"/>
      <c r="H71" s="14"/>
    </row>
    <row r="72" spans="3:8" ht="5.1" customHeight="1" thickTop="1">
      <c r="C72" s="36"/>
      <c r="D72" s="14"/>
      <c r="E72" s="33"/>
      <c r="F72" s="33"/>
      <c r="G72" s="33"/>
      <c r="H72" s="14"/>
    </row>
    <row r="73" spans="3:8" ht="12.75">
      <c r="C73" s="36"/>
      <c r="D73" s="14"/>
      <c r="E73" s="37"/>
      <c r="F73" s="37"/>
      <c r="G73" s="37"/>
      <c r="H73" s="14"/>
    </row>
  </sheetData>
  <pageMargins left="0.75" right="0.33" top="1" bottom="1" header="0.5" footer="0.5"/>
  <pageSetup orientation="landscape" paperSize="1" scale="49" r:id="rId4"/>
  <headerFooter alignWithMargins="0">
    <oddHeader>&amp;C&amp;G</oddHeader>
    <oddFooter>&amp;C&amp;G</oddFooter>
  </headerFooter>
  <legacy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25C78E-FA18-4011-B5FC-04C0BEB6F487}">
  <sheetPr>
    <pageSetUpPr fitToPage="1"/>
  </sheetPr>
  <dimension ref="B4:Q69"/>
  <sheetViews>
    <sheetView showGridLines="0" view="pageLayout" zoomScaleNormal="100" workbookViewId="0" topLeftCell="A10">
      <selection pane="topLeft" activeCell="H38" sqref="H38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31.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29562500/35776020.41</f>
        <v>0.8263216439729217</v>
      </c>
      <c r="J9" s="55" t="s">
        <v>31</v>
      </c>
      <c r="M9" s="35"/>
    </row>
    <row r="10" spans="3:15" ht="12.75">
      <c r="C10" s="62" t="s">
        <v>11</v>
      </c>
      <c r="D10" s="62"/>
      <c r="E10" s="63">
        <f>I10/(J33)</f>
        <v>-0.12254833596872938</v>
      </c>
      <c r="F10" s="18"/>
      <c r="G10" s="100">
        <f>0-129939-241022</f>
        <v>-370961</v>
      </c>
      <c r="H10" s="7"/>
      <c r="I10" s="12">
        <f>(G10*$I$9)+J10</f>
        <v>-752400.103369839</v>
      </c>
      <c r="J10" s="100">
        <v>-445867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>
        <f>I13/(J33)</f>
        <v>0.12254833596872938</v>
      </c>
      <c r="F13" s="18"/>
      <c r="G13" s="100">
        <f>129939+241022</f>
        <v>370961</v>
      </c>
      <c r="H13" s="8"/>
      <c r="I13" s="12">
        <f>G13*$I$9+J13</f>
        <v>752400.103369839</v>
      </c>
      <c r="J13" s="56">
        <f>-J10</f>
        <v>445867</v>
      </c>
      <c r="O13" s="16"/>
    </row>
    <row r="14" spans="3:9" ht="12.75">
      <c r="C14" s="62" t="s">
        <v>3</v>
      </c>
      <c r="D14" s="62"/>
      <c r="E14" s="67">
        <f>(I14)/(J33)</f>
        <v>0</v>
      </c>
      <c r="F14" s="18"/>
      <c r="G14" s="100">
        <v>0</v>
      </c>
      <c r="H14" s="9"/>
      <c r="I14" s="12">
        <f>G14*$I$9</f>
        <v>0</v>
      </c>
    </row>
    <row r="15" spans="3:9" ht="12.75">
      <c r="C15" s="62" t="s">
        <v>4</v>
      </c>
      <c r="D15" s="62"/>
      <c r="E15" s="63">
        <f>E13+E14</f>
        <v>0.12254833596872938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G45</f>
        <v>0.19971798062324522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-(G43+I50)/I49</f>
        <v>1.3965857777808195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>
        <f>693875</f>
        <v>693875</v>
      </c>
      <c r="K21" s="60" t="s">
        <v>19</v>
      </c>
      <c r="L21" s="41"/>
      <c r="M21" s="42"/>
      <c r="N21" s="43"/>
      <c r="O21" s="45"/>
    </row>
    <row r="22" spans="3:15" ht="12.75">
      <c r="C22" s="22" t="s">
        <v>58</v>
      </c>
      <c r="D22" s="15"/>
      <c r="E22" s="15"/>
      <c r="F22" s="15"/>
      <c r="G22" s="23"/>
      <c r="H22" s="15"/>
      <c r="I22" s="15"/>
      <c r="J22" s="59">
        <f>693875</f>
        <v>693875</v>
      </c>
      <c r="K22" s="60" t="s">
        <v>20</v>
      </c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>
        <f>674251</f>
        <v>674251</v>
      </c>
      <c r="K23" s="60" t="s">
        <v>21</v>
      </c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-227500</v>
      </c>
      <c r="H24" s="15"/>
      <c r="I24" s="25"/>
      <c r="J24" s="59">
        <f>662813</f>
        <v>662813</v>
      </c>
      <c r="K24" s="60" t="s">
        <v>22</v>
      </c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-175000</v>
      </c>
      <c r="H25" s="15"/>
      <c r="I25" s="25"/>
      <c r="J25" s="59">
        <f>550875</f>
        <v>550875</v>
      </c>
      <c r="K25" s="60" t="s">
        <v>23</v>
      </c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-217500</v>
      </c>
      <c r="H26" s="15"/>
      <c r="I26" s="25"/>
      <c r="J26" s="59">
        <f>7912747</f>
        <v>7912747</v>
      </c>
      <c r="K26" s="60" t="s">
        <v>24</v>
      </c>
      <c r="L26" s="41"/>
      <c r="M26" s="42"/>
      <c r="N26" s="39"/>
      <c r="O26" s="25"/>
      <c r="P26" s="45"/>
    </row>
    <row r="27" spans="3:16" ht="12.75">
      <c r="C27" s="15"/>
      <c r="D27" s="15"/>
      <c r="E27" s="21">
        <v>44141</v>
      </c>
      <c r="F27" s="24"/>
      <c r="G27" s="24">
        <v>-153000</v>
      </c>
      <c r="H27" s="15"/>
      <c r="I27" s="25"/>
      <c r="J27" s="59">
        <f>7837185</f>
        <v>7837185</v>
      </c>
      <c r="K27" s="60" t="s">
        <v>25</v>
      </c>
      <c r="L27" s="41"/>
      <c r="M27" s="42"/>
      <c r="N27" s="39"/>
      <c r="O27" s="25"/>
      <c r="P27" s="45"/>
    </row>
    <row r="28" spans="3:16" ht="12.75">
      <c r="C28" s="15"/>
      <c r="D28" s="15"/>
      <c r="E28" s="21">
        <v>44187</v>
      </c>
      <c r="F28" s="24"/>
      <c r="G28" s="24">
        <v>-64000</v>
      </c>
      <c r="H28" s="15"/>
      <c r="I28" s="25"/>
      <c r="J28" s="59">
        <f>7837185</f>
        <v>7837185</v>
      </c>
      <c r="K28" s="60" t="s">
        <v>26</v>
      </c>
      <c r="L28" s="41"/>
      <c r="M28" s="42"/>
      <c r="N28" s="39"/>
      <c r="O28" s="25"/>
      <c r="P28" s="45"/>
    </row>
    <row r="29" spans="3:15" ht="12.75">
      <c r="C29" s="15" t="s">
        <v>41</v>
      </c>
      <c r="D29" s="15"/>
      <c r="E29" s="21">
        <v>44250</v>
      </c>
      <c r="F29" s="24"/>
      <c r="G29" s="24">
        <v>100000</v>
      </c>
      <c r="H29" s="15"/>
      <c r="I29" s="25"/>
      <c r="J29" s="59">
        <f>12208967</f>
        <v>12208967</v>
      </c>
      <c r="K29" s="60" t="s">
        <v>27</v>
      </c>
      <c r="L29" s="41"/>
      <c r="M29" s="42"/>
      <c r="N29" s="39"/>
      <c r="O29" s="25"/>
    </row>
    <row r="30" spans="3:16" ht="12.75">
      <c r="C30" s="15"/>
      <c r="D30" s="15"/>
      <c r="E30" s="21">
        <v>44319</v>
      </c>
      <c r="F30" s="24"/>
      <c r="G30" s="24">
        <v>237000</v>
      </c>
      <c r="H30" s="15"/>
      <c r="I30" s="25"/>
      <c r="J30" s="59">
        <f>12133404</f>
        <v>12133404</v>
      </c>
      <c r="K30" s="60" t="s">
        <v>28</v>
      </c>
      <c r="L30" s="41"/>
      <c r="M30" s="42"/>
      <c r="N30" s="39"/>
      <c r="P30" s="45"/>
    </row>
    <row r="31" spans="3:14" ht="12.75">
      <c r="C31" s="15"/>
      <c r="D31" s="15"/>
      <c r="E31" s="21">
        <v>44344</v>
      </c>
      <c r="F31" s="24"/>
      <c r="G31" s="24">
        <v>110000</v>
      </c>
      <c r="H31" s="15"/>
      <c r="I31" s="25"/>
      <c r="J31" s="61">
        <f>21943654</f>
        <v>21943654</v>
      </c>
      <c r="K31" s="60" t="s">
        <v>29</v>
      </c>
      <c r="L31" s="39"/>
      <c r="M31" s="39"/>
      <c r="N31" s="39"/>
    </row>
    <row r="32" spans="3:15" ht="12.75">
      <c r="C32" s="15"/>
      <c r="D32" s="15"/>
      <c r="E32" s="21">
        <v>44375</v>
      </c>
      <c r="F32" s="24"/>
      <c r="G32" s="24">
        <v>-32084.70</v>
      </c>
      <c r="H32" s="15"/>
      <c r="I32" s="25"/>
      <c r="J32" s="61">
        <f>G43</f>
        <v>526598.12</v>
      </c>
      <c r="K32" s="60" t="s">
        <v>30</v>
      </c>
      <c r="L32" s="39"/>
      <c r="M32" s="39"/>
      <c r="N32" s="39"/>
      <c r="O32" s="45"/>
    </row>
    <row r="33" spans="3:14" ht="12.75">
      <c r="C33" s="15"/>
      <c r="D33" s="15"/>
      <c r="E33" s="21">
        <v>44405</v>
      </c>
      <c r="F33" s="24"/>
      <c r="G33" s="24">
        <v>-18167.31</v>
      </c>
      <c r="H33" s="15"/>
      <c r="I33" s="25"/>
      <c r="J33" s="61">
        <f>SUM(J21:J32)/12</f>
        <v>6139619.093333334</v>
      </c>
      <c r="K33" s="60" t="s">
        <v>12</v>
      </c>
      <c r="L33" s="39"/>
      <c r="M33" s="39"/>
      <c r="N33" s="39"/>
    </row>
    <row r="34" spans="3:14" ht="12.75">
      <c r="C34" s="15"/>
      <c r="D34" s="15"/>
      <c r="E34" s="21">
        <v>44468</v>
      </c>
      <c r="F34" s="24"/>
      <c r="G34" s="24">
        <v>-8532.15</v>
      </c>
      <c r="H34" s="15"/>
      <c r="I34" s="25"/>
      <c r="J34" s="25"/>
      <c r="K34" s="15"/>
      <c r="L34" s="39"/>
      <c r="M34" s="39"/>
      <c r="N34" s="39"/>
    </row>
    <row r="35" spans="3:14" ht="12.75">
      <c r="C35" s="15"/>
      <c r="D35" s="15"/>
      <c r="E35" s="21">
        <v>44475</v>
      </c>
      <c r="F35" s="24"/>
      <c r="G35" s="24">
        <v>-20762.64</v>
      </c>
      <c r="H35" s="15"/>
      <c r="I35" s="25"/>
      <c r="J35" s="25"/>
      <c r="K35" s="15"/>
      <c r="L35" s="39"/>
      <c r="M35" s="39"/>
      <c r="N35" s="39"/>
    </row>
    <row r="36" spans="3:14" ht="12.75">
      <c r="C36" s="15"/>
      <c r="D36" s="15"/>
      <c r="E36" s="21">
        <v>44483</v>
      </c>
      <c r="F36" s="24"/>
      <c r="G36" s="24">
        <v>-24266.33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44505</v>
      </c>
      <c r="F37" s="24"/>
      <c r="G37" s="24">
        <v>-21800.77</v>
      </c>
      <c r="H37" s="15"/>
      <c r="I37" s="25"/>
      <c r="J37" s="25"/>
      <c r="K37" s="15"/>
      <c r="L37" s="39"/>
      <c r="M37" s="39"/>
      <c r="N37" s="39"/>
    </row>
    <row r="38" spans="3:14" ht="12.75">
      <c r="C38" s="15"/>
      <c r="D38" s="15"/>
      <c r="E38" s="21">
        <v>44551</v>
      </c>
      <c r="F38" s="24"/>
      <c r="G38" s="24">
        <v>-13333.51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44558</v>
      </c>
      <c r="F39" s="24"/>
      <c r="G39" s="24">
        <v>212122.31</v>
      </c>
      <c r="H39" s="15"/>
      <c r="I39" s="25"/>
      <c r="J39" s="25"/>
      <c r="K39" s="15"/>
      <c r="L39" s="39"/>
      <c r="M39" s="43"/>
      <c r="N39" s="39"/>
    </row>
    <row r="40" spans="3:14" ht="12.75">
      <c r="C40" s="15"/>
      <c r="D40" s="15"/>
      <c r="E40" s="21"/>
      <c r="F40" s="24"/>
      <c r="G40" s="24"/>
      <c r="H40" s="15"/>
      <c r="I40" s="25"/>
      <c r="J40" s="25"/>
      <c r="K40" s="15"/>
      <c r="L40" s="39"/>
      <c r="M40" s="43"/>
      <c r="N40" s="39"/>
    </row>
    <row r="41" spans="3:14" ht="12.75">
      <c r="C41" s="15"/>
      <c r="D41" s="15"/>
      <c r="E41" s="21"/>
      <c r="F41" s="24"/>
      <c r="G41" s="24"/>
      <c r="H41" s="15"/>
      <c r="I41" s="25"/>
      <c r="J41" s="25"/>
      <c r="K41" s="15"/>
      <c r="L41" s="39"/>
      <c r="M41" s="43"/>
      <c r="N41" s="39"/>
    </row>
    <row r="42" spans="3:13" ht="12.75">
      <c r="C42" s="15"/>
      <c r="D42" s="15"/>
      <c r="E42" s="21"/>
      <c r="F42" s="15"/>
      <c r="G42" s="24"/>
      <c r="H42" s="15"/>
      <c r="I42" s="25"/>
      <c r="J42" s="25"/>
      <c r="K42" s="15"/>
      <c r="M42" s="45"/>
    </row>
    <row r="43" spans="3:13" ht="12.75">
      <c r="C43" s="15" t="s">
        <v>5</v>
      </c>
      <c r="D43" s="15"/>
      <c r="E43" s="21">
        <f>+E8</f>
        <v>44561</v>
      </c>
      <c r="F43" s="15"/>
      <c r="G43" s="102">
        <v>526598.12</v>
      </c>
      <c r="H43" s="15"/>
      <c r="I43" s="25"/>
      <c r="J43" s="25"/>
      <c r="K43" s="15"/>
      <c r="M43" s="45"/>
    </row>
    <row r="44" spans="3:13" ht="12.75">
      <c r="C44" s="15"/>
      <c r="D44" s="15"/>
      <c r="E44" s="15"/>
      <c r="F44" s="15"/>
      <c r="G44" s="15"/>
      <c r="H44" s="15"/>
      <c r="I44" s="25"/>
      <c r="J44" s="25"/>
      <c r="K44" s="15"/>
      <c r="M44" s="45"/>
    </row>
    <row r="45" spans="3:11" ht="12.75">
      <c r="C45" s="14" t="s">
        <v>0</v>
      </c>
      <c r="G45" s="29">
        <f>+XIRR(G24:G43,E24:E43,0.1)</f>
        <v>0.19971798062324522</v>
      </c>
      <c r="H45" s="15"/>
      <c r="I45" s="25"/>
      <c r="J45" s="25"/>
      <c r="K45" s="15"/>
    </row>
    <row r="46" spans="3:14" ht="12.75">
      <c r="C46" s="15"/>
      <c r="D46" s="15"/>
      <c r="E46" s="15"/>
      <c r="F46" s="15"/>
      <c r="G46" s="15"/>
      <c r="H46" s="15"/>
      <c r="I46" s="25"/>
      <c r="J46" s="25"/>
      <c r="K46" s="15"/>
      <c r="L46" s="39"/>
      <c r="M46" s="39"/>
      <c r="N46" s="39"/>
    </row>
    <row r="47" spans="3:15" ht="7.5" customHeight="1">
      <c r="C47" s="15"/>
      <c r="D47" s="15"/>
      <c r="E47" s="15"/>
      <c r="F47" s="15"/>
      <c r="G47" s="15"/>
      <c r="H47" s="15"/>
      <c r="I47" s="25"/>
      <c r="J47" s="25"/>
      <c r="K47" s="15"/>
      <c r="N47" s="30"/>
      <c r="O47" s="31"/>
    </row>
    <row r="48" spans="3:15" ht="4.5" customHeight="1">
      <c r="C48" s="52"/>
      <c r="D48" s="52"/>
      <c r="E48" s="53"/>
      <c r="F48" s="52"/>
      <c r="G48" s="53"/>
      <c r="H48" s="15"/>
      <c r="I48" s="25"/>
      <c r="J48" s="25"/>
      <c r="O48" s="31"/>
    </row>
    <row r="49" spans="3:13" ht="12.75">
      <c r="C49" s="52"/>
      <c r="D49" s="52"/>
      <c r="E49" s="53"/>
      <c r="F49" s="52"/>
      <c r="G49" s="53"/>
      <c r="H49" s="15"/>
      <c r="I49" s="24">
        <f>+SUMIF($G$24:$G$42,"&lt;0",$G$24:$G$42)+G29+G30+G31</f>
        <v>-528947.41</v>
      </c>
      <c r="J49" s="15" t="s">
        <v>14</v>
      </c>
      <c r="M49" s="31"/>
    </row>
    <row r="50" spans="3:15" ht="12.75">
      <c r="C50" s="52"/>
      <c r="D50" s="52"/>
      <c r="E50" s="53"/>
      <c r="F50" s="52"/>
      <c r="G50" s="53"/>
      <c r="H50" s="15"/>
      <c r="I50" s="24">
        <f>+SUMIF($G$24:$G$42,"&gt;0",$G$24:$G$42)-G29-G30-G31</f>
        <v>212122.31000000006</v>
      </c>
      <c r="J50" s="15" t="s">
        <v>15</v>
      </c>
      <c r="M50" s="31"/>
      <c r="O50" s="45"/>
    </row>
    <row r="51" spans="3:13" ht="12.75">
      <c r="C51" s="52"/>
      <c r="D51" s="52"/>
      <c r="E51" s="53"/>
      <c r="F51" s="52"/>
      <c r="G51" s="53"/>
      <c r="H51" s="15"/>
      <c r="M51" s="35"/>
    </row>
    <row r="52" spans="3:15" ht="12.75">
      <c r="C52" s="52"/>
      <c r="D52" s="52"/>
      <c r="E52" s="53"/>
      <c r="F52" s="53"/>
      <c r="G52" s="53"/>
      <c r="H52" s="15"/>
      <c r="O52" s="45"/>
    </row>
    <row r="53" spans="3:13" ht="12.75">
      <c r="C53" s="52"/>
      <c r="D53" s="52"/>
      <c r="E53" s="52"/>
      <c r="F53" s="52"/>
      <c r="G53" s="52"/>
      <c r="H53" s="15"/>
      <c r="M53" s="35"/>
    </row>
    <row r="54" spans="3:15" ht="13.5" thickBot="1">
      <c r="C54" s="47" t="s">
        <v>9</v>
      </c>
      <c r="D54" s="47"/>
      <c r="E54" s="48">
        <f>E10</f>
        <v>-0.12254833596872938</v>
      </c>
      <c r="F54" s="70"/>
      <c r="G54" s="58"/>
      <c r="H54" s="15"/>
      <c r="M54" s="35"/>
      <c r="O54" s="45"/>
    </row>
    <row r="55" spans="3:15" ht="13.5" thickTop="1">
      <c r="C55" s="47"/>
      <c r="D55" s="47"/>
      <c r="E55" s="49"/>
      <c r="F55" s="70"/>
      <c r="G55" s="70"/>
      <c r="H55" s="15"/>
      <c r="M55" s="35"/>
      <c r="O55" s="45"/>
    </row>
    <row r="56" spans="3:15" ht="12.75">
      <c r="C56" s="47" t="s">
        <v>6</v>
      </c>
      <c r="D56" s="47"/>
      <c r="E56" s="49"/>
      <c r="F56" s="70"/>
      <c r="G56" s="70"/>
      <c r="H56" s="15"/>
      <c r="M56" s="35"/>
      <c r="O56" s="45"/>
    </row>
    <row r="57" spans="3:8" ht="12.75">
      <c r="C57" s="68" t="s">
        <v>2</v>
      </c>
      <c r="D57" s="47"/>
      <c r="E57" s="49">
        <f>E13</f>
        <v>0.12254833596872938</v>
      </c>
      <c r="F57" s="70"/>
      <c r="G57" s="70"/>
      <c r="H57" s="14"/>
    </row>
    <row r="58" spans="3:8" ht="12.75">
      <c r="C58" s="68" t="s">
        <v>17</v>
      </c>
      <c r="D58" s="47"/>
      <c r="E58" s="49">
        <f>E14</f>
        <v>0</v>
      </c>
      <c r="F58" s="70"/>
      <c r="G58" s="70"/>
      <c r="H58" s="14"/>
    </row>
    <row r="59" spans="3:17" ht="13.5" thickBot="1">
      <c r="C59" s="69" t="s">
        <v>18</v>
      </c>
      <c r="D59" s="47"/>
      <c r="E59" s="50">
        <f>SUM(E57:E58)</f>
        <v>0.12254833596872938</v>
      </c>
      <c r="F59" s="70"/>
      <c r="G59" s="70"/>
      <c r="H59" s="14"/>
      <c r="O59" s="45"/>
      <c r="Q59" s="38"/>
    </row>
    <row r="60" spans="3:17" ht="13.5" thickTop="1">
      <c r="C60" s="47"/>
      <c r="D60" s="47"/>
      <c r="E60" s="49"/>
      <c r="F60" s="70"/>
      <c r="G60" s="70"/>
      <c r="H60" s="14"/>
      <c r="O60" s="45"/>
      <c r="Q60" s="38"/>
    </row>
    <row r="61" spans="3:17" ht="13.5" thickBot="1">
      <c r="C61" s="47" t="s">
        <v>13</v>
      </c>
      <c r="D61" s="47"/>
      <c r="E61" s="51">
        <f>+E18</f>
        <v>0.19971798062324522</v>
      </c>
      <c r="F61" s="70"/>
      <c r="G61" s="70"/>
      <c r="H61" s="14"/>
      <c r="Q61" s="38"/>
    </row>
    <row r="62" spans="3:17" ht="13.5" thickTop="1">
      <c r="C62" s="36"/>
      <c r="D62" s="14"/>
      <c r="E62" s="33"/>
      <c r="F62" s="33"/>
      <c r="G62" s="33"/>
      <c r="H62" s="14"/>
      <c r="Q62" s="38"/>
    </row>
    <row r="63" spans="3:17" ht="12.75">
      <c r="C63" s="36"/>
      <c r="D63" s="14"/>
      <c r="E63" s="37"/>
      <c r="F63" s="37"/>
      <c r="G63" s="37"/>
      <c r="H63" s="14"/>
      <c r="Q63" s="38"/>
    </row>
    <row r="64" spans="8:17" ht="12.75">
      <c r="H64" s="14"/>
      <c r="Q64" s="38"/>
    </row>
    <row r="65" spans="8:17" ht="12.75">
      <c r="H65" s="14"/>
      <c r="Q65" s="38"/>
    </row>
    <row r="66" spans="8:17" ht="12.75">
      <c r="H66" s="14"/>
      <c r="Q66" s="38"/>
    </row>
    <row r="67" spans="8:8" ht="12.75">
      <c r="H67" s="14"/>
    </row>
    <row r="68" spans="8:8" ht="5.1" customHeight="1">
      <c r="H68" s="14"/>
    </row>
    <row r="69" spans="8:8" ht="12.75">
      <c r="H69" s="14"/>
    </row>
  </sheetData>
  <pageMargins left="0.75" right="0.33" top="1" bottom="1" header="0.5" footer="0.5"/>
  <pageSetup orientation="landscape" paperSize="1" scale="57" r:id="rId4"/>
  <headerFooter alignWithMargins="0">
    <oddHeader>&amp;C&amp;G</oddHeader>
    <oddFooter>&amp;C&amp;G</oddFooter>
  </headerFooter>
  <legacy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FC84DA6-0C92-420A-B721-425BCA9CB814}">
  <sheetPr>
    <pageSetUpPr fitToPage="1"/>
  </sheetPr>
  <dimension ref="B4:Q69"/>
  <sheetViews>
    <sheetView showGridLines="0" view="pageLayout" zoomScaleNormal="100" workbookViewId="0" topLeftCell="A10">
      <selection pane="topLeft" activeCell="E19" sqref="E19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31.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29562500/35776020.41</f>
        <v>0.8263216439729217</v>
      </c>
      <c r="J9" s="55" t="s">
        <v>31</v>
      </c>
      <c r="M9" s="35"/>
    </row>
    <row r="10" spans="3:15" ht="12.75">
      <c r="C10" s="62" t="s">
        <v>11</v>
      </c>
      <c r="D10" s="62"/>
      <c r="E10" s="63">
        <f>I10/(J33)</f>
        <v>-0.12254833596872938</v>
      </c>
      <c r="F10" s="18"/>
      <c r="G10" s="100">
        <f>0-129939-241022</f>
        <v>-370961</v>
      </c>
      <c r="H10" s="7"/>
      <c r="I10" s="12">
        <f>(G10*$I$9)+J10</f>
        <v>-752400.103369839</v>
      </c>
      <c r="J10" s="100">
        <v>-445867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>
        <f>I13/(J33)</f>
        <v>0.12254833596872938</v>
      </c>
      <c r="F13" s="18"/>
      <c r="G13" s="100">
        <f>129939+241022</f>
        <v>370961</v>
      </c>
      <c r="H13" s="8"/>
      <c r="I13" s="12">
        <f>G13*$I$9+J13</f>
        <v>752400.103369839</v>
      </c>
      <c r="J13" s="56">
        <f>-J10</f>
        <v>445867</v>
      </c>
      <c r="O13" s="16"/>
    </row>
    <row r="14" spans="3:9" ht="12.75">
      <c r="C14" s="62" t="s">
        <v>3</v>
      </c>
      <c r="D14" s="62"/>
      <c r="E14" s="67">
        <f>(I14)/(J33)</f>
        <v>0</v>
      </c>
      <c r="F14" s="18"/>
      <c r="G14" s="100">
        <v>0</v>
      </c>
      <c r="H14" s="9"/>
      <c r="I14" s="12">
        <f>G14*$I$9</f>
        <v>0</v>
      </c>
    </row>
    <row r="15" spans="3:9" ht="12.75">
      <c r="C15" s="62" t="s">
        <v>4</v>
      </c>
      <c r="D15" s="62"/>
      <c r="E15" s="63">
        <f>E13+E14</f>
        <v>0.12254833596872938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G45</f>
        <v>0.2366828262805938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-(G43+I50)/I49</f>
        <v>1.5016662199941355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>
        <f>693875</f>
        <v>693875</v>
      </c>
      <c r="K21" s="60" t="s">
        <v>19</v>
      </c>
      <c r="L21" s="41"/>
      <c r="M21" s="42"/>
      <c r="N21" s="43"/>
      <c r="O21" s="45"/>
    </row>
    <row r="22" spans="3:15" ht="12.75">
      <c r="C22" s="22" t="s">
        <v>58</v>
      </c>
      <c r="D22" s="15"/>
      <c r="E22" s="15"/>
      <c r="F22" s="15"/>
      <c r="G22" s="23"/>
      <c r="H22" s="15"/>
      <c r="I22" s="15"/>
      <c r="J22" s="59">
        <f>693875</f>
        <v>693875</v>
      </c>
      <c r="K22" s="60" t="s">
        <v>20</v>
      </c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>
        <f>674251</f>
        <v>674251</v>
      </c>
      <c r="K23" s="60" t="s">
        <v>21</v>
      </c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-227500</v>
      </c>
      <c r="H24" s="15"/>
      <c r="I24" s="25"/>
      <c r="J24" s="59">
        <f>662813</f>
        <v>662813</v>
      </c>
      <c r="K24" s="60" t="s">
        <v>22</v>
      </c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-175000</v>
      </c>
      <c r="H25" s="15"/>
      <c r="I25" s="25"/>
      <c r="J25" s="59">
        <f>550875</f>
        <v>550875</v>
      </c>
      <c r="K25" s="60" t="s">
        <v>23</v>
      </c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-217500</v>
      </c>
      <c r="H26" s="15"/>
      <c r="I26" s="25"/>
      <c r="J26" s="59">
        <f>7912747</f>
        <v>7912747</v>
      </c>
      <c r="K26" s="60" t="s">
        <v>24</v>
      </c>
      <c r="L26" s="41"/>
      <c r="M26" s="42"/>
      <c r="N26" s="39"/>
      <c r="O26" s="25"/>
      <c r="P26" s="45"/>
    </row>
    <row r="27" spans="3:16" ht="12.75">
      <c r="C27" s="15"/>
      <c r="D27" s="15"/>
      <c r="E27" s="21">
        <v>44141</v>
      </c>
      <c r="F27" s="24"/>
      <c r="G27" s="24">
        <v>-153000</v>
      </c>
      <c r="H27" s="15"/>
      <c r="I27" s="25"/>
      <c r="J27" s="59">
        <f>7837185</f>
        <v>7837185</v>
      </c>
      <c r="K27" s="60" t="s">
        <v>25</v>
      </c>
      <c r="L27" s="41"/>
      <c r="M27" s="42"/>
      <c r="N27" s="39"/>
      <c r="O27" s="25"/>
      <c r="P27" s="45"/>
    </row>
    <row r="28" spans="3:16" ht="12.75">
      <c r="C28" s="15"/>
      <c r="D28" s="15"/>
      <c r="E28" s="21">
        <v>44187</v>
      </c>
      <c r="F28" s="24"/>
      <c r="G28" s="24">
        <v>-64000</v>
      </c>
      <c r="H28" s="15"/>
      <c r="I28" s="25"/>
      <c r="J28" s="59">
        <f>7837185</f>
        <v>7837185</v>
      </c>
      <c r="K28" s="60" t="s">
        <v>26</v>
      </c>
      <c r="L28" s="41"/>
      <c r="M28" s="42"/>
      <c r="N28" s="39"/>
      <c r="O28" s="25"/>
      <c r="P28" s="45"/>
    </row>
    <row r="29" spans="3:15" ht="12.75">
      <c r="C29" s="15" t="s">
        <v>41</v>
      </c>
      <c r="D29" s="15"/>
      <c r="E29" s="21">
        <v>44250</v>
      </c>
      <c r="F29" s="24"/>
      <c r="G29" s="24">
        <v>100000</v>
      </c>
      <c r="H29" s="15"/>
      <c r="I29" s="25"/>
      <c r="J29" s="59">
        <f>12208967</f>
        <v>12208967</v>
      </c>
      <c r="K29" s="60" t="s">
        <v>27</v>
      </c>
      <c r="L29" s="41"/>
      <c r="M29" s="42"/>
      <c r="N29" s="39"/>
      <c r="O29" s="25"/>
    </row>
    <row r="30" spans="3:16" ht="12.75">
      <c r="C30" s="15"/>
      <c r="D30" s="15"/>
      <c r="E30" s="21">
        <v>44319</v>
      </c>
      <c r="F30" s="24"/>
      <c r="G30" s="24">
        <v>237000</v>
      </c>
      <c r="H30" s="15"/>
      <c r="I30" s="25"/>
      <c r="J30" s="59">
        <f>12133404</f>
        <v>12133404</v>
      </c>
      <c r="K30" s="60" t="s">
        <v>28</v>
      </c>
      <c r="L30" s="41"/>
      <c r="M30" s="42"/>
      <c r="N30" s="39"/>
      <c r="P30" s="45"/>
    </row>
    <row r="31" spans="3:14" ht="12.75">
      <c r="C31" s="15"/>
      <c r="D31" s="15"/>
      <c r="E31" s="21">
        <v>44344</v>
      </c>
      <c r="F31" s="24"/>
      <c r="G31" s="107">
        <f>110000+37013.57</f>
        <v>147013.57</v>
      </c>
      <c r="H31" s="15"/>
      <c r="I31" s="25"/>
      <c r="J31" s="61">
        <f>21943654</f>
        <v>21943654</v>
      </c>
      <c r="K31" s="60" t="s">
        <v>29</v>
      </c>
      <c r="L31" s="39"/>
      <c r="M31" s="39"/>
      <c r="N31" s="39"/>
    </row>
    <row r="32" spans="3:15" ht="12.75">
      <c r="C32" s="15"/>
      <c r="D32" s="15"/>
      <c r="E32" s="21">
        <v>44375</v>
      </c>
      <c r="F32" s="24"/>
      <c r="G32" s="24">
        <v>-32084.70</v>
      </c>
      <c r="H32" s="15"/>
      <c r="I32" s="25"/>
      <c r="J32" s="61">
        <f>G43</f>
        <v>526598.12</v>
      </c>
      <c r="K32" s="60" t="s">
        <v>30</v>
      </c>
      <c r="L32" s="39"/>
      <c r="M32" s="39"/>
      <c r="N32" s="39"/>
      <c r="O32" s="45"/>
    </row>
    <row r="33" spans="3:14" ht="12.75">
      <c r="C33" s="15"/>
      <c r="D33" s="15"/>
      <c r="E33" s="21">
        <v>44405</v>
      </c>
      <c r="F33" s="24"/>
      <c r="G33" s="24">
        <v>-18167.31</v>
      </c>
      <c r="H33" s="15"/>
      <c r="I33" s="25"/>
      <c r="J33" s="61">
        <f>SUM(J21:J32)/12</f>
        <v>6139619.093333334</v>
      </c>
      <c r="K33" s="60" t="s">
        <v>12</v>
      </c>
      <c r="L33" s="39"/>
      <c r="M33" s="39"/>
      <c r="N33" s="39"/>
    </row>
    <row r="34" spans="3:14" ht="12.75">
      <c r="C34" s="15"/>
      <c r="D34" s="15"/>
      <c r="E34" s="21">
        <v>44468</v>
      </c>
      <c r="F34" s="24"/>
      <c r="G34" s="24">
        <v>-8532.15</v>
      </c>
      <c r="H34" s="15"/>
      <c r="I34" s="25"/>
      <c r="J34" s="25"/>
      <c r="K34" s="15"/>
      <c r="L34" s="39"/>
      <c r="M34" s="39"/>
      <c r="N34" s="39"/>
    </row>
    <row r="35" spans="3:14" ht="12.75">
      <c r="C35" s="15"/>
      <c r="D35" s="15"/>
      <c r="E35" s="21">
        <v>44475</v>
      </c>
      <c r="F35" s="24"/>
      <c r="G35" s="24">
        <v>-20762.64</v>
      </c>
      <c r="H35" s="15"/>
      <c r="I35" s="25"/>
      <c r="J35" s="25"/>
      <c r="K35" s="15"/>
      <c r="L35" s="39"/>
      <c r="M35" s="39"/>
      <c r="N35" s="39"/>
    </row>
    <row r="36" spans="3:14" ht="12.75">
      <c r="C36" s="15"/>
      <c r="D36" s="15"/>
      <c r="E36" s="21">
        <v>44483</v>
      </c>
      <c r="F36" s="24"/>
      <c r="G36" s="24">
        <v>-24266.33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44505</v>
      </c>
      <c r="F37" s="24"/>
      <c r="G37" s="24">
        <v>-21800.77</v>
      </c>
      <c r="H37" s="15"/>
      <c r="I37" s="25"/>
      <c r="J37" s="25"/>
      <c r="K37" s="15"/>
      <c r="L37" s="39"/>
      <c r="M37" s="39"/>
      <c r="N37" s="39"/>
    </row>
    <row r="38" spans="3:14" ht="12.75">
      <c r="C38" s="15"/>
      <c r="D38" s="15"/>
      <c r="E38" s="21">
        <v>44551</v>
      </c>
      <c r="F38" s="24"/>
      <c r="G38" s="24">
        <v>-13333.51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44558</v>
      </c>
      <c r="F39" s="24"/>
      <c r="G39" s="24">
        <v>212122.31</v>
      </c>
      <c r="H39" s="15"/>
      <c r="I39" s="25"/>
      <c r="J39" s="25"/>
      <c r="K39" s="15"/>
      <c r="L39" s="39"/>
      <c r="M39" s="43"/>
      <c r="N39" s="39"/>
    </row>
    <row r="40" spans="3:14" ht="12.75">
      <c r="C40" s="15"/>
      <c r="D40" s="15"/>
      <c r="E40" s="21"/>
      <c r="F40" s="24"/>
      <c r="G40" s="24"/>
      <c r="H40" s="15"/>
      <c r="I40" s="25"/>
      <c r="J40" s="25"/>
      <c r="K40" s="15"/>
      <c r="L40" s="39"/>
      <c r="M40" s="43"/>
      <c r="N40" s="39"/>
    </row>
    <row r="41" spans="3:14" ht="12.75">
      <c r="C41" s="15"/>
      <c r="D41" s="15"/>
      <c r="E41" s="21"/>
      <c r="F41" s="24"/>
      <c r="G41" s="24"/>
      <c r="H41" s="15"/>
      <c r="I41" s="25"/>
      <c r="J41" s="25"/>
      <c r="K41" s="15"/>
      <c r="L41" s="39"/>
      <c r="M41" s="43"/>
      <c r="N41" s="39"/>
    </row>
    <row r="42" spans="3:13" ht="12.75">
      <c r="C42" s="15"/>
      <c r="D42" s="15"/>
      <c r="E42" s="21"/>
      <c r="F42" s="15"/>
      <c r="G42" s="24"/>
      <c r="H42" s="15"/>
      <c r="I42" s="25"/>
      <c r="J42" s="25"/>
      <c r="K42" s="15"/>
      <c r="M42" s="45"/>
    </row>
    <row r="43" spans="3:13" ht="12.75">
      <c r="C43" s="15" t="s">
        <v>5</v>
      </c>
      <c r="D43" s="15"/>
      <c r="E43" s="21">
        <f>+E8</f>
        <v>44561</v>
      </c>
      <c r="F43" s="15"/>
      <c r="G43" s="102">
        <v>526598.12</v>
      </c>
      <c r="H43" s="15"/>
      <c r="I43" s="25"/>
      <c r="J43" s="25"/>
      <c r="K43" s="15"/>
      <c r="M43" s="45"/>
    </row>
    <row r="44" spans="3:13" ht="12.75">
      <c r="C44" s="15"/>
      <c r="D44" s="15"/>
      <c r="E44" s="15"/>
      <c r="F44" s="15"/>
      <c r="G44" s="15"/>
      <c r="H44" s="15"/>
      <c r="I44" s="25"/>
      <c r="J44" s="25"/>
      <c r="K44" s="15"/>
      <c r="M44" s="45"/>
    </row>
    <row r="45" spans="3:11" ht="12.75">
      <c r="C45" s="14" t="s">
        <v>0</v>
      </c>
      <c r="G45" s="29">
        <f>+XIRR(G24:G43,E24:E43,0.1)</f>
        <v>0.2366828262805938</v>
      </c>
      <c r="H45" s="15"/>
      <c r="I45" s="25"/>
      <c r="J45" s="25"/>
      <c r="K45" s="15"/>
    </row>
    <row r="46" spans="3:14" ht="12.75">
      <c r="C46" s="15"/>
      <c r="D46" s="15"/>
      <c r="E46" s="15"/>
      <c r="F46" s="15"/>
      <c r="G46" s="15"/>
      <c r="H46" s="15"/>
      <c r="I46" s="25"/>
      <c r="J46" s="25"/>
      <c r="K46" s="15"/>
      <c r="L46" s="39"/>
      <c r="M46" s="39"/>
      <c r="N46" s="39"/>
    </row>
    <row r="47" spans="3:15" ht="7.5" customHeight="1">
      <c r="C47" s="15"/>
      <c r="D47" s="15"/>
      <c r="E47" s="15"/>
      <c r="F47" s="15"/>
      <c r="G47" s="15"/>
      <c r="H47" s="15"/>
      <c r="I47" s="25"/>
      <c r="J47" s="25"/>
      <c r="K47" s="15"/>
      <c r="N47" s="30"/>
      <c r="O47" s="31"/>
    </row>
    <row r="48" spans="3:15" ht="4.5" customHeight="1">
      <c r="C48" s="52"/>
      <c r="D48" s="52"/>
      <c r="E48" s="53"/>
      <c r="F48" s="52"/>
      <c r="G48" s="53"/>
      <c r="H48" s="15"/>
      <c r="I48" s="25"/>
      <c r="J48" s="25"/>
      <c r="O48" s="31"/>
    </row>
    <row r="49" spans="3:13" ht="12.75">
      <c r="C49" s="52"/>
      <c r="D49" s="52"/>
      <c r="E49" s="53"/>
      <c r="F49" s="52"/>
      <c r="G49" s="53"/>
      <c r="H49" s="15"/>
      <c r="I49" s="24">
        <f>+SUMIF($G$24:$G$42,"&lt;0",$G$24:$G$42)+G29+G30+G31</f>
        <v>-491933.84</v>
      </c>
      <c r="J49" s="15" t="s">
        <v>14</v>
      </c>
      <c r="M49" s="31"/>
    </row>
    <row r="50" spans="3:15" ht="12.75">
      <c r="C50" s="52"/>
      <c r="D50" s="52"/>
      <c r="E50" s="53"/>
      <c r="F50" s="52"/>
      <c r="G50" s="53"/>
      <c r="H50" s="15"/>
      <c r="I50" s="24">
        <f>+SUMIF($G$24:$G$42,"&gt;0",$G$24:$G$42)-G29-G30-G31</f>
        <v>212122.31</v>
      </c>
      <c r="J50" s="15" t="s">
        <v>15</v>
      </c>
      <c r="M50" s="31"/>
      <c r="O50" s="45"/>
    </row>
    <row r="51" spans="3:13" ht="12.75">
      <c r="C51" s="52"/>
      <c r="D51" s="52"/>
      <c r="E51" s="53"/>
      <c r="F51" s="52"/>
      <c r="G51" s="53"/>
      <c r="H51" s="15"/>
      <c r="M51" s="35"/>
    </row>
    <row r="52" spans="3:15" ht="12.75">
      <c r="C52" s="52"/>
      <c r="D52" s="52"/>
      <c r="E52" s="53"/>
      <c r="F52" s="53"/>
      <c r="G52" s="53"/>
      <c r="H52" s="15"/>
      <c r="O52" s="45"/>
    </row>
    <row r="53" spans="3:13" ht="12.75">
      <c r="C53" s="52"/>
      <c r="D53" s="52"/>
      <c r="E53" s="52"/>
      <c r="F53" s="52"/>
      <c r="G53" s="52"/>
      <c r="H53" s="15"/>
      <c r="M53" s="35"/>
    </row>
    <row r="54" spans="3:15" ht="13.5" thickBot="1">
      <c r="C54" s="47" t="s">
        <v>9</v>
      </c>
      <c r="D54" s="47"/>
      <c r="E54" s="48">
        <f>E10</f>
        <v>-0.12254833596872938</v>
      </c>
      <c r="F54" s="70"/>
      <c r="G54" s="58"/>
      <c r="H54" s="15"/>
      <c r="M54" s="35"/>
      <c r="O54" s="45"/>
    </row>
    <row r="55" spans="3:15" ht="13.5" thickTop="1">
      <c r="C55" s="47"/>
      <c r="D55" s="47"/>
      <c r="E55" s="49"/>
      <c r="F55" s="70"/>
      <c r="G55" s="70"/>
      <c r="H55" s="15"/>
      <c r="M55" s="35"/>
      <c r="O55" s="45"/>
    </row>
    <row r="56" spans="3:15" ht="12.75">
      <c r="C56" s="47" t="s">
        <v>6</v>
      </c>
      <c r="D56" s="47"/>
      <c r="E56" s="49"/>
      <c r="F56" s="70"/>
      <c r="G56" s="70"/>
      <c r="H56" s="15"/>
      <c r="M56" s="35"/>
      <c r="O56" s="45"/>
    </row>
    <row r="57" spans="3:8" ht="12.75">
      <c r="C57" s="68" t="s">
        <v>2</v>
      </c>
      <c r="D57" s="47"/>
      <c r="E57" s="49">
        <f>E13</f>
        <v>0.12254833596872938</v>
      </c>
      <c r="F57" s="70"/>
      <c r="G57" s="70"/>
      <c r="H57" s="14"/>
    </row>
    <row r="58" spans="3:8" ht="12.75">
      <c r="C58" s="68" t="s">
        <v>17</v>
      </c>
      <c r="D58" s="47"/>
      <c r="E58" s="49">
        <f>E14</f>
        <v>0</v>
      </c>
      <c r="F58" s="70"/>
      <c r="G58" s="70"/>
      <c r="H58" s="14"/>
    </row>
    <row r="59" spans="3:17" ht="13.5" thickBot="1">
      <c r="C59" s="69" t="s">
        <v>18</v>
      </c>
      <c r="D59" s="47"/>
      <c r="E59" s="50">
        <f>SUM(E57:E58)</f>
        <v>0.12254833596872938</v>
      </c>
      <c r="F59" s="70"/>
      <c r="G59" s="70"/>
      <c r="H59" s="14"/>
      <c r="O59" s="45"/>
      <c r="Q59" s="38"/>
    </row>
    <row r="60" spans="3:17" ht="13.5" thickTop="1">
      <c r="C60" s="47"/>
      <c r="D60" s="47"/>
      <c r="E60" s="49"/>
      <c r="F60" s="70"/>
      <c r="G60" s="70"/>
      <c r="H60" s="14"/>
      <c r="O60" s="45"/>
      <c r="Q60" s="38"/>
    </row>
    <row r="61" spans="3:17" ht="13.5" thickBot="1">
      <c r="C61" s="47" t="s">
        <v>13</v>
      </c>
      <c r="D61" s="47"/>
      <c r="E61" s="51">
        <f>+E18</f>
        <v>0.2366828262805938</v>
      </c>
      <c r="F61" s="70"/>
      <c r="G61" s="70"/>
      <c r="H61" s="14"/>
      <c r="Q61" s="38"/>
    </row>
    <row r="62" spans="3:17" ht="13.5" thickTop="1">
      <c r="C62" s="36"/>
      <c r="D62" s="14"/>
      <c r="E62" s="33"/>
      <c r="F62" s="33"/>
      <c r="G62" s="33"/>
      <c r="H62" s="14"/>
      <c r="Q62" s="38"/>
    </row>
    <row r="63" spans="3:17" ht="12.75">
      <c r="C63" s="36"/>
      <c r="D63" s="14"/>
      <c r="E63" s="37"/>
      <c r="F63" s="37"/>
      <c r="G63" s="37"/>
      <c r="H63" s="14"/>
      <c r="Q63" s="38"/>
    </row>
    <row r="64" spans="8:17" ht="12.75">
      <c r="H64" s="14"/>
      <c r="Q64" s="38"/>
    </row>
    <row r="65" spans="8:17" ht="12.75">
      <c r="H65" s="14"/>
      <c r="Q65" s="38"/>
    </row>
    <row r="66" spans="8:17" ht="12.75">
      <c r="H66" s="14"/>
      <c r="Q66" s="38"/>
    </row>
    <row r="67" spans="8:8" ht="12.75">
      <c r="H67" s="14"/>
    </row>
    <row r="68" spans="8:8" ht="5.1" customHeight="1">
      <c r="H68" s="14"/>
    </row>
    <row r="69" spans="8:8" ht="12.75">
      <c r="H69" s="14"/>
    </row>
  </sheetData>
  <pageMargins left="0.75" right="0.33" top="1" bottom="1" header="0.5" footer="0.5"/>
  <pageSetup orientation="landscape" paperSize="1" scale="57" r:id="rId4"/>
  <headerFooter alignWithMargins="0">
    <oddHeader>&amp;C&amp;G</oddHeader>
    <oddFooter>&amp;C&amp;G</oddFooter>
  </headerFooter>
  <legacy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2F83A0-E7D5-4963-9045-9BF9F2ABA700}">
  <sheetPr>
    <pageSetUpPr fitToPage="1"/>
  </sheetPr>
  <dimension ref="B4:P174"/>
  <sheetViews>
    <sheetView showGridLines="0" tabSelected="1" view="pageLayout" zoomScaleNormal="100" workbookViewId="0" topLeftCell="A1">
      <selection pane="topLeft" activeCell="C7" sqref="C7"/>
    </sheetView>
  </sheetViews>
  <sheetFormatPr defaultRowHeight="12.75"/>
  <cols>
    <col min="2" max="2" width="4.857142857142857" customWidth="1"/>
    <col min="3" max="3" width="47.57142857142857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  <col min="16" max="16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9"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10" ht="12.75">
      <c r="C10" s="163"/>
      <c r="D10" s="163"/>
      <c r="E10" s="164"/>
      <c r="F10" s="163"/>
      <c r="G10" s="57"/>
      <c r="H10" s="7"/>
      <c r="I10" s="25"/>
      <c r="J10" s="15"/>
    </row>
    <row r="11" spans="3:10" ht="12.75">
      <c r="C11" s="163"/>
      <c r="D11" s="163"/>
      <c r="E11" s="164"/>
      <c r="F11" s="163"/>
      <c r="G11" s="164"/>
      <c r="H11" s="7"/>
      <c r="I11" s="25"/>
      <c r="J11" s="15"/>
    </row>
    <row r="12" spans="3:10" ht="15.75">
      <c r="C12" s="165"/>
      <c r="D12" s="165"/>
      <c r="E12" s="166"/>
      <c r="F12" s="165"/>
      <c r="G12" s="166"/>
      <c r="H12" s="5"/>
      <c r="I12" s="25"/>
      <c r="J12" s="15"/>
    </row>
    <row r="13" spans="3:10" ht="12.75">
      <c r="C13" s="163"/>
      <c r="D13" s="163"/>
      <c r="E13" s="167"/>
      <c r="F13" s="163"/>
      <c r="G13" s="57"/>
      <c r="H13" s="8"/>
      <c r="I13" s="25"/>
      <c r="J13" s="15"/>
    </row>
    <row r="14" spans="3:10" ht="12.75">
      <c r="C14" s="163"/>
      <c r="D14" s="163"/>
      <c r="E14" s="168"/>
      <c r="F14" s="163"/>
      <c r="G14" s="57"/>
      <c r="H14" s="9"/>
      <c r="I14" s="25"/>
      <c r="J14" s="15"/>
    </row>
    <row r="15" spans="3:10" ht="12.75">
      <c r="C15" s="163"/>
      <c r="D15" s="163"/>
      <c r="E15" s="164"/>
      <c r="F15" s="163"/>
      <c r="G15" s="164"/>
      <c r="H15" s="7"/>
      <c r="I15" s="25"/>
      <c r="J15" s="15"/>
    </row>
    <row r="16" spans="3:10" ht="15.75">
      <c r="C16" s="5"/>
      <c r="D16" s="5"/>
      <c r="E16" s="11"/>
      <c r="F16" s="5"/>
      <c r="G16" s="11"/>
      <c r="H16" s="5"/>
      <c r="I16" s="25"/>
      <c r="J16" s="15"/>
    </row>
    <row r="17" spans="3:9" ht="15.75">
      <c r="C17" s="26" t="s">
        <v>7</v>
      </c>
      <c r="D17" s="26"/>
      <c r="E17" s="11"/>
      <c r="F17" s="26"/>
      <c r="G17" s="11"/>
      <c r="H17" s="5"/>
      <c r="I17" s="12"/>
    </row>
    <row r="18" spans="3:9" ht="12.75" customHeight="1">
      <c r="C18" s="18" t="s">
        <v>8</v>
      </c>
      <c r="D18" s="18"/>
      <c r="E18" s="8">
        <f>G138</f>
        <v>0.005321624875068665</v>
      </c>
      <c r="F18" s="18"/>
      <c r="G18" s="28"/>
      <c r="H18" s="8"/>
      <c r="I18" s="12"/>
    </row>
    <row r="19" spans="3:8" ht="12.75">
      <c r="C19" s="18" t="s">
        <v>10</v>
      </c>
      <c r="D19" s="18"/>
      <c r="E19" s="34">
        <f>(G136+I137)/-I136</f>
        <v>1.0259583419560303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22">
        <v>8.31429E-4</v>
      </c>
      <c r="D22" s="15"/>
      <c r="E22" s="15"/>
      <c r="F22" s="15"/>
      <c r="G22" s="23"/>
      <c r="H22" s="15"/>
      <c r="I22" s="15"/>
      <c r="J22" s="15"/>
    </row>
    <row r="23" spans="3:16" ht="12.75">
      <c r="C23" s="15" t="s">
        <v>86</v>
      </c>
      <c r="D23" s="15"/>
      <c r="E23" s="21">
        <v>40512</v>
      </c>
      <c r="F23" s="15"/>
      <c r="G23" s="130">
        <v>-63000</v>
      </c>
      <c r="H23" s="15"/>
      <c r="I23" s="25"/>
      <c r="J23" s="25"/>
      <c r="P23" s="131"/>
    </row>
    <row r="24" spans="3:16" ht="12.75">
      <c r="C24" s="15" t="s">
        <v>87</v>
      </c>
      <c r="D24" s="15"/>
      <c r="E24" s="21">
        <v>40570</v>
      </c>
      <c r="F24" s="24"/>
      <c r="G24" s="130">
        <v>-31500</v>
      </c>
      <c r="H24" s="15"/>
      <c r="I24" s="25"/>
      <c r="J24" s="25"/>
      <c r="P24" s="131"/>
    </row>
    <row r="25" spans="3:16" ht="12.75">
      <c r="C25" s="15"/>
      <c r="D25" s="15"/>
      <c r="E25" s="21">
        <v>40661</v>
      </c>
      <c r="F25" s="24"/>
      <c r="G25" s="130">
        <v>-24194.61</v>
      </c>
      <c r="H25" s="15"/>
      <c r="I25" s="25"/>
      <c r="J25" s="25"/>
      <c r="P25" s="131"/>
    </row>
    <row r="26" spans="3:16" ht="12.75">
      <c r="C26" s="15"/>
      <c r="D26" s="15"/>
      <c r="E26" s="21">
        <v>40704</v>
      </c>
      <c r="F26" s="24"/>
      <c r="G26" s="130">
        <v>-38162.64</v>
      </c>
      <c r="H26" s="15"/>
      <c r="I26" s="25"/>
      <c r="J26" s="25"/>
      <c r="P26" s="131"/>
    </row>
    <row r="27" spans="3:16" ht="12.75">
      <c r="C27" s="15"/>
      <c r="D27" s="15"/>
      <c r="E27" s="21">
        <v>40751</v>
      </c>
      <c r="F27" s="24"/>
      <c r="G27" s="130">
        <v>-36499.78</v>
      </c>
      <c r="H27" s="15"/>
      <c r="I27" s="25"/>
      <c r="J27" s="25"/>
      <c r="P27" s="131"/>
    </row>
    <row r="28" spans="3:16" ht="12.75">
      <c r="C28" s="15"/>
      <c r="D28" s="15"/>
      <c r="E28" s="21">
        <v>40765</v>
      </c>
      <c r="F28" s="24"/>
      <c r="G28" s="130">
        <v>-60694.39</v>
      </c>
      <c r="H28" s="15"/>
      <c r="I28" s="25"/>
      <c r="J28" s="25"/>
      <c r="P28" s="131"/>
    </row>
    <row r="29" spans="3:16" ht="12.75">
      <c r="C29" s="15"/>
      <c r="D29" s="15"/>
      <c r="E29" s="21">
        <v>40813</v>
      </c>
      <c r="F29" s="24"/>
      <c r="G29" s="130">
        <v>-53460.95</v>
      </c>
      <c r="H29" s="15"/>
      <c r="I29" s="25"/>
      <c r="J29" s="25"/>
      <c r="P29" s="131"/>
    </row>
    <row r="30" spans="3:16" ht="12.75">
      <c r="C30" s="15"/>
      <c r="D30" s="15"/>
      <c r="E30" s="21">
        <v>40879</v>
      </c>
      <c r="F30" s="24"/>
      <c r="G30" s="130">
        <v>-25691.19</v>
      </c>
      <c r="H30" s="15"/>
      <c r="I30" s="25"/>
      <c r="J30" s="25"/>
      <c r="P30" s="131"/>
    </row>
    <row r="31" spans="3:16" ht="12.75">
      <c r="C31" s="15"/>
      <c r="D31" s="15"/>
      <c r="E31" s="21">
        <v>40886</v>
      </c>
      <c r="F31" s="24"/>
      <c r="G31" s="130">
        <v>-35003.2</v>
      </c>
      <c r="H31" s="15"/>
      <c r="I31" s="25"/>
      <c r="J31" s="25"/>
      <c r="P31" s="131"/>
    </row>
    <row r="32" spans="3:16" ht="12.75">
      <c r="C32" s="15" t="s">
        <v>88</v>
      </c>
      <c r="D32" s="15"/>
      <c r="E32" s="21">
        <v>40927</v>
      </c>
      <c r="F32" s="24"/>
      <c r="G32" s="130">
        <v>-58532.67</v>
      </c>
      <c r="H32" s="15"/>
      <c r="I32" s="25"/>
      <c r="J32" s="25"/>
      <c r="P32" s="131"/>
    </row>
    <row r="33" spans="3:16" ht="12.75">
      <c r="C33" s="15"/>
      <c r="D33" s="15"/>
      <c r="E33" s="21">
        <v>40942</v>
      </c>
      <c r="F33" s="24"/>
      <c r="G33" s="130">
        <v>-274371.9</v>
      </c>
      <c r="H33" s="15"/>
      <c r="I33" s="25"/>
      <c r="J33" s="25"/>
      <c r="P33" s="131"/>
    </row>
    <row r="34" spans="3:16" ht="12.75">
      <c r="C34" s="15"/>
      <c r="D34" s="15"/>
      <c r="E34" s="21">
        <v>40970</v>
      </c>
      <c r="F34" s="24"/>
      <c r="G34" s="130">
        <v>-43650.08</v>
      </c>
      <c r="H34" s="15"/>
      <c r="I34" s="25"/>
      <c r="J34" s="25"/>
      <c r="P34" s="131"/>
    </row>
    <row r="35" spans="3:16" ht="12.75">
      <c r="C35" s="15"/>
      <c r="D35" s="15"/>
      <c r="E35" s="21">
        <v>41001</v>
      </c>
      <c r="F35" s="24"/>
      <c r="G35" s="130">
        <v>-25524.90</v>
      </c>
      <c r="H35" s="15"/>
      <c r="I35" s="25"/>
      <c r="J35" s="25"/>
      <c r="P35" s="131"/>
    </row>
    <row r="36" spans="3:16" ht="12.75">
      <c r="C36" s="15"/>
      <c r="D36" s="15"/>
      <c r="E36" s="21">
        <v>41024</v>
      </c>
      <c r="F36" s="24"/>
      <c r="G36" s="130">
        <v>-30264.05</v>
      </c>
      <c r="H36" s="15"/>
      <c r="I36" s="25"/>
      <c r="J36" s="25"/>
      <c r="P36" s="131"/>
    </row>
    <row r="37" spans="3:16" ht="12.75">
      <c r="C37" s="15"/>
      <c r="D37" s="15"/>
      <c r="E37" s="21">
        <v>41054</v>
      </c>
      <c r="F37" s="24"/>
      <c r="G37" s="130">
        <v>-39409.78</v>
      </c>
      <c r="H37" s="15"/>
      <c r="I37" s="25"/>
      <c r="J37" s="25"/>
      <c r="P37" s="131"/>
    </row>
    <row r="38" spans="3:16" ht="12.75">
      <c r="C38" s="15"/>
      <c r="D38" s="15"/>
      <c r="E38" s="21">
        <v>41080</v>
      </c>
      <c r="F38" s="24"/>
      <c r="G38" s="130">
        <v>-73082.70</v>
      </c>
      <c r="H38" s="15"/>
      <c r="I38" s="25"/>
      <c r="J38" s="25"/>
      <c r="P38" s="131"/>
    </row>
    <row r="39" spans="3:16" ht="12.75">
      <c r="C39" s="15"/>
      <c r="D39" s="15"/>
      <c r="E39" s="21">
        <v>41103</v>
      </c>
      <c r="F39" s="24"/>
      <c r="G39" s="130">
        <v>-23695.76</v>
      </c>
      <c r="H39" s="15"/>
      <c r="I39" s="25"/>
      <c r="J39" s="25"/>
      <c r="P39" s="131"/>
    </row>
    <row r="40" spans="3:16" ht="12.75">
      <c r="C40" s="15"/>
      <c r="D40" s="15"/>
      <c r="E40" s="21">
        <v>41121</v>
      </c>
      <c r="F40" s="24"/>
      <c r="G40" s="130">
        <v>-22864.33</v>
      </c>
      <c r="H40" s="15"/>
      <c r="I40" s="25"/>
      <c r="J40" s="25"/>
      <c r="P40" s="131"/>
    </row>
    <row r="41" spans="3:16" ht="12.75">
      <c r="C41" s="15"/>
      <c r="D41" s="15"/>
      <c r="E41" s="21">
        <v>41152</v>
      </c>
      <c r="F41" s="24"/>
      <c r="G41" s="130">
        <v>-30264</v>
      </c>
      <c r="H41" s="15"/>
      <c r="I41" s="25"/>
      <c r="J41" s="25"/>
      <c r="P41" s="131"/>
    </row>
    <row r="42" spans="3:16" ht="12.75">
      <c r="C42" s="15"/>
      <c r="D42" s="15"/>
      <c r="E42" s="21">
        <v>41180</v>
      </c>
      <c r="F42" s="24"/>
      <c r="G42" s="130">
        <v>-57368.58</v>
      </c>
      <c r="H42" s="15"/>
      <c r="I42" s="25"/>
      <c r="J42" s="25"/>
      <c r="P42" s="131"/>
    </row>
    <row r="43" spans="3:16" ht="12.75">
      <c r="C43" s="15"/>
      <c r="D43" s="15"/>
      <c r="E43" s="21">
        <v>41194</v>
      </c>
      <c r="F43" s="24"/>
      <c r="G43" s="130">
        <v>-28185.43</v>
      </c>
      <c r="H43" s="15"/>
      <c r="I43" s="25"/>
      <c r="J43" s="25"/>
      <c r="P43" s="131"/>
    </row>
    <row r="44" spans="3:16" ht="12.75">
      <c r="C44" s="15"/>
      <c r="D44" s="15"/>
      <c r="E44" s="21">
        <v>41250</v>
      </c>
      <c r="F44" s="24"/>
      <c r="G44" s="130">
        <v>-127125.41</v>
      </c>
      <c r="H44" s="15"/>
      <c r="I44" s="25"/>
      <c r="J44" s="25"/>
      <c r="P44" s="131"/>
    </row>
    <row r="45" spans="3:16" ht="12.75">
      <c r="C45" s="15"/>
      <c r="D45" s="15"/>
      <c r="E45" s="21">
        <v>41264</v>
      </c>
      <c r="F45" s="24"/>
      <c r="G45" s="130">
        <v>-112908</v>
      </c>
      <c r="H45" s="15"/>
      <c r="I45" s="25"/>
      <c r="J45" s="25"/>
      <c r="P45" s="131"/>
    </row>
    <row r="46" spans="3:16" ht="12.75">
      <c r="C46" s="15" t="s">
        <v>89</v>
      </c>
      <c r="D46" s="15"/>
      <c r="E46" s="21">
        <v>41030</v>
      </c>
      <c r="F46" s="24"/>
      <c r="G46" s="130">
        <v>112056.47</v>
      </c>
      <c r="H46" s="15"/>
      <c r="I46" s="25"/>
      <c r="J46" s="25"/>
      <c r="P46" s="131"/>
    </row>
    <row r="47" spans="3:16" ht="12.75">
      <c r="C47" s="15"/>
      <c r="D47" s="15"/>
      <c r="E47" s="21">
        <v>41108</v>
      </c>
      <c r="F47" s="24"/>
      <c r="G47" s="130">
        <v>24215.98</v>
      </c>
      <c r="H47" s="15"/>
      <c r="I47" s="25"/>
      <c r="J47" s="25"/>
      <c r="P47" s="131"/>
    </row>
    <row r="48" spans="3:16" ht="12.75">
      <c r="C48" s="15"/>
      <c r="D48" s="15"/>
      <c r="E48" s="21">
        <v>41137</v>
      </c>
      <c r="F48" s="24"/>
      <c r="G48" s="130">
        <v>10363.64</v>
      </c>
      <c r="H48" s="15"/>
      <c r="I48" s="25"/>
      <c r="J48" s="25"/>
      <c r="P48" s="131"/>
    </row>
    <row r="49" spans="3:16" ht="12.75">
      <c r="C49" s="15"/>
      <c r="D49" s="15"/>
      <c r="E49" s="21">
        <v>41173</v>
      </c>
      <c r="F49" s="24"/>
      <c r="G49" s="130">
        <v>223637.66</v>
      </c>
      <c r="H49" s="15"/>
      <c r="I49" s="25"/>
      <c r="J49" s="25"/>
      <c r="P49" s="131"/>
    </row>
    <row r="50" spans="3:16" ht="12.75">
      <c r="C50" s="15" t="s">
        <v>90</v>
      </c>
      <c r="D50" s="15"/>
      <c r="E50" s="21">
        <v>41284</v>
      </c>
      <c r="F50" s="24"/>
      <c r="G50" s="130">
        <v>-33340.28</v>
      </c>
      <c r="H50" s="15"/>
      <c r="I50" s="25"/>
      <c r="J50" s="25"/>
      <c r="P50" s="131"/>
    </row>
    <row r="51" spans="3:16" ht="12.75">
      <c r="C51" s="15"/>
      <c r="D51" s="15"/>
      <c r="E51" s="21">
        <v>41298</v>
      </c>
      <c r="F51" s="24"/>
      <c r="G51" s="130">
        <v>-42652.29</v>
      </c>
      <c r="H51" s="15"/>
      <c r="I51" s="25"/>
      <c r="J51" s="25"/>
      <c r="P51" s="131"/>
    </row>
    <row r="52" spans="3:16" ht="12.75">
      <c r="C52" s="15"/>
      <c r="D52" s="15"/>
      <c r="E52" s="21">
        <v>41345</v>
      </c>
      <c r="F52" s="24"/>
      <c r="G52" s="130">
        <v>-43733.14</v>
      </c>
      <c r="H52" s="15"/>
      <c r="I52" s="25"/>
      <c r="J52" s="25"/>
      <c r="P52" s="131"/>
    </row>
    <row r="53" spans="3:16" ht="12.75">
      <c r="C53" s="15"/>
      <c r="D53" s="15"/>
      <c r="E53" s="21">
        <v>41360</v>
      </c>
      <c r="F53" s="24"/>
      <c r="G53" s="130">
        <v>-39160.28</v>
      </c>
      <c r="H53" s="15"/>
      <c r="I53" s="25"/>
      <c r="J53" s="25"/>
      <c r="P53" s="131"/>
    </row>
    <row r="54" spans="3:16" ht="12.75">
      <c r="C54" s="15"/>
      <c r="D54" s="15"/>
      <c r="E54" s="21">
        <v>41393</v>
      </c>
      <c r="F54" s="24"/>
      <c r="G54" s="130">
        <v>-31511.15</v>
      </c>
      <c r="H54" s="15"/>
      <c r="I54" s="25"/>
      <c r="J54" s="25"/>
      <c r="P54" s="131"/>
    </row>
    <row r="55" spans="3:16" ht="12.75">
      <c r="C55" s="15"/>
      <c r="D55" s="15"/>
      <c r="E55" s="21">
        <v>41404</v>
      </c>
      <c r="F55" s="24"/>
      <c r="G55" s="130">
        <v>-42901.72</v>
      </c>
      <c r="H55" s="15"/>
      <c r="I55" s="25"/>
      <c r="J55" s="25"/>
      <c r="P55" s="131"/>
    </row>
    <row r="56" spans="3:16" ht="12.75">
      <c r="C56" s="15"/>
      <c r="D56" s="15"/>
      <c r="E56" s="21">
        <v>41423</v>
      </c>
      <c r="F56" s="24"/>
      <c r="G56" s="130">
        <v>-37164.86</v>
      </c>
      <c r="H56" s="15"/>
      <c r="I56" s="25"/>
      <c r="J56" s="25"/>
      <c r="P56" s="131"/>
    </row>
    <row r="57" spans="3:16" ht="12.75">
      <c r="C57" s="15"/>
      <c r="D57" s="15"/>
      <c r="E57" s="21">
        <v>41446</v>
      </c>
      <c r="F57" s="24"/>
      <c r="G57" s="130">
        <v>-113573.14</v>
      </c>
      <c r="H57" s="15"/>
      <c r="I57" s="25"/>
      <c r="J57" s="25"/>
      <c r="P57" s="131"/>
    </row>
    <row r="58" spans="3:16" ht="12.75">
      <c r="C58" s="15"/>
      <c r="D58" s="15"/>
      <c r="E58" s="21">
        <v>41481</v>
      </c>
      <c r="F58" s="24"/>
      <c r="G58" s="130">
        <v>-35502</v>
      </c>
      <c r="H58" s="15"/>
      <c r="I58" s="25"/>
      <c r="J58" s="25"/>
      <c r="P58" s="131"/>
    </row>
    <row r="59" spans="3:16" ht="12.75">
      <c r="C59" s="15"/>
      <c r="D59" s="15"/>
      <c r="E59" s="21">
        <v>41501</v>
      </c>
      <c r="F59" s="24"/>
      <c r="G59" s="130">
        <v>-33423.42</v>
      </c>
      <c r="H59" s="15"/>
      <c r="I59" s="25"/>
      <c r="J59" s="25"/>
      <c r="P59" s="131"/>
    </row>
    <row r="60" spans="3:16" ht="12.75">
      <c r="C60" s="15"/>
      <c r="D60" s="15"/>
      <c r="E60" s="21">
        <v>41514</v>
      </c>
      <c r="F60" s="24"/>
      <c r="G60" s="130">
        <v>-48472.28</v>
      </c>
      <c r="H60" s="15"/>
      <c r="I60" s="25"/>
      <c r="J60" s="25"/>
      <c r="P60" s="131"/>
    </row>
    <row r="61" spans="3:16" ht="12.75">
      <c r="C61" s="15"/>
      <c r="D61" s="15"/>
      <c r="E61" s="21">
        <v>41551</v>
      </c>
      <c r="F61" s="24"/>
      <c r="G61" s="130">
        <v>-28933.72</v>
      </c>
      <c r="H61" s="15"/>
      <c r="I61" s="25"/>
      <c r="J61" s="25"/>
      <c r="P61" s="131"/>
    </row>
    <row r="62" spans="3:16" ht="12.75">
      <c r="C62" s="15"/>
      <c r="D62" s="15"/>
      <c r="E62" s="21">
        <v>41577</v>
      </c>
      <c r="F62" s="24"/>
      <c r="G62" s="130">
        <v>-46310.57</v>
      </c>
      <c r="H62" s="15"/>
      <c r="P62" s="131"/>
    </row>
    <row r="63" spans="3:16" ht="12.75">
      <c r="C63" s="15"/>
      <c r="D63" s="15"/>
      <c r="E63" s="21">
        <v>41599</v>
      </c>
      <c r="F63" s="24"/>
      <c r="G63" s="130">
        <v>-29266.29</v>
      </c>
      <c r="H63" s="15"/>
      <c r="P63" s="131"/>
    </row>
    <row r="64" spans="3:16" ht="12.75">
      <c r="C64" s="15"/>
      <c r="D64" s="15"/>
      <c r="E64" s="21">
        <v>41624</v>
      </c>
      <c r="F64" s="24"/>
      <c r="G64" s="130">
        <v>-58532.56</v>
      </c>
      <c r="H64" s="15"/>
      <c r="P64" s="131"/>
    </row>
    <row r="65" spans="3:16" ht="12.75">
      <c r="C65" s="15" t="s">
        <v>91</v>
      </c>
      <c r="D65" s="15"/>
      <c r="E65" s="21">
        <v>41418</v>
      </c>
      <c r="F65" s="24"/>
      <c r="G65" s="130">
        <v>13529.21</v>
      </c>
      <c r="H65" s="15"/>
      <c r="P65" s="131"/>
    </row>
    <row r="66" spans="3:16" ht="12.75">
      <c r="C66" s="15"/>
      <c r="D66" s="15"/>
      <c r="E66" s="21">
        <v>41618</v>
      </c>
      <c r="F66" s="24"/>
      <c r="G66" s="130">
        <v>32263.89</v>
      </c>
      <c r="H66" s="15"/>
      <c r="P66" s="131"/>
    </row>
    <row r="67" spans="3:16" ht="12.75">
      <c r="C67" s="15" t="s">
        <v>92</v>
      </c>
      <c r="D67" s="15"/>
      <c r="E67" s="21">
        <v>41646</v>
      </c>
      <c r="F67" s="24"/>
      <c r="G67" s="24">
        <v>-41322</v>
      </c>
      <c r="H67" s="15"/>
      <c r="I67" s="25"/>
      <c r="J67" s="15"/>
      <c r="P67" s="131"/>
    </row>
    <row r="68" spans="3:16" ht="12.75">
      <c r="C68" s="15"/>
      <c r="D68" s="15"/>
      <c r="E68" s="21">
        <v>41670</v>
      </c>
      <c r="F68" s="24"/>
      <c r="G68" s="24">
        <v>-30679.72</v>
      </c>
      <c r="H68" s="15"/>
      <c r="I68" s="25"/>
      <c r="J68" s="15"/>
      <c r="P68" s="131"/>
    </row>
    <row r="69" spans="3:16" ht="12.75">
      <c r="C69" s="15"/>
      <c r="D69" s="15"/>
      <c r="E69" s="21">
        <v>41697</v>
      </c>
      <c r="F69" s="24"/>
      <c r="G69" s="24">
        <v>-54624.85</v>
      </c>
      <c r="H69" s="15"/>
      <c r="I69" s="25"/>
      <c r="J69" s="15"/>
      <c r="P69" s="131"/>
    </row>
    <row r="70" spans="3:16" ht="12.75">
      <c r="C70" s="15"/>
      <c r="D70" s="15"/>
      <c r="E70" s="21">
        <v>41704</v>
      </c>
      <c r="F70" s="24"/>
      <c r="G70" s="24">
        <v>-39576</v>
      </c>
      <c r="H70" s="15"/>
      <c r="I70" s="25"/>
      <c r="J70" s="15"/>
      <c r="P70" s="131"/>
    </row>
    <row r="71" spans="3:16" ht="12.75">
      <c r="C71" s="15"/>
      <c r="D71" s="15"/>
      <c r="E71" s="21">
        <v>41718</v>
      </c>
      <c r="F71" s="24"/>
      <c r="G71" s="24">
        <v>-34587.43</v>
      </c>
      <c r="H71" s="15"/>
      <c r="I71" s="25"/>
      <c r="J71" s="15"/>
      <c r="P71" s="131"/>
    </row>
    <row r="72" spans="3:16" ht="12.75">
      <c r="C72" s="15"/>
      <c r="D72" s="15"/>
      <c r="E72" s="21">
        <v>41750</v>
      </c>
      <c r="F72" s="24"/>
      <c r="G72" s="24">
        <v>-54957.43</v>
      </c>
      <c r="H72" s="15"/>
      <c r="I72" s="25"/>
      <c r="J72" s="15"/>
      <c r="P72" s="131"/>
    </row>
    <row r="73" spans="3:16" ht="12.75">
      <c r="C73" s="15"/>
      <c r="D73" s="15"/>
      <c r="E73" s="21">
        <v>41779</v>
      </c>
      <c r="F73" s="24"/>
      <c r="G73" s="24">
        <v>-54874.28</v>
      </c>
      <c r="H73" s="15"/>
      <c r="P73" s="131"/>
    </row>
    <row r="74" spans="3:16" ht="12.75">
      <c r="C74" s="15"/>
      <c r="D74" s="15"/>
      <c r="E74" s="21">
        <v>41814</v>
      </c>
      <c r="F74" s="24"/>
      <c r="G74" s="24">
        <v>-40490.57</v>
      </c>
      <c r="H74" s="15"/>
      <c r="P74" s="131"/>
    </row>
    <row r="75" spans="3:16" ht="12.75">
      <c r="C75" s="15"/>
      <c r="D75" s="15"/>
      <c r="E75" s="21">
        <v>41877</v>
      </c>
      <c r="F75" s="24"/>
      <c r="G75" s="24">
        <v>-63770.57</v>
      </c>
      <c r="H75" s="15"/>
      <c r="P75" s="131"/>
    </row>
    <row r="76" spans="3:16" ht="12.75">
      <c r="C76" s="15"/>
      <c r="D76" s="15"/>
      <c r="E76" s="21">
        <v>41913</v>
      </c>
      <c r="F76" s="24"/>
      <c r="G76" s="24">
        <v>-26439.43</v>
      </c>
      <c r="H76" s="15"/>
      <c r="P76" s="131"/>
    </row>
    <row r="77" spans="3:16" ht="12.75">
      <c r="C77" s="15"/>
      <c r="D77" s="15"/>
      <c r="E77" s="21">
        <v>41943</v>
      </c>
      <c r="F77" s="24"/>
      <c r="G77" s="24">
        <v>-33755.99</v>
      </c>
      <c r="H77" s="15"/>
      <c r="P77" s="131"/>
    </row>
    <row r="78" spans="3:16" ht="12.75">
      <c r="C78" s="15"/>
      <c r="D78" s="15"/>
      <c r="E78" s="21">
        <v>41990</v>
      </c>
      <c r="F78" s="24"/>
      <c r="G78" s="24">
        <v>-35335.71</v>
      </c>
      <c r="H78" s="15"/>
      <c r="P78" s="131"/>
    </row>
    <row r="79" spans="3:16" ht="12.75">
      <c r="C79" s="15" t="s">
        <v>93</v>
      </c>
      <c r="D79" s="15"/>
      <c r="E79" s="21">
        <v>41816</v>
      </c>
      <c r="F79" s="24"/>
      <c r="G79" s="24">
        <v>87804.85</v>
      </c>
      <c r="H79" s="15"/>
      <c r="P79" s="131"/>
    </row>
    <row r="80" spans="3:16" ht="12.75">
      <c r="C80" s="15"/>
      <c r="D80" s="15"/>
      <c r="E80" s="21">
        <v>41857</v>
      </c>
      <c r="F80" s="24"/>
      <c r="G80" s="24">
        <v>358214.75</v>
      </c>
      <c r="H80" s="15"/>
      <c r="P80" s="131"/>
    </row>
    <row r="81" spans="3:16" ht="12.75">
      <c r="C81" s="15" t="s">
        <v>76</v>
      </c>
      <c r="D81" s="15"/>
      <c r="E81" s="21">
        <v>42011</v>
      </c>
      <c r="F81" s="24"/>
      <c r="G81" s="24">
        <v>-27769.71</v>
      </c>
      <c r="H81" s="15"/>
      <c r="P81" s="131"/>
    </row>
    <row r="82" spans="3:16" ht="12.75">
      <c r="C82" s="15"/>
      <c r="D82" s="15"/>
      <c r="E82" s="21">
        <v>42027</v>
      </c>
      <c r="F82" s="24"/>
      <c r="G82" s="24">
        <v>-35834.57</v>
      </c>
      <c r="H82" s="15"/>
      <c r="P82" s="131"/>
    </row>
    <row r="83" spans="3:16" ht="12.75">
      <c r="C83" s="15"/>
      <c r="D83" s="15"/>
      <c r="E83" s="21">
        <v>42075</v>
      </c>
      <c r="F83" s="24"/>
      <c r="G83" s="24">
        <v>-35917.71</v>
      </c>
      <c r="H83" s="15"/>
      <c r="P83" s="131"/>
    </row>
    <row r="84" spans="3:16" ht="12.75">
      <c r="C84" s="15"/>
      <c r="D84" s="15"/>
      <c r="E84" s="21">
        <v>42138</v>
      </c>
      <c r="F84" s="24"/>
      <c r="G84" s="24">
        <v>-53211.43</v>
      </c>
      <c r="H84" s="15"/>
      <c r="P84" s="131"/>
    </row>
    <row r="85" spans="3:16" ht="12.75">
      <c r="C85" s="15"/>
      <c r="D85" s="15"/>
      <c r="E85" s="21">
        <v>42265</v>
      </c>
      <c r="F85" s="24"/>
      <c r="G85" s="24">
        <v>-24028.29</v>
      </c>
      <c r="H85" s="15"/>
      <c r="P85" s="131"/>
    </row>
    <row r="86" spans="3:16" ht="12.75">
      <c r="C86" s="15"/>
      <c r="D86" s="15"/>
      <c r="E86" s="21">
        <v>42297</v>
      </c>
      <c r="F86" s="24"/>
      <c r="G86" s="24">
        <v>-41987.13</v>
      </c>
      <c r="H86" s="15"/>
      <c r="P86" s="131"/>
    </row>
    <row r="87" spans="3:16" ht="12.75">
      <c r="C87" s="15"/>
      <c r="D87" s="15"/>
      <c r="E87" s="21">
        <v>42352</v>
      </c>
      <c r="F87" s="24"/>
      <c r="G87" s="24">
        <v>-37663.71</v>
      </c>
      <c r="H87" s="15"/>
      <c r="P87" s="131"/>
    </row>
    <row r="88" spans="3:16" ht="12.75">
      <c r="C88" s="15" t="s">
        <v>94</v>
      </c>
      <c r="D88" s="15"/>
      <c r="E88" s="21">
        <v>42055</v>
      </c>
      <c r="F88" s="24"/>
      <c r="G88" s="24">
        <v>27318.78</v>
      </c>
      <c r="H88" s="15"/>
      <c r="P88" s="131"/>
    </row>
    <row r="89" spans="3:16" ht="12.75">
      <c r="C89" s="15"/>
      <c r="D89" s="15"/>
      <c r="E89" s="21">
        <v>42150</v>
      </c>
      <c r="F89" s="24"/>
      <c r="G89" s="24">
        <v>28614.74</v>
      </c>
      <c r="H89" s="15"/>
      <c r="I89" s="25"/>
      <c r="J89" s="15"/>
      <c r="P89" s="131"/>
    </row>
    <row r="90" spans="3:16" ht="12.75">
      <c r="C90" s="15"/>
      <c r="D90" s="15"/>
      <c r="E90" s="21">
        <v>42251</v>
      </c>
      <c r="F90" s="24"/>
      <c r="G90" s="24">
        <v>85826.47</v>
      </c>
      <c r="H90" s="15"/>
      <c r="I90" s="25"/>
      <c r="J90" s="15"/>
      <c r="P90" s="131"/>
    </row>
    <row r="91" spans="3:16" ht="12.75">
      <c r="C91" s="15" t="s">
        <v>77</v>
      </c>
      <c r="D91" s="15"/>
      <c r="E91" s="21">
        <v>42424</v>
      </c>
      <c r="F91" s="24"/>
      <c r="G91" s="24">
        <v>-37746.86</v>
      </c>
      <c r="H91" s="15"/>
      <c r="I91" s="25"/>
      <c r="J91" s="15"/>
      <c r="P91" s="131"/>
    </row>
    <row r="92" spans="3:16" ht="12.75">
      <c r="C92" s="15"/>
      <c r="D92" s="15"/>
      <c r="E92" s="21">
        <v>42452</v>
      </c>
      <c r="F92" s="24"/>
      <c r="G92" s="24">
        <v>-28185.43</v>
      </c>
      <c r="H92" s="15"/>
      <c r="I92" s="25"/>
      <c r="J92" s="15"/>
      <c r="P92" s="131"/>
    </row>
    <row r="93" spans="3:16" ht="12.75">
      <c r="C93" s="15"/>
      <c r="D93" s="15"/>
      <c r="E93" s="21">
        <v>42485</v>
      </c>
      <c r="F93" s="24"/>
      <c r="G93" s="24">
        <v>-35003.14</v>
      </c>
      <c r="H93" s="15"/>
      <c r="I93" s="25"/>
      <c r="J93" s="15"/>
      <c r="P93" s="131"/>
    </row>
    <row r="94" spans="3:16" ht="12.75">
      <c r="C94" s="15"/>
      <c r="D94" s="15"/>
      <c r="E94" s="21">
        <v>42558</v>
      </c>
      <c r="F94" s="24"/>
      <c r="G94" s="24">
        <v>-21783.44</v>
      </c>
      <c r="H94" s="15"/>
      <c r="I94" s="25"/>
      <c r="J94" s="15"/>
      <c r="P94" s="131"/>
    </row>
    <row r="95" spans="3:16" ht="12.75">
      <c r="C95" s="15"/>
      <c r="D95" s="15"/>
      <c r="E95" s="21">
        <v>42578</v>
      </c>
      <c r="F95" s="24"/>
      <c r="G95" s="24">
        <v>-21617.15</v>
      </c>
      <c r="H95" s="15"/>
      <c r="P95" s="131"/>
    </row>
    <row r="96" spans="3:16" ht="12.75">
      <c r="C96" s="15"/>
      <c r="D96" s="15"/>
      <c r="E96" s="21">
        <v>42636</v>
      </c>
      <c r="F96" s="24"/>
      <c r="G96" s="24">
        <v>-28351.72</v>
      </c>
      <c r="H96" s="15"/>
      <c r="P96" s="131"/>
    </row>
    <row r="97" spans="3:16" ht="12.75">
      <c r="C97" s="15"/>
      <c r="D97" s="15"/>
      <c r="E97" s="21">
        <v>42664</v>
      </c>
      <c r="F97" s="24"/>
      <c r="G97" s="24">
        <v>-27270.85</v>
      </c>
      <c r="H97" s="15"/>
      <c r="P97" s="131"/>
    </row>
    <row r="98" spans="3:16" ht="12.75">
      <c r="C98" s="15"/>
      <c r="D98" s="15"/>
      <c r="E98" s="21">
        <v>42697</v>
      </c>
      <c r="F98" s="24"/>
      <c r="G98" s="24">
        <v>-16628.57</v>
      </c>
      <c r="H98" s="15"/>
      <c r="P98" s="131"/>
    </row>
    <row r="99" spans="3:16" ht="12.75">
      <c r="C99" s="15"/>
      <c r="D99" s="15"/>
      <c r="E99" s="21">
        <v>42727</v>
      </c>
      <c r="F99" s="24"/>
      <c r="G99" s="24">
        <v>-48056.58</v>
      </c>
      <c r="H99" s="15"/>
      <c r="P99" s="131"/>
    </row>
    <row r="100" spans="3:16" ht="12.75">
      <c r="C100" s="15" t="s">
        <v>78</v>
      </c>
      <c r="D100" s="15"/>
      <c r="E100" s="21">
        <v>42404</v>
      </c>
      <c r="F100" s="24"/>
      <c r="G100" s="24">
        <v>17201.94</v>
      </c>
      <c r="H100" s="15"/>
      <c r="P100" s="131"/>
    </row>
    <row r="101" spans="3:16" ht="12.75">
      <c r="C101" s="15"/>
      <c r="D101" s="15"/>
      <c r="E101" s="21">
        <v>42451</v>
      </c>
      <c r="F101" s="24"/>
      <c r="G101" s="24">
        <v>16945.08</v>
      </c>
      <c r="H101" s="15"/>
      <c r="P101" s="131"/>
    </row>
    <row r="102" spans="3:16" ht="12.75">
      <c r="C102" s="15"/>
      <c r="D102" s="15"/>
      <c r="E102" s="21">
        <v>42549</v>
      </c>
      <c r="F102" s="24"/>
      <c r="G102" s="24">
        <v>9603.11</v>
      </c>
      <c r="H102" s="15"/>
      <c r="P102" s="131"/>
    </row>
    <row r="103" spans="3:16" ht="12.75">
      <c r="C103" s="15"/>
      <c r="D103" s="15"/>
      <c r="E103" s="21">
        <v>42584</v>
      </c>
      <c r="F103" s="24"/>
      <c r="G103" s="24">
        <v>235463.57</v>
      </c>
      <c r="H103" s="15"/>
      <c r="P103" s="131"/>
    </row>
    <row r="104" spans="3:16" ht="12.75">
      <c r="C104" s="15"/>
      <c r="D104" s="15"/>
      <c r="E104" s="21">
        <v>42632</v>
      </c>
      <c r="F104" s="24"/>
      <c r="G104" s="24">
        <v>15345.25</v>
      </c>
      <c r="H104" s="15"/>
      <c r="I104" s="25"/>
      <c r="J104" s="15"/>
      <c r="P104" s="131"/>
    </row>
    <row r="105" spans="3:16" ht="12.75">
      <c r="C105" s="15"/>
      <c r="D105" s="15"/>
      <c r="E105" s="21">
        <v>42656</v>
      </c>
      <c r="F105" s="24"/>
      <c r="G105" s="24">
        <v>60038.88</v>
      </c>
      <c r="H105" s="15"/>
      <c r="I105" s="25"/>
      <c r="J105" s="15"/>
      <c r="P105" s="131"/>
    </row>
    <row r="106" spans="3:16" ht="15.75">
      <c r="C106" s="15"/>
      <c r="D106" s="15"/>
      <c r="E106" s="21">
        <v>42723</v>
      </c>
      <c r="F106" s="24"/>
      <c r="G106" s="24">
        <v>57485.25</v>
      </c>
      <c r="H106" s="15"/>
      <c r="I106" s="115"/>
      <c r="J106" s="116"/>
      <c r="K106" s="169"/>
      <c r="L106" s="162"/>
      <c r="P106" s="131"/>
    </row>
    <row r="107" spans="3:16" ht="12.75">
      <c r="C107" s="15" t="s">
        <v>79</v>
      </c>
      <c r="D107" s="15"/>
      <c r="E107" s="21">
        <v>42795</v>
      </c>
      <c r="G107" s="24">
        <v>-22531.71</v>
      </c>
      <c r="H107" s="15"/>
      <c r="I107" s="115"/>
      <c r="J107" s="116"/>
      <c r="K107" s="169"/>
      <c r="L107" s="57"/>
      <c r="P107" s="131"/>
    </row>
    <row r="108" spans="3:16" ht="12.75">
      <c r="C108" s="15"/>
      <c r="D108" s="15"/>
      <c r="E108" s="21">
        <v>42822</v>
      </c>
      <c r="F108" s="24"/>
      <c r="G108" s="24">
        <v>-12471.43</v>
      </c>
      <c r="H108" s="15"/>
      <c r="I108" s="115"/>
      <c r="J108" s="116"/>
      <c r="K108" s="169"/>
      <c r="L108" s="57"/>
      <c r="P108" s="131"/>
    </row>
    <row r="109" spans="3:16" ht="12.75">
      <c r="C109" s="15"/>
      <c r="D109" s="15"/>
      <c r="E109" s="21">
        <v>42843</v>
      </c>
      <c r="F109" s="24"/>
      <c r="G109" s="24">
        <v>-22116</v>
      </c>
      <c r="H109" s="15"/>
      <c r="I109" s="115"/>
      <c r="J109" s="116"/>
      <c r="K109" s="169"/>
      <c r="L109" s="57"/>
      <c r="P109" s="131"/>
    </row>
    <row r="110" spans="3:16" ht="12.75">
      <c r="C110" s="15"/>
      <c r="D110" s="15"/>
      <c r="E110" s="21">
        <v>42909</v>
      </c>
      <c r="F110" s="24"/>
      <c r="G110" s="24">
        <v>-32342.57</v>
      </c>
      <c r="H110" s="15"/>
      <c r="I110" s="115"/>
      <c r="J110" s="116"/>
      <c r="K110" s="169"/>
      <c r="L110" s="57"/>
      <c r="P110" s="131"/>
    </row>
    <row r="111" spans="3:16" ht="12.75">
      <c r="C111" s="15"/>
      <c r="D111" s="15"/>
      <c r="E111" s="21">
        <v>43054</v>
      </c>
      <c r="F111" s="24"/>
      <c r="G111" s="24">
        <v>-21783.43</v>
      </c>
      <c r="H111" s="15"/>
      <c r="I111" s="115"/>
      <c r="J111" s="116"/>
      <c r="K111" s="169"/>
      <c r="L111" s="169"/>
      <c r="P111" s="131"/>
    </row>
    <row r="112" spans="3:16" ht="12.75">
      <c r="C112" s="15"/>
      <c r="D112" s="15"/>
      <c r="E112" s="21">
        <v>43090</v>
      </c>
      <c r="F112" s="24"/>
      <c r="G112" s="24">
        <v>-27187.72</v>
      </c>
      <c r="H112" s="15"/>
      <c r="I112" s="115"/>
      <c r="J112" s="116"/>
      <c r="K112" s="169"/>
      <c r="L112" s="169"/>
      <c r="P112" s="131"/>
    </row>
    <row r="113" spans="3:16" ht="12.75">
      <c r="C113" s="15" t="s">
        <v>80</v>
      </c>
      <c r="D113" s="15"/>
      <c r="E113" s="21">
        <v>42823</v>
      </c>
      <c r="F113" s="24"/>
      <c r="G113" s="24">
        <v>87512.22</v>
      </c>
      <c r="H113" s="15"/>
      <c r="I113" s="115"/>
      <c r="J113" s="116"/>
      <c r="K113" s="169"/>
      <c r="L113" s="169"/>
      <c r="P113" s="131"/>
    </row>
    <row r="114" spans="3:16" ht="12.75">
      <c r="C114" s="15"/>
      <c r="D114" s="15"/>
      <c r="E114" s="21">
        <v>42859</v>
      </c>
      <c r="F114" s="24"/>
      <c r="G114" s="24">
        <v>13701.77</v>
      </c>
      <c r="H114" s="15"/>
      <c r="I114" s="25"/>
      <c r="J114" s="15"/>
      <c r="P114" s="131"/>
    </row>
    <row r="115" spans="3:16" ht="12.75">
      <c r="C115" s="15"/>
      <c r="D115" s="15"/>
      <c r="E115" s="21">
        <v>43020</v>
      </c>
      <c r="F115" s="24"/>
      <c r="G115" s="24">
        <v>34363.08</v>
      </c>
      <c r="H115" s="15"/>
      <c r="P115" s="131"/>
    </row>
    <row r="116" spans="3:16" ht="12.75">
      <c r="C116" s="15" t="s">
        <v>81</v>
      </c>
      <c r="D116" s="15"/>
      <c r="E116" s="21">
        <v>43364</v>
      </c>
      <c r="F116" s="24"/>
      <c r="G116" s="24">
        <v>-68177.15</v>
      </c>
      <c r="H116" s="15"/>
      <c r="I116" s="25"/>
      <c r="J116" s="15"/>
      <c r="P116" s="131"/>
    </row>
    <row r="117" spans="3:16" ht="12.75">
      <c r="C117" s="15"/>
      <c r="D117" s="15"/>
      <c r="E117" s="21">
        <v>43454</v>
      </c>
      <c r="F117" s="24"/>
      <c r="G117" s="24">
        <v>-69258</v>
      </c>
      <c r="H117" s="15"/>
      <c r="I117" s="25"/>
      <c r="J117" s="15"/>
      <c r="P117" s="131"/>
    </row>
    <row r="118" spans="3:16" ht="12.75">
      <c r="C118" s="15" t="s">
        <v>82</v>
      </c>
      <c r="D118" s="15"/>
      <c r="E118" s="21">
        <v>43152</v>
      </c>
      <c r="F118" s="24"/>
      <c r="G118" s="24">
        <v>203797.46</v>
      </c>
      <c r="H118" s="15"/>
      <c r="I118" s="25"/>
      <c r="J118" s="15"/>
      <c r="P118" s="131"/>
    </row>
    <row r="119" spans="3:16" ht="12.75">
      <c r="C119" s="15"/>
      <c r="D119" s="15"/>
      <c r="E119" s="21">
        <v>43186</v>
      </c>
      <c r="F119" s="24"/>
      <c r="G119" s="24">
        <v>123331.38</v>
      </c>
      <c r="H119" s="15"/>
      <c r="I119" s="25"/>
      <c r="J119" s="15"/>
      <c r="P119" s="131"/>
    </row>
    <row r="120" spans="3:16" ht="12.75">
      <c r="C120" s="15"/>
      <c r="D120" s="15"/>
      <c r="E120" s="21">
        <v>43262</v>
      </c>
      <c r="F120" s="24"/>
      <c r="G120" s="24">
        <v>17974.49</v>
      </c>
      <c r="H120" s="15"/>
      <c r="I120" s="25"/>
      <c r="J120" s="15"/>
      <c r="P120" s="131"/>
    </row>
    <row r="121" spans="3:16" ht="12.75">
      <c r="C121" s="15"/>
      <c r="D121" s="15"/>
      <c r="E121" s="21">
        <v>43404</v>
      </c>
      <c r="F121" s="24"/>
      <c r="G121" s="24">
        <v>16825.97</v>
      </c>
      <c r="H121" s="15"/>
      <c r="I121" s="25"/>
      <c r="J121" s="15"/>
      <c r="P121" s="131"/>
    </row>
    <row r="122" spans="3:16" ht="12.75">
      <c r="C122" s="15" t="s">
        <v>83</v>
      </c>
      <c r="D122" s="15"/>
      <c r="E122" s="21">
        <v>43649</v>
      </c>
      <c r="F122" s="24"/>
      <c r="G122" s="24">
        <v>-12222</v>
      </c>
      <c r="H122" s="15"/>
      <c r="I122" s="25"/>
      <c r="J122" s="15"/>
      <c r="P122" s="131"/>
    </row>
    <row r="123" spans="3:16" ht="12.75">
      <c r="C123" s="15" t="s">
        <v>84</v>
      </c>
      <c r="D123" s="15"/>
      <c r="E123" s="21">
        <v>43593</v>
      </c>
      <c r="F123" s="24"/>
      <c r="G123" s="24">
        <v>17577.72</v>
      </c>
      <c r="H123" s="15"/>
      <c r="I123" s="25"/>
      <c r="J123" s="15"/>
      <c r="P123" s="131"/>
    </row>
    <row r="124" spans="3:16" ht="12.75">
      <c r="C124" s="15"/>
      <c r="D124" s="15"/>
      <c r="E124" s="21">
        <v>43655</v>
      </c>
      <c r="F124" s="24"/>
      <c r="G124" s="24">
        <v>28892.81</v>
      </c>
      <c r="H124" s="15"/>
      <c r="I124" s="25"/>
      <c r="J124" s="15"/>
      <c r="P124" s="131"/>
    </row>
    <row r="125" spans="3:16" ht="12.75">
      <c r="C125" s="15" t="s">
        <v>16</v>
      </c>
      <c r="D125" s="15"/>
      <c r="E125" s="21">
        <v>43928</v>
      </c>
      <c r="F125" s="24"/>
      <c r="G125" s="24">
        <v>-10559.14</v>
      </c>
      <c r="H125" s="15"/>
      <c r="I125" s="25"/>
      <c r="J125" s="15"/>
      <c r="P125" s="131"/>
    </row>
    <row r="126" spans="3:16" ht="15.75">
      <c r="C126" s="15"/>
      <c r="D126" s="15"/>
      <c r="E126" s="21">
        <v>44070</v>
      </c>
      <c r="F126" s="24"/>
      <c r="G126" s="24">
        <v>-107186.50</v>
      </c>
      <c r="H126" s="15"/>
      <c r="I126" s="25"/>
      <c r="J126" s="15"/>
      <c r="L126" s="55"/>
      <c r="P126" s="131"/>
    </row>
    <row r="127" spans="3:16" ht="15.75">
      <c r="C127" s="15" t="s">
        <v>71</v>
      </c>
      <c r="D127" s="15"/>
      <c r="E127" s="21">
        <v>44302</v>
      </c>
      <c r="F127" s="24"/>
      <c r="G127" s="24">
        <v>54835.09</v>
      </c>
      <c r="H127" s="15"/>
      <c r="I127" s="25"/>
      <c r="J127" s="15"/>
      <c r="L127" s="55"/>
      <c r="P127" s="131"/>
    </row>
    <row r="128" spans="3:16" ht="15.75">
      <c r="C128" s="15" t="s">
        <v>73</v>
      </c>
      <c r="D128" s="15"/>
      <c r="E128" s="21">
        <v>44673</v>
      </c>
      <c r="F128" s="24"/>
      <c r="G128" s="24">
        <v>112375.78</v>
      </c>
      <c r="H128" s="15"/>
      <c r="I128" s="25"/>
      <c r="J128" s="15"/>
      <c r="L128" s="55"/>
      <c r="P128" s="131"/>
    </row>
    <row r="129" spans="3:16" ht="15.75">
      <c r="C129" s="15"/>
      <c r="D129" s="15"/>
      <c r="E129" s="21">
        <v>44727</v>
      </c>
      <c r="F129" s="24"/>
      <c r="G129" s="24">
        <v>17297.80</v>
      </c>
      <c r="H129" s="15"/>
      <c r="I129" s="25"/>
      <c r="J129" s="15"/>
      <c r="L129" s="55"/>
      <c r="P129" s="131"/>
    </row>
    <row r="130" spans="3:16" ht="15.75">
      <c r="C130" s="15"/>
      <c r="D130" s="15"/>
      <c r="E130" s="21">
        <v>44796</v>
      </c>
      <c r="F130" s="24"/>
      <c r="G130" s="24">
        <v>15289.03</v>
      </c>
      <c r="H130" s="15"/>
      <c r="I130" s="25"/>
      <c r="J130" s="15"/>
      <c r="L130" s="55"/>
      <c r="P130" s="131"/>
    </row>
    <row r="131" spans="3:16" ht="15.75">
      <c r="C131" s="15"/>
      <c r="D131" s="15"/>
      <c r="E131" s="21">
        <v>44868</v>
      </c>
      <c r="F131" s="24"/>
      <c r="G131" s="24">
        <v>52310.32</v>
      </c>
      <c r="H131" s="15"/>
      <c r="I131" s="25"/>
      <c r="J131" s="15"/>
      <c r="L131" s="55"/>
      <c r="P131" s="131"/>
    </row>
    <row r="132" spans="3:16" ht="15.75">
      <c r="C132" s="15"/>
      <c r="D132" s="15"/>
      <c r="E132" s="21">
        <v>44911</v>
      </c>
      <c r="F132" s="24"/>
      <c r="G132" s="24">
        <v>40951.56</v>
      </c>
      <c r="H132" s="15"/>
      <c r="I132" s="25"/>
      <c r="J132" s="15"/>
      <c r="L132" s="55"/>
      <c r="P132" s="131"/>
    </row>
    <row r="133" spans="3:16" ht="15.75">
      <c r="C133" s="15" t="s">
        <v>75</v>
      </c>
      <c r="D133" s="15"/>
      <c r="E133" s="21">
        <v>44973</v>
      </c>
      <c r="F133" s="24"/>
      <c r="G133" s="24">
        <v>49219.58</v>
      </c>
      <c r="H133" s="15"/>
      <c r="I133" s="25"/>
      <c r="J133" s="15"/>
      <c r="L133" s="55"/>
      <c r="P133" s="131"/>
    </row>
    <row r="134" spans="3:16" ht="15.75">
      <c r="C134" s="15"/>
      <c r="D134" s="15"/>
      <c r="E134" s="21">
        <v>45079</v>
      </c>
      <c r="F134" s="24"/>
      <c r="G134" s="24">
        <v>33551.63</v>
      </c>
      <c r="H134" s="15"/>
      <c r="I134" s="25"/>
      <c r="J134" s="15"/>
      <c r="L134" s="55"/>
      <c r="P134" s="131"/>
    </row>
    <row r="135" spans="3:16" ht="12.75">
      <c r="C135" s="15"/>
      <c r="D135" s="15"/>
      <c r="E135" s="21"/>
      <c r="F135" s="15"/>
      <c r="G135" s="24"/>
      <c r="H135" s="15"/>
      <c r="I135" s="25"/>
      <c r="P135" s="131"/>
    </row>
    <row r="136" spans="3:16" ht="12.75">
      <c r="C136" s="15" t="s">
        <v>5</v>
      </c>
      <c r="D136" s="15"/>
      <c r="E136" s="21">
        <f>+E8</f>
        <v>45107</v>
      </c>
      <c r="F136" s="15"/>
      <c r="G136" s="46">
        <f>L136/0.97*C22</f>
        <v>1170206.5917703917</v>
      </c>
      <c r="H136" s="15"/>
      <c r="I136" s="24">
        <f>+SUMIF($G$23:$G$135,"&lt;0",$G$23:$G$135)</f>
        <v>-3417237.97</v>
      </c>
      <c r="J136" s="15" t="s">
        <v>14</v>
      </c>
      <c r="L136" s="57">
        <v>1.36524032E9</v>
      </c>
      <c r="M136" s="31"/>
      <c r="P136" s="131"/>
    </row>
    <row r="137" spans="3:14" ht="12.75">
      <c r="C137" s="15"/>
      <c r="D137" s="15"/>
      <c r="E137" s="15"/>
      <c r="F137" s="15"/>
      <c r="G137" s="15"/>
      <c r="H137" s="15"/>
      <c r="I137" s="24">
        <f>+SUMIF($G$23:$G$135,"&gt;0",$G$23:$G$135)</f>
        <v>2335737.209999999</v>
      </c>
      <c r="J137" s="15" t="s">
        <v>15</v>
      </c>
      <c r="L137" s="35"/>
      <c r="M137" s="31"/>
      <c r="N137" s="35"/>
    </row>
    <row r="138" spans="3:13" ht="12.75">
      <c r="C138" s="14" t="s">
        <v>0</v>
      </c>
      <c r="G138" s="29">
        <f>XIRR(G23:G136,E23:E136,0.1)</f>
        <v>0.005321624875068665</v>
      </c>
      <c r="H138" s="15"/>
      <c r="M138" s="35"/>
    </row>
    <row r="139" spans="3:8" ht="12.75">
      <c r="C139" s="15"/>
      <c r="D139" s="15"/>
      <c r="E139" s="15"/>
      <c r="F139" s="15"/>
      <c r="G139" s="15"/>
      <c r="H139" s="15"/>
    </row>
    <row r="140" spans="3:8" ht="12.75">
      <c r="C140" s="15"/>
      <c r="D140" s="15"/>
      <c r="E140" s="15"/>
      <c r="F140" s="15"/>
      <c r="G140" s="25"/>
      <c r="H140" s="15"/>
    </row>
    <row r="141" spans="3:8" ht="12.75">
      <c r="C141" s="15"/>
      <c r="D141" s="15"/>
      <c r="E141" s="15"/>
      <c r="F141" s="15"/>
      <c r="G141" s="53"/>
      <c r="H141" s="15"/>
    </row>
    <row r="142" spans="3:9" ht="12.75">
      <c r="C142" s="52"/>
      <c r="D142" s="52"/>
      <c r="E142" s="53"/>
      <c r="F142" s="52"/>
      <c r="G142" s="53"/>
      <c r="H142" s="15"/>
      <c r="I142" s="35"/>
    </row>
    <row r="143" spans="3:8" ht="12.75">
      <c r="C143" s="52"/>
      <c r="D143" s="52"/>
      <c r="E143" s="53"/>
      <c r="F143" s="52"/>
      <c r="G143" s="53"/>
      <c r="H143" s="15"/>
    </row>
    <row r="144" spans="3:8" ht="12.75">
      <c r="C144" s="52"/>
      <c r="D144" s="52"/>
      <c r="E144" s="132"/>
      <c r="F144" s="132"/>
      <c r="G144" s="132"/>
      <c r="H144" s="14"/>
    </row>
    <row r="145" spans="3:8" ht="12.75">
      <c r="C145" s="52"/>
      <c r="D145" s="52"/>
      <c r="E145" s="53"/>
      <c r="F145" s="53"/>
      <c r="G145" s="53"/>
      <c r="H145" s="14"/>
    </row>
    <row r="146" spans="3:8" ht="12.75">
      <c r="C146" s="52"/>
      <c r="D146" s="52"/>
      <c r="E146" s="52"/>
      <c r="F146" s="52"/>
      <c r="G146" s="52"/>
      <c r="H146" s="14"/>
    </row>
    <row r="147" spans="3:8" ht="12.75">
      <c r="C147" s="170"/>
      <c r="D147" s="170"/>
      <c r="E147" s="171"/>
      <c r="F147" s="54"/>
      <c r="G147" s="70"/>
      <c r="H147" s="14"/>
    </row>
    <row r="148" spans="3:8" ht="12.75">
      <c r="C148" s="170"/>
      <c r="D148" s="170"/>
      <c r="E148" s="70"/>
      <c r="F148" s="54"/>
      <c r="G148" s="70"/>
      <c r="H148" s="14"/>
    </row>
    <row r="149" spans="3:8" ht="12.75">
      <c r="C149" s="170"/>
      <c r="D149" s="170"/>
      <c r="E149" s="70"/>
      <c r="F149" s="54"/>
      <c r="G149" s="70"/>
      <c r="H149" s="14"/>
    </row>
    <row r="150" spans="3:8" ht="12.75">
      <c r="C150" s="172"/>
      <c r="D150" s="170"/>
      <c r="E150" s="70"/>
      <c r="F150" s="54"/>
      <c r="G150" s="70"/>
      <c r="H150" s="14"/>
    </row>
    <row r="151" spans="3:8" ht="12.75">
      <c r="C151" s="172"/>
      <c r="D151" s="170"/>
      <c r="E151" s="70"/>
      <c r="F151" s="54"/>
      <c r="G151" s="70"/>
      <c r="H151" s="14"/>
    </row>
    <row r="152" spans="3:8" ht="12.75">
      <c r="C152" s="173"/>
      <c r="D152" s="170"/>
      <c r="E152" s="70"/>
      <c r="F152" s="54"/>
      <c r="G152" s="70"/>
      <c r="H152" s="14"/>
    </row>
    <row r="153" spans="3:8" ht="12.75">
      <c r="C153" s="170"/>
      <c r="D153" s="170"/>
      <c r="E153" s="70"/>
      <c r="F153" s="54"/>
      <c r="G153" s="70"/>
      <c r="H153" s="14"/>
    </row>
    <row r="154" spans="3:8" ht="12.75">
      <c r="C154" s="170"/>
      <c r="D154" s="170"/>
      <c r="E154" s="70"/>
      <c r="F154" s="54"/>
      <c r="G154" s="70"/>
      <c r="H154" s="14"/>
    </row>
    <row r="155" spans="3:8" ht="12.75">
      <c r="C155" s="170"/>
      <c r="D155" s="170"/>
      <c r="E155" s="70"/>
      <c r="F155" s="54"/>
      <c r="G155" s="70"/>
      <c r="H155" s="14"/>
    </row>
    <row r="156" spans="3:8" ht="12.75">
      <c r="C156" s="170"/>
      <c r="D156" s="170"/>
      <c r="E156" s="70"/>
      <c r="F156" s="54"/>
      <c r="G156" s="70"/>
      <c r="H156" s="14"/>
    </row>
    <row r="157" spans="3:8" ht="12.75">
      <c r="C157" s="170"/>
      <c r="D157" s="170"/>
      <c r="E157" s="70"/>
      <c r="F157" s="54"/>
      <c r="G157" s="70"/>
      <c r="H157" s="14"/>
    </row>
    <row r="158" spans="3:8" ht="12.75">
      <c r="C158" s="170"/>
      <c r="D158" s="170"/>
      <c r="E158" s="70"/>
      <c r="F158" s="54"/>
      <c r="G158" s="70"/>
      <c r="H158" s="14"/>
    </row>
    <row r="159" spans="3:8" ht="5.1" customHeight="1">
      <c r="C159" s="14"/>
      <c r="D159" s="14"/>
      <c r="E159" s="33"/>
      <c r="F159" s="33"/>
      <c r="G159" s="33"/>
      <c r="H159" s="14"/>
    </row>
    <row r="160" spans="3:8" ht="12.75">
      <c r="C160" s="14"/>
      <c r="D160" s="14"/>
      <c r="E160" s="37"/>
      <c r="F160" s="37"/>
      <c r="G160" s="37"/>
      <c r="H160" s="14"/>
    </row>
    <row r="161" spans="3:8" ht="12.75">
      <c r="C161" s="15"/>
      <c r="D161" s="15"/>
      <c r="E161" s="122"/>
      <c r="F161" s="123"/>
      <c r="G161" s="122"/>
      <c r="H161" s="15"/>
    </row>
    <row r="162" spans="3:8" ht="12.75">
      <c r="C162" s="15"/>
      <c r="D162" s="15"/>
      <c r="E162" s="122"/>
      <c r="F162" s="123"/>
      <c r="G162" s="122"/>
      <c r="H162" s="15"/>
    </row>
    <row r="163" spans="3:8" ht="12.75">
      <c r="C163" s="15"/>
      <c r="D163" s="15"/>
      <c r="E163" s="122"/>
      <c r="F163" s="123"/>
      <c r="G163" s="122"/>
      <c r="H163" s="15"/>
    </row>
    <row r="164" spans="3:8" ht="12.75">
      <c r="C164" s="15"/>
      <c r="D164" s="15"/>
      <c r="E164" s="124"/>
      <c r="F164" s="124"/>
      <c r="G164" s="124"/>
      <c r="H164" s="15"/>
    </row>
    <row r="165" spans="3:8" ht="12.75">
      <c r="C165" s="15"/>
      <c r="D165" s="15"/>
      <c r="E165" s="15"/>
      <c r="F165" s="15"/>
      <c r="G165" s="15"/>
      <c r="H165" s="15"/>
    </row>
    <row r="166" spans="3:8" ht="12.75">
      <c r="C166" s="15"/>
      <c r="D166" s="15"/>
      <c r="E166" s="15"/>
      <c r="F166" s="15"/>
      <c r="G166" s="15"/>
      <c r="H166" s="15"/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15"/>
      <c r="D168" s="15"/>
      <c r="E168" s="15"/>
      <c r="F168" s="15"/>
      <c r="G168" s="15"/>
      <c r="H168" s="15"/>
    </row>
    <row r="169" spans="3:8" ht="12.75">
      <c r="C169" s="15"/>
      <c r="D169" s="15"/>
      <c r="E169" s="15"/>
      <c r="F169" s="15"/>
      <c r="G169" s="15"/>
      <c r="H169" s="15"/>
    </row>
    <row r="170" spans="3:8" ht="12.75">
      <c r="C170" s="15"/>
      <c r="D170" s="15"/>
      <c r="E170" s="15"/>
      <c r="F170" s="15"/>
      <c r="G170" s="15"/>
      <c r="H170" s="15"/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15"/>
      <c r="D172" s="15"/>
      <c r="E172" s="15"/>
      <c r="F172" s="15"/>
      <c r="G172" s="15"/>
      <c r="H172" s="15"/>
    </row>
    <row r="173" spans="3:8" ht="12.75">
      <c r="C173" s="15"/>
      <c r="D173" s="15"/>
      <c r="E173" s="15"/>
      <c r="F173" s="15"/>
      <c r="G173" s="15"/>
      <c r="H173" s="15"/>
    </row>
    <row r="174" spans="3:8" ht="12.75">
      <c r="C174" s="15"/>
      <c r="D174" s="15"/>
      <c r="E174" s="15"/>
      <c r="F174" s="15"/>
      <c r="G174" s="15"/>
      <c r="H174" s="15"/>
    </row>
  </sheetData>
  <mergeCells count="1">
    <mergeCell ref="E144:G144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F674BC8-27D2-4118-9EBB-2C3995C75C8D}">
  <sheetPr>
    <pageSetUpPr fitToPage="1"/>
  </sheetPr>
  <dimension ref="B4:L158"/>
  <sheetViews>
    <sheetView showGridLines="0" view="pageLayout" zoomScaleNormal="100" workbookViewId="0" topLeftCell="A1">
      <selection pane="topLeft" activeCell="C14" sqref="C14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4:9" ht="15.75">
      <c r="D8" s="5"/>
      <c r="E8" s="129">
        <f>+VIII!E8</f>
        <v>45107</v>
      </c>
      <c r="F8" s="32"/>
      <c r="G8" s="6"/>
      <c r="H8" s="133"/>
      <c r="I8" s="13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27"/>
      <c r="I10" s="27"/>
    </row>
    <row r="11" spans="3:9" ht="12.75">
      <c r="C11" s="163"/>
      <c r="D11" s="163"/>
      <c r="E11" s="164"/>
      <c r="F11" s="163"/>
      <c r="G11" s="164"/>
      <c r="H11" s="27"/>
      <c r="I11" s="27"/>
    </row>
    <row r="12" spans="3:9" ht="15.75">
      <c r="C12" s="165"/>
      <c r="D12" s="165"/>
      <c r="E12" s="166"/>
      <c r="F12" s="165"/>
      <c r="G12" s="166"/>
      <c r="H12" s="27"/>
      <c r="I12" s="27"/>
    </row>
    <row r="13" spans="3:9" ht="12.75">
      <c r="C13" s="163"/>
      <c r="D13" s="163"/>
      <c r="E13" s="167"/>
      <c r="F13" s="163"/>
      <c r="G13" s="57"/>
      <c r="H13" s="27"/>
      <c r="I13" s="27"/>
    </row>
    <row r="14" spans="3:9" ht="12.75">
      <c r="C14" s="163"/>
      <c r="D14" s="163"/>
      <c r="E14" s="168"/>
      <c r="F14" s="163"/>
      <c r="G14" s="57"/>
      <c r="H14" s="27"/>
      <c r="I14" s="27"/>
    </row>
    <row r="15" spans="3:9" ht="12.75">
      <c r="C15" s="163"/>
      <c r="D15" s="163"/>
      <c r="E15" s="164"/>
      <c r="F15" s="163"/>
      <c r="G15" s="164"/>
      <c r="H15" s="27"/>
      <c r="I15" s="27"/>
    </row>
    <row r="16" spans="3:9" ht="15.75">
      <c r="C16" s="161"/>
      <c r="D16" s="161"/>
      <c r="E16" s="166"/>
      <c r="F16" s="161"/>
      <c r="G16" s="166"/>
      <c r="H16" s="27"/>
      <c r="I16" s="27"/>
    </row>
    <row r="17" spans="3:9" ht="15.75">
      <c r="C17" s="26" t="s">
        <v>7</v>
      </c>
      <c r="D17" s="26"/>
      <c r="E17" s="11"/>
      <c r="F17" s="165"/>
      <c r="G17" s="166"/>
      <c r="H17" s="5"/>
      <c r="I17" s="12"/>
    </row>
    <row r="18" spans="3:9" ht="12.75" customHeight="1">
      <c r="C18" s="18" t="s">
        <v>8</v>
      </c>
      <c r="D18" s="18"/>
      <c r="E18" s="8">
        <f>+G138</f>
        <v>0.003187921643257141</v>
      </c>
      <c r="F18" s="163"/>
      <c r="G18" s="167"/>
      <c r="H18" s="8"/>
      <c r="I18" s="12"/>
    </row>
    <row r="19" spans="3:8" ht="12.75">
      <c r="C19" s="18" t="s">
        <v>10</v>
      </c>
      <c r="D19" s="18"/>
      <c r="E19" s="34">
        <f>(G136+I137)/-I136</f>
        <v>1.01578997038173</v>
      </c>
      <c r="F19" s="163"/>
      <c r="G19" s="164"/>
      <c r="H19" s="7"/>
    </row>
    <row r="20" spans="3:9" ht="12.75">
      <c r="C20" s="18"/>
      <c r="D20" s="18"/>
      <c r="E20" s="10"/>
      <c r="F20" s="18"/>
      <c r="G20" s="10"/>
      <c r="H20" s="27"/>
      <c r="I20" s="27"/>
    </row>
    <row r="21" spans="3:10" ht="12.75">
      <c r="C21" s="19" t="s">
        <v>95</v>
      </c>
      <c r="D21" s="18"/>
      <c r="E21" s="18"/>
      <c r="F21" s="18"/>
      <c r="G21" s="7"/>
      <c r="H21" s="134"/>
      <c r="I21" s="21"/>
      <c r="J21" s="15"/>
    </row>
    <row r="22" spans="3:10" ht="15.75">
      <c r="C22" s="135">
        <v>0.033025234</v>
      </c>
      <c r="D22" s="20"/>
      <c r="E22" s="20"/>
      <c r="F22" s="20"/>
      <c r="G22" s="15"/>
      <c r="H22" s="15"/>
      <c r="I22" s="15"/>
      <c r="J22" s="15"/>
    </row>
    <row r="23" spans="3:12" ht="12.75">
      <c r="C23" s="15" t="s">
        <v>86</v>
      </c>
      <c r="D23" s="15"/>
      <c r="E23" s="21">
        <v>40512</v>
      </c>
      <c r="F23" s="15"/>
      <c r="G23" s="130">
        <v>-157500</v>
      </c>
      <c r="H23" s="15"/>
      <c r="I23" s="25"/>
      <c r="J23" s="25"/>
      <c r="L23" s="35"/>
    </row>
    <row r="24" spans="3:12" ht="12.75">
      <c r="C24" s="15" t="s">
        <v>87</v>
      </c>
      <c r="D24" s="15"/>
      <c r="E24" s="21">
        <v>40570</v>
      </c>
      <c r="F24" s="15"/>
      <c r="G24" s="24">
        <v>-78750</v>
      </c>
      <c r="H24" s="15"/>
      <c r="I24" s="25"/>
      <c r="J24" s="25"/>
      <c r="L24" s="35"/>
    </row>
    <row r="25" spans="3:12" ht="12.75">
      <c r="C25" s="15"/>
      <c r="D25" s="15"/>
      <c r="E25" s="21">
        <v>40661</v>
      </c>
      <c r="F25" s="15"/>
      <c r="G25" s="24">
        <v>-60486.43</v>
      </c>
      <c r="H25" s="15"/>
      <c r="I25" s="25"/>
      <c r="J25" s="25"/>
      <c r="L25" s="35"/>
    </row>
    <row r="26" spans="3:12" ht="12.75">
      <c r="C26" s="15"/>
      <c r="D26" s="15"/>
      <c r="E26" s="21">
        <v>40704</v>
      </c>
      <c r="F26" s="15"/>
      <c r="G26" s="24">
        <v>-95406.42</v>
      </c>
      <c r="H26" s="15"/>
      <c r="I26" s="25"/>
      <c r="J26" s="25"/>
      <c r="L26" s="35"/>
    </row>
    <row r="27" spans="3:12" ht="12.75">
      <c r="C27" s="15"/>
      <c r="D27" s="15"/>
      <c r="E27" s="21">
        <v>40751</v>
      </c>
      <c r="F27" s="15"/>
      <c r="G27" s="24">
        <v>-91249.28</v>
      </c>
      <c r="H27" s="15"/>
      <c r="I27" s="25"/>
      <c r="J27" s="25"/>
      <c r="L27" s="35"/>
    </row>
    <row r="28" spans="3:12" ht="12.75">
      <c r="C28" s="15"/>
      <c r="D28" s="15"/>
      <c r="E28" s="21">
        <v>40765</v>
      </c>
      <c r="F28" s="15"/>
      <c r="G28" s="24">
        <v>-151735.71</v>
      </c>
      <c r="H28" s="15"/>
      <c r="I28" s="25"/>
      <c r="J28" s="25"/>
      <c r="L28" s="35"/>
    </row>
    <row r="29" spans="3:12" ht="12.75">
      <c r="C29" s="15"/>
      <c r="D29" s="15"/>
      <c r="E29" s="21">
        <v>40813</v>
      </c>
      <c r="F29" s="15"/>
      <c r="G29" s="24">
        <v>-133652.14</v>
      </c>
      <c r="H29" s="15"/>
      <c r="I29" s="25"/>
      <c r="J29" s="25"/>
      <c r="L29" s="35"/>
    </row>
    <row r="30" spans="3:12" ht="12.75">
      <c r="C30" s="15"/>
      <c r="D30" s="15"/>
      <c r="E30" s="21">
        <v>40879</v>
      </c>
      <c r="F30" s="15"/>
      <c r="G30" s="24">
        <v>-64227.85</v>
      </c>
      <c r="H30" s="15"/>
      <c r="I30" s="25"/>
      <c r="J30" s="25"/>
      <c r="L30" s="35"/>
    </row>
    <row r="31" spans="3:12" ht="12.75">
      <c r="C31" s="15"/>
      <c r="D31" s="15"/>
      <c r="E31" s="21">
        <v>40886</v>
      </c>
      <c r="F31" s="15"/>
      <c r="G31" s="24">
        <v>-87507.85</v>
      </c>
      <c r="H31" s="15"/>
      <c r="I31" s="25"/>
      <c r="J31" s="25"/>
      <c r="L31" s="35"/>
    </row>
    <row r="32" spans="3:12" ht="12.75">
      <c r="C32" s="15" t="s">
        <v>88</v>
      </c>
      <c r="D32" s="15"/>
      <c r="E32" s="21">
        <v>40927</v>
      </c>
      <c r="F32" s="15"/>
      <c r="G32" s="25">
        <v>-146331.42</v>
      </c>
      <c r="H32" s="15"/>
      <c r="I32" s="25"/>
      <c r="J32" s="25"/>
      <c r="L32" s="35"/>
    </row>
    <row r="33" spans="3:12" ht="12.75">
      <c r="C33" s="15"/>
      <c r="D33" s="15"/>
      <c r="E33" s="21">
        <v>40942</v>
      </c>
      <c r="F33" s="15"/>
      <c r="G33" s="25">
        <v>-685928.54</v>
      </c>
      <c r="H33" s="15"/>
      <c r="I33" s="25"/>
      <c r="J33" s="25"/>
      <c r="L33" s="35"/>
    </row>
    <row r="34" spans="3:12" ht="12.75">
      <c r="C34" s="15"/>
      <c r="D34" s="15"/>
      <c r="E34" s="21">
        <v>40970</v>
      </c>
      <c r="F34" s="15"/>
      <c r="G34" s="25">
        <v>-109124.99</v>
      </c>
      <c r="H34" s="15"/>
      <c r="I34" s="25"/>
      <c r="J34" s="25"/>
      <c r="L34" s="35"/>
    </row>
    <row r="35" spans="3:12" ht="12.75">
      <c r="C35" s="15"/>
      <c r="D35" s="15"/>
      <c r="E35" s="21">
        <v>41001</v>
      </c>
      <c r="F35" s="15"/>
      <c r="G35" s="25">
        <v>-63812.14</v>
      </c>
      <c r="H35" s="15"/>
      <c r="I35" s="25"/>
      <c r="J35" s="25"/>
      <c r="L35" s="35"/>
    </row>
    <row r="36" spans="3:12" ht="12.75">
      <c r="C36" s="15"/>
      <c r="D36" s="15"/>
      <c r="E36" s="21">
        <v>41024</v>
      </c>
      <c r="F36" s="15"/>
      <c r="G36" s="25">
        <v>-75660</v>
      </c>
      <c r="H36" s="15"/>
      <c r="I36" s="25"/>
      <c r="J36" s="25"/>
      <c r="L36" s="35"/>
    </row>
    <row r="37" spans="3:12" ht="12.75">
      <c r="C37" s="15"/>
      <c r="D37" s="15"/>
      <c r="E37" s="21">
        <v>41054</v>
      </c>
      <c r="F37" s="15"/>
      <c r="G37" s="25">
        <v>-98524.28</v>
      </c>
      <c r="H37" s="15"/>
      <c r="I37" s="25"/>
      <c r="J37" s="25"/>
      <c r="L37" s="35"/>
    </row>
    <row r="38" spans="3:12" ht="12.75">
      <c r="C38" s="15"/>
      <c r="D38" s="15"/>
      <c r="E38" s="21">
        <v>41080</v>
      </c>
      <c r="F38" s="15"/>
      <c r="G38" s="25">
        <v>-182706.42</v>
      </c>
      <c r="H38" s="15"/>
      <c r="I38" s="25"/>
      <c r="J38" s="25"/>
      <c r="L38" s="35"/>
    </row>
    <row r="39" spans="3:12" ht="12.75">
      <c r="C39" s="15"/>
      <c r="D39" s="15"/>
      <c r="E39" s="21">
        <v>41103</v>
      </c>
      <c r="F39" s="15"/>
      <c r="G39" s="25">
        <v>-59239.28</v>
      </c>
      <c r="H39" s="15"/>
      <c r="I39" s="25"/>
      <c r="J39" s="25"/>
      <c r="L39" s="35"/>
    </row>
    <row r="40" spans="3:12" ht="12.75">
      <c r="C40" s="15"/>
      <c r="D40" s="15"/>
      <c r="E40" s="21">
        <v>41121</v>
      </c>
      <c r="F40" s="15"/>
      <c r="G40" s="25">
        <v>-57160.71</v>
      </c>
      <c r="H40" s="15"/>
      <c r="I40" s="25"/>
      <c r="J40" s="25"/>
      <c r="L40" s="35"/>
    </row>
    <row r="41" spans="3:12" ht="12.75">
      <c r="C41" s="15"/>
      <c r="D41" s="15"/>
      <c r="E41" s="21">
        <v>41152</v>
      </c>
      <c r="F41" s="15"/>
      <c r="G41" s="25">
        <v>-75660.01</v>
      </c>
      <c r="H41" s="15"/>
      <c r="I41" s="25"/>
      <c r="J41" s="25"/>
      <c r="L41" s="35"/>
    </row>
    <row r="42" spans="3:12" ht="12.75">
      <c r="C42" s="15"/>
      <c r="D42" s="15"/>
      <c r="E42" s="21">
        <v>41180</v>
      </c>
      <c r="F42" s="15"/>
      <c r="G42" s="25">
        <v>-143421.43</v>
      </c>
      <c r="H42" s="15"/>
      <c r="I42" s="25"/>
      <c r="J42" s="25"/>
      <c r="L42" s="35"/>
    </row>
    <row r="43" spans="3:12" ht="12.75">
      <c r="C43" s="15"/>
      <c r="D43" s="15"/>
      <c r="E43" s="21">
        <v>41194</v>
      </c>
      <c r="F43" s="15"/>
      <c r="G43" s="25">
        <v>-70463.57</v>
      </c>
      <c r="H43" s="15"/>
      <c r="I43" s="25"/>
      <c r="J43" s="25"/>
      <c r="L43" s="35"/>
    </row>
    <row r="44" spans="3:12" ht="12.75">
      <c r="C44" s="15"/>
      <c r="D44" s="15"/>
      <c r="E44" s="21">
        <v>41250</v>
      </c>
      <c r="F44" s="15"/>
      <c r="G44" s="25">
        <v>-317813.58</v>
      </c>
      <c r="H44" s="15"/>
      <c r="I44" s="25"/>
      <c r="J44" s="25"/>
      <c r="L44" s="35"/>
    </row>
    <row r="45" spans="3:12" ht="12.75">
      <c r="C45" s="15"/>
      <c r="D45" s="15"/>
      <c r="E45" s="21">
        <v>41264</v>
      </c>
      <c r="F45" s="15"/>
      <c r="G45" s="25">
        <v>-282270</v>
      </c>
      <c r="H45" s="15"/>
      <c r="I45" s="25"/>
      <c r="J45" s="25"/>
      <c r="L45" s="35"/>
    </row>
    <row r="46" spans="3:12" ht="12.75">
      <c r="C46" s="15" t="s">
        <v>89</v>
      </c>
      <c r="D46" s="15"/>
      <c r="E46" s="21">
        <v>41030</v>
      </c>
      <c r="F46" s="15"/>
      <c r="G46" s="24">
        <v>235528.56</v>
      </c>
      <c r="H46" s="15"/>
      <c r="I46" s="25"/>
      <c r="J46" s="25"/>
      <c r="L46" s="35"/>
    </row>
    <row r="47" spans="3:12" ht="12.75">
      <c r="C47" s="15"/>
      <c r="D47" s="15"/>
      <c r="E47" s="21">
        <v>41108</v>
      </c>
      <c r="F47" s="15"/>
      <c r="G47" s="24">
        <v>59889.22</v>
      </c>
      <c r="H47" s="15"/>
      <c r="I47" s="25"/>
      <c r="J47" s="25"/>
      <c r="L47" s="35"/>
    </row>
    <row r="48" spans="3:12" ht="12.75">
      <c r="C48" s="15"/>
      <c r="D48" s="15"/>
      <c r="E48" s="21">
        <v>41137</v>
      </c>
      <c r="F48" s="15"/>
      <c r="G48" s="24">
        <v>25909.14</v>
      </c>
      <c r="H48" s="15"/>
      <c r="I48" s="25"/>
      <c r="J48" s="25"/>
      <c r="L48" s="35"/>
    </row>
    <row r="49" spans="3:12" ht="12.75">
      <c r="C49" s="15"/>
      <c r="D49" s="15"/>
      <c r="E49" s="21">
        <v>41173</v>
      </c>
      <c r="F49" s="15"/>
      <c r="G49" s="24">
        <v>519144.04</v>
      </c>
      <c r="H49" s="15"/>
      <c r="I49" s="25"/>
      <c r="J49" s="25"/>
      <c r="L49" s="35"/>
    </row>
    <row r="50" spans="3:12" ht="12.75">
      <c r="C50" s="15" t="s">
        <v>90</v>
      </c>
      <c r="D50" s="15"/>
      <c r="E50" s="21">
        <v>41284</v>
      </c>
      <c r="F50" s="15"/>
      <c r="G50" s="24">
        <v>-83350.73</v>
      </c>
      <c r="H50" s="15"/>
      <c r="I50" s="25"/>
      <c r="J50" s="25"/>
      <c r="L50" s="35"/>
    </row>
    <row r="51" spans="3:12" ht="12.75">
      <c r="C51" s="15"/>
      <c r="D51" s="15"/>
      <c r="E51" s="21">
        <v>41298</v>
      </c>
      <c r="F51" s="15"/>
      <c r="G51" s="24">
        <v>-106630.71</v>
      </c>
      <c r="H51" s="15"/>
      <c r="I51" s="25"/>
      <c r="J51" s="25"/>
      <c r="L51" s="35"/>
    </row>
    <row r="52" spans="3:12" ht="12.75">
      <c r="C52" s="15"/>
      <c r="D52" s="15"/>
      <c r="E52" s="21">
        <v>41345</v>
      </c>
      <c r="F52" s="15"/>
      <c r="G52" s="24">
        <v>-109332.86</v>
      </c>
      <c r="H52" s="15"/>
      <c r="I52" s="25"/>
      <c r="J52" s="25"/>
      <c r="L52" s="35"/>
    </row>
    <row r="53" spans="3:12" ht="12.75">
      <c r="C53" s="15"/>
      <c r="D53" s="15"/>
      <c r="E53" s="21">
        <v>41360</v>
      </c>
      <c r="F53" s="15"/>
      <c r="G53" s="24">
        <v>-97900.71</v>
      </c>
      <c r="H53" s="15"/>
      <c r="I53" s="25"/>
      <c r="J53" s="25"/>
      <c r="L53" s="35"/>
    </row>
    <row r="54" spans="3:12" ht="12.75">
      <c r="C54" s="15"/>
      <c r="D54" s="15"/>
      <c r="E54" s="21">
        <v>41393</v>
      </c>
      <c r="F54" s="15"/>
      <c r="G54" s="24">
        <v>-78777.85</v>
      </c>
      <c r="H54" s="15"/>
      <c r="I54" s="25"/>
      <c r="J54" s="25"/>
      <c r="L54" s="35"/>
    </row>
    <row r="55" spans="3:12" ht="12.75">
      <c r="C55" s="15"/>
      <c r="D55" s="15"/>
      <c r="E55" s="21">
        <v>41404</v>
      </c>
      <c r="F55" s="15"/>
      <c r="G55" s="24">
        <v>-107254.28</v>
      </c>
      <c r="H55" s="15"/>
      <c r="I55" s="25"/>
      <c r="J55" s="25"/>
      <c r="L55" s="35"/>
    </row>
    <row r="56" spans="3:12" ht="12.75">
      <c r="C56" s="15"/>
      <c r="D56" s="15"/>
      <c r="E56" s="21">
        <v>41423</v>
      </c>
      <c r="F56" s="15"/>
      <c r="G56" s="24">
        <v>-92912.15</v>
      </c>
      <c r="H56" s="15"/>
      <c r="I56" s="25"/>
      <c r="J56" s="25"/>
      <c r="L56" s="35"/>
    </row>
    <row r="57" spans="3:12" ht="12.75">
      <c r="C57" s="15"/>
      <c r="D57" s="15"/>
      <c r="E57" s="21">
        <v>41446</v>
      </c>
      <c r="F57" s="15"/>
      <c r="G57" s="24">
        <v>-283932.86</v>
      </c>
      <c r="H57" s="15"/>
      <c r="I57" s="25"/>
      <c r="J57" s="25"/>
      <c r="L57" s="35"/>
    </row>
    <row r="58" spans="3:12" ht="12.75">
      <c r="C58" s="15"/>
      <c r="D58" s="15"/>
      <c r="E58" s="21">
        <v>41481</v>
      </c>
      <c r="F58" s="15"/>
      <c r="G58" s="24">
        <v>-88755</v>
      </c>
      <c r="H58" s="15"/>
      <c r="I58" s="25"/>
      <c r="J58" s="25"/>
      <c r="L58" s="35"/>
    </row>
    <row r="59" spans="3:12" ht="12.75">
      <c r="C59" s="15"/>
      <c r="D59" s="15"/>
      <c r="E59" s="21">
        <v>41501</v>
      </c>
      <c r="F59" s="15"/>
      <c r="G59" s="24">
        <v>-83558.57</v>
      </c>
      <c r="H59" s="15"/>
      <c r="I59" s="25"/>
      <c r="J59" s="25"/>
      <c r="L59" s="35"/>
    </row>
    <row r="60" spans="3:12" ht="12.75">
      <c r="C60" s="15"/>
      <c r="D60" s="15"/>
      <c r="E60" s="21">
        <v>41514</v>
      </c>
      <c r="F60" s="15"/>
      <c r="G60" s="24">
        <v>-121180.72</v>
      </c>
      <c r="H60" s="15"/>
      <c r="I60" s="25"/>
      <c r="J60" s="25"/>
      <c r="L60" s="35"/>
    </row>
    <row r="61" spans="3:12" ht="12.75">
      <c r="C61" s="15"/>
      <c r="D61" s="15"/>
      <c r="E61" s="21">
        <v>41551</v>
      </c>
      <c r="F61" s="15"/>
      <c r="G61" s="24">
        <v>-72334.28</v>
      </c>
      <c r="H61" s="15"/>
      <c r="I61" s="25"/>
      <c r="J61" s="25"/>
      <c r="L61" s="35"/>
    </row>
    <row r="62" spans="3:12" ht="12.75">
      <c r="C62" s="15"/>
      <c r="D62" s="15"/>
      <c r="E62" s="21">
        <v>41577</v>
      </c>
      <c r="F62" s="15"/>
      <c r="G62" s="24">
        <v>-115776.43</v>
      </c>
      <c r="H62" s="15"/>
      <c r="L62" s="35"/>
    </row>
    <row r="63" spans="3:12" ht="12.75">
      <c r="C63" s="15"/>
      <c r="D63" s="15"/>
      <c r="E63" s="21">
        <v>41599</v>
      </c>
      <c r="F63" s="15"/>
      <c r="G63" s="24">
        <v>-73165.71</v>
      </c>
      <c r="H63" s="15"/>
      <c r="L63" s="35"/>
    </row>
    <row r="64" spans="3:12" ht="12.75">
      <c r="C64" s="15"/>
      <c r="D64" s="15"/>
      <c r="E64" s="21">
        <v>41624</v>
      </c>
      <c r="F64" s="15"/>
      <c r="G64" s="24">
        <v>-146331.43</v>
      </c>
      <c r="H64" s="15"/>
      <c r="L64" s="35"/>
    </row>
    <row r="65" spans="3:12" ht="12.75">
      <c r="C65" s="15" t="s">
        <v>91</v>
      </c>
      <c r="D65" s="15"/>
      <c r="E65" s="21">
        <v>41418</v>
      </c>
      <c r="F65" s="15"/>
      <c r="G65" s="24">
        <v>32143.76</v>
      </c>
      <c r="H65" s="15"/>
      <c r="L65" s="35"/>
    </row>
    <row r="66" spans="3:12" ht="12.75">
      <c r="C66" s="15"/>
      <c r="D66" s="15"/>
      <c r="E66" s="21">
        <v>41618</v>
      </c>
      <c r="F66" s="15"/>
      <c r="G66" s="24">
        <v>120407.15</v>
      </c>
      <c r="H66" s="15"/>
      <c r="L66" s="35"/>
    </row>
    <row r="67" spans="3:12" ht="12.75">
      <c r="C67" s="15" t="s">
        <v>92</v>
      </c>
      <c r="D67" s="15"/>
      <c r="E67" s="21">
        <v>41646</v>
      </c>
      <c r="F67" s="15"/>
      <c r="G67" s="24">
        <v>-103305.01</v>
      </c>
      <c r="H67" s="15"/>
      <c r="I67" s="25"/>
      <c r="J67" s="15"/>
      <c r="L67" s="35"/>
    </row>
    <row r="68" spans="3:12" ht="12.75">
      <c r="C68" s="15"/>
      <c r="D68" s="15"/>
      <c r="E68" s="21">
        <v>41670</v>
      </c>
      <c r="F68" s="15"/>
      <c r="G68" s="24">
        <v>-76699.29</v>
      </c>
      <c r="H68" s="15"/>
      <c r="I68" s="25"/>
      <c r="J68" s="15"/>
      <c r="L68" s="35"/>
    </row>
    <row r="69" spans="3:12" ht="12.75">
      <c r="C69" s="15"/>
      <c r="D69" s="15"/>
      <c r="E69" s="21">
        <v>41697</v>
      </c>
      <c r="F69" s="15"/>
      <c r="G69" s="24">
        <v>-136562.13</v>
      </c>
      <c r="H69" s="15"/>
      <c r="I69" s="25"/>
      <c r="J69" s="15"/>
      <c r="L69" s="35"/>
    </row>
    <row r="70" spans="3:12" ht="12.75">
      <c r="C70" s="15"/>
      <c r="D70" s="15"/>
      <c r="E70" s="21">
        <v>41704</v>
      </c>
      <c r="F70" s="15"/>
      <c r="G70" s="24">
        <v>-98940</v>
      </c>
      <c r="H70" s="15"/>
      <c r="I70" s="25"/>
      <c r="J70" s="15"/>
      <c r="L70" s="35"/>
    </row>
    <row r="71" spans="3:12" ht="12.75">
      <c r="C71" s="15"/>
      <c r="D71" s="15"/>
      <c r="E71" s="21">
        <v>41718</v>
      </c>
      <c r="F71" s="15"/>
      <c r="G71" s="24">
        <v>-86468.56</v>
      </c>
      <c r="H71" s="15"/>
      <c r="I71" s="25"/>
      <c r="J71" s="15"/>
      <c r="L71" s="35"/>
    </row>
    <row r="72" spans="3:12" ht="12.75">
      <c r="C72" s="15"/>
      <c r="D72" s="15"/>
      <c r="E72" s="21">
        <v>41750</v>
      </c>
      <c r="F72" s="15"/>
      <c r="G72" s="24">
        <v>-137393.57</v>
      </c>
      <c r="H72" s="15"/>
      <c r="I72" s="25"/>
      <c r="J72" s="15"/>
      <c r="L72" s="35"/>
    </row>
    <row r="73" spans="3:12" ht="12.75">
      <c r="C73" s="15"/>
      <c r="D73" s="15"/>
      <c r="E73" s="21">
        <v>41779</v>
      </c>
      <c r="F73" s="15"/>
      <c r="G73" s="24">
        <v>-137185.7</v>
      </c>
      <c r="H73" s="15"/>
      <c r="I73" s="136"/>
      <c r="J73" s="126"/>
      <c r="L73" s="35"/>
    </row>
    <row r="74" spans="3:12" ht="12.75">
      <c r="C74" s="15"/>
      <c r="D74" s="15"/>
      <c r="E74" s="21">
        <v>41814</v>
      </c>
      <c r="F74" s="15"/>
      <c r="G74" s="24">
        <v>-101226.43</v>
      </c>
      <c r="H74" s="15"/>
      <c r="L74" s="35"/>
    </row>
    <row r="75" spans="3:12" ht="12.75">
      <c r="C75" s="15"/>
      <c r="D75" s="15"/>
      <c r="E75" s="21">
        <v>41877</v>
      </c>
      <c r="F75" s="15"/>
      <c r="G75" s="24">
        <v>-159426.43</v>
      </c>
      <c r="H75" s="15"/>
      <c r="L75" s="35"/>
    </row>
    <row r="76" spans="3:12" ht="12.75">
      <c r="C76" s="15"/>
      <c r="D76" s="15"/>
      <c r="E76" s="21">
        <v>41913</v>
      </c>
      <c r="F76" s="15"/>
      <c r="G76" s="24">
        <v>-66098.57</v>
      </c>
      <c r="H76" s="15"/>
      <c r="L76" s="35"/>
    </row>
    <row r="77" spans="3:12" ht="12.75">
      <c r="C77" s="15"/>
      <c r="D77" s="15"/>
      <c r="E77" s="21">
        <v>41943</v>
      </c>
      <c r="F77" s="15"/>
      <c r="G77" s="24">
        <v>-84390.01</v>
      </c>
      <c r="H77" s="15"/>
      <c r="L77" s="35"/>
    </row>
    <row r="78" spans="3:12" ht="12.75">
      <c r="C78" s="15"/>
      <c r="D78" s="15"/>
      <c r="E78" s="21">
        <v>41990</v>
      </c>
      <c r="F78" s="15"/>
      <c r="G78" s="24">
        <v>-88339.29</v>
      </c>
      <c r="H78" s="15"/>
      <c r="L78" s="35"/>
    </row>
    <row r="79" spans="3:12" ht="12.75">
      <c r="C79" s="15" t="s">
        <v>93</v>
      </c>
      <c r="D79" s="15"/>
      <c r="E79" s="21">
        <v>41816</v>
      </c>
      <c r="F79" s="15"/>
      <c r="G79" s="24">
        <v>199985.24</v>
      </c>
      <c r="H79" s="15"/>
      <c r="L79" s="35"/>
    </row>
    <row r="80" spans="3:12" ht="12.75">
      <c r="C80" s="15"/>
      <c r="D80" s="15"/>
      <c r="E80" s="21">
        <v>41857</v>
      </c>
      <c r="F80" s="15"/>
      <c r="G80" s="24">
        <v>809416.30</v>
      </c>
      <c r="H80" s="15"/>
      <c r="L80" s="35"/>
    </row>
    <row r="81" spans="3:12" ht="12.75">
      <c r="C81" s="15" t="s">
        <v>76</v>
      </c>
      <c r="D81" s="15"/>
      <c r="E81" s="21">
        <v>42011</v>
      </c>
      <c r="F81" s="15"/>
      <c r="G81" s="24">
        <v>-69424.29</v>
      </c>
      <c r="H81" s="15"/>
      <c r="L81" s="35"/>
    </row>
    <row r="82" spans="3:12" ht="12.75">
      <c r="C82" s="15"/>
      <c r="D82" s="15"/>
      <c r="E82" s="21">
        <v>42027</v>
      </c>
      <c r="F82" s="15"/>
      <c r="G82" s="24">
        <v>-89586.43</v>
      </c>
      <c r="H82" s="15"/>
      <c r="L82" s="35"/>
    </row>
    <row r="83" spans="3:12" ht="12.75">
      <c r="C83" s="15"/>
      <c r="D83" s="15"/>
      <c r="E83" s="21">
        <v>42075</v>
      </c>
      <c r="F83" s="15"/>
      <c r="G83" s="24">
        <v>-89794.29</v>
      </c>
      <c r="H83" s="15"/>
      <c r="L83" s="35"/>
    </row>
    <row r="84" spans="4:12" ht="12.75">
      <c r="D84" s="15"/>
      <c r="E84" s="21">
        <v>42138</v>
      </c>
      <c r="F84" s="15"/>
      <c r="G84" s="24">
        <v>-133028.58</v>
      </c>
      <c r="H84" s="15"/>
      <c r="L84" s="35"/>
    </row>
    <row r="85" spans="4:12" ht="12.75">
      <c r="D85" s="15"/>
      <c r="E85" s="21">
        <v>42265</v>
      </c>
      <c r="F85" s="15"/>
      <c r="G85" s="24">
        <v>-60070.70</v>
      </c>
      <c r="H85" s="15"/>
      <c r="L85" s="35"/>
    </row>
    <row r="86" spans="4:12" ht="12.75">
      <c r="D86" s="15"/>
      <c r="E86" s="21">
        <v>42297</v>
      </c>
      <c r="F86" s="15"/>
      <c r="G86" s="24">
        <v>-104967.86</v>
      </c>
      <c r="H86" s="15"/>
      <c r="L86" s="35"/>
    </row>
    <row r="87" spans="4:12" ht="12.75">
      <c r="D87" s="15"/>
      <c r="E87" s="21">
        <v>42352</v>
      </c>
      <c r="F87" s="15"/>
      <c r="G87" s="24">
        <v>-94159.28</v>
      </c>
      <c r="H87" s="15"/>
      <c r="L87" s="35"/>
    </row>
    <row r="88" spans="3:12" ht="12.75" customHeight="1">
      <c r="C88" s="15" t="s">
        <v>94</v>
      </c>
      <c r="D88" s="15"/>
      <c r="E88" s="21">
        <v>42055</v>
      </c>
      <c r="F88" s="15"/>
      <c r="G88" s="24">
        <v>0</v>
      </c>
      <c r="H88" s="15"/>
      <c r="I88" s="25"/>
      <c r="L88" s="35"/>
    </row>
    <row r="89" spans="3:12" ht="12.75" customHeight="1">
      <c r="C89" s="15"/>
      <c r="D89" s="15"/>
      <c r="E89" s="21">
        <v>42150</v>
      </c>
      <c r="F89" s="15"/>
      <c r="G89" s="24">
        <v>133058.82</v>
      </c>
      <c r="H89" s="15"/>
      <c r="I89" s="25"/>
      <c r="L89" s="35"/>
    </row>
    <row r="90" spans="3:12" ht="12.75" customHeight="1">
      <c r="C90" s="15"/>
      <c r="D90" s="15"/>
      <c r="E90" s="21">
        <v>42251</v>
      </c>
      <c r="F90" s="15"/>
      <c r="G90" s="24">
        <v>214566.18</v>
      </c>
      <c r="H90" s="15"/>
      <c r="I90" s="25"/>
      <c r="L90" s="35"/>
    </row>
    <row r="91" spans="3:12" ht="12.75" customHeight="1">
      <c r="C91" s="15" t="s">
        <v>77</v>
      </c>
      <c r="D91" s="15"/>
      <c r="E91" s="21">
        <v>42424</v>
      </c>
      <c r="F91" s="15"/>
      <c r="G91" s="24">
        <v>-94367.15</v>
      </c>
      <c r="H91" s="15"/>
      <c r="I91" s="25"/>
      <c r="L91" s="35"/>
    </row>
    <row r="92" spans="3:12" ht="12.75" customHeight="1">
      <c r="C92" s="15"/>
      <c r="D92" s="15"/>
      <c r="E92" s="21">
        <v>42452</v>
      </c>
      <c r="F92" s="15"/>
      <c r="G92" s="24">
        <v>-70463.56</v>
      </c>
      <c r="H92" s="15"/>
      <c r="I92" s="25"/>
      <c r="L92" s="35"/>
    </row>
    <row r="93" spans="3:12" ht="12.75" customHeight="1">
      <c r="C93" s="15"/>
      <c r="D93" s="15"/>
      <c r="E93" s="21">
        <v>42485</v>
      </c>
      <c r="F93" s="15"/>
      <c r="G93" s="24">
        <v>-87507.85</v>
      </c>
      <c r="H93" s="15"/>
      <c r="L93" s="35"/>
    </row>
    <row r="94" spans="3:12" ht="12.75" customHeight="1">
      <c r="C94" s="15"/>
      <c r="D94" s="15"/>
      <c r="E94" s="21">
        <v>42558</v>
      </c>
      <c r="F94" s="15"/>
      <c r="G94" s="24">
        <v>-54458.57</v>
      </c>
      <c r="H94" s="15"/>
      <c r="L94" s="35"/>
    </row>
    <row r="95" spans="3:12" ht="12.75" customHeight="1">
      <c r="C95" s="15"/>
      <c r="D95" s="15"/>
      <c r="E95" s="21">
        <v>42578</v>
      </c>
      <c r="F95" s="15"/>
      <c r="G95" s="24">
        <v>-54042.86</v>
      </c>
      <c r="H95" s="15"/>
      <c r="L95" s="35"/>
    </row>
    <row r="96" spans="3:12" ht="12.75" customHeight="1">
      <c r="C96" s="15"/>
      <c r="D96" s="15"/>
      <c r="E96" s="21">
        <v>42636</v>
      </c>
      <c r="F96" s="15"/>
      <c r="G96" s="24">
        <v>-70879.29</v>
      </c>
      <c r="H96" s="15"/>
      <c r="L96" s="35"/>
    </row>
    <row r="97" spans="3:12" ht="12.75" customHeight="1">
      <c r="C97" s="15"/>
      <c r="D97" s="15"/>
      <c r="E97" s="21">
        <v>42664</v>
      </c>
      <c r="F97" s="15"/>
      <c r="G97" s="24">
        <v>-68177.14</v>
      </c>
      <c r="H97" s="15"/>
      <c r="L97" s="35"/>
    </row>
    <row r="98" spans="3:12" ht="12.75" customHeight="1">
      <c r="C98" s="15"/>
      <c r="D98" s="15"/>
      <c r="E98" s="21">
        <v>42697</v>
      </c>
      <c r="F98" s="15"/>
      <c r="G98" s="24">
        <v>-41571.43</v>
      </c>
      <c r="H98" s="15"/>
      <c r="L98" s="35"/>
    </row>
    <row r="99" spans="3:12" ht="12.75" customHeight="1">
      <c r="C99" s="15"/>
      <c r="D99" s="15"/>
      <c r="E99" s="21">
        <v>42727</v>
      </c>
      <c r="F99" s="15"/>
      <c r="G99" s="24">
        <v>-120141.43</v>
      </c>
      <c r="H99" s="15"/>
      <c r="L99" s="35"/>
    </row>
    <row r="100" spans="3:12" ht="12.75" customHeight="1">
      <c r="C100" s="15" t="s">
        <v>78</v>
      </c>
      <c r="D100" s="15"/>
      <c r="E100" s="21">
        <v>42404</v>
      </c>
      <c r="F100" s="15"/>
      <c r="G100" s="24">
        <v>125567.95</v>
      </c>
      <c r="H100" s="15"/>
      <c r="I100" s="25"/>
      <c r="L100" s="35"/>
    </row>
    <row r="101" spans="3:12" ht="12.75" customHeight="1">
      <c r="C101" s="15"/>
      <c r="D101" s="15"/>
      <c r="E101" s="21">
        <v>42451</v>
      </c>
      <c r="F101" s="15"/>
      <c r="G101" s="24">
        <v>42362.70</v>
      </c>
      <c r="H101" s="15"/>
      <c r="I101" s="25"/>
      <c r="L101" s="35"/>
    </row>
    <row r="102" spans="3:12" ht="12.75" customHeight="1">
      <c r="C102" s="15"/>
      <c r="D102" s="15"/>
      <c r="E102" s="21">
        <v>42549</v>
      </c>
      <c r="F102" s="15"/>
      <c r="G102" s="24">
        <v>22061.54</v>
      </c>
      <c r="H102" s="15"/>
      <c r="I102" s="25"/>
      <c r="L102" s="35"/>
    </row>
    <row r="103" spans="3:12" ht="12.75" customHeight="1">
      <c r="C103" s="15"/>
      <c r="D103" s="15"/>
      <c r="E103" s="21">
        <v>42584</v>
      </c>
      <c r="F103" s="15"/>
      <c r="G103" s="24">
        <v>588658.97</v>
      </c>
      <c r="H103" s="15"/>
      <c r="I103" s="25"/>
      <c r="L103" s="35"/>
    </row>
    <row r="104" spans="3:12" ht="12.75" customHeight="1">
      <c r="C104" s="15"/>
      <c r="D104" s="15"/>
      <c r="E104" s="21">
        <v>42632</v>
      </c>
      <c r="F104" s="15"/>
      <c r="G104" s="24">
        <v>37306.49</v>
      </c>
      <c r="H104" s="15"/>
      <c r="I104" s="25"/>
      <c r="L104" s="35"/>
    </row>
    <row r="105" spans="3:12" ht="12.75" customHeight="1">
      <c r="C105" s="15"/>
      <c r="D105" s="15"/>
      <c r="E105" s="21">
        <v>42656</v>
      </c>
      <c r="F105" s="15"/>
      <c r="G105" s="24">
        <v>150097.2</v>
      </c>
      <c r="H105" s="15"/>
      <c r="I105" s="25"/>
      <c r="L105" s="35"/>
    </row>
    <row r="106" spans="3:12" ht="12.75" customHeight="1">
      <c r="C106" s="15"/>
      <c r="D106" s="15"/>
      <c r="E106" s="21">
        <v>42723</v>
      </c>
      <c r="F106" s="15"/>
      <c r="G106" s="24">
        <v>143473.42</v>
      </c>
      <c r="H106" s="15"/>
      <c r="I106" s="115"/>
      <c r="J106" s="169"/>
      <c r="K106" s="169"/>
      <c r="L106" s="162"/>
    </row>
    <row r="107" spans="3:12" ht="12.75" customHeight="1">
      <c r="C107" s="15" t="s">
        <v>79</v>
      </c>
      <c r="D107" s="15"/>
      <c r="E107" s="21">
        <v>42795</v>
      </c>
      <c r="F107" s="15"/>
      <c r="G107" s="24">
        <v>-56329.29</v>
      </c>
      <c r="H107" s="15"/>
      <c r="I107" s="115"/>
      <c r="J107" s="116"/>
      <c r="K107" s="169"/>
      <c r="L107" s="57"/>
    </row>
    <row r="108" spans="3:12" ht="12.75" customHeight="1">
      <c r="C108" s="15"/>
      <c r="D108" s="15"/>
      <c r="E108" s="21">
        <v>42822</v>
      </c>
      <c r="F108" s="15"/>
      <c r="G108" s="24">
        <v>-31178.57</v>
      </c>
      <c r="H108" s="15"/>
      <c r="I108" s="115"/>
      <c r="J108" s="116"/>
      <c r="K108" s="169"/>
      <c r="L108" s="57"/>
    </row>
    <row r="109" spans="3:12" ht="12.75" customHeight="1">
      <c r="C109" s="15"/>
      <c r="D109" s="15"/>
      <c r="E109" s="21">
        <v>42843</v>
      </c>
      <c r="F109" s="15"/>
      <c r="G109" s="24">
        <v>-55290</v>
      </c>
      <c r="H109" s="15"/>
      <c r="I109" s="115"/>
      <c r="J109" s="116"/>
      <c r="K109" s="169"/>
      <c r="L109" s="57"/>
    </row>
    <row r="110" spans="3:12" ht="12.75" customHeight="1">
      <c r="C110" s="15"/>
      <c r="D110" s="15"/>
      <c r="E110" s="21">
        <v>42909</v>
      </c>
      <c r="F110" s="15"/>
      <c r="G110" s="24">
        <v>-80856.42</v>
      </c>
      <c r="H110" s="15"/>
      <c r="I110" s="115"/>
      <c r="J110" s="116"/>
      <c r="K110" s="169"/>
      <c r="L110" s="57"/>
    </row>
    <row r="111" spans="3:12" ht="12.75" customHeight="1">
      <c r="C111" s="15"/>
      <c r="D111" s="15"/>
      <c r="E111" s="21">
        <v>43054</v>
      </c>
      <c r="F111" s="15"/>
      <c r="G111" s="24">
        <v>-54458.58</v>
      </c>
      <c r="H111" s="15"/>
      <c r="I111" s="115"/>
      <c r="J111" s="116"/>
      <c r="K111" s="169"/>
      <c r="L111" s="117"/>
    </row>
    <row r="112" spans="3:12" ht="12.75" customHeight="1">
      <c r="C112" s="15"/>
      <c r="D112" s="15"/>
      <c r="E112" s="21">
        <v>43090</v>
      </c>
      <c r="F112" s="15"/>
      <c r="G112" s="24">
        <v>-67969.28</v>
      </c>
      <c r="H112" s="15"/>
      <c r="I112" s="115"/>
      <c r="J112" s="116"/>
      <c r="K112" s="169"/>
      <c r="L112" s="117"/>
    </row>
    <row r="113" spans="3:12" ht="12.75" customHeight="1">
      <c r="C113" s="15" t="s">
        <v>80</v>
      </c>
      <c r="D113" s="15"/>
      <c r="E113" s="21">
        <v>42823</v>
      </c>
      <c r="F113" s="15"/>
      <c r="G113" s="24">
        <v>217020.23</v>
      </c>
      <c r="H113" s="15"/>
      <c r="I113" s="115"/>
      <c r="J113" s="116"/>
      <c r="K113" s="169"/>
      <c r="L113" s="117"/>
    </row>
    <row r="114" spans="3:12" ht="12.75" customHeight="1">
      <c r="C114" s="15"/>
      <c r="D114" s="15"/>
      <c r="E114" s="21">
        <v>42859</v>
      </c>
      <c r="F114" s="15"/>
      <c r="G114" s="24">
        <v>32505.74</v>
      </c>
      <c r="H114" s="15"/>
      <c r="I114" s="115"/>
      <c r="J114" s="169"/>
      <c r="K114" s="169"/>
      <c r="L114" s="117"/>
    </row>
    <row r="115" spans="3:12" ht="12.75" customHeight="1">
      <c r="C115" s="15"/>
      <c r="D115" s="15"/>
      <c r="E115" s="21">
        <v>43020</v>
      </c>
      <c r="F115" s="15"/>
      <c r="G115" s="24">
        <v>82653.95</v>
      </c>
      <c r="H115" s="15"/>
      <c r="I115" s="25"/>
      <c r="L115" s="35"/>
    </row>
    <row r="116" spans="3:12" ht="12.75" customHeight="1">
      <c r="C116" s="15" t="s">
        <v>81</v>
      </c>
      <c r="D116" s="15"/>
      <c r="E116" s="21">
        <v>43364</v>
      </c>
      <c r="F116" s="15"/>
      <c r="G116" s="24">
        <v>-170442.86</v>
      </c>
      <c r="H116" s="15"/>
      <c r="I116" s="25"/>
      <c r="L116" s="35"/>
    </row>
    <row r="117" spans="3:12" ht="12.75" customHeight="1">
      <c r="C117" s="15"/>
      <c r="D117" s="15"/>
      <c r="E117" s="21">
        <v>43454</v>
      </c>
      <c r="F117" s="15"/>
      <c r="G117" s="24">
        <v>-173145</v>
      </c>
      <c r="H117" s="15"/>
      <c r="I117" s="25"/>
      <c r="L117" s="35"/>
    </row>
    <row r="118" spans="3:12" ht="12.75" customHeight="1">
      <c r="C118" s="15" t="s">
        <v>82</v>
      </c>
      <c r="D118" s="15"/>
      <c r="E118" s="21">
        <v>43152</v>
      </c>
      <c r="F118" s="15"/>
      <c r="G118" s="24">
        <v>507551.35</v>
      </c>
      <c r="H118" s="15"/>
      <c r="I118" s="25"/>
      <c r="L118" s="35"/>
    </row>
    <row r="119" spans="3:12" ht="12.75" customHeight="1">
      <c r="C119" s="15"/>
      <c r="D119" s="15"/>
      <c r="E119" s="21">
        <v>43186</v>
      </c>
      <c r="F119" s="15"/>
      <c r="G119" s="24">
        <v>303400.82</v>
      </c>
      <c r="H119" s="15"/>
      <c r="I119" s="25"/>
      <c r="L119" s="35"/>
    </row>
    <row r="120" spans="3:12" ht="12.75" customHeight="1">
      <c r="C120" s="15"/>
      <c r="D120" s="15"/>
      <c r="E120" s="21">
        <v>43262</v>
      </c>
      <c r="F120" s="15"/>
      <c r="G120" s="24">
        <v>43362.99</v>
      </c>
      <c r="H120" s="15"/>
      <c r="I120" s="25"/>
      <c r="L120" s="35"/>
    </row>
    <row r="121" spans="3:12" ht="12.75" customHeight="1">
      <c r="C121" s="15"/>
      <c r="D121" s="15"/>
      <c r="E121" s="21">
        <v>43404</v>
      </c>
      <c r="F121" s="15"/>
      <c r="G121" s="24">
        <v>41363.8</v>
      </c>
      <c r="H121" s="15"/>
      <c r="I121" s="25"/>
      <c r="L121" s="35"/>
    </row>
    <row r="122" spans="3:12" ht="12.75" customHeight="1">
      <c r="C122" s="15" t="s">
        <v>83</v>
      </c>
      <c r="D122" s="15"/>
      <c r="E122" s="21">
        <v>43649</v>
      </c>
      <c r="F122" s="15"/>
      <c r="G122" s="24">
        <v>-30555</v>
      </c>
      <c r="H122" s="15"/>
      <c r="I122" s="25"/>
      <c r="L122" s="35"/>
    </row>
    <row r="123" spans="3:12" ht="12.75" customHeight="1">
      <c r="C123" s="15" t="s">
        <v>84</v>
      </c>
      <c r="D123" s="15"/>
      <c r="E123" s="21">
        <v>43593</v>
      </c>
      <c r="F123" s="15"/>
      <c r="G123" s="24">
        <v>43099.64</v>
      </c>
      <c r="H123" s="15"/>
      <c r="I123" s="25"/>
      <c r="L123" s="35"/>
    </row>
    <row r="124" spans="3:12" ht="12.75" customHeight="1">
      <c r="C124" s="15"/>
      <c r="D124" s="15"/>
      <c r="E124" s="21">
        <v>43655</v>
      </c>
      <c r="F124" s="15"/>
      <c r="G124" s="24">
        <v>72232.02</v>
      </c>
      <c r="H124" s="15"/>
      <c r="I124" s="25"/>
      <c r="L124" s="35"/>
    </row>
    <row r="125" spans="3:12" ht="12.75" customHeight="1">
      <c r="C125" s="15" t="s">
        <v>16</v>
      </c>
      <c r="D125" s="15"/>
      <c r="E125" s="21">
        <v>43928</v>
      </c>
      <c r="F125" s="15"/>
      <c r="G125" s="24">
        <v>-26397.86</v>
      </c>
      <c r="H125" s="15"/>
      <c r="I125" s="25"/>
      <c r="L125" s="35"/>
    </row>
    <row r="126" spans="3:12" ht="12.75" customHeight="1">
      <c r="C126" s="15"/>
      <c r="D126" s="15"/>
      <c r="E126" s="21">
        <v>44070</v>
      </c>
      <c r="F126" s="15"/>
      <c r="G126" s="24">
        <v>-267966.24</v>
      </c>
      <c r="H126" s="15"/>
      <c r="I126" s="25"/>
      <c r="L126" s="55"/>
    </row>
    <row r="127" spans="3:12" ht="12.75" customHeight="1">
      <c r="C127" s="15" t="s">
        <v>71</v>
      </c>
      <c r="D127" s="15"/>
      <c r="E127" s="21">
        <v>44302</v>
      </c>
      <c r="F127" s="15"/>
      <c r="G127" s="24">
        <v>131158.08</v>
      </c>
      <c r="H127" s="15"/>
      <c r="I127" s="25"/>
      <c r="L127" s="55"/>
    </row>
    <row r="128" spans="3:12" ht="12.75" customHeight="1">
      <c r="C128" s="15" t="s">
        <v>73</v>
      </c>
      <c r="D128" s="15"/>
      <c r="E128" s="21">
        <v>44673</v>
      </c>
      <c r="F128" s="15"/>
      <c r="G128" s="24">
        <v>278880.6</v>
      </c>
      <c r="H128" s="15"/>
      <c r="I128" s="25"/>
      <c r="L128" s="55"/>
    </row>
    <row r="129" spans="3:12" ht="12.75" customHeight="1">
      <c r="C129" s="15"/>
      <c r="D129" s="15"/>
      <c r="E129" s="21">
        <v>44727</v>
      </c>
      <c r="F129" s="15"/>
      <c r="G129" s="24">
        <v>40739.2</v>
      </c>
      <c r="H129" s="15"/>
      <c r="I129" s="25"/>
      <c r="L129" s="55"/>
    </row>
    <row r="130" spans="3:12" ht="12.75" customHeight="1">
      <c r="C130" s="15"/>
      <c r="D130" s="15"/>
      <c r="E130" s="21">
        <v>44796</v>
      </c>
      <c r="F130" s="15"/>
      <c r="G130" s="24">
        <v>37166.98</v>
      </c>
      <c r="H130" s="15"/>
      <c r="I130" s="25"/>
      <c r="L130" s="55"/>
    </row>
    <row r="131" spans="3:12" ht="12.75" customHeight="1">
      <c r="C131" s="15"/>
      <c r="D131" s="15"/>
      <c r="E131" s="21">
        <v>44868</v>
      </c>
      <c r="F131" s="15"/>
      <c r="G131" s="24">
        <v>158787.2</v>
      </c>
      <c r="H131" s="15"/>
      <c r="I131" s="25"/>
      <c r="L131" s="55"/>
    </row>
    <row r="132" spans="3:12" ht="12.75" customHeight="1">
      <c r="C132" s="15"/>
      <c r="D132" s="15"/>
      <c r="E132" s="21">
        <v>44911</v>
      </c>
      <c r="F132" s="15"/>
      <c r="G132" s="24">
        <v>101499.67</v>
      </c>
      <c r="H132" s="15"/>
      <c r="I132" s="25"/>
      <c r="L132" s="55"/>
    </row>
    <row r="133" spans="3:12" ht="12.75" customHeight="1">
      <c r="C133" s="15" t="s">
        <v>75</v>
      </c>
      <c r="D133" s="15"/>
      <c r="E133" s="21">
        <v>44973</v>
      </c>
      <c r="F133" s="15"/>
      <c r="G133" s="24">
        <v>122713.93</v>
      </c>
      <c r="H133" s="15"/>
      <c r="I133" s="25"/>
      <c r="L133" s="55"/>
    </row>
    <row r="134" spans="3:12" ht="12.75" customHeight="1">
      <c r="C134" s="15"/>
      <c r="D134" s="15"/>
      <c r="E134" s="21">
        <v>45079</v>
      </c>
      <c r="F134" s="15"/>
      <c r="G134" s="24">
        <v>80249.68</v>
      </c>
      <c r="H134" s="15"/>
      <c r="I134" s="25"/>
      <c r="L134" s="55"/>
    </row>
    <row r="135" spans="3:12" ht="4.5" customHeight="1">
      <c r="C135" s="15"/>
      <c r="D135" s="15"/>
      <c r="E135" s="21"/>
      <c r="F135" s="15"/>
      <c r="G135" s="24"/>
      <c r="H135" s="15"/>
      <c r="I135" s="25"/>
      <c r="L135" s="35"/>
    </row>
    <row r="136" spans="3:12" ht="12.75">
      <c r="C136" s="15" t="s">
        <v>5</v>
      </c>
      <c r="D136" s="15"/>
      <c r="E136" s="21">
        <f>+E8</f>
        <v>45107</v>
      </c>
      <c r="F136" s="15"/>
      <c r="G136" s="46">
        <f>L136*C22</f>
        <v>2924023.736069018</v>
      </c>
      <c r="H136" s="15"/>
      <c r="I136" s="24">
        <f>+SUMIF($G$23:$G$135,"&lt;0",$G$23:$G$135)</f>
        <v>-8543091.139999999</v>
      </c>
      <c r="J136" s="15" t="s">
        <v>14</v>
      </c>
      <c r="L136" s="57">
        <v>88539077</v>
      </c>
    </row>
    <row r="137" spans="7:10" ht="12.75">
      <c r="G137" s="25"/>
      <c r="H137" s="15"/>
      <c r="I137" s="24">
        <f>+SUMIF($G$23:$G$135,"&gt;0",$G$23:$G$135)</f>
        <v>5753962.5600000005</v>
      </c>
      <c r="J137" s="15" t="s">
        <v>15</v>
      </c>
    </row>
    <row r="138" spans="3:10" ht="12.75">
      <c r="C138" s="14" t="s">
        <v>0</v>
      </c>
      <c r="G138" s="29">
        <f>XIRR(G23:G136,E23:E136,0.1)</f>
        <v>0.003187921643257141</v>
      </c>
      <c r="H138" s="15"/>
      <c r="I138" s="15"/>
      <c r="J138" s="15"/>
    </row>
    <row r="141" spans="7:7" ht="12.75">
      <c r="G141" s="53"/>
    </row>
    <row r="142" spans="5:7" ht="12.75">
      <c r="E142" s="53"/>
      <c r="F142" s="52"/>
      <c r="G142" s="53"/>
    </row>
    <row r="143" spans="5:7" ht="12.75">
      <c r="E143" s="53"/>
      <c r="F143" s="52"/>
      <c r="G143" s="53"/>
    </row>
    <row r="144" spans="3:7" ht="12.75">
      <c r="C144" s="52"/>
      <c r="D144" s="52"/>
      <c r="E144" s="132"/>
      <c r="F144" s="132"/>
      <c r="G144" s="132"/>
    </row>
    <row r="145" spans="3:7" ht="12.75">
      <c r="C145" s="52"/>
      <c r="D145" s="52"/>
      <c r="E145" s="53"/>
      <c r="F145" s="53"/>
      <c r="G145" s="53"/>
    </row>
    <row r="146" spans="3:7" ht="12.75">
      <c r="C146" s="52"/>
      <c r="D146" s="52"/>
      <c r="E146" s="52"/>
      <c r="F146" s="52"/>
      <c r="G146" s="52"/>
    </row>
    <row r="147" spans="3:7" ht="12.75">
      <c r="C147" s="170"/>
      <c r="D147" s="170"/>
      <c r="E147" s="171"/>
      <c r="F147" s="54"/>
      <c r="G147" s="70"/>
    </row>
    <row r="148" spans="3:7" ht="12.75">
      <c r="C148" s="170"/>
      <c r="D148" s="170"/>
      <c r="E148" s="70"/>
      <c r="F148" s="54"/>
      <c r="G148" s="70"/>
    </row>
    <row r="149" spans="3:7" ht="12.75">
      <c r="C149" s="170"/>
      <c r="D149" s="170"/>
      <c r="E149" s="70"/>
      <c r="F149" s="54"/>
      <c r="G149" s="70"/>
    </row>
    <row r="150" spans="3:7" ht="12.75">
      <c r="C150" s="172"/>
      <c r="D150" s="170"/>
      <c r="E150" s="70"/>
      <c r="F150" s="54"/>
      <c r="G150" s="70"/>
    </row>
    <row r="151" spans="3:7" ht="12.75">
      <c r="C151" s="172"/>
      <c r="D151" s="170"/>
      <c r="E151" s="70"/>
      <c r="F151" s="54"/>
      <c r="G151" s="70"/>
    </row>
    <row r="152" spans="3:7" ht="12.75">
      <c r="C152" s="173"/>
      <c r="D152" s="170"/>
      <c r="E152" s="70"/>
      <c r="F152" s="54"/>
      <c r="G152" s="70"/>
    </row>
    <row r="153" spans="3:7" ht="12.75">
      <c r="C153" s="170"/>
      <c r="D153" s="170"/>
      <c r="E153" s="70"/>
      <c r="F153" s="54"/>
      <c r="G153" s="70"/>
    </row>
    <row r="154" spans="3:7" ht="12.75">
      <c r="C154" s="170"/>
      <c r="D154" s="170"/>
      <c r="E154" s="70"/>
      <c r="F154" s="54"/>
      <c r="G154" s="70"/>
    </row>
    <row r="155" spans="3:7" ht="12.75">
      <c r="C155" s="170"/>
      <c r="D155" s="170"/>
      <c r="E155" s="70"/>
      <c r="F155" s="54"/>
      <c r="G155" s="70"/>
    </row>
    <row r="156" spans="3:7" ht="12.75">
      <c r="C156" s="170"/>
      <c r="D156" s="170"/>
      <c r="E156" s="70"/>
      <c r="F156" s="54"/>
      <c r="G156" s="70"/>
    </row>
    <row r="157" spans="3:7" ht="12.75">
      <c r="C157" s="170"/>
      <c r="D157" s="170"/>
      <c r="E157" s="70"/>
      <c r="F157" s="54"/>
      <c r="G157" s="70"/>
    </row>
    <row r="158" spans="3:7" ht="12.75">
      <c r="C158" s="170"/>
      <c r="D158" s="170"/>
      <c r="E158" s="70"/>
      <c r="F158" s="54"/>
      <c r="G158" s="70"/>
    </row>
    <row r="159" ht="5.1" customHeight="1"/>
  </sheetData>
  <mergeCells count="2">
    <mergeCell ref="H8:I8"/>
    <mergeCell ref="E144:G144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56C920-51AE-4CC1-9A8E-AAE5B93E12BD}">
  <sheetPr>
    <pageSetUpPr fitToPage="1"/>
  </sheetPr>
  <dimension ref="B4:L159"/>
  <sheetViews>
    <sheetView showGridLines="0" view="pageLayout" zoomScaleNormal="100" workbookViewId="0" topLeftCell="A1">
      <selection pane="topLeft" activeCell="C139" sqref="C139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9">
        <f>+VIII!E8</f>
        <v>45107</v>
      </c>
      <c r="F8" s="32"/>
      <c r="G8" s="6"/>
      <c r="H8" s="133"/>
      <c r="I8" s="133"/>
    </row>
    <row r="9" spans="2:7" ht="15.75">
      <c r="B9" s="169"/>
      <c r="C9" s="161"/>
      <c r="D9" s="161"/>
      <c r="E9" s="161"/>
      <c r="F9" s="161"/>
      <c r="G9" s="162"/>
    </row>
    <row r="10" spans="2:9" ht="12.75">
      <c r="B10" s="169"/>
      <c r="C10" s="163"/>
      <c r="D10" s="163"/>
      <c r="E10" s="164"/>
      <c r="F10" s="163"/>
      <c r="G10" s="57"/>
      <c r="H10" s="27"/>
      <c r="I10" s="27"/>
    </row>
    <row r="11" spans="2:9" ht="12.75">
      <c r="B11" s="169"/>
      <c r="C11" s="163"/>
      <c r="D11" s="163"/>
      <c r="E11" s="164"/>
      <c r="F11" s="163"/>
      <c r="G11" s="164"/>
      <c r="H11" s="27"/>
      <c r="I11" s="27"/>
    </row>
    <row r="12" spans="2:9" ht="15.75">
      <c r="B12" s="169"/>
      <c r="C12" s="165"/>
      <c r="D12" s="165"/>
      <c r="E12" s="166"/>
      <c r="F12" s="165"/>
      <c r="G12" s="166"/>
      <c r="H12" s="27"/>
      <c r="I12" s="27"/>
    </row>
    <row r="13" spans="2:9" ht="12.75">
      <c r="B13" s="169"/>
      <c r="C13" s="163"/>
      <c r="D13" s="163"/>
      <c r="E13" s="167"/>
      <c r="F13" s="163"/>
      <c r="G13" s="57"/>
      <c r="H13" s="27"/>
      <c r="I13" s="27"/>
    </row>
    <row r="14" spans="2:9" ht="12.75">
      <c r="B14" s="169"/>
      <c r="C14" s="163"/>
      <c r="D14" s="163"/>
      <c r="E14" s="168"/>
      <c r="F14" s="163"/>
      <c r="G14" s="57"/>
      <c r="H14" s="27"/>
      <c r="I14" s="27"/>
    </row>
    <row r="15" spans="2:9" ht="12.75">
      <c r="B15" s="169"/>
      <c r="C15" s="163"/>
      <c r="D15" s="163"/>
      <c r="E15" s="164"/>
      <c r="F15" s="163"/>
      <c r="G15" s="164"/>
      <c r="H15" s="27"/>
      <c r="I15" s="27"/>
    </row>
    <row r="16" spans="3:9" ht="15.75">
      <c r="C16" s="5"/>
      <c r="D16" s="5"/>
      <c r="E16" s="11"/>
      <c r="F16" s="5"/>
      <c r="G16" s="11"/>
      <c r="H16" s="27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12"/>
    </row>
    <row r="18" spans="3:9" ht="12.75" customHeight="1">
      <c r="C18" s="18" t="s">
        <v>8</v>
      </c>
      <c r="D18" s="18"/>
      <c r="E18" s="8">
        <f>+G137</f>
        <v>0.003867706656455994</v>
      </c>
      <c r="F18" s="18"/>
      <c r="G18" s="28"/>
      <c r="H18" s="8"/>
      <c r="I18" s="12"/>
    </row>
    <row r="19" spans="3:8" ht="12.75">
      <c r="C19" s="18" t="s">
        <v>10</v>
      </c>
      <c r="D19" s="18"/>
      <c r="E19" s="34">
        <f>(G135+I136)/-I135</f>
        <v>1.0190480378223798</v>
      </c>
      <c r="F19" s="18"/>
      <c r="G19" s="10"/>
      <c r="H19" s="7"/>
    </row>
    <row r="20" spans="3:9" ht="12.75">
      <c r="C20" s="18"/>
      <c r="D20" s="18"/>
      <c r="E20" s="10"/>
      <c r="F20" s="18"/>
      <c r="G20" s="10"/>
      <c r="H20" s="27"/>
      <c r="I20" s="27"/>
    </row>
    <row r="21" spans="3:10" ht="12.75">
      <c r="C21" s="19" t="s">
        <v>95</v>
      </c>
      <c r="D21" s="18"/>
      <c r="E21" s="18"/>
      <c r="F21" s="18"/>
      <c r="G21" s="7"/>
      <c r="H21" s="134"/>
      <c r="I21" s="21"/>
      <c r="J21" s="15"/>
    </row>
    <row r="22" spans="3:10" ht="15.75">
      <c r="C22" s="135">
        <v>0.151630023</v>
      </c>
      <c r="D22" s="20"/>
      <c r="E22" s="20"/>
      <c r="F22" s="20"/>
      <c r="G22" s="15"/>
      <c r="H22" s="15"/>
      <c r="I22" s="15"/>
      <c r="J22" s="15"/>
    </row>
    <row r="23" spans="3:12" ht="12.75">
      <c r="C23" s="15" t="s">
        <v>87</v>
      </c>
      <c r="D23" s="15"/>
      <c r="E23" s="21">
        <v>40590</v>
      </c>
      <c r="F23" s="15"/>
      <c r="G23" s="24">
        <v>-3150000</v>
      </c>
      <c r="H23" s="15"/>
      <c r="I23" s="25"/>
      <c r="J23" s="25"/>
      <c r="L23" s="35"/>
    </row>
    <row r="24" spans="3:12" ht="12.75">
      <c r="C24" s="15"/>
      <c r="D24" s="15"/>
      <c r="E24" s="21">
        <v>40661</v>
      </c>
      <c r="F24" s="15"/>
      <c r="G24" s="24">
        <v>-806485.68</v>
      </c>
      <c r="H24" s="15"/>
      <c r="I24" s="25"/>
      <c r="J24" s="25"/>
      <c r="L24" s="35"/>
    </row>
    <row r="25" spans="3:12" ht="12.75">
      <c r="C25" s="15"/>
      <c r="D25" s="15"/>
      <c r="E25" s="21">
        <v>40704</v>
      </c>
      <c r="F25" s="15"/>
      <c r="G25" s="24">
        <v>-1272085.66</v>
      </c>
      <c r="H25" s="15"/>
      <c r="I25" s="25"/>
      <c r="J25" s="25"/>
      <c r="L25" s="35"/>
    </row>
    <row r="26" spans="3:12" ht="12.75">
      <c r="C26" s="15"/>
      <c r="D26" s="15"/>
      <c r="E26" s="21">
        <v>40751</v>
      </c>
      <c r="F26" s="15"/>
      <c r="G26" s="24">
        <v>-1216657.09</v>
      </c>
      <c r="H26" s="15"/>
      <c r="I26" s="25"/>
      <c r="J26" s="25"/>
      <c r="L26" s="35"/>
    </row>
    <row r="27" spans="3:12" ht="12.75">
      <c r="C27" s="15"/>
      <c r="D27" s="15"/>
      <c r="E27" s="21">
        <v>40765</v>
      </c>
      <c r="F27" s="15"/>
      <c r="G27" s="24">
        <v>-2023142.77</v>
      </c>
      <c r="H27" s="15"/>
      <c r="I27" s="25"/>
      <c r="J27" s="25"/>
      <c r="L27" s="35"/>
    </row>
    <row r="28" spans="3:12" ht="12.75">
      <c r="C28" s="15"/>
      <c r="D28" s="15"/>
      <c r="E28" s="21">
        <v>40813</v>
      </c>
      <c r="F28" s="15"/>
      <c r="G28" s="24">
        <v>-1782028.50</v>
      </c>
      <c r="H28" s="15"/>
      <c r="I28" s="25"/>
      <c r="J28" s="25"/>
      <c r="L28" s="35"/>
    </row>
    <row r="29" spans="3:12" ht="12.75">
      <c r="C29" s="15"/>
      <c r="D29" s="15"/>
      <c r="E29" s="21">
        <v>40879</v>
      </c>
      <c r="F29" s="15"/>
      <c r="G29" s="24">
        <v>-856371.39</v>
      </c>
      <c r="H29" s="15"/>
      <c r="I29" s="25"/>
      <c r="J29" s="25"/>
      <c r="L29" s="35"/>
    </row>
    <row r="30" spans="3:12" ht="12.75">
      <c r="C30" s="15"/>
      <c r="D30" s="15"/>
      <c r="E30" s="21">
        <v>40886</v>
      </c>
      <c r="F30" s="15"/>
      <c r="G30" s="24">
        <v>-1166771.38</v>
      </c>
      <c r="H30" s="15"/>
      <c r="I30" s="25"/>
      <c r="J30" s="25"/>
      <c r="L30" s="35"/>
    </row>
    <row r="31" spans="3:12" ht="12.75">
      <c r="C31" s="15" t="s">
        <v>88</v>
      </c>
      <c r="D31" s="15"/>
      <c r="E31" s="21">
        <v>40927</v>
      </c>
      <c r="F31" s="15"/>
      <c r="G31" s="24">
        <v>-1951085.63</v>
      </c>
      <c r="H31" s="15"/>
      <c r="I31" s="25"/>
      <c r="J31" s="25"/>
      <c r="L31" s="35"/>
    </row>
    <row r="32" spans="3:12" ht="12.75">
      <c r="C32" s="15"/>
      <c r="D32" s="15"/>
      <c r="E32" s="21">
        <v>40942</v>
      </c>
      <c r="F32" s="15"/>
      <c r="G32" s="24">
        <v>-9145713.91</v>
      </c>
      <c r="H32" s="15"/>
      <c r="I32" s="25"/>
      <c r="J32" s="25"/>
      <c r="L32" s="35"/>
    </row>
    <row r="33" spans="3:12" ht="12.75">
      <c r="C33" s="15"/>
      <c r="D33" s="15"/>
      <c r="E33" s="21">
        <v>40970</v>
      </c>
      <c r="F33" s="15"/>
      <c r="G33" s="24">
        <v>-1454999.94</v>
      </c>
      <c r="H33" s="15"/>
      <c r="I33" s="25"/>
      <c r="J33" s="25"/>
      <c r="L33" s="35"/>
    </row>
    <row r="34" spans="3:12" ht="12.75">
      <c r="C34" s="15"/>
      <c r="D34" s="15"/>
      <c r="E34" s="21">
        <v>41001</v>
      </c>
      <c r="F34" s="15"/>
      <c r="G34" s="24">
        <v>-850828.54</v>
      </c>
      <c r="H34" s="15"/>
      <c r="I34" s="25"/>
      <c r="J34" s="25"/>
      <c r="L34" s="35"/>
    </row>
    <row r="35" spans="3:12" ht="12.75">
      <c r="C35" s="15"/>
      <c r="D35" s="15"/>
      <c r="E35" s="21">
        <v>41024</v>
      </c>
      <c r="F35" s="15"/>
      <c r="G35" s="24">
        <v>-1008799.96</v>
      </c>
      <c r="H35" s="15"/>
      <c r="I35" s="25"/>
      <c r="J35" s="25"/>
      <c r="L35" s="35"/>
    </row>
    <row r="36" spans="3:12" ht="12.75">
      <c r="C36" s="15"/>
      <c r="D36" s="15"/>
      <c r="E36" s="21">
        <v>41054</v>
      </c>
      <c r="F36" s="15"/>
      <c r="G36" s="24">
        <v>-1313657.09</v>
      </c>
      <c r="H36" s="15"/>
      <c r="I36" s="25"/>
      <c r="J36" s="25"/>
      <c r="L36" s="35"/>
    </row>
    <row r="37" spans="3:12" ht="12.75">
      <c r="C37" s="15"/>
      <c r="D37" s="15"/>
      <c r="E37" s="21">
        <v>41080</v>
      </c>
      <c r="F37" s="15"/>
      <c r="G37" s="24">
        <v>-2436085.61</v>
      </c>
      <c r="H37" s="15"/>
      <c r="I37" s="25"/>
      <c r="J37" s="25"/>
      <c r="L37" s="35"/>
    </row>
    <row r="38" spans="3:12" ht="12.75">
      <c r="C38" s="15"/>
      <c r="D38" s="15"/>
      <c r="E38" s="21">
        <v>41103</v>
      </c>
      <c r="F38" s="15"/>
      <c r="G38" s="24">
        <v>-789857.11</v>
      </c>
      <c r="H38" s="15"/>
      <c r="I38" s="25"/>
      <c r="J38" s="25"/>
      <c r="L38" s="35"/>
    </row>
    <row r="39" spans="3:12" ht="12.75">
      <c r="C39" s="15"/>
      <c r="D39" s="15"/>
      <c r="E39" s="21">
        <v>41121</v>
      </c>
      <c r="F39" s="15"/>
      <c r="G39" s="24">
        <v>-762142.83</v>
      </c>
      <c r="H39" s="15"/>
      <c r="I39" s="25"/>
      <c r="J39" s="25"/>
      <c r="L39" s="35"/>
    </row>
    <row r="40" spans="3:12" ht="12.75">
      <c r="C40" s="15"/>
      <c r="D40" s="15"/>
      <c r="E40" s="21">
        <v>41152</v>
      </c>
      <c r="F40" s="15"/>
      <c r="G40" s="24">
        <v>-1008799.99</v>
      </c>
      <c r="H40" s="15"/>
      <c r="I40" s="25"/>
      <c r="J40" s="25"/>
      <c r="L40" s="35"/>
    </row>
    <row r="41" spans="3:12" ht="12.75">
      <c r="C41" s="15"/>
      <c r="D41" s="15"/>
      <c r="E41" s="21">
        <v>41180</v>
      </c>
      <c r="F41" s="15"/>
      <c r="G41" s="24">
        <v>-1912285.72</v>
      </c>
      <c r="H41" s="15"/>
      <c r="I41" s="25"/>
      <c r="J41" s="25"/>
      <c r="L41" s="35"/>
    </row>
    <row r="42" spans="3:12" ht="12.75">
      <c r="C42" s="15"/>
      <c r="D42" s="15"/>
      <c r="E42" s="21">
        <v>41194</v>
      </c>
      <c r="F42" s="15"/>
      <c r="G42" s="24">
        <v>-939514.29</v>
      </c>
      <c r="H42" s="15"/>
      <c r="I42" s="25"/>
      <c r="J42" s="25"/>
      <c r="L42" s="35"/>
    </row>
    <row r="43" spans="3:12" ht="12.75">
      <c r="C43" s="15"/>
      <c r="D43" s="15"/>
      <c r="E43" s="21">
        <v>41250</v>
      </c>
      <c r="F43" s="15"/>
      <c r="G43" s="24">
        <v>-4237514.28</v>
      </c>
      <c r="H43" s="15"/>
      <c r="I43" s="25"/>
      <c r="J43" s="25"/>
      <c r="L43" s="35"/>
    </row>
    <row r="44" spans="3:12" ht="12.75">
      <c r="C44" s="15"/>
      <c r="D44" s="15"/>
      <c r="E44" s="21">
        <v>41264</v>
      </c>
      <c r="F44" s="15"/>
      <c r="G44" s="24">
        <v>-3763600</v>
      </c>
      <c r="H44" s="15"/>
      <c r="I44" s="25"/>
      <c r="J44" s="25"/>
      <c r="L44" s="35"/>
    </row>
    <row r="45" spans="3:12" ht="12.75">
      <c r="C45" s="15" t="s">
        <v>89</v>
      </c>
      <c r="D45" s="15"/>
      <c r="E45" s="21">
        <v>41030</v>
      </c>
      <c r="F45" s="15"/>
      <c r="G45" s="24">
        <v>3231985.63</v>
      </c>
      <c r="H45" s="15"/>
      <c r="I45" s="25"/>
      <c r="J45" s="25"/>
      <c r="L45" s="35"/>
    </row>
    <row r="46" spans="3:12" ht="12.75">
      <c r="C46" s="15"/>
      <c r="D46" s="15"/>
      <c r="E46" s="21">
        <v>41108</v>
      </c>
      <c r="F46" s="15"/>
      <c r="G46" s="24">
        <v>805926.42</v>
      </c>
      <c r="H46" s="15"/>
      <c r="I46" s="25"/>
      <c r="J46" s="25"/>
      <c r="L46" s="35"/>
    </row>
    <row r="47" spans="3:12" ht="12.75">
      <c r="C47" s="15"/>
      <c r="D47" s="15"/>
      <c r="E47" s="21">
        <v>41137</v>
      </c>
      <c r="F47" s="15"/>
      <c r="G47" s="24">
        <v>345455.13</v>
      </c>
      <c r="H47" s="15"/>
      <c r="I47" s="25"/>
      <c r="J47" s="25"/>
      <c r="L47" s="35"/>
    </row>
    <row r="48" spans="3:12" ht="12.75">
      <c r="C48" s="15"/>
      <c r="D48" s="15"/>
      <c r="E48" s="21">
        <v>41173</v>
      </c>
      <c r="F48" s="15"/>
      <c r="G48" s="24">
        <v>7058897.29</v>
      </c>
      <c r="H48" s="15"/>
      <c r="I48" s="25"/>
      <c r="J48" s="25"/>
      <c r="L48" s="35"/>
    </row>
    <row r="49" spans="3:12" ht="12.75">
      <c r="C49" s="15" t="s">
        <v>90</v>
      </c>
      <c r="D49" s="15"/>
      <c r="E49" s="21">
        <v>41284</v>
      </c>
      <c r="F49" s="15"/>
      <c r="G49" s="24">
        <v>-1111342.85</v>
      </c>
      <c r="H49" s="15"/>
      <c r="I49" s="25"/>
      <c r="J49" s="25"/>
      <c r="L49" s="35"/>
    </row>
    <row r="50" spans="3:12" ht="12.75">
      <c r="C50" s="15"/>
      <c r="D50" s="15"/>
      <c r="E50" s="21">
        <v>41298</v>
      </c>
      <c r="F50" s="15"/>
      <c r="G50" s="24">
        <v>-1421742.86</v>
      </c>
      <c r="H50" s="15"/>
      <c r="I50" s="25"/>
      <c r="J50" s="25"/>
      <c r="L50" s="35"/>
    </row>
    <row r="51" spans="3:12" ht="12.75">
      <c r="C51" s="15"/>
      <c r="D51" s="15"/>
      <c r="E51" s="21">
        <v>41345</v>
      </c>
      <c r="F51" s="15"/>
      <c r="G51" s="24">
        <v>-1457771.43</v>
      </c>
      <c r="H51" s="15"/>
      <c r="I51" s="25"/>
      <c r="J51" s="25"/>
      <c r="L51" s="35"/>
    </row>
    <row r="52" spans="3:12" ht="12.75">
      <c r="C52" s="15"/>
      <c r="D52" s="15"/>
      <c r="E52" s="21">
        <v>41360</v>
      </c>
      <c r="F52" s="15"/>
      <c r="G52" s="24">
        <v>-1305342.83</v>
      </c>
      <c r="H52" s="15"/>
      <c r="I52" s="25"/>
      <c r="J52" s="25"/>
      <c r="L52" s="35"/>
    </row>
    <row r="53" spans="3:12" ht="12.75">
      <c r="C53" s="15"/>
      <c r="D53" s="15"/>
      <c r="E53" s="21">
        <v>41393</v>
      </c>
      <c r="F53" s="15"/>
      <c r="G53" s="24">
        <v>-1050371.45</v>
      </c>
      <c r="H53" s="15"/>
      <c r="I53" s="25"/>
      <c r="J53" s="25"/>
      <c r="L53" s="35"/>
    </row>
    <row r="54" spans="3:12" ht="12.75">
      <c r="C54" s="15"/>
      <c r="D54" s="15"/>
      <c r="E54" s="21">
        <v>41404</v>
      </c>
      <c r="F54" s="15"/>
      <c r="G54" s="24">
        <v>-1430057.15</v>
      </c>
      <c r="H54" s="15"/>
      <c r="I54" s="25"/>
      <c r="J54" s="25"/>
      <c r="L54" s="35"/>
    </row>
    <row r="55" spans="3:12" ht="12.75">
      <c r="C55" s="15"/>
      <c r="D55" s="15"/>
      <c r="E55" s="21">
        <v>41423</v>
      </c>
      <c r="F55" s="15"/>
      <c r="G55" s="24">
        <v>-1238828.57</v>
      </c>
      <c r="H55" s="15"/>
      <c r="I55" s="25"/>
      <c r="J55" s="25"/>
      <c r="L55" s="35"/>
    </row>
    <row r="56" spans="3:12" ht="12.75">
      <c r="C56" s="15"/>
      <c r="D56" s="15"/>
      <c r="E56" s="21">
        <v>41446</v>
      </c>
      <c r="F56" s="15"/>
      <c r="G56" s="24">
        <v>-3785771.43</v>
      </c>
      <c r="H56" s="15"/>
      <c r="I56" s="25"/>
      <c r="J56" s="25"/>
      <c r="L56" s="35"/>
    </row>
    <row r="57" spans="3:12" ht="12.75">
      <c r="C57" s="15"/>
      <c r="D57" s="15"/>
      <c r="E57" s="21">
        <v>41481</v>
      </c>
      <c r="F57" s="15"/>
      <c r="G57" s="24">
        <v>-1183400</v>
      </c>
      <c r="H57" s="15"/>
      <c r="I57" s="25"/>
      <c r="J57" s="25"/>
      <c r="L57" s="35"/>
    </row>
    <row r="58" spans="3:12" ht="12.75">
      <c r="C58" s="15"/>
      <c r="D58" s="15"/>
      <c r="E58" s="21">
        <v>41501</v>
      </c>
      <c r="F58" s="15"/>
      <c r="G58" s="24">
        <v>-1114114.29</v>
      </c>
      <c r="H58" s="15"/>
      <c r="I58" s="25"/>
      <c r="J58" s="25"/>
      <c r="L58" s="35"/>
    </row>
    <row r="59" spans="3:12" ht="12.75">
      <c r="C59" s="15"/>
      <c r="D59" s="15"/>
      <c r="E59" s="21">
        <v>41514</v>
      </c>
      <c r="F59" s="15"/>
      <c r="G59" s="24">
        <v>-1615742.86</v>
      </c>
      <c r="H59" s="15"/>
      <c r="I59" s="25"/>
      <c r="J59" s="25"/>
      <c r="L59" s="35"/>
    </row>
    <row r="60" spans="3:12" ht="12.75">
      <c r="C60" s="15"/>
      <c r="D60" s="15"/>
      <c r="E60" s="21">
        <v>41551</v>
      </c>
      <c r="F60" s="15"/>
      <c r="G60" s="24">
        <v>-964457.14</v>
      </c>
      <c r="H60" s="15"/>
      <c r="I60" s="25"/>
      <c r="J60" s="25"/>
      <c r="L60" s="35"/>
    </row>
    <row r="61" spans="3:12" ht="12.75">
      <c r="C61" s="15"/>
      <c r="D61" s="15"/>
      <c r="E61" s="21">
        <v>41577</v>
      </c>
      <c r="F61" s="15"/>
      <c r="G61" s="24">
        <v>-1543685.71</v>
      </c>
      <c r="H61" s="15"/>
      <c r="L61" s="35"/>
    </row>
    <row r="62" spans="3:12" ht="12.75">
      <c r="C62" s="15"/>
      <c r="D62" s="15"/>
      <c r="E62" s="21">
        <v>41599</v>
      </c>
      <c r="F62" s="15"/>
      <c r="G62" s="24">
        <v>-975542.86</v>
      </c>
      <c r="H62" s="15"/>
      <c r="L62" s="35"/>
    </row>
    <row r="63" spans="3:12" ht="12.75">
      <c r="C63" s="15"/>
      <c r="D63" s="15"/>
      <c r="E63" s="21">
        <v>41624</v>
      </c>
      <c r="F63" s="15"/>
      <c r="G63" s="24">
        <v>-1951085.70</v>
      </c>
      <c r="H63" s="15"/>
      <c r="L63" s="35"/>
    </row>
    <row r="64" spans="3:12" ht="12.75">
      <c r="C64" s="15" t="s">
        <v>91</v>
      </c>
      <c r="D64" s="15"/>
      <c r="E64" s="21">
        <v>41418</v>
      </c>
      <c r="F64" s="15"/>
      <c r="G64" s="24">
        <v>442046.13</v>
      </c>
      <c r="H64" s="15"/>
      <c r="L64" s="35"/>
    </row>
    <row r="65" spans="3:12" ht="12.75">
      <c r="C65" s="15"/>
      <c r="D65" s="15"/>
      <c r="E65" s="21">
        <v>41618</v>
      </c>
      <c r="F65" s="15"/>
      <c r="G65" s="24">
        <v>1627880.21</v>
      </c>
      <c r="H65" s="15"/>
      <c r="L65" s="35"/>
    </row>
    <row r="66" spans="3:12" ht="12.75">
      <c r="C66" s="15" t="s">
        <v>92</v>
      </c>
      <c r="D66" s="15"/>
      <c r="E66" s="21">
        <v>41646</v>
      </c>
      <c r="F66" s="15"/>
      <c r="G66" s="24">
        <v>-1377399.99</v>
      </c>
      <c r="H66" s="15"/>
      <c r="I66" s="25"/>
      <c r="J66" s="15"/>
      <c r="L66" s="35"/>
    </row>
    <row r="67" spans="3:12" ht="12.75">
      <c r="C67" s="15"/>
      <c r="D67" s="15"/>
      <c r="E67" s="21">
        <v>41670</v>
      </c>
      <c r="F67" s="15"/>
      <c r="G67" s="24">
        <v>-1022657.14</v>
      </c>
      <c r="H67" s="15"/>
      <c r="I67" s="25"/>
      <c r="J67" s="15"/>
      <c r="L67" s="35"/>
    </row>
    <row r="68" spans="3:12" ht="12.75">
      <c r="C68" s="15"/>
      <c r="D68" s="15"/>
      <c r="E68" s="21">
        <v>41697</v>
      </c>
      <c r="F68" s="15"/>
      <c r="G68" s="24">
        <v>-1820828.36</v>
      </c>
      <c r="H68" s="15"/>
      <c r="I68" s="25"/>
      <c r="J68" s="15"/>
      <c r="L68" s="35"/>
    </row>
    <row r="69" spans="3:12" ht="12.75">
      <c r="C69" s="15"/>
      <c r="D69" s="15"/>
      <c r="E69" s="21">
        <v>41704</v>
      </c>
      <c r="F69" s="15"/>
      <c r="G69" s="24">
        <v>-1319200</v>
      </c>
      <c r="H69" s="15"/>
      <c r="I69" s="25"/>
      <c r="J69" s="15"/>
      <c r="L69" s="35"/>
    </row>
    <row r="70" spans="3:12" ht="12.75">
      <c r="C70" s="15"/>
      <c r="D70" s="15"/>
      <c r="E70" s="21">
        <v>41718</v>
      </c>
      <c r="F70" s="15"/>
      <c r="G70" s="24">
        <v>-1152914.29</v>
      </c>
      <c r="H70" s="15"/>
      <c r="I70" s="25"/>
      <c r="J70" s="15"/>
      <c r="L70" s="35"/>
    </row>
    <row r="71" spans="3:12" ht="12.75">
      <c r="C71" s="15"/>
      <c r="D71" s="15"/>
      <c r="E71" s="21">
        <v>41750</v>
      </c>
      <c r="F71" s="15"/>
      <c r="G71" s="24">
        <v>-1831914.29</v>
      </c>
      <c r="H71" s="15"/>
      <c r="I71" s="25"/>
      <c r="J71" s="15"/>
      <c r="L71" s="35"/>
    </row>
    <row r="72" spans="3:12" ht="12.75">
      <c r="C72" s="15"/>
      <c r="D72" s="15"/>
      <c r="E72" s="21">
        <v>41779</v>
      </c>
      <c r="F72" s="15"/>
      <c r="G72" s="24">
        <v>-1829142.86</v>
      </c>
      <c r="H72" s="15"/>
      <c r="L72" s="35"/>
    </row>
    <row r="73" spans="3:12" ht="12.75">
      <c r="C73" s="15"/>
      <c r="D73" s="15"/>
      <c r="E73" s="21">
        <v>41814</v>
      </c>
      <c r="F73" s="15"/>
      <c r="G73" s="24">
        <v>-1349685.72</v>
      </c>
      <c r="H73" s="15"/>
      <c r="L73" s="35"/>
    </row>
    <row r="74" spans="3:12" ht="12.75">
      <c r="C74" s="15"/>
      <c r="D74" s="15"/>
      <c r="E74" s="21">
        <v>41877</v>
      </c>
      <c r="F74" s="15"/>
      <c r="G74" s="24">
        <v>-2125685.72</v>
      </c>
      <c r="H74" s="15"/>
      <c r="L74" s="35"/>
    </row>
    <row r="75" spans="3:12" ht="12.75">
      <c r="C75" s="15"/>
      <c r="D75" s="15"/>
      <c r="E75" s="21">
        <v>41913</v>
      </c>
      <c r="F75" s="15"/>
      <c r="G75" s="24">
        <v>-881314.29</v>
      </c>
      <c r="H75" s="15"/>
      <c r="L75" s="35"/>
    </row>
    <row r="76" spans="3:12" ht="12.75">
      <c r="C76" s="15"/>
      <c r="D76" s="15"/>
      <c r="E76" s="21">
        <v>41943</v>
      </c>
      <c r="F76" s="15"/>
      <c r="G76" s="24">
        <v>-1125200</v>
      </c>
      <c r="H76" s="15"/>
      <c r="L76" s="35"/>
    </row>
    <row r="77" spans="3:12" ht="12.75">
      <c r="C77" s="15"/>
      <c r="D77" s="15"/>
      <c r="E77" s="21">
        <v>41990</v>
      </c>
      <c r="F77" s="15"/>
      <c r="G77" s="24">
        <v>-1177857.15</v>
      </c>
      <c r="H77" s="15"/>
      <c r="L77" s="35"/>
    </row>
    <row r="78" spans="3:12" ht="12.75">
      <c r="C78" s="15" t="s">
        <v>93</v>
      </c>
      <c r="D78" s="15"/>
      <c r="E78" s="21">
        <v>41816</v>
      </c>
      <c r="F78" s="15"/>
      <c r="G78" s="24">
        <v>2837711.53</v>
      </c>
      <c r="H78" s="15"/>
      <c r="L78" s="35"/>
    </row>
    <row r="79" spans="3:12" ht="12.75">
      <c r="C79" s="15"/>
      <c r="D79" s="15"/>
      <c r="E79" s="21">
        <v>41857</v>
      </c>
      <c r="F79" s="15"/>
      <c r="G79" s="24">
        <v>1.022572136E7</v>
      </c>
      <c r="H79" s="15"/>
      <c r="L79" s="35"/>
    </row>
    <row r="80" spans="3:12" ht="12.75">
      <c r="C80" s="15" t="s">
        <v>76</v>
      </c>
      <c r="D80" s="15"/>
      <c r="E80" s="21">
        <v>42011</v>
      </c>
      <c r="F80" s="15"/>
      <c r="G80" s="24">
        <v>-925657.15</v>
      </c>
      <c r="H80" s="15"/>
      <c r="L80" s="35"/>
    </row>
    <row r="81" spans="3:12" ht="12.75">
      <c r="C81" s="15"/>
      <c r="D81" s="15"/>
      <c r="E81" s="21">
        <v>42027</v>
      </c>
      <c r="F81" s="15"/>
      <c r="G81" s="24">
        <v>-1194485.71</v>
      </c>
      <c r="H81" s="15"/>
      <c r="L81" s="35"/>
    </row>
    <row r="82" spans="3:12" ht="12.75">
      <c r="C82" s="15"/>
      <c r="D82" s="15"/>
      <c r="E82" s="21">
        <v>42075</v>
      </c>
      <c r="F82" s="15"/>
      <c r="G82" s="24">
        <v>-1197257.14</v>
      </c>
      <c r="H82" s="15"/>
      <c r="L82" s="35"/>
    </row>
    <row r="83" spans="3:12" ht="12.75">
      <c r="C83" s="15"/>
      <c r="D83" s="15"/>
      <c r="E83" s="21">
        <v>42138</v>
      </c>
      <c r="F83" s="15"/>
      <c r="G83" s="24">
        <v>-1773714.29</v>
      </c>
      <c r="H83" s="15"/>
      <c r="L83" s="35"/>
    </row>
    <row r="84" spans="3:12" ht="12.75">
      <c r="C84" s="15"/>
      <c r="D84" s="15"/>
      <c r="E84" s="21">
        <v>42265</v>
      </c>
      <c r="F84" s="15"/>
      <c r="G84" s="24">
        <v>-800942.85</v>
      </c>
      <c r="H84" s="15"/>
      <c r="L84" s="35"/>
    </row>
    <row r="85" spans="3:12" ht="12.75">
      <c r="C85" s="15"/>
      <c r="D85" s="15"/>
      <c r="E85" s="21">
        <v>42297</v>
      </c>
      <c r="F85" s="15"/>
      <c r="G85" s="24">
        <v>-1399571.42</v>
      </c>
      <c r="H85" s="15"/>
      <c r="L85" s="35"/>
    </row>
    <row r="86" spans="3:12" ht="12.75">
      <c r="C86" s="15"/>
      <c r="D86" s="15"/>
      <c r="E86" s="21">
        <v>42352</v>
      </c>
      <c r="F86" s="15"/>
      <c r="G86" s="24">
        <v>-1255457.13</v>
      </c>
      <c r="H86" s="15"/>
      <c r="L86" s="35"/>
    </row>
    <row r="87" spans="3:12" ht="12.75">
      <c r="C87" s="15" t="s">
        <v>94</v>
      </c>
      <c r="D87" s="15"/>
      <c r="E87" s="21">
        <v>42055</v>
      </c>
      <c r="F87" s="15"/>
      <c r="G87" s="24">
        <v>341725.53</v>
      </c>
      <c r="H87" s="15"/>
      <c r="I87" s="25"/>
      <c r="J87" s="15"/>
      <c r="L87" s="35"/>
    </row>
    <row r="88" spans="3:12" ht="12.75">
      <c r="C88" s="15"/>
      <c r="D88" s="15"/>
      <c r="E88" s="21">
        <v>42150</v>
      </c>
      <c r="F88" s="15"/>
      <c r="G88" s="24">
        <v>2090988.95</v>
      </c>
      <c r="H88" s="15"/>
      <c r="I88" s="25"/>
      <c r="J88" s="15"/>
      <c r="L88" s="35"/>
    </row>
    <row r="89" spans="3:12" ht="12.75">
      <c r="C89" s="15"/>
      <c r="D89" s="15"/>
      <c r="E89" s="21">
        <v>42251</v>
      </c>
      <c r="F89" s="15"/>
      <c r="G89" s="24">
        <v>2860882.35</v>
      </c>
      <c r="H89" s="15"/>
      <c r="I89" s="25"/>
      <c r="J89" s="15"/>
      <c r="L89" s="35"/>
    </row>
    <row r="90" spans="3:12" ht="12.75">
      <c r="C90" s="15" t="s">
        <v>77</v>
      </c>
      <c r="D90" s="15"/>
      <c r="E90" s="21">
        <v>42424</v>
      </c>
      <c r="F90" s="15"/>
      <c r="G90" s="24">
        <v>-1258228.58</v>
      </c>
      <c r="H90" s="15"/>
      <c r="I90" s="25"/>
      <c r="J90" s="15"/>
      <c r="L90" s="35"/>
    </row>
    <row r="91" spans="3:12" ht="12.75">
      <c r="C91" s="15"/>
      <c r="D91" s="15"/>
      <c r="E91" s="21">
        <v>42452</v>
      </c>
      <c r="F91" s="15"/>
      <c r="G91" s="24">
        <v>-939514.29</v>
      </c>
      <c r="H91" s="15"/>
      <c r="L91" s="35"/>
    </row>
    <row r="92" spans="3:12" ht="12.75">
      <c r="C92" s="15"/>
      <c r="D92" s="15"/>
      <c r="E92" s="21">
        <v>42485</v>
      </c>
      <c r="F92" s="15"/>
      <c r="G92" s="24">
        <v>-1166771.41</v>
      </c>
      <c r="H92" s="15"/>
      <c r="L92" s="35"/>
    </row>
    <row r="93" spans="3:12" ht="12.75">
      <c r="C93" s="15"/>
      <c r="D93" s="15"/>
      <c r="E93" s="21">
        <v>42558</v>
      </c>
      <c r="F93" s="15"/>
      <c r="G93" s="24">
        <v>-726114.28</v>
      </c>
      <c r="H93" s="15"/>
      <c r="L93" s="35"/>
    </row>
    <row r="94" spans="3:12" ht="12.75">
      <c r="C94" s="15"/>
      <c r="D94" s="15"/>
      <c r="E94" s="21">
        <v>42578</v>
      </c>
      <c r="F94" s="15"/>
      <c r="G94" s="24">
        <v>-720571.43</v>
      </c>
      <c r="H94" s="15"/>
      <c r="L94" s="35"/>
    </row>
    <row r="95" spans="3:12" ht="12.75">
      <c r="C95" s="15"/>
      <c r="D95" s="15"/>
      <c r="E95" s="21">
        <v>42636</v>
      </c>
      <c r="F95" s="15"/>
      <c r="G95" s="24">
        <v>-945057.13</v>
      </c>
      <c r="H95" s="15"/>
      <c r="L95" s="35"/>
    </row>
    <row r="96" spans="3:12" ht="12.75">
      <c r="C96" s="15"/>
      <c r="D96" s="15"/>
      <c r="E96" s="21">
        <v>42664</v>
      </c>
      <c r="F96" s="15"/>
      <c r="G96" s="24">
        <v>-909028.57</v>
      </c>
      <c r="H96" s="15"/>
      <c r="L96" s="35"/>
    </row>
    <row r="97" spans="3:12" ht="12.75">
      <c r="C97" s="15"/>
      <c r="D97" s="15"/>
      <c r="E97" s="21">
        <v>42697</v>
      </c>
      <c r="F97" s="15"/>
      <c r="G97" s="24">
        <v>-554285.71</v>
      </c>
      <c r="H97" s="15"/>
      <c r="L97" s="35"/>
    </row>
    <row r="98" spans="3:12" ht="12.75">
      <c r="C98" s="15"/>
      <c r="D98" s="15"/>
      <c r="E98" s="21">
        <v>42727</v>
      </c>
      <c r="F98" s="15"/>
      <c r="G98" s="24">
        <v>-1601885.71</v>
      </c>
      <c r="H98" s="15"/>
      <c r="L98" s="35"/>
    </row>
    <row r="99" spans="3:12" ht="12.75">
      <c r="C99" s="15" t="s">
        <v>78</v>
      </c>
      <c r="D99" s="15"/>
      <c r="E99" s="21">
        <v>42404</v>
      </c>
      <c r="F99" s="15"/>
      <c r="G99" s="24">
        <v>1521700.22</v>
      </c>
      <c r="H99" s="15"/>
      <c r="I99" s="25"/>
      <c r="J99" s="15"/>
      <c r="L99" s="35"/>
    </row>
    <row r="100" spans="3:12" ht="12.75">
      <c r="C100" s="15"/>
      <c r="D100" s="15"/>
      <c r="E100" s="21">
        <v>42451</v>
      </c>
      <c r="F100" s="15"/>
      <c r="G100" s="24">
        <v>564835.99</v>
      </c>
      <c r="H100" s="15"/>
      <c r="I100" s="25"/>
      <c r="J100" s="15"/>
      <c r="L100" s="35"/>
    </row>
    <row r="101" spans="3:12" ht="12.75">
      <c r="C101" s="15"/>
      <c r="D101" s="15"/>
      <c r="E101" s="21">
        <v>42549</v>
      </c>
      <c r="F101" s="15"/>
      <c r="G101" s="24">
        <v>308748.75</v>
      </c>
      <c r="H101" s="15"/>
      <c r="I101" s="25"/>
      <c r="J101" s="15"/>
      <c r="L101" s="35"/>
    </row>
    <row r="102" spans="3:12" ht="12.75">
      <c r="C102" s="15"/>
      <c r="D102" s="15"/>
      <c r="E102" s="21">
        <v>42584</v>
      </c>
      <c r="F102" s="15"/>
      <c r="G102" s="24">
        <v>7848786.04</v>
      </c>
      <c r="H102" s="15"/>
      <c r="I102" s="25"/>
      <c r="J102" s="15"/>
      <c r="L102" s="35"/>
    </row>
    <row r="103" spans="3:12" ht="12.75">
      <c r="C103" s="15"/>
      <c r="D103" s="15"/>
      <c r="E103" s="21">
        <v>42632</v>
      </c>
      <c r="F103" s="15"/>
      <c r="G103" s="24">
        <v>504739.76</v>
      </c>
      <c r="H103" s="15"/>
      <c r="I103" s="25"/>
      <c r="J103" s="15"/>
      <c r="L103" s="35"/>
    </row>
    <row r="104" spans="3:12" ht="12.75">
      <c r="C104" s="15"/>
      <c r="D104" s="15"/>
      <c r="E104" s="21">
        <v>42656</v>
      </c>
      <c r="F104" s="15"/>
      <c r="G104" s="24">
        <v>2001296.05</v>
      </c>
      <c r="H104" s="15"/>
      <c r="I104" s="25"/>
      <c r="J104" s="15"/>
      <c r="L104" s="35"/>
    </row>
    <row r="105" spans="3:12" ht="15.75">
      <c r="C105" s="15"/>
      <c r="D105" s="15"/>
      <c r="E105" s="21">
        <v>42723</v>
      </c>
      <c r="F105" s="15"/>
      <c r="G105" s="24">
        <v>1913313.91</v>
      </c>
      <c r="H105" s="15"/>
      <c r="I105" s="115"/>
      <c r="J105" s="116"/>
      <c r="K105" s="169"/>
      <c r="L105" s="162"/>
    </row>
    <row r="106" spans="3:12" ht="12.75">
      <c r="C106" s="15" t="s">
        <v>79</v>
      </c>
      <c r="D106" s="15"/>
      <c r="E106" s="21">
        <v>42795</v>
      </c>
      <c r="F106" s="15"/>
      <c r="G106" s="24">
        <v>-751057.15</v>
      </c>
      <c r="H106" s="15"/>
      <c r="I106" s="115"/>
      <c r="J106" s="116"/>
      <c r="K106" s="169"/>
      <c r="L106" s="57"/>
    </row>
    <row r="107" spans="3:12" ht="12.75">
      <c r="C107" s="15"/>
      <c r="D107" s="15"/>
      <c r="E107" s="21">
        <v>42822</v>
      </c>
      <c r="F107" s="15"/>
      <c r="G107" s="24">
        <v>-415714.29</v>
      </c>
      <c r="H107" s="15"/>
      <c r="I107" s="115"/>
      <c r="J107" s="116"/>
      <c r="K107" s="169"/>
      <c r="L107" s="57"/>
    </row>
    <row r="108" spans="3:12" ht="12.75">
      <c r="C108" s="15"/>
      <c r="D108" s="15"/>
      <c r="E108" s="21">
        <v>42843</v>
      </c>
      <c r="F108" s="15"/>
      <c r="G108" s="24">
        <v>-737200</v>
      </c>
      <c r="H108" s="15"/>
      <c r="I108" s="115"/>
      <c r="J108" s="116"/>
      <c r="K108" s="169"/>
      <c r="L108" s="57"/>
    </row>
    <row r="109" spans="3:12" ht="12.75">
      <c r="C109" s="15"/>
      <c r="D109" s="15"/>
      <c r="E109" s="21">
        <v>42909</v>
      </c>
      <c r="F109" s="15"/>
      <c r="G109" s="24">
        <v>-1078085.73</v>
      </c>
      <c r="H109" s="15"/>
      <c r="I109" s="115"/>
      <c r="J109" s="116"/>
      <c r="K109" s="169"/>
      <c r="L109" s="57"/>
    </row>
    <row r="110" spans="3:12" ht="12.75">
      <c r="C110" s="15"/>
      <c r="D110" s="15"/>
      <c r="E110" s="21">
        <v>43054</v>
      </c>
      <c r="F110" s="15"/>
      <c r="G110" s="24">
        <v>-726114.28</v>
      </c>
      <c r="H110" s="15"/>
      <c r="I110" s="115"/>
      <c r="J110" s="116"/>
      <c r="K110" s="169"/>
      <c r="L110" s="117"/>
    </row>
    <row r="111" spans="3:12" ht="12.75">
      <c r="C111" s="15"/>
      <c r="D111" s="15"/>
      <c r="E111" s="21">
        <v>43090</v>
      </c>
      <c r="F111" s="15"/>
      <c r="G111" s="24">
        <v>-906257.14</v>
      </c>
      <c r="H111" s="15"/>
      <c r="I111" s="115"/>
      <c r="J111" s="116"/>
      <c r="K111" s="169"/>
      <c r="L111" s="117"/>
    </row>
    <row r="112" spans="3:12" ht="12.75">
      <c r="C112" s="15" t="s">
        <v>80</v>
      </c>
      <c r="D112" s="15"/>
      <c r="E112" s="21">
        <v>42823</v>
      </c>
      <c r="F112" s="15"/>
      <c r="G112" s="24">
        <v>2905216.14</v>
      </c>
      <c r="H112" s="15"/>
      <c r="I112" s="115"/>
      <c r="J112" s="116"/>
      <c r="K112" s="169"/>
      <c r="L112" s="117"/>
    </row>
    <row r="113" spans="3:12" ht="12.75">
      <c r="C113" s="15"/>
      <c r="D113" s="15"/>
      <c r="E113" s="21">
        <v>42859</v>
      </c>
      <c r="F113" s="15"/>
      <c r="G113" s="24">
        <v>448540.14</v>
      </c>
      <c r="H113" s="15"/>
      <c r="L113" s="35"/>
    </row>
    <row r="114" spans="3:12" ht="12.75">
      <c r="C114" s="15"/>
      <c r="D114" s="15"/>
      <c r="E114" s="21">
        <v>43020</v>
      </c>
      <c r="F114" s="15"/>
      <c r="G114" s="24">
        <v>1124900.55</v>
      </c>
      <c r="H114" s="15"/>
      <c r="I114" s="25"/>
      <c r="J114" s="15"/>
      <c r="L114" s="35"/>
    </row>
    <row r="115" spans="3:12" ht="12.75">
      <c r="C115" s="15" t="s">
        <v>81</v>
      </c>
      <c r="D115" s="15"/>
      <c r="E115" s="21">
        <v>43364</v>
      </c>
      <c r="F115" s="15"/>
      <c r="G115" s="24">
        <v>-2272571.43</v>
      </c>
      <c r="H115" s="15"/>
      <c r="I115" s="25"/>
      <c r="J115" s="15"/>
      <c r="L115" s="35"/>
    </row>
    <row r="116" spans="3:12" ht="12.75">
      <c r="C116" s="15"/>
      <c r="D116" s="15"/>
      <c r="E116" s="21">
        <v>43454</v>
      </c>
      <c r="F116" s="15"/>
      <c r="G116" s="24">
        <v>-2308600</v>
      </c>
      <c r="H116" s="15"/>
      <c r="I116" s="25"/>
      <c r="J116" s="15"/>
      <c r="L116" s="35"/>
    </row>
    <row r="117" spans="3:12" ht="12.75">
      <c r="C117" s="15" t="s">
        <v>82</v>
      </c>
      <c r="D117" s="15"/>
      <c r="E117" s="21">
        <v>43152</v>
      </c>
      <c r="F117" s="15"/>
      <c r="G117" s="24">
        <v>6769084.64</v>
      </c>
      <c r="H117" s="15"/>
      <c r="I117" s="25"/>
      <c r="J117" s="15"/>
      <c r="L117" s="35"/>
    </row>
    <row r="118" spans="3:12" ht="12.75">
      <c r="C118" s="15"/>
      <c r="D118" s="15"/>
      <c r="E118" s="21">
        <v>43186</v>
      </c>
      <c r="F118" s="15"/>
      <c r="G118" s="24">
        <v>4103177.79</v>
      </c>
      <c r="H118" s="15"/>
      <c r="I118" s="25"/>
      <c r="J118" s="15"/>
      <c r="L118" s="35"/>
    </row>
    <row r="119" spans="3:12" ht="12.75">
      <c r="C119" s="15"/>
      <c r="D119" s="15"/>
      <c r="E119" s="21">
        <v>43262</v>
      </c>
      <c r="F119" s="15"/>
      <c r="G119" s="24">
        <v>592413.93</v>
      </c>
      <c r="H119" s="15"/>
      <c r="I119" s="25"/>
      <c r="J119" s="15"/>
      <c r="L119" s="35"/>
    </row>
    <row r="120" spans="3:12" ht="12.75">
      <c r="C120" s="15"/>
      <c r="D120" s="15"/>
      <c r="E120" s="21">
        <v>43404</v>
      </c>
      <c r="F120" s="15"/>
      <c r="G120" s="24">
        <v>557239.71</v>
      </c>
      <c r="H120" s="15"/>
      <c r="I120" s="25"/>
      <c r="J120" s="15"/>
      <c r="L120" s="35"/>
    </row>
    <row r="121" spans="3:12" ht="12.75">
      <c r="C121" s="15" t="s">
        <v>83</v>
      </c>
      <c r="D121" s="15"/>
      <c r="E121" s="21">
        <v>43649</v>
      </c>
      <c r="F121" s="15"/>
      <c r="G121" s="24">
        <v>-407400</v>
      </c>
      <c r="H121" s="15"/>
      <c r="I121" s="25"/>
      <c r="J121" s="15"/>
      <c r="L121" s="35"/>
    </row>
    <row r="122" spans="3:12" ht="12.75">
      <c r="C122" s="15" t="s">
        <v>84</v>
      </c>
      <c r="D122" s="15"/>
      <c r="E122" s="21">
        <v>43593</v>
      </c>
      <c r="F122" s="15"/>
      <c r="G122" s="24">
        <v>581602.77</v>
      </c>
      <c r="H122" s="15"/>
      <c r="I122" s="25"/>
      <c r="J122" s="15"/>
      <c r="L122" s="35"/>
    </row>
    <row r="123" spans="3:12" ht="12.75">
      <c r="C123" s="15"/>
      <c r="D123" s="15"/>
      <c r="E123" s="21">
        <v>43655</v>
      </c>
      <c r="F123" s="15"/>
      <c r="G123" s="24">
        <v>963093.60</v>
      </c>
      <c r="H123" s="15"/>
      <c r="I123" s="25"/>
      <c r="J123" s="15"/>
      <c r="L123" s="35"/>
    </row>
    <row r="124" spans="3:12" ht="12.75">
      <c r="C124" s="15" t="s">
        <v>16</v>
      </c>
      <c r="D124" s="15"/>
      <c r="E124" s="21">
        <v>43928</v>
      </c>
      <c r="F124" s="15"/>
      <c r="G124" s="24">
        <v>-351971.43</v>
      </c>
      <c r="H124" s="15"/>
      <c r="I124" s="25"/>
      <c r="J124" s="15"/>
      <c r="L124" s="35"/>
    </row>
    <row r="125" spans="3:12" ht="15.75">
      <c r="C125" s="15"/>
      <c r="D125" s="15"/>
      <c r="E125" s="21">
        <v>44070</v>
      </c>
      <c r="F125" s="15"/>
      <c r="G125" s="24">
        <v>-3572883.18</v>
      </c>
      <c r="H125" s="15"/>
      <c r="I125" s="25"/>
      <c r="J125" s="15"/>
      <c r="L125" s="55"/>
    </row>
    <row r="126" spans="3:12" ht="15.75">
      <c r="C126" s="15" t="s">
        <v>71</v>
      </c>
      <c r="D126" s="15"/>
      <c r="E126" s="21">
        <v>44302</v>
      </c>
      <c r="F126" s="15"/>
      <c r="G126" s="24">
        <v>1800716.96</v>
      </c>
      <c r="H126" s="15"/>
      <c r="I126" s="25"/>
      <c r="J126" s="15"/>
      <c r="L126" s="55"/>
    </row>
    <row r="127" spans="3:12" ht="15.75">
      <c r="C127" s="15" t="s">
        <v>73</v>
      </c>
      <c r="D127" s="15"/>
      <c r="E127" s="21">
        <v>44673</v>
      </c>
      <c r="F127" s="15"/>
      <c r="G127" s="24">
        <v>3732374.44</v>
      </c>
      <c r="H127" s="15"/>
      <c r="I127" s="25"/>
      <c r="J127" s="15"/>
      <c r="L127" s="55"/>
    </row>
    <row r="128" spans="3:12" ht="15.75">
      <c r="C128" s="15"/>
      <c r="D128" s="15"/>
      <c r="E128" s="21">
        <v>44727</v>
      </c>
      <c r="F128" s="15"/>
      <c r="G128" s="24">
        <v>565745.48</v>
      </c>
      <c r="H128" s="15"/>
      <c r="I128" s="25"/>
      <c r="J128" s="15"/>
      <c r="L128" s="55"/>
    </row>
    <row r="129" spans="3:12" ht="15.75">
      <c r="C129" s="15"/>
      <c r="D129" s="15"/>
      <c r="E129" s="21">
        <v>44796</v>
      </c>
      <c r="F129" s="15"/>
      <c r="G129" s="24">
        <v>505071.68</v>
      </c>
      <c r="H129" s="15"/>
      <c r="I129" s="25"/>
      <c r="J129" s="15"/>
      <c r="L129" s="55"/>
    </row>
    <row r="130" spans="3:12" ht="15.75">
      <c r="C130" s="15"/>
      <c r="D130" s="15"/>
      <c r="E130" s="21">
        <v>44868</v>
      </c>
      <c r="F130" s="15"/>
      <c r="G130" s="24">
        <v>1894506.75</v>
      </c>
      <c r="H130" s="15"/>
      <c r="I130" s="25"/>
      <c r="J130" s="15"/>
      <c r="L130" s="55"/>
    </row>
    <row r="131" spans="3:12" ht="15.75">
      <c r="C131" s="15"/>
      <c r="D131" s="15"/>
      <c r="E131" s="21">
        <v>44911</v>
      </c>
      <c r="F131" s="15"/>
      <c r="G131" s="24">
        <v>1357411.81</v>
      </c>
      <c r="H131" s="15"/>
      <c r="I131" s="25"/>
      <c r="J131" s="15"/>
      <c r="L131" s="55"/>
    </row>
    <row r="132" spans="3:12" ht="15.75">
      <c r="C132" s="15" t="s">
        <v>75</v>
      </c>
      <c r="D132" s="15"/>
      <c r="E132" s="21">
        <v>44973</v>
      </c>
      <c r="F132" s="15"/>
      <c r="G132" s="24">
        <v>1638777.01</v>
      </c>
      <c r="H132" s="15"/>
      <c r="I132" s="25"/>
      <c r="J132" s="15"/>
      <c r="L132" s="55"/>
    </row>
    <row r="133" spans="3:12" ht="15.75">
      <c r="C133" s="15"/>
      <c r="D133" s="15"/>
      <c r="E133" s="21">
        <v>45079</v>
      </c>
      <c r="F133" s="15"/>
      <c r="G133" s="24">
        <v>1040518.99</v>
      </c>
      <c r="H133" s="15"/>
      <c r="I133" s="25"/>
      <c r="J133" s="15"/>
      <c r="L133" s="55"/>
    </row>
    <row r="134" spans="3:12" ht="4.5" customHeight="1">
      <c r="C134" s="15"/>
      <c r="D134" s="15"/>
      <c r="E134" s="21"/>
      <c r="F134" s="15"/>
      <c r="G134" s="24"/>
      <c r="H134" s="15"/>
      <c r="I134" s="25"/>
      <c r="L134" s="35"/>
    </row>
    <row r="135" spans="3:12" ht="12.75">
      <c r="C135" s="15" t="s">
        <v>5</v>
      </c>
      <c r="D135" s="15"/>
      <c r="E135" s="21">
        <f>+E8</f>
        <v>45107</v>
      </c>
      <c r="F135" s="15"/>
      <c r="G135" s="46">
        <f>L135*C22</f>
        <v>3.896456973965075E7</v>
      </c>
      <c r="H135" s="15"/>
      <c r="I135" s="24">
        <f>+SUMIF($G$23:$G$134,"&lt;0",$G$23:$G$134)</f>
        <v>-1.1390788174000004E8</v>
      </c>
      <c r="J135" s="15" t="s">
        <v>14</v>
      </c>
      <c r="L135" s="57">
        <v>256971337</v>
      </c>
    </row>
    <row r="136" spans="7:10" ht="12.75">
      <c r="G136" s="25"/>
      <c r="H136" s="15"/>
      <c r="I136" s="24">
        <f>+SUMIF($G$23:$G$134,"&gt;0",$G$23:$G$134)</f>
        <v>7.711303364E7</v>
      </c>
      <c r="J136" s="15" t="s">
        <v>15</v>
      </c>
    </row>
    <row r="137" spans="3:10" ht="12.75">
      <c r="C137" s="14" t="s">
        <v>0</v>
      </c>
      <c r="G137" s="29">
        <f>XIRR(G23:G135,E23:E135,0.1)</f>
        <v>0.003867706656455994</v>
      </c>
      <c r="H137" s="15"/>
      <c r="I137" s="15"/>
      <c r="J137" s="15"/>
    </row>
    <row r="140" spans="7:7" ht="12.75">
      <c r="G140" s="53"/>
    </row>
    <row r="141" spans="5:7" ht="12.75">
      <c r="E141" s="53"/>
      <c r="F141" s="52"/>
      <c r="G141" s="53"/>
    </row>
    <row r="142" spans="5:7" ht="12.75">
      <c r="E142" s="53"/>
      <c r="F142" s="52"/>
      <c r="G142" s="53"/>
    </row>
    <row r="143" spans="3:7" ht="12.75">
      <c r="C143" s="52"/>
      <c r="D143" s="52"/>
      <c r="E143" s="132"/>
      <c r="F143" s="132"/>
      <c r="G143" s="132"/>
    </row>
    <row r="144" spans="3:7" ht="12.75">
      <c r="C144" s="52"/>
      <c r="D144" s="52"/>
      <c r="E144" s="53"/>
      <c r="F144" s="53"/>
      <c r="G144" s="53"/>
    </row>
    <row r="145" spans="3:7" ht="12.75">
      <c r="C145" s="52"/>
      <c r="D145" s="52"/>
      <c r="E145" s="52"/>
      <c r="F145" s="52"/>
      <c r="G145" s="52"/>
    </row>
    <row r="146" spans="3:7" ht="12.75">
      <c r="C146" s="170"/>
      <c r="D146" s="170"/>
      <c r="E146" s="171"/>
      <c r="F146" s="54"/>
      <c r="G146" s="70"/>
    </row>
    <row r="147" spans="3:7" s="39" customFormat="1" ht="12.75">
      <c r="C147" s="170"/>
      <c r="D147" s="170"/>
      <c r="E147" s="70"/>
      <c r="F147" s="54"/>
      <c r="G147" s="70"/>
    </row>
    <row r="148" spans="3:7" s="39" customFormat="1" ht="12.75">
      <c r="C148" s="170"/>
      <c r="D148" s="170"/>
      <c r="E148" s="70"/>
      <c r="F148" s="54"/>
      <c r="G148" s="70"/>
    </row>
    <row r="149" spans="3:7" ht="12.75">
      <c r="C149" s="172"/>
      <c r="D149" s="170"/>
      <c r="E149" s="70"/>
      <c r="F149" s="54"/>
      <c r="G149" s="70"/>
    </row>
    <row r="150" spans="3:7" ht="12.75">
      <c r="C150" s="172"/>
      <c r="D150" s="170"/>
      <c r="E150" s="70"/>
      <c r="F150" s="54"/>
      <c r="G150" s="70"/>
    </row>
    <row r="151" spans="3:7" ht="12.75">
      <c r="C151" s="173"/>
      <c r="D151" s="170"/>
      <c r="E151" s="70"/>
      <c r="F151" s="54"/>
      <c r="G151" s="70"/>
    </row>
    <row r="152" spans="3:7" s="39" customFormat="1" ht="12.75">
      <c r="C152" s="170"/>
      <c r="D152" s="170"/>
      <c r="E152" s="70"/>
      <c r="F152" s="54"/>
      <c r="G152" s="70"/>
    </row>
    <row r="153" spans="3:7" ht="12.75">
      <c r="C153" s="170"/>
      <c r="D153" s="170"/>
      <c r="E153" s="70"/>
      <c r="F153" s="54"/>
      <c r="G153" s="70"/>
    </row>
    <row r="154" spans="3:7" ht="12.75">
      <c r="C154" s="170"/>
      <c r="D154" s="170"/>
      <c r="E154" s="70"/>
      <c r="F154" s="54"/>
      <c r="G154" s="70"/>
    </row>
    <row r="155" spans="3:7" ht="12.75">
      <c r="C155" s="170"/>
      <c r="D155" s="170"/>
      <c r="E155" s="70"/>
      <c r="F155" s="54"/>
      <c r="G155" s="70"/>
    </row>
    <row r="156" spans="3:7" ht="12.75">
      <c r="C156" s="170"/>
      <c r="D156" s="170"/>
      <c r="E156" s="70"/>
      <c r="F156" s="54"/>
      <c r="G156" s="70"/>
    </row>
    <row r="157" spans="3:7" ht="12.75">
      <c r="C157" s="170"/>
      <c r="D157" s="170"/>
      <c r="E157" s="70"/>
      <c r="F157" s="54"/>
      <c r="G157" s="70"/>
    </row>
    <row r="158" spans="4:6" s="39" customFormat="1" ht="5.1" customHeight="1">
      <c r="D158"/>
      <c r="F158"/>
    </row>
    <row r="159" spans="5:5" ht="12.75">
      <c r="E159" s="39"/>
    </row>
  </sheetData>
  <mergeCells count="2">
    <mergeCell ref="H8:I8"/>
    <mergeCell ref="E143:G143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970ED9-53FE-4E5A-8898-A1684EC24DFB}">
  <sheetPr>
    <pageSetUpPr fitToPage="1"/>
  </sheetPr>
  <dimension ref="B4:M162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8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9">
        <f>+VIII!E8</f>
        <v>45107</v>
      </c>
      <c r="F8" s="32"/>
      <c r="G8" s="6"/>
      <c r="H8" s="6"/>
      <c r="I8" s="13"/>
    </row>
    <row r="9" spans="3:8" ht="15.75">
      <c r="C9" s="161"/>
      <c r="D9" s="161"/>
      <c r="E9" s="161"/>
      <c r="F9" s="161"/>
      <c r="G9" s="162"/>
      <c r="H9" s="5"/>
    </row>
    <row r="10" spans="3:9" ht="12.75">
      <c r="C10" s="163"/>
      <c r="D10" s="163"/>
      <c r="E10" s="164"/>
      <c r="F10" s="163"/>
      <c r="G10" s="57"/>
      <c r="H10" s="10"/>
      <c r="I10" s="12"/>
    </row>
    <row r="11" spans="3:9" ht="12.75">
      <c r="C11" s="163"/>
      <c r="D11" s="163"/>
      <c r="E11" s="164"/>
      <c r="F11" s="163"/>
      <c r="G11" s="164"/>
      <c r="H11" s="10"/>
      <c r="I11" s="12"/>
    </row>
    <row r="12" spans="3:9" ht="15.75">
      <c r="C12" s="165"/>
      <c r="D12" s="165"/>
      <c r="E12" s="166"/>
      <c r="F12" s="165"/>
      <c r="G12" s="166"/>
      <c r="H12" s="11"/>
      <c r="I12" s="12"/>
    </row>
    <row r="13" spans="3:9" ht="12.75">
      <c r="C13" s="163"/>
      <c r="D13" s="163"/>
      <c r="E13" s="167"/>
      <c r="F13" s="163"/>
      <c r="G13" s="57"/>
      <c r="H13" s="28"/>
      <c r="I13" s="12"/>
    </row>
    <row r="14" spans="3:9" ht="12.75">
      <c r="C14" s="163"/>
      <c r="D14" s="163"/>
      <c r="E14" s="168"/>
      <c r="F14" s="163"/>
      <c r="G14" s="57"/>
      <c r="H14" s="111"/>
      <c r="I14" s="27"/>
    </row>
    <row r="15" spans="3:9" ht="12.75">
      <c r="C15" s="163"/>
      <c r="D15" s="163"/>
      <c r="E15" s="164"/>
      <c r="F15" s="163"/>
      <c r="G15" s="164"/>
      <c r="H15" s="10"/>
      <c r="I15" s="12"/>
    </row>
    <row r="16" spans="3:9" ht="15.75">
      <c r="C16" s="5"/>
      <c r="D16" s="5"/>
      <c r="E16" s="11"/>
      <c r="F16" s="5"/>
      <c r="G16" s="11"/>
      <c r="H16" s="11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12"/>
    </row>
    <row r="18" spans="3:9" ht="12.75" customHeight="1">
      <c r="C18" s="18" t="s">
        <v>8</v>
      </c>
      <c r="D18" s="18"/>
      <c r="E18" s="8">
        <f>+G137</f>
        <v>0.004582789540290834</v>
      </c>
      <c r="F18" s="18"/>
      <c r="G18" s="28"/>
      <c r="H18" s="8"/>
      <c r="I18" s="12"/>
    </row>
    <row r="19" spans="3:8" ht="12.75">
      <c r="C19" s="18" t="s">
        <v>10</v>
      </c>
      <c r="D19" s="18"/>
      <c r="E19" s="34">
        <f>(G135+I136)/-I135</f>
        <v>1.022345485685886</v>
      </c>
      <c r="F19" s="18"/>
      <c r="G19" s="10"/>
      <c r="H19" s="7"/>
    </row>
    <row r="20" spans="3:8" ht="12.75">
      <c r="C20" s="18"/>
      <c r="D20" s="18"/>
      <c r="E20" s="18"/>
      <c r="F20" s="18"/>
      <c r="G20" s="7"/>
      <c r="H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1" ht="12.75">
      <c r="C22" s="22">
        <v>0.028643258</v>
      </c>
      <c r="D22" s="15"/>
      <c r="E22" s="15"/>
      <c r="F22" s="15"/>
      <c r="G22" s="15"/>
      <c r="H22" s="15"/>
      <c r="I22" s="15"/>
      <c r="J22" s="15"/>
      <c r="K22" s="118"/>
    </row>
    <row r="23" spans="3:13" ht="12.75">
      <c r="C23" s="15" t="s">
        <v>87</v>
      </c>
      <c r="D23" s="15"/>
      <c r="E23" s="21">
        <v>40590</v>
      </c>
      <c r="F23" s="15"/>
      <c r="G23" s="130">
        <v>-244125</v>
      </c>
      <c r="H23" s="130"/>
      <c r="I23" s="25"/>
      <c r="J23" s="25"/>
      <c r="M23" s="35"/>
    </row>
    <row r="24" spans="3:13" ht="12.75">
      <c r="C24" s="15"/>
      <c r="D24" s="15"/>
      <c r="E24" s="21">
        <v>40661</v>
      </c>
      <c r="F24" s="15"/>
      <c r="G24" s="130">
        <v>-62502.65</v>
      </c>
      <c r="H24" s="130"/>
      <c r="I24" s="25"/>
      <c r="J24" s="25"/>
      <c r="M24" s="35"/>
    </row>
    <row r="25" spans="3:13" ht="12.75">
      <c r="C25" s="15"/>
      <c r="D25" s="15"/>
      <c r="E25" s="21">
        <v>40704</v>
      </c>
      <c r="F25" s="15"/>
      <c r="G25" s="130">
        <v>-98586.65</v>
      </c>
      <c r="H25" s="130"/>
      <c r="I25" s="25"/>
      <c r="J25" s="25"/>
      <c r="M25" s="35"/>
    </row>
    <row r="26" spans="3:13" ht="12.75">
      <c r="C26" s="15"/>
      <c r="D26" s="15"/>
      <c r="E26" s="21">
        <v>40751</v>
      </c>
      <c r="F26" s="15"/>
      <c r="G26" s="130">
        <v>-94290.93</v>
      </c>
      <c r="H26" s="130"/>
      <c r="I26" s="25"/>
      <c r="J26" s="25"/>
      <c r="M26" s="35"/>
    </row>
    <row r="27" spans="3:13" ht="12.75">
      <c r="C27" s="15"/>
      <c r="D27" s="15"/>
      <c r="E27" s="21">
        <v>40765</v>
      </c>
      <c r="F27" s="15"/>
      <c r="G27" s="130">
        <v>-156793.58</v>
      </c>
      <c r="H27" s="130"/>
      <c r="I27" s="25"/>
      <c r="J27" s="25"/>
      <c r="M27" s="35"/>
    </row>
    <row r="28" spans="3:13" ht="12.75">
      <c r="C28" s="15"/>
      <c r="D28" s="15"/>
      <c r="E28" s="21">
        <v>40813</v>
      </c>
      <c r="F28" s="15"/>
      <c r="G28" s="130">
        <v>-138107.22</v>
      </c>
      <c r="H28" s="130"/>
      <c r="I28" s="25"/>
      <c r="J28" s="25"/>
      <c r="M28" s="35"/>
    </row>
    <row r="29" spans="3:13" ht="12.75">
      <c r="C29" s="15"/>
      <c r="D29" s="15"/>
      <c r="E29" s="21">
        <v>40879</v>
      </c>
      <c r="F29" s="15"/>
      <c r="G29" s="130">
        <v>-66368.79</v>
      </c>
      <c r="H29" s="130"/>
      <c r="I29" s="25"/>
      <c r="J29" s="25"/>
      <c r="M29" s="35"/>
    </row>
    <row r="30" spans="3:13" ht="12.75">
      <c r="C30" s="15"/>
      <c r="D30" s="15"/>
      <c r="E30" s="21">
        <v>40886</v>
      </c>
      <c r="F30" s="15"/>
      <c r="G30" s="130">
        <v>-90424.79</v>
      </c>
      <c r="H30" s="130"/>
      <c r="I30" s="25"/>
      <c r="J30" s="25"/>
      <c r="M30" s="35"/>
    </row>
    <row r="31" spans="3:13" ht="12.75">
      <c r="C31" s="15" t="s">
        <v>88</v>
      </c>
      <c r="D31" s="15"/>
      <c r="E31" s="21">
        <v>40927</v>
      </c>
      <c r="F31" s="15"/>
      <c r="G31" s="130">
        <v>-151209.15</v>
      </c>
      <c r="H31" s="130"/>
      <c r="I31" s="25"/>
      <c r="J31" s="25"/>
      <c r="M31" s="35"/>
    </row>
    <row r="32" spans="3:13" ht="12.75">
      <c r="C32" s="15"/>
      <c r="D32" s="15"/>
      <c r="E32" s="21">
        <v>40942</v>
      </c>
      <c r="F32" s="15"/>
      <c r="G32" s="130">
        <v>-708792.89</v>
      </c>
      <c r="H32" s="130"/>
      <c r="I32" s="25"/>
      <c r="J32" s="25"/>
      <c r="M32" s="35"/>
    </row>
    <row r="33" spans="3:13" ht="12.75">
      <c r="C33" s="15"/>
      <c r="D33" s="15"/>
      <c r="E33" s="21">
        <v>40970</v>
      </c>
      <c r="F33" s="15"/>
      <c r="G33" s="130">
        <v>-112762.51</v>
      </c>
      <c r="H33" s="130"/>
      <c r="I33" s="25"/>
      <c r="J33" s="25"/>
      <c r="M33" s="35"/>
    </row>
    <row r="34" spans="3:13" ht="12.75">
      <c r="C34" s="15"/>
      <c r="D34" s="15"/>
      <c r="E34" s="21">
        <v>41001</v>
      </c>
      <c r="F34" s="15"/>
      <c r="G34" s="130">
        <v>-65939.22</v>
      </c>
      <c r="H34" s="130"/>
      <c r="I34" s="25"/>
      <c r="J34" s="25"/>
      <c r="M34" s="35"/>
    </row>
    <row r="35" spans="3:13" ht="12.75">
      <c r="C35" s="15"/>
      <c r="D35" s="15"/>
      <c r="E35" s="21">
        <v>41024</v>
      </c>
      <c r="F35" s="15"/>
      <c r="G35" s="130">
        <v>-78182</v>
      </c>
      <c r="H35" s="130"/>
      <c r="I35" s="25"/>
      <c r="J35" s="25"/>
      <c r="M35" s="35"/>
    </row>
    <row r="36" spans="3:13" ht="12.75">
      <c r="C36" s="15"/>
      <c r="D36" s="15"/>
      <c r="E36" s="21">
        <v>41030</v>
      </c>
      <c r="F36" s="15"/>
      <c r="G36" s="130">
        <v>288418.75</v>
      </c>
      <c r="H36" s="130"/>
      <c r="I36" s="25"/>
      <c r="J36" s="25"/>
      <c r="M36" s="35"/>
    </row>
    <row r="37" spans="3:13" ht="12.75">
      <c r="C37" s="15"/>
      <c r="D37" s="15"/>
      <c r="E37" s="21">
        <v>41054</v>
      </c>
      <c r="F37" s="15"/>
      <c r="G37" s="130">
        <v>-101808.43</v>
      </c>
      <c r="H37" s="130"/>
      <c r="I37" s="25"/>
      <c r="J37" s="25"/>
      <c r="M37" s="35"/>
    </row>
    <row r="38" spans="3:13" ht="12.75">
      <c r="C38" s="15"/>
      <c r="D38" s="15"/>
      <c r="E38" s="21">
        <v>41080</v>
      </c>
      <c r="F38" s="15"/>
      <c r="G38" s="130">
        <v>-188796.65</v>
      </c>
      <c r="H38" s="130"/>
      <c r="I38" s="25"/>
      <c r="J38" s="25"/>
      <c r="M38" s="35"/>
    </row>
    <row r="39" spans="3:13" ht="12.75">
      <c r="C39" s="15"/>
      <c r="D39" s="15"/>
      <c r="E39" s="21">
        <v>41103</v>
      </c>
      <c r="F39" s="15"/>
      <c r="G39" s="130">
        <v>-61213.93</v>
      </c>
      <c r="H39" s="130"/>
      <c r="I39" s="25"/>
      <c r="J39" s="25"/>
      <c r="M39" s="35"/>
    </row>
    <row r="40" spans="3:13" ht="12.75">
      <c r="C40" s="15"/>
      <c r="D40" s="15"/>
      <c r="E40" s="21">
        <v>41108</v>
      </c>
      <c r="F40" s="15"/>
      <c r="G40" s="130">
        <v>62022.65</v>
      </c>
      <c r="H40" s="130"/>
      <c r="I40" s="25"/>
      <c r="J40" s="25"/>
      <c r="M40" s="35"/>
    </row>
    <row r="41" spans="3:13" ht="12.75">
      <c r="C41" s="15"/>
      <c r="D41" s="15"/>
      <c r="E41" s="21">
        <v>41121</v>
      </c>
      <c r="F41" s="15"/>
      <c r="G41" s="130">
        <v>-59066.07</v>
      </c>
      <c r="H41" s="130"/>
      <c r="I41" s="25"/>
      <c r="J41" s="25"/>
      <c r="M41" s="35"/>
    </row>
    <row r="42" spans="3:13" ht="12.75">
      <c r="C42" s="15"/>
      <c r="D42" s="15"/>
      <c r="E42" s="21">
        <v>41137</v>
      </c>
      <c r="F42" s="15"/>
      <c r="G42" s="130">
        <v>26772.78</v>
      </c>
      <c r="H42" s="130"/>
      <c r="I42" s="25"/>
      <c r="J42" s="25"/>
      <c r="M42" s="35"/>
    </row>
    <row r="43" spans="3:13" ht="12.75">
      <c r="C43" s="15"/>
      <c r="D43" s="15"/>
      <c r="E43" s="21">
        <v>41152</v>
      </c>
      <c r="F43" s="15"/>
      <c r="G43" s="130">
        <v>-78182.01</v>
      </c>
      <c r="H43" s="130"/>
      <c r="I43" s="25"/>
      <c r="J43" s="25"/>
      <c r="M43" s="35"/>
    </row>
    <row r="44" spans="3:13" ht="12.75">
      <c r="C44" s="15"/>
      <c r="D44" s="15"/>
      <c r="E44" s="21">
        <v>41173</v>
      </c>
      <c r="F44" s="15"/>
      <c r="G44" s="130">
        <v>577612.2</v>
      </c>
      <c r="H44" s="130"/>
      <c r="I44" s="25"/>
      <c r="J44" s="25"/>
      <c r="M44" s="35"/>
    </row>
    <row r="45" spans="3:13" ht="12.75">
      <c r="C45" s="15" t="s">
        <v>89</v>
      </c>
      <c r="D45" s="15"/>
      <c r="E45" s="21">
        <v>41180</v>
      </c>
      <c r="F45" s="15"/>
      <c r="G45" s="130">
        <v>-148202.14</v>
      </c>
      <c r="H45" s="130"/>
      <c r="I45" s="25"/>
      <c r="J45" s="25"/>
      <c r="M45" s="35"/>
    </row>
    <row r="46" spans="3:13" ht="12.75">
      <c r="C46" s="15"/>
      <c r="D46" s="15"/>
      <c r="E46" s="21">
        <v>41194</v>
      </c>
      <c r="F46" s="15"/>
      <c r="G46" s="130">
        <v>-72812.36</v>
      </c>
      <c r="H46" s="130"/>
      <c r="I46" s="25"/>
      <c r="J46" s="25"/>
      <c r="M46" s="35"/>
    </row>
    <row r="47" spans="3:13" ht="12.75">
      <c r="C47" s="15"/>
      <c r="D47" s="15"/>
      <c r="E47" s="21">
        <v>41250</v>
      </c>
      <c r="F47" s="15"/>
      <c r="G47" s="130">
        <v>-328407.36</v>
      </c>
      <c r="H47" s="130"/>
      <c r="I47" s="25"/>
      <c r="J47" s="25"/>
      <c r="M47" s="35"/>
    </row>
    <row r="48" spans="3:13" ht="12.75">
      <c r="C48" s="15"/>
      <c r="D48" s="15"/>
      <c r="E48" s="21">
        <v>41264</v>
      </c>
      <c r="F48" s="15"/>
      <c r="G48" s="130">
        <v>-291678.99</v>
      </c>
      <c r="H48" s="130"/>
      <c r="I48" s="25"/>
      <c r="J48" s="25"/>
      <c r="M48" s="35"/>
    </row>
    <row r="49" spans="3:13" ht="12.75">
      <c r="C49" s="15" t="s">
        <v>90</v>
      </c>
      <c r="D49" s="15"/>
      <c r="E49" s="21">
        <v>41284</v>
      </c>
      <c r="F49" s="15"/>
      <c r="G49" s="130">
        <v>-86129.08</v>
      </c>
      <c r="H49" s="130"/>
      <c r="I49" s="25"/>
      <c r="J49" s="25"/>
      <c r="M49" s="35"/>
    </row>
    <row r="50" spans="3:13" ht="12.75">
      <c r="C50" s="15"/>
      <c r="D50" s="15"/>
      <c r="E50" s="21">
        <v>41298</v>
      </c>
      <c r="F50" s="15"/>
      <c r="G50" s="130">
        <v>-110185.07</v>
      </c>
      <c r="H50" s="130"/>
      <c r="I50" s="25"/>
      <c r="J50" s="25"/>
      <c r="M50" s="35"/>
    </row>
    <row r="51" spans="3:13" ht="12.75">
      <c r="C51" s="15"/>
      <c r="D51" s="15"/>
      <c r="E51" s="21">
        <v>41345</v>
      </c>
      <c r="F51" s="15"/>
      <c r="G51" s="130">
        <v>-112977.29</v>
      </c>
      <c r="H51" s="130"/>
      <c r="I51" s="25"/>
      <c r="J51" s="25"/>
      <c r="M51" s="35"/>
    </row>
    <row r="52" spans="3:13" ht="12.75">
      <c r="C52" s="15"/>
      <c r="D52" s="15"/>
      <c r="E52" s="21">
        <v>41360</v>
      </c>
      <c r="F52" s="15"/>
      <c r="G52" s="130">
        <v>-101164.06</v>
      </c>
      <c r="H52" s="130"/>
      <c r="I52" s="25"/>
      <c r="J52" s="25"/>
      <c r="M52" s="35"/>
    </row>
    <row r="53" spans="3:13" ht="12.75">
      <c r="C53" s="15"/>
      <c r="D53" s="15"/>
      <c r="E53" s="21">
        <v>41393</v>
      </c>
      <c r="F53" s="15"/>
      <c r="G53" s="130">
        <v>-81403.80</v>
      </c>
      <c r="H53" s="130"/>
      <c r="I53" s="25"/>
      <c r="J53" s="25"/>
      <c r="M53" s="35"/>
    </row>
    <row r="54" spans="3:13" ht="12.75">
      <c r="C54" s="15"/>
      <c r="D54" s="15"/>
      <c r="E54" s="21">
        <v>41404</v>
      </c>
      <c r="F54" s="15"/>
      <c r="G54" s="130">
        <v>-110829.43</v>
      </c>
      <c r="H54" s="130"/>
      <c r="I54" s="25"/>
      <c r="J54" s="25"/>
      <c r="M54" s="35"/>
    </row>
    <row r="55" spans="3:13" ht="12.75">
      <c r="C55" s="15"/>
      <c r="D55" s="15"/>
      <c r="E55" s="21">
        <v>41418</v>
      </c>
      <c r="F55" s="15"/>
      <c r="G55" s="130">
        <v>33721.7</v>
      </c>
      <c r="H55" s="130"/>
      <c r="I55" s="25"/>
      <c r="J55" s="25"/>
      <c r="M55" s="35"/>
    </row>
    <row r="56" spans="3:13" ht="12.75">
      <c r="C56" s="15"/>
      <c r="D56" s="15"/>
      <c r="E56" s="21">
        <v>41423</v>
      </c>
      <c r="F56" s="15"/>
      <c r="G56" s="130">
        <v>-96009.23</v>
      </c>
      <c r="H56" s="130"/>
      <c r="I56" s="25"/>
      <c r="J56" s="25"/>
      <c r="M56" s="35"/>
    </row>
    <row r="57" spans="3:13" ht="12.75">
      <c r="C57" s="15"/>
      <c r="D57" s="15"/>
      <c r="E57" s="21">
        <v>41446</v>
      </c>
      <c r="F57" s="15"/>
      <c r="G57" s="130">
        <v>-293397.29</v>
      </c>
      <c r="H57" s="130"/>
      <c r="I57" s="25"/>
      <c r="J57" s="25"/>
      <c r="M57" s="35"/>
    </row>
    <row r="58" spans="3:13" ht="12.75">
      <c r="C58" s="15"/>
      <c r="D58" s="15"/>
      <c r="E58" s="21">
        <v>41481</v>
      </c>
      <c r="F58" s="15"/>
      <c r="G58" s="130">
        <v>-91713.51</v>
      </c>
      <c r="H58" s="130"/>
      <c r="I58" s="25"/>
      <c r="J58" s="25"/>
      <c r="M58" s="35"/>
    </row>
    <row r="59" spans="3:13" ht="12.75">
      <c r="C59" s="15"/>
      <c r="D59" s="15"/>
      <c r="E59" s="21">
        <v>41501</v>
      </c>
      <c r="F59" s="15"/>
      <c r="G59" s="130">
        <v>-86343.86</v>
      </c>
      <c r="H59" s="130"/>
      <c r="I59" s="25"/>
      <c r="J59" s="25"/>
      <c r="M59" s="35"/>
    </row>
    <row r="60" spans="3:13" ht="12.75">
      <c r="C60" s="15"/>
      <c r="D60" s="15"/>
      <c r="E60" s="21">
        <v>41514</v>
      </c>
      <c r="F60" s="15"/>
      <c r="G60" s="130">
        <v>-125220.07</v>
      </c>
      <c r="H60" s="130"/>
      <c r="I60" s="25"/>
      <c r="J60" s="25"/>
      <c r="M60" s="35"/>
    </row>
    <row r="61" spans="3:13" ht="12.75">
      <c r="C61" s="15"/>
      <c r="D61" s="15"/>
      <c r="E61" s="21">
        <v>41551</v>
      </c>
      <c r="F61" s="15"/>
      <c r="G61" s="130">
        <v>-74745.43</v>
      </c>
      <c r="H61" s="130"/>
      <c r="M61" s="35"/>
    </row>
    <row r="62" spans="3:13" ht="12.75">
      <c r="C62" s="15"/>
      <c r="D62" s="15"/>
      <c r="E62" s="21">
        <v>41577</v>
      </c>
      <c r="F62" s="15"/>
      <c r="G62" s="130">
        <v>-119635.65</v>
      </c>
      <c r="H62" s="130"/>
      <c r="M62" s="35"/>
    </row>
    <row r="63" spans="3:13" ht="12.75">
      <c r="C63" s="15"/>
      <c r="D63" s="15"/>
      <c r="E63" s="21">
        <v>41599</v>
      </c>
      <c r="F63" s="15"/>
      <c r="G63" s="130">
        <v>-75604.57</v>
      </c>
      <c r="H63" s="130"/>
      <c r="M63" s="35"/>
    </row>
    <row r="64" spans="3:13" ht="12.75">
      <c r="C64" s="15" t="s">
        <v>91</v>
      </c>
      <c r="D64" s="15"/>
      <c r="E64" s="21">
        <v>41618</v>
      </c>
      <c r="F64" s="15"/>
      <c r="G64" s="130">
        <v>81562.51</v>
      </c>
      <c r="H64" s="130"/>
      <c r="M64" s="35"/>
    </row>
    <row r="65" spans="3:13" ht="12.75">
      <c r="C65" s="15"/>
      <c r="D65" s="15"/>
      <c r="E65" s="21">
        <v>41624</v>
      </c>
      <c r="F65" s="15"/>
      <c r="G65" s="130">
        <v>-151209.15</v>
      </c>
      <c r="H65" s="130"/>
      <c r="M65" s="35"/>
    </row>
    <row r="66" spans="3:13" ht="12.75">
      <c r="C66" s="15" t="s">
        <v>92</v>
      </c>
      <c r="D66" s="15"/>
      <c r="E66" s="21">
        <v>41646</v>
      </c>
      <c r="F66" s="15"/>
      <c r="G66" s="24">
        <v>-106748.50</v>
      </c>
      <c r="H66" s="24"/>
      <c r="I66" s="25"/>
      <c r="J66" s="15"/>
      <c r="M66" s="35"/>
    </row>
    <row r="67" spans="3:13" ht="12.75">
      <c r="C67" s="15"/>
      <c r="D67" s="15"/>
      <c r="E67" s="21">
        <v>41670</v>
      </c>
      <c r="F67" s="15"/>
      <c r="G67" s="24">
        <v>-79255.94</v>
      </c>
      <c r="H67" s="24"/>
      <c r="I67" s="25"/>
      <c r="J67" s="15"/>
      <c r="M67" s="35"/>
    </row>
    <row r="68" spans="3:13" ht="12.75">
      <c r="C68" s="15"/>
      <c r="D68" s="15"/>
      <c r="E68" s="21">
        <v>41697</v>
      </c>
      <c r="F68" s="15"/>
      <c r="G68" s="24">
        <v>-141114.19</v>
      </c>
      <c r="H68" s="24"/>
      <c r="I68" s="25"/>
      <c r="J68" s="15"/>
      <c r="M68" s="35"/>
    </row>
    <row r="69" spans="3:13" ht="12.75">
      <c r="C69" s="15"/>
      <c r="D69" s="15"/>
      <c r="E69" s="21">
        <v>41704</v>
      </c>
      <c r="F69" s="15"/>
      <c r="G69" s="24">
        <v>-102238</v>
      </c>
      <c r="H69" s="24"/>
      <c r="I69" s="25"/>
      <c r="J69" s="15"/>
      <c r="M69" s="35"/>
    </row>
    <row r="70" spans="3:13" ht="12.75">
      <c r="C70" s="15"/>
      <c r="D70" s="15"/>
      <c r="E70" s="21">
        <v>41718</v>
      </c>
      <c r="F70" s="15"/>
      <c r="G70" s="24">
        <v>-89350.86</v>
      </c>
      <c r="H70" s="24"/>
      <c r="I70" s="25"/>
      <c r="J70" s="15"/>
      <c r="M70" s="35"/>
    </row>
    <row r="71" spans="3:13" ht="12.75">
      <c r="C71" s="15"/>
      <c r="D71" s="15"/>
      <c r="E71" s="21">
        <v>41750</v>
      </c>
      <c r="F71" s="15"/>
      <c r="G71" s="24">
        <v>-141973.37</v>
      </c>
      <c r="H71" s="24"/>
      <c r="I71" s="25"/>
      <c r="J71" s="15"/>
      <c r="M71" s="35"/>
    </row>
    <row r="72" spans="3:13" ht="12.75">
      <c r="C72" s="15"/>
      <c r="D72" s="15"/>
      <c r="E72" s="21">
        <v>41779</v>
      </c>
      <c r="F72" s="15"/>
      <c r="G72" s="24">
        <v>-141758.57</v>
      </c>
      <c r="H72" s="24"/>
      <c r="I72" s="136"/>
      <c r="J72" s="126"/>
      <c r="M72" s="35"/>
    </row>
    <row r="73" spans="3:13" ht="12.75">
      <c r="C73" s="15"/>
      <c r="D73" s="15"/>
      <c r="E73" s="21">
        <v>41814</v>
      </c>
      <c r="F73" s="15"/>
      <c r="G73" s="24">
        <v>-104600.65</v>
      </c>
      <c r="H73" s="24"/>
      <c r="M73" s="35"/>
    </row>
    <row r="74" spans="3:13" ht="12.75">
      <c r="C74" s="15"/>
      <c r="D74" s="15"/>
      <c r="E74" s="21">
        <v>41816</v>
      </c>
      <c r="F74" s="15"/>
      <c r="G74" s="24">
        <v>224314.23</v>
      </c>
      <c r="H74" s="24"/>
      <c r="M74" s="35"/>
    </row>
    <row r="75" spans="3:13" ht="12.75">
      <c r="C75" s="15"/>
      <c r="D75" s="15"/>
      <c r="E75" s="21">
        <v>41857</v>
      </c>
      <c r="F75" s="15"/>
      <c r="G75" s="24">
        <v>925110.26</v>
      </c>
      <c r="H75" s="24"/>
      <c r="M75" s="35"/>
    </row>
    <row r="76" spans="3:13" ht="12.75">
      <c r="C76" s="15"/>
      <c r="D76" s="15"/>
      <c r="E76" s="21">
        <v>41877</v>
      </c>
      <c r="F76" s="15"/>
      <c r="G76" s="24">
        <v>-164740.63</v>
      </c>
      <c r="H76" s="24"/>
      <c r="M76" s="35"/>
    </row>
    <row r="77" spans="3:13" ht="12.75">
      <c r="C77" s="15"/>
      <c r="D77" s="15"/>
      <c r="E77" s="21">
        <v>41913</v>
      </c>
      <c r="F77" s="15"/>
      <c r="G77" s="24">
        <v>-68301.86</v>
      </c>
      <c r="H77" s="24"/>
      <c r="M77" s="35"/>
    </row>
    <row r="78" spans="3:13" ht="12.75">
      <c r="C78" s="15" t="s">
        <v>93</v>
      </c>
      <c r="D78" s="15"/>
      <c r="E78" s="21">
        <v>41943</v>
      </c>
      <c r="F78" s="15"/>
      <c r="G78" s="24">
        <v>-87203</v>
      </c>
      <c r="H78" s="24"/>
      <c r="M78" s="35"/>
    </row>
    <row r="79" spans="3:13" ht="12.75">
      <c r="C79" s="15"/>
      <c r="D79" s="15"/>
      <c r="E79" s="21">
        <v>41990</v>
      </c>
      <c r="F79" s="15"/>
      <c r="G79" s="24">
        <v>-91283.93</v>
      </c>
      <c r="H79" s="24"/>
      <c r="M79" s="35"/>
    </row>
    <row r="80" spans="3:13" ht="12.75">
      <c r="C80" s="15" t="s">
        <v>76</v>
      </c>
      <c r="D80" s="15"/>
      <c r="E80" s="21">
        <v>42011</v>
      </c>
      <c r="F80" s="15"/>
      <c r="G80" s="24">
        <v>-71738.43</v>
      </c>
      <c r="H80" s="24"/>
      <c r="I80" s="25"/>
      <c r="J80" s="15"/>
      <c r="M80" s="35"/>
    </row>
    <row r="81" spans="3:13" ht="12.75">
      <c r="C81" s="15"/>
      <c r="D81" s="15"/>
      <c r="E81" s="21">
        <v>42027</v>
      </c>
      <c r="F81" s="15"/>
      <c r="G81" s="24">
        <v>-92572.64</v>
      </c>
      <c r="H81" s="24"/>
      <c r="M81" s="35"/>
    </row>
    <row r="82" spans="3:13" ht="12.75">
      <c r="C82" s="15"/>
      <c r="D82" s="15"/>
      <c r="E82" s="21">
        <v>42055</v>
      </c>
      <c r="F82" s="15"/>
      <c r="G82" s="24">
        <v>69906.86</v>
      </c>
      <c r="H82" s="24"/>
      <c r="M82" s="35"/>
    </row>
    <row r="83" spans="3:13" ht="12.75">
      <c r="C83" s="15"/>
      <c r="D83" s="15"/>
      <c r="E83" s="21">
        <v>42075</v>
      </c>
      <c r="F83" s="15"/>
      <c r="G83" s="24">
        <v>-92787.43</v>
      </c>
      <c r="H83" s="24"/>
      <c r="M83" s="35"/>
    </row>
    <row r="84" spans="3:13" ht="12.75">
      <c r="C84" s="15"/>
      <c r="D84" s="15"/>
      <c r="E84" s="21">
        <v>42138</v>
      </c>
      <c r="F84" s="15"/>
      <c r="G84" s="24">
        <v>-137462.86</v>
      </c>
      <c r="H84" s="24"/>
      <c r="M84" s="35"/>
    </row>
    <row r="85" spans="3:13" ht="12.75">
      <c r="C85" s="15"/>
      <c r="D85" s="15"/>
      <c r="E85" s="21">
        <v>42150</v>
      </c>
      <c r="F85" s="15"/>
      <c r="G85" s="24">
        <v>72217.50</v>
      </c>
      <c r="H85" s="24"/>
      <c r="M85" s="35"/>
    </row>
    <row r="86" spans="3:13" ht="12.75">
      <c r="C86" s="15"/>
      <c r="D86" s="15"/>
      <c r="E86" s="21">
        <v>42251</v>
      </c>
      <c r="F86" s="15"/>
      <c r="G86" s="24">
        <v>221326.52</v>
      </c>
      <c r="H86" s="24"/>
      <c r="M86" s="35"/>
    </row>
    <row r="87" spans="3:13" ht="12.75">
      <c r="C87" s="15" t="s">
        <v>94</v>
      </c>
      <c r="D87" s="15"/>
      <c r="E87" s="21">
        <v>42265</v>
      </c>
      <c r="F87" s="15"/>
      <c r="G87" s="24">
        <v>-62073.07</v>
      </c>
      <c r="H87" s="24"/>
      <c r="M87" s="35"/>
    </row>
    <row r="88" spans="3:13" ht="12.75">
      <c r="C88" s="15"/>
      <c r="D88" s="15"/>
      <c r="E88" s="21">
        <v>42297</v>
      </c>
      <c r="F88" s="15"/>
      <c r="G88" s="24">
        <v>-108466.79</v>
      </c>
      <c r="H88" s="24"/>
      <c r="I88" s="25"/>
      <c r="J88" s="15"/>
      <c r="M88" s="35"/>
    </row>
    <row r="89" spans="3:13" ht="12.75">
      <c r="C89" s="15"/>
      <c r="D89" s="15"/>
      <c r="E89" s="21">
        <v>42352</v>
      </c>
      <c r="F89" s="15"/>
      <c r="G89" s="24">
        <v>-97297.93</v>
      </c>
      <c r="H89" s="24"/>
      <c r="I89" s="25"/>
      <c r="J89" s="15"/>
      <c r="M89" s="35"/>
    </row>
    <row r="90" spans="3:13" ht="12.75">
      <c r="C90" s="15" t="s">
        <v>77</v>
      </c>
      <c r="D90" s="15"/>
      <c r="E90" s="21">
        <v>42404</v>
      </c>
      <c r="F90" s="15"/>
      <c r="G90" s="24">
        <v>43539.31</v>
      </c>
      <c r="H90" s="24"/>
      <c r="I90" s="25"/>
      <c r="J90" s="15"/>
      <c r="M90" s="35"/>
    </row>
    <row r="91" spans="3:13" ht="12.75">
      <c r="C91" s="15"/>
      <c r="D91" s="15"/>
      <c r="E91" s="21">
        <v>42424</v>
      </c>
      <c r="F91" s="15"/>
      <c r="G91" s="24">
        <v>-97512.72</v>
      </c>
      <c r="H91" s="24"/>
      <c r="I91" s="25"/>
      <c r="J91" s="15"/>
      <c r="M91" s="35"/>
    </row>
    <row r="92" spans="3:13" ht="12.75">
      <c r="C92" s="15"/>
      <c r="D92" s="15"/>
      <c r="E92" s="21">
        <v>42451</v>
      </c>
      <c r="F92" s="15"/>
      <c r="G92" s="24">
        <v>43774.79</v>
      </c>
      <c r="H92" s="24"/>
      <c r="I92" s="25"/>
      <c r="J92" s="15"/>
      <c r="M92" s="35"/>
    </row>
    <row r="93" spans="3:13" ht="12.75">
      <c r="C93" s="15"/>
      <c r="D93" s="15"/>
      <c r="E93" s="21">
        <v>42452</v>
      </c>
      <c r="F93" s="15"/>
      <c r="G93" s="24">
        <v>-72812.36</v>
      </c>
      <c r="H93" s="24"/>
      <c r="I93" s="25"/>
      <c r="J93" s="15"/>
      <c r="M93" s="35"/>
    </row>
    <row r="94" spans="3:13" ht="12.75">
      <c r="C94" s="15"/>
      <c r="D94" s="15"/>
      <c r="E94" s="21">
        <v>42485</v>
      </c>
      <c r="F94" s="15"/>
      <c r="G94" s="24">
        <v>-90424.77</v>
      </c>
      <c r="H94" s="24"/>
      <c r="I94" s="25"/>
      <c r="J94" s="15"/>
      <c r="M94" s="35"/>
    </row>
    <row r="95" spans="3:13" ht="12.75">
      <c r="C95" s="15"/>
      <c r="D95" s="15"/>
      <c r="E95" s="21">
        <v>42549</v>
      </c>
      <c r="F95" s="15"/>
      <c r="G95" s="24">
        <v>23005.35</v>
      </c>
      <c r="H95" s="24"/>
      <c r="M95" s="35"/>
    </row>
    <row r="96" spans="3:13" ht="12.75">
      <c r="C96" s="15"/>
      <c r="D96" s="15"/>
      <c r="E96" s="21">
        <v>42558</v>
      </c>
      <c r="F96" s="15"/>
      <c r="G96" s="24">
        <v>-56273.86</v>
      </c>
      <c r="H96" s="24"/>
      <c r="M96" s="35"/>
    </row>
    <row r="97" spans="3:13" ht="12.75">
      <c r="C97" s="15"/>
      <c r="D97" s="15"/>
      <c r="E97" s="21">
        <v>42578</v>
      </c>
      <c r="F97" s="15"/>
      <c r="G97" s="24">
        <v>-55844.29</v>
      </c>
      <c r="H97" s="24"/>
      <c r="M97" s="35"/>
    </row>
    <row r="98" spans="3:13" ht="12.75">
      <c r="C98" s="15"/>
      <c r="D98" s="15"/>
      <c r="E98" s="21">
        <v>42584</v>
      </c>
      <c r="F98" s="15"/>
      <c r="G98" s="24">
        <v>608280.91</v>
      </c>
      <c r="H98" s="24"/>
      <c r="M98" s="35"/>
    </row>
    <row r="99" spans="3:13" ht="12.75">
      <c r="C99" s="15" t="s">
        <v>78</v>
      </c>
      <c r="D99" s="15"/>
      <c r="E99" s="21">
        <v>42632</v>
      </c>
      <c r="F99" s="15"/>
      <c r="G99" s="24">
        <v>39248.07</v>
      </c>
      <c r="H99" s="24"/>
      <c r="M99" s="35"/>
    </row>
    <row r="100" spans="3:13" ht="12.75">
      <c r="C100" s="15"/>
      <c r="D100" s="15"/>
      <c r="E100" s="21">
        <v>42636</v>
      </c>
      <c r="F100" s="15"/>
      <c r="G100" s="24">
        <v>-73241.93</v>
      </c>
      <c r="H100" s="24"/>
      <c r="M100" s="35"/>
    </row>
    <row r="101" spans="3:13" ht="12.75">
      <c r="C101" s="15"/>
      <c r="D101" s="15"/>
      <c r="E101" s="21">
        <v>42656</v>
      </c>
      <c r="F101" s="15"/>
      <c r="G101" s="24">
        <v>155100.44</v>
      </c>
      <c r="H101" s="24"/>
      <c r="M101" s="35"/>
    </row>
    <row r="102" spans="3:13" ht="12.75">
      <c r="C102" s="15"/>
      <c r="D102" s="15"/>
      <c r="E102" s="21">
        <v>42664</v>
      </c>
      <c r="F102" s="15"/>
      <c r="G102" s="24">
        <v>-70449.71</v>
      </c>
      <c r="H102" s="24"/>
      <c r="I102" s="25"/>
      <c r="J102" s="15"/>
      <c r="M102" s="35"/>
    </row>
    <row r="103" spans="3:13" ht="12.75">
      <c r="C103" s="15"/>
      <c r="D103" s="15"/>
      <c r="E103" s="21">
        <v>42697</v>
      </c>
      <c r="F103" s="15"/>
      <c r="G103" s="24">
        <v>-42957.14</v>
      </c>
      <c r="H103" s="24"/>
      <c r="I103" s="25"/>
      <c r="J103" s="15"/>
      <c r="M103" s="35"/>
    </row>
    <row r="104" spans="3:13" ht="12.75">
      <c r="C104" s="15"/>
      <c r="D104" s="15"/>
      <c r="E104" s="21">
        <v>42723</v>
      </c>
      <c r="F104" s="15"/>
      <c r="G104" s="24">
        <v>148394.72</v>
      </c>
      <c r="H104" s="24"/>
      <c r="I104" s="25"/>
      <c r="J104" s="15"/>
      <c r="M104" s="35"/>
    </row>
    <row r="105" spans="3:13" ht="15.75">
      <c r="C105" s="15"/>
      <c r="D105" s="15"/>
      <c r="E105" s="21">
        <v>42727</v>
      </c>
      <c r="F105" s="15"/>
      <c r="G105" s="24">
        <v>-124146.13</v>
      </c>
      <c r="H105" s="24"/>
      <c r="I105" s="115"/>
      <c r="J105" s="116"/>
      <c r="K105" s="169"/>
      <c r="L105" s="162"/>
      <c r="M105" s="35"/>
    </row>
    <row r="106" spans="3:13" ht="12.75">
      <c r="C106" s="15" t="s">
        <v>79</v>
      </c>
      <c r="D106" s="15"/>
      <c r="E106" s="21">
        <v>42795</v>
      </c>
      <c r="F106" s="15"/>
      <c r="G106" s="24">
        <v>-58206.93</v>
      </c>
      <c r="H106" s="24"/>
      <c r="I106" s="115"/>
      <c r="J106" s="116"/>
      <c r="K106" s="169"/>
      <c r="L106" s="57"/>
      <c r="M106" s="35"/>
    </row>
    <row r="107" spans="3:13" ht="12.75">
      <c r="C107" s="15"/>
      <c r="D107" s="15"/>
      <c r="E107" s="21">
        <v>42822</v>
      </c>
      <c r="F107" s="15"/>
      <c r="G107" s="24">
        <v>-32217.86</v>
      </c>
      <c r="H107" s="24"/>
      <c r="I107" s="115"/>
      <c r="J107" s="116"/>
      <c r="K107" s="169"/>
      <c r="L107" s="57"/>
      <c r="M107" s="35"/>
    </row>
    <row r="108" spans="3:13" ht="12.75">
      <c r="C108" s="15"/>
      <c r="D108" s="15"/>
      <c r="E108" s="21">
        <v>42823</v>
      </c>
      <c r="F108" s="15"/>
      <c r="G108" s="24">
        <v>225802.36</v>
      </c>
      <c r="H108" s="24"/>
      <c r="I108" s="115"/>
      <c r="J108" s="116"/>
      <c r="K108" s="169"/>
      <c r="L108" s="57"/>
      <c r="M108" s="35"/>
    </row>
    <row r="109" spans="3:13" ht="12.75">
      <c r="C109" s="15"/>
      <c r="D109" s="15"/>
      <c r="E109" s="21">
        <v>42843</v>
      </c>
      <c r="F109" s="15"/>
      <c r="G109" s="24">
        <v>-57132.99</v>
      </c>
      <c r="H109" s="24"/>
      <c r="I109" s="115"/>
      <c r="J109" s="116"/>
      <c r="K109" s="169"/>
      <c r="L109" s="57"/>
      <c r="M109" s="35"/>
    </row>
    <row r="110" spans="3:13" ht="12.75">
      <c r="C110" s="15"/>
      <c r="D110" s="15"/>
      <c r="E110" s="21">
        <v>42859</v>
      </c>
      <c r="F110" s="15"/>
      <c r="G110" s="24">
        <v>34804.76</v>
      </c>
      <c r="H110" s="24"/>
      <c r="I110" s="115"/>
      <c r="J110" s="116"/>
      <c r="K110" s="169"/>
      <c r="L110" s="169"/>
      <c r="M110" s="35"/>
    </row>
    <row r="111" spans="3:13" ht="12.75">
      <c r="C111" s="15"/>
      <c r="D111" s="15"/>
      <c r="E111" s="21">
        <v>42909</v>
      </c>
      <c r="F111" s="15"/>
      <c r="G111" s="24">
        <v>-83551.64</v>
      </c>
      <c r="H111" s="24"/>
      <c r="I111" s="115"/>
      <c r="J111" s="116"/>
      <c r="K111" s="169"/>
      <c r="L111" s="169"/>
      <c r="M111" s="35"/>
    </row>
    <row r="112" spans="3:13" ht="12.75">
      <c r="C112" s="15" t="s">
        <v>80</v>
      </c>
      <c r="D112" s="15"/>
      <c r="E112" s="21">
        <v>43020</v>
      </c>
      <c r="F112" s="15"/>
      <c r="G112" s="24">
        <v>86533.37</v>
      </c>
      <c r="H112" s="24"/>
      <c r="I112" s="115"/>
      <c r="J112" s="116"/>
      <c r="K112" s="169"/>
      <c r="L112" s="169"/>
      <c r="M112" s="35"/>
    </row>
    <row r="113" spans="3:13" ht="12.75">
      <c r="C113" s="15"/>
      <c r="D113" s="15"/>
      <c r="E113" s="21">
        <v>43054</v>
      </c>
      <c r="F113" s="15"/>
      <c r="G113" s="24">
        <v>-56273.86</v>
      </c>
      <c r="H113" s="24"/>
      <c r="I113" s="25"/>
      <c r="J113" s="15"/>
      <c r="M113" s="35"/>
    </row>
    <row r="114" spans="3:13" ht="12.75">
      <c r="C114" s="15"/>
      <c r="D114" s="15"/>
      <c r="E114" s="21">
        <v>43090</v>
      </c>
      <c r="F114" s="15"/>
      <c r="G114" s="24">
        <v>-70234.93</v>
      </c>
      <c r="H114" s="24"/>
      <c r="I114" s="25"/>
      <c r="J114" s="15"/>
      <c r="M114" s="35"/>
    </row>
    <row r="115" spans="3:13" ht="12.75">
      <c r="C115" s="15" t="s">
        <v>81</v>
      </c>
      <c r="D115" s="15"/>
      <c r="E115" s="21">
        <v>43152</v>
      </c>
      <c r="F115" s="15"/>
      <c r="G115" s="24">
        <v>526301.60</v>
      </c>
      <c r="H115" s="24"/>
      <c r="I115" s="25"/>
      <c r="J115" s="15"/>
      <c r="M115" s="35"/>
    </row>
    <row r="116" spans="3:13" ht="12.75">
      <c r="C116" s="15"/>
      <c r="D116" s="15"/>
      <c r="E116" s="21">
        <v>43186</v>
      </c>
      <c r="F116" s="15"/>
      <c r="G116" s="24">
        <v>317547.57</v>
      </c>
      <c r="H116" s="24"/>
      <c r="I116" s="25"/>
      <c r="J116" s="15"/>
      <c r="M116" s="35"/>
    </row>
    <row r="117" spans="3:13" ht="12.75">
      <c r="C117" s="15" t="s">
        <v>82</v>
      </c>
      <c r="D117" s="15"/>
      <c r="E117" s="21">
        <v>43262</v>
      </c>
      <c r="F117" s="15"/>
      <c r="G117" s="24">
        <v>44950.31</v>
      </c>
      <c r="H117" s="24"/>
      <c r="I117" s="25"/>
      <c r="J117" s="15"/>
      <c r="M117" s="35"/>
    </row>
    <row r="118" spans="3:13" ht="12.75">
      <c r="C118" s="15"/>
      <c r="D118" s="15"/>
      <c r="E118" s="21">
        <v>43364</v>
      </c>
      <c r="F118" s="15"/>
      <c r="G118" s="24">
        <v>-176124.28</v>
      </c>
      <c r="H118" s="24"/>
      <c r="I118" s="25"/>
      <c r="J118" s="15"/>
      <c r="M118" s="35"/>
    </row>
    <row r="119" spans="3:13" ht="12.75">
      <c r="C119" s="15"/>
      <c r="D119" s="15"/>
      <c r="E119" s="21">
        <v>43404</v>
      </c>
      <c r="F119" s="15"/>
      <c r="G119" s="24">
        <v>43189.44</v>
      </c>
      <c r="H119" s="24"/>
      <c r="I119" s="25"/>
      <c r="J119" s="15"/>
      <c r="M119" s="35"/>
    </row>
    <row r="120" spans="3:13" ht="12.75">
      <c r="C120" s="15"/>
      <c r="D120" s="15"/>
      <c r="E120" s="21">
        <v>43454</v>
      </c>
      <c r="F120" s="15"/>
      <c r="G120" s="24">
        <v>-178916.50</v>
      </c>
      <c r="H120" s="24"/>
      <c r="I120" s="25"/>
      <c r="J120" s="15"/>
      <c r="M120" s="35"/>
    </row>
    <row r="121" spans="3:13" ht="12.75">
      <c r="C121" s="15" t="s">
        <v>83</v>
      </c>
      <c r="D121" s="15"/>
      <c r="E121" s="21">
        <v>43649</v>
      </c>
      <c r="F121" s="15"/>
      <c r="G121" s="24">
        <v>-31573.50</v>
      </c>
      <c r="H121" s="24"/>
      <c r="I121" s="24"/>
      <c r="J121" s="15"/>
      <c r="M121" s="35"/>
    </row>
    <row r="122" spans="3:13" ht="12.75">
      <c r="C122" s="15" t="s">
        <v>84</v>
      </c>
      <c r="D122" s="15"/>
      <c r="E122" s="21">
        <v>43593</v>
      </c>
      <c r="F122" s="15"/>
      <c r="G122" s="24">
        <v>44775.60</v>
      </c>
      <c r="H122" s="24"/>
      <c r="I122" s="25"/>
      <c r="J122" s="15"/>
      <c r="M122" s="35"/>
    </row>
    <row r="123" spans="3:13" ht="12.75">
      <c r="C123" s="15"/>
      <c r="D123" s="15"/>
      <c r="E123" s="21">
        <v>43655</v>
      </c>
      <c r="F123" s="15"/>
      <c r="G123" s="24">
        <v>74639.75</v>
      </c>
      <c r="H123" s="24"/>
      <c r="I123" s="25"/>
      <c r="J123" s="15"/>
      <c r="M123" s="35"/>
    </row>
    <row r="124" spans="3:13" ht="12.75">
      <c r="C124" s="15" t="s">
        <v>16</v>
      </c>
      <c r="D124" s="15"/>
      <c r="E124" s="21">
        <v>43928</v>
      </c>
      <c r="F124" s="15"/>
      <c r="G124" s="24">
        <v>-27277.78</v>
      </c>
      <c r="H124" s="24"/>
      <c r="I124" s="25"/>
      <c r="J124" s="15"/>
      <c r="M124" s="35"/>
    </row>
    <row r="125" spans="3:13" ht="15.75">
      <c r="C125" s="15"/>
      <c r="D125" s="15"/>
      <c r="E125" s="21">
        <v>44070</v>
      </c>
      <c r="F125" s="15"/>
      <c r="G125" s="24">
        <v>-276898.45</v>
      </c>
      <c r="H125" s="24"/>
      <c r="I125" s="25"/>
      <c r="J125" s="15"/>
      <c r="L125" s="55"/>
      <c r="M125" s="35"/>
    </row>
    <row r="126" spans="3:13" ht="15.75">
      <c r="C126" s="15" t="s">
        <v>71</v>
      </c>
      <c r="D126" s="15"/>
      <c r="E126" s="21">
        <v>44302</v>
      </c>
      <c r="F126" s="15"/>
      <c r="G126" s="24">
        <v>128116.15</v>
      </c>
      <c r="H126" s="24"/>
      <c r="I126" s="25"/>
      <c r="J126" s="15"/>
      <c r="L126" s="55"/>
      <c r="M126" s="35"/>
    </row>
    <row r="127" spans="3:13" ht="15.75">
      <c r="C127" s="15" t="s">
        <v>73</v>
      </c>
      <c r="D127" s="15"/>
      <c r="E127" s="21">
        <v>44673</v>
      </c>
      <c r="F127" s="15"/>
      <c r="G127" s="24">
        <v>288048.77</v>
      </c>
      <c r="H127" s="24"/>
      <c r="I127" s="25"/>
      <c r="J127" s="15"/>
      <c r="L127" s="55"/>
      <c r="M127" s="35"/>
    </row>
    <row r="128" spans="3:13" ht="15.75">
      <c r="C128" s="15"/>
      <c r="D128" s="15"/>
      <c r="E128" s="21">
        <v>44727</v>
      </c>
      <c r="F128" s="15"/>
      <c r="G128" s="24">
        <v>43194.18</v>
      </c>
      <c r="H128" s="24"/>
      <c r="I128" s="25"/>
      <c r="J128" s="15"/>
      <c r="L128" s="55"/>
      <c r="M128" s="35"/>
    </row>
    <row r="129" spans="3:13" ht="15.75">
      <c r="C129" s="15"/>
      <c r="D129" s="15"/>
      <c r="E129" s="21">
        <v>44796</v>
      </c>
      <c r="F129" s="15"/>
      <c r="G129" s="24">
        <v>38584.48</v>
      </c>
      <c r="H129" s="24"/>
      <c r="I129" s="25"/>
      <c r="J129" s="15"/>
      <c r="L129" s="55"/>
      <c r="M129" s="35"/>
    </row>
    <row r="130" spans="3:13" ht="15.75">
      <c r="C130" s="15"/>
      <c r="D130" s="15"/>
      <c r="E130" s="21">
        <v>44868</v>
      </c>
      <c r="F130" s="15"/>
      <c r="G130" s="24">
        <f>136541.13-1406.16</f>
        <v>135134.97</v>
      </c>
      <c r="H130" s="24"/>
      <c r="I130" s="25"/>
      <c r="J130" s="15"/>
      <c r="L130" s="55"/>
      <c r="M130" s="35"/>
    </row>
    <row r="131" spans="3:13" ht="15.75">
      <c r="C131" s="15"/>
      <c r="D131" s="15"/>
      <c r="E131" s="21">
        <v>44911</v>
      </c>
      <c r="F131" s="15"/>
      <c r="G131" s="24">
        <v>105378.05</v>
      </c>
      <c r="H131" s="24"/>
      <c r="I131" s="25"/>
      <c r="J131" s="15"/>
      <c r="L131" s="55"/>
      <c r="M131" s="35"/>
    </row>
    <row r="132" spans="3:13" ht="15.75">
      <c r="C132" s="15" t="s">
        <v>75</v>
      </c>
      <c r="D132" s="15"/>
      <c r="E132" s="21">
        <v>44973</v>
      </c>
      <c r="F132" s="15"/>
      <c r="G132" s="24">
        <v>127150.58</v>
      </c>
      <c r="H132" s="24"/>
      <c r="I132" s="25"/>
      <c r="J132" s="15"/>
      <c r="L132" s="55"/>
      <c r="M132" s="35"/>
    </row>
    <row r="133" spans="3:13" ht="15.75">
      <c r="C133" s="15"/>
      <c r="D133" s="15"/>
      <c r="E133" s="21">
        <v>45079</v>
      </c>
      <c r="F133" s="15"/>
      <c r="G133" s="24">
        <v>86675.06</v>
      </c>
      <c r="H133" s="24"/>
      <c r="I133" s="25"/>
      <c r="J133" s="15"/>
      <c r="L133" s="55"/>
      <c r="M133" s="35"/>
    </row>
    <row r="134" spans="3:13" ht="4.5" customHeight="1">
      <c r="C134" s="15"/>
      <c r="D134" s="15"/>
      <c r="E134" s="21"/>
      <c r="F134" s="15"/>
      <c r="G134" s="24"/>
      <c r="H134" s="24"/>
      <c r="I134" s="25"/>
      <c r="M134" s="35"/>
    </row>
    <row r="135" spans="3:13" ht="12.75">
      <c r="C135" s="15" t="s">
        <v>5</v>
      </c>
      <c r="D135" s="15"/>
      <c r="E135" s="21">
        <f>+E8</f>
        <v>45107</v>
      </c>
      <c r="F135" s="15"/>
      <c r="G135" s="46">
        <f>L135*C22</f>
        <v>3029967.383623586</v>
      </c>
      <c r="H135" s="46"/>
      <c r="I135" s="24">
        <f>+SUMIF($G$23:$G$134,"&lt;0",$G$23:$G$134)</f>
        <v>-8827861.09</v>
      </c>
      <c r="J135" s="15" t="s">
        <v>14</v>
      </c>
      <c r="L135" s="57">
        <v>105782917</v>
      </c>
      <c r="M135" s="35"/>
    </row>
    <row r="136" spans="3:13" ht="12.75">
      <c r="C136" s="15"/>
      <c r="D136" s="15"/>
      <c r="E136" s="15"/>
      <c r="F136" s="15"/>
      <c r="G136" s="15"/>
      <c r="H136" s="15"/>
      <c r="I136" s="24">
        <f>+SUMIF($G$23:$G$134,"&gt;0",$G$23:$G$134)</f>
        <v>5995156.55</v>
      </c>
      <c r="J136" s="15" t="s">
        <v>15</v>
      </c>
      <c r="L136" s="137"/>
      <c r="M136" s="35"/>
    </row>
    <row r="137" spans="3:8" ht="12.75">
      <c r="C137" s="14" t="s">
        <v>0</v>
      </c>
      <c r="G137" s="138">
        <f>+XIRR(G23:G135,E23:E135,0.1)</f>
        <v>0.004582789540290834</v>
      </c>
      <c r="H137" s="138"/>
    </row>
    <row r="138" spans="3:8" ht="12.75">
      <c r="C138" s="15"/>
      <c r="D138" s="15"/>
      <c r="E138" s="15"/>
      <c r="F138" s="15"/>
      <c r="G138" s="15"/>
      <c r="H138" s="15"/>
    </row>
    <row r="139" spans="3:8" ht="12.75">
      <c r="C139" s="15"/>
      <c r="D139" s="15"/>
      <c r="E139" s="15"/>
      <c r="F139" s="15"/>
      <c r="G139" s="15"/>
      <c r="H139" s="15"/>
    </row>
    <row r="140" spans="3:8" ht="12.75">
      <c r="C140" s="15"/>
      <c r="D140" s="15"/>
      <c r="E140" s="15"/>
      <c r="F140" s="15"/>
      <c r="G140" s="53"/>
      <c r="H140" s="15"/>
    </row>
    <row r="141" spans="3:8" ht="12.75">
      <c r="C141" s="15"/>
      <c r="D141" s="15"/>
      <c r="E141" s="53"/>
      <c r="F141" s="52"/>
      <c r="G141" s="53"/>
      <c r="H141" s="52"/>
    </row>
    <row r="142" spans="3:8" ht="12.75">
      <c r="C142" s="15"/>
      <c r="D142" s="15"/>
      <c r="E142" s="53"/>
      <c r="F142" s="52"/>
      <c r="G142" s="53"/>
      <c r="H142" s="52"/>
    </row>
    <row r="143" spans="3:8" ht="12.75">
      <c r="C143" s="52"/>
      <c r="D143" s="52"/>
      <c r="E143" s="132"/>
      <c r="F143" s="132"/>
      <c r="G143" s="132"/>
      <c r="H143" s="53"/>
    </row>
    <row r="144" spans="3:8" ht="12.75">
      <c r="C144" s="52"/>
      <c r="D144" s="52"/>
      <c r="E144" s="53"/>
      <c r="F144" s="53"/>
      <c r="G144" s="53"/>
      <c r="H144" s="53"/>
    </row>
    <row r="145" spans="3:8" ht="12.75">
      <c r="C145" s="52"/>
      <c r="D145" s="52"/>
      <c r="E145" s="52"/>
      <c r="F145" s="52"/>
      <c r="G145" s="52"/>
      <c r="H145" s="14"/>
    </row>
    <row r="146" spans="3:8" ht="12.75">
      <c r="C146" s="170"/>
      <c r="D146" s="170"/>
      <c r="E146" s="171"/>
      <c r="F146" s="54"/>
      <c r="G146" s="70"/>
      <c r="H146" s="122"/>
    </row>
    <row r="147" spans="3:8" ht="12.75">
      <c r="C147" s="170"/>
      <c r="D147" s="170"/>
      <c r="E147" s="70"/>
      <c r="F147" s="54"/>
      <c r="G147" s="70"/>
      <c r="H147" s="122"/>
    </row>
    <row r="148" spans="3:8" ht="12.75">
      <c r="C148" s="170"/>
      <c r="D148" s="170"/>
      <c r="E148" s="70"/>
      <c r="F148" s="54"/>
      <c r="G148" s="70"/>
      <c r="H148" s="124"/>
    </row>
    <row r="149" spans="3:8" ht="12.75">
      <c r="C149" s="172"/>
      <c r="D149" s="170"/>
      <c r="E149" s="70"/>
      <c r="F149" s="54"/>
      <c r="G149" s="70"/>
      <c r="H149" s="15"/>
    </row>
    <row r="150" spans="3:8" ht="12.75">
      <c r="C150" s="172"/>
      <c r="D150" s="170"/>
      <c r="E150" s="70"/>
      <c r="F150" s="54"/>
      <c r="G150" s="70"/>
      <c r="H150" s="15"/>
    </row>
    <row r="151" spans="3:8" ht="12.75">
      <c r="C151" s="173"/>
      <c r="D151" s="170"/>
      <c r="E151" s="70"/>
      <c r="F151" s="54"/>
      <c r="G151" s="70"/>
      <c r="H151" s="15"/>
    </row>
    <row r="152" spans="3:8" ht="12.75">
      <c r="C152" s="170"/>
      <c r="D152" s="170"/>
      <c r="E152" s="70"/>
      <c r="F152" s="54"/>
      <c r="G152" s="70"/>
      <c r="H152" s="15"/>
    </row>
    <row r="153" spans="3:8" ht="12.75">
      <c r="C153" s="170"/>
      <c r="D153" s="170"/>
      <c r="E153" s="70"/>
      <c r="F153" s="54"/>
      <c r="G153" s="70"/>
      <c r="H153" s="15"/>
    </row>
    <row r="154" spans="3:8" ht="12.75">
      <c r="C154" s="170"/>
      <c r="D154" s="170"/>
      <c r="E154" s="70"/>
      <c r="F154" s="54"/>
      <c r="G154" s="70"/>
      <c r="H154" s="15"/>
    </row>
    <row r="155" spans="3:8" ht="12.75">
      <c r="C155" s="170"/>
      <c r="D155" s="170"/>
      <c r="E155" s="70"/>
      <c r="F155" s="54"/>
      <c r="G155" s="70"/>
      <c r="H155" s="15"/>
    </row>
    <row r="156" spans="3:8" ht="12.75">
      <c r="C156" s="170"/>
      <c r="D156" s="170"/>
      <c r="E156" s="70"/>
      <c r="F156" s="54"/>
      <c r="G156" s="70"/>
      <c r="H156" s="15"/>
    </row>
    <row r="157" spans="3:8" ht="12.75">
      <c r="C157" s="170"/>
      <c r="D157" s="170"/>
      <c r="E157" s="70"/>
      <c r="F157" s="54"/>
      <c r="G157" s="70"/>
      <c r="H157" s="15"/>
    </row>
    <row r="158" spans="3:8" ht="5.1" customHeight="1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</sheetData>
  <mergeCells count="1">
    <mergeCell ref="E143:G143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985A5A-5583-4CCF-9C0B-9D92B52FE61C}">
  <sheetPr>
    <pageSetUpPr fitToPage="1"/>
  </sheetPr>
  <dimension ref="B4:L197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17">
        <v>45107</v>
      </c>
      <c r="F8" s="32"/>
      <c r="G8" s="6"/>
      <c r="H8" s="6"/>
    </row>
    <row r="9" spans="3:7" ht="15.75">
      <c r="C9" s="161"/>
      <c r="D9" s="161"/>
      <c r="E9" s="161"/>
      <c r="F9" s="161"/>
      <c r="G9" s="162"/>
    </row>
    <row r="10" spans="3:8" ht="12.75">
      <c r="C10" s="163"/>
      <c r="D10" s="163"/>
      <c r="E10" s="164"/>
      <c r="F10" s="163"/>
      <c r="G10" s="174"/>
      <c r="H10" s="7"/>
    </row>
    <row r="11" spans="3:8" ht="12.75">
      <c r="C11" s="163"/>
      <c r="D11" s="163"/>
      <c r="E11" s="164"/>
      <c r="F11" s="163"/>
      <c r="G11" s="175"/>
      <c r="H11" s="7"/>
    </row>
    <row r="12" spans="3:8" ht="15.75">
      <c r="C12" s="165"/>
      <c r="D12" s="165"/>
      <c r="E12" s="166"/>
      <c r="F12" s="165"/>
      <c r="G12" s="176"/>
      <c r="H12" s="5"/>
    </row>
    <row r="13" spans="3:8" ht="12.75">
      <c r="C13" s="163"/>
      <c r="D13" s="163"/>
      <c r="E13" s="167"/>
      <c r="F13" s="163"/>
      <c r="G13" s="174"/>
      <c r="H13" s="8"/>
    </row>
    <row r="14" spans="3:8" ht="12.75">
      <c r="C14" s="163"/>
      <c r="D14" s="163"/>
      <c r="E14" s="168"/>
      <c r="F14" s="163"/>
      <c r="G14" s="174"/>
      <c r="H14" s="9"/>
    </row>
    <row r="15" spans="3:8" ht="12.75">
      <c r="C15" s="163"/>
      <c r="D15" s="163"/>
      <c r="E15" s="164"/>
      <c r="F15" s="163"/>
      <c r="G15" s="164"/>
      <c r="H15" s="7"/>
    </row>
    <row r="16" spans="3:8" ht="15.75">
      <c r="C16" s="5"/>
      <c r="D16" s="5"/>
      <c r="E16" s="11"/>
      <c r="F16" s="5"/>
      <c r="G16" s="11"/>
      <c r="H16" s="5"/>
    </row>
    <row r="17" spans="3:8" ht="15.75">
      <c r="C17" s="26" t="s">
        <v>7</v>
      </c>
      <c r="D17" s="26"/>
      <c r="E17" s="11"/>
      <c r="F17" s="26"/>
      <c r="G17" s="11"/>
      <c r="H17" s="5"/>
    </row>
    <row r="18" spans="3:8" ht="12.75" customHeight="1">
      <c r="C18" s="18" t="s">
        <v>8</v>
      </c>
      <c r="D18" s="18"/>
      <c r="E18" s="8">
        <f>G161</f>
        <v>0.103925234079361</v>
      </c>
      <c r="F18" s="18"/>
      <c r="G18" s="28"/>
      <c r="H18" s="8"/>
    </row>
    <row r="19" spans="3:8" ht="12.75">
      <c r="C19" s="18" t="s">
        <v>10</v>
      </c>
      <c r="D19" s="18"/>
      <c r="E19" s="34">
        <f>(G159+I160)/-I159</f>
        <v>1.4543749932202843</v>
      </c>
      <c r="F19" s="18"/>
      <c r="G19" s="34"/>
      <c r="H19" s="7"/>
    </row>
    <row r="20" spans="3:7" ht="12.75">
      <c r="C20" s="18"/>
      <c r="D20" s="18"/>
      <c r="E20" s="18"/>
      <c r="F20" s="18"/>
      <c r="G20" s="7"/>
    </row>
    <row r="21" spans="3:11" ht="15.75">
      <c r="C21" s="19" t="s">
        <v>95</v>
      </c>
      <c r="D21" s="20"/>
      <c r="E21" s="20"/>
      <c r="F21" s="20"/>
      <c r="I21" s="15"/>
      <c r="K21" s="119"/>
    </row>
    <row r="22" spans="3:9" ht="12.75">
      <c r="C22" s="22">
        <v>1.9399999999991462E-4</v>
      </c>
      <c r="D22" s="15"/>
      <c r="E22" s="15"/>
      <c r="F22" s="15"/>
      <c r="G22" s="23"/>
      <c r="H22" s="15"/>
      <c r="I22" s="15"/>
    </row>
    <row r="23" spans="3:9" ht="12.75">
      <c r="C23" s="15" t="s">
        <v>90</v>
      </c>
      <c r="D23" s="15"/>
      <c r="E23" s="21">
        <v>41282</v>
      </c>
      <c r="F23" s="24"/>
      <c r="G23" s="130">
        <v>-6000</v>
      </c>
      <c r="H23" s="15"/>
      <c r="I23" s="25"/>
    </row>
    <row r="24" spans="3:9" ht="12.75">
      <c r="C24" s="15"/>
      <c r="D24" s="15"/>
      <c r="E24" s="21">
        <v>41359</v>
      </c>
      <c r="F24" s="24"/>
      <c r="G24" s="130">
        <v>-4947</v>
      </c>
      <c r="H24" s="15"/>
      <c r="I24" s="25"/>
    </row>
    <row r="25" spans="3:9" ht="12.75">
      <c r="C25" s="15"/>
      <c r="D25" s="15"/>
      <c r="E25" s="21">
        <v>41381</v>
      </c>
      <c r="F25" s="24"/>
      <c r="G25" s="130">
        <v>-1920.60</v>
      </c>
      <c r="H25" s="15"/>
      <c r="I25" s="25"/>
    </row>
    <row r="26" spans="3:9" ht="12.75">
      <c r="C26" s="15"/>
      <c r="D26" s="15"/>
      <c r="E26" s="21">
        <v>41424</v>
      </c>
      <c r="F26" s="24"/>
      <c r="G26" s="130">
        <v>-1610.20</v>
      </c>
      <c r="H26" s="15"/>
      <c r="I26" s="25"/>
    </row>
    <row r="27" spans="3:9" ht="12.75">
      <c r="C27" s="15"/>
      <c r="D27" s="15"/>
      <c r="E27" s="21">
        <v>41446</v>
      </c>
      <c r="F27" s="24"/>
      <c r="G27" s="130">
        <v>-58665.60</v>
      </c>
      <c r="H27" s="15"/>
      <c r="I27" s="25"/>
    </row>
    <row r="28" spans="3:9" ht="12.75">
      <c r="C28" s="15"/>
      <c r="D28" s="15"/>
      <c r="E28" s="21">
        <v>41498</v>
      </c>
      <c r="F28" s="24"/>
      <c r="G28" s="130">
        <v>-3918.80</v>
      </c>
      <c r="H28" s="15"/>
      <c r="I28" s="25"/>
    </row>
    <row r="29" spans="3:9" ht="12.75">
      <c r="C29" s="15"/>
      <c r="D29" s="15"/>
      <c r="E29" s="21">
        <v>41527</v>
      </c>
      <c r="F29" s="24"/>
      <c r="G29" s="130">
        <v>-9855.2</v>
      </c>
      <c r="H29" s="15"/>
      <c r="I29" s="25"/>
    </row>
    <row r="30" spans="3:8" ht="12.75">
      <c r="C30" s="15"/>
      <c r="D30" s="15"/>
      <c r="E30" s="21">
        <v>41534</v>
      </c>
      <c r="F30" s="24"/>
      <c r="G30" s="130">
        <v>-5024.6</v>
      </c>
      <c r="H30" s="15"/>
    </row>
    <row r="31" spans="3:8" ht="12.75">
      <c r="C31" s="15"/>
      <c r="D31" s="15"/>
      <c r="E31" s="21">
        <v>41551</v>
      </c>
      <c r="F31" s="24"/>
      <c r="G31" s="130">
        <v>-4772.4</v>
      </c>
      <c r="H31" s="15"/>
    </row>
    <row r="32" spans="3:8" ht="12.75">
      <c r="C32" s="15"/>
      <c r="D32" s="15"/>
      <c r="E32" s="21">
        <v>41585</v>
      </c>
      <c r="F32" s="24"/>
      <c r="G32" s="130">
        <v>-9137.40</v>
      </c>
      <c r="H32" s="15"/>
    </row>
    <row r="33" spans="3:8" ht="12.75">
      <c r="C33" s="15"/>
      <c r="D33" s="15"/>
      <c r="E33" s="21">
        <v>41621</v>
      </c>
      <c r="F33" s="24"/>
      <c r="G33" s="130">
        <v>-16625.80</v>
      </c>
      <c r="H33" s="15"/>
    </row>
    <row r="34" spans="3:8" ht="12.75">
      <c r="C34" s="15"/>
      <c r="D34" s="15"/>
      <c r="E34" s="21">
        <v>41635</v>
      </c>
      <c r="F34" s="24"/>
      <c r="G34" s="130">
        <v>-6770.60</v>
      </c>
      <c r="H34" s="15"/>
    </row>
    <row r="35" spans="3:10" ht="12.75">
      <c r="C35" s="15" t="s">
        <v>92</v>
      </c>
      <c r="D35" s="15"/>
      <c r="E35" s="21">
        <v>41670</v>
      </c>
      <c r="F35" s="24"/>
      <c r="G35" s="24">
        <v>-5781.20</v>
      </c>
      <c r="H35" s="15"/>
      <c r="I35" s="25"/>
      <c r="J35" s="15"/>
    </row>
    <row r="36" spans="3:10" ht="12.75">
      <c r="C36" s="15"/>
      <c r="D36" s="15"/>
      <c r="E36" s="21">
        <v>41712</v>
      </c>
      <c r="F36" s="24"/>
      <c r="G36" s="24">
        <v>-14666.47</v>
      </c>
      <c r="H36" s="15"/>
      <c r="I36" s="25"/>
      <c r="J36" s="15"/>
    </row>
    <row r="37" spans="3:10" ht="12.75">
      <c r="C37" s="15"/>
      <c r="D37" s="15"/>
      <c r="E37" s="21">
        <v>41724</v>
      </c>
      <c r="F37" s="24"/>
      <c r="G37" s="24">
        <v>-5315.60</v>
      </c>
      <c r="H37" s="15"/>
      <c r="I37" s="25"/>
      <c r="J37" s="15"/>
    </row>
    <row r="38" spans="3:10" ht="12.75">
      <c r="C38" s="15"/>
      <c r="D38" s="15"/>
      <c r="E38" s="21">
        <v>41733</v>
      </c>
      <c r="F38" s="24"/>
      <c r="G38" s="24">
        <v>-8380.8</v>
      </c>
      <c r="H38" s="15"/>
      <c r="I38" s="25"/>
      <c r="J38" s="15"/>
    </row>
    <row r="39" spans="3:10" ht="12.75">
      <c r="C39" s="15"/>
      <c r="D39" s="15"/>
      <c r="E39" s="21">
        <v>41764</v>
      </c>
      <c r="F39" s="24"/>
      <c r="G39" s="24">
        <v>-7333.21</v>
      </c>
      <c r="H39" s="15"/>
      <c r="I39" s="25"/>
      <c r="J39" s="15"/>
    </row>
    <row r="40" spans="3:10" ht="12.75">
      <c r="C40" s="15"/>
      <c r="D40" s="15"/>
      <c r="E40" s="21">
        <v>41774</v>
      </c>
      <c r="F40" s="24"/>
      <c r="G40" s="24">
        <v>-10320.8</v>
      </c>
      <c r="H40" s="15"/>
      <c r="I40" s="25"/>
      <c r="J40" s="15"/>
    </row>
    <row r="41" spans="3:10" ht="12.75">
      <c r="C41" s="15"/>
      <c r="D41" s="15"/>
      <c r="E41" s="21">
        <v>41788</v>
      </c>
      <c r="F41" s="24"/>
      <c r="G41" s="24">
        <v>-8012.19</v>
      </c>
      <c r="H41" s="15"/>
      <c r="I41" s="25"/>
      <c r="J41" s="15"/>
    </row>
    <row r="42" spans="3:10" ht="12.75">
      <c r="C42" s="15"/>
      <c r="D42" s="15"/>
      <c r="E42" s="21">
        <v>41817</v>
      </c>
      <c r="F42" s="24"/>
      <c r="G42" s="24">
        <v>-14394.80</v>
      </c>
      <c r="H42" s="15"/>
      <c r="I42" s="25"/>
      <c r="J42" s="15"/>
    </row>
    <row r="43" spans="3:10" ht="12.75">
      <c r="C43" s="15"/>
      <c r="D43" s="15"/>
      <c r="E43" s="21">
        <v>41830</v>
      </c>
      <c r="F43" s="24"/>
      <c r="G43" s="24">
        <v>-9098.61</v>
      </c>
      <c r="H43" s="15"/>
      <c r="I43" s="25"/>
      <c r="J43" s="15"/>
    </row>
    <row r="44" spans="3:12" ht="12.75">
      <c r="C44" s="15"/>
      <c r="D44" s="15"/>
      <c r="E44" s="21">
        <v>41851</v>
      </c>
      <c r="F44" s="24"/>
      <c r="G44" s="24">
        <v>-5121.6</v>
      </c>
      <c r="H44" s="15"/>
      <c r="L44" s="139"/>
    </row>
    <row r="45" spans="3:12" ht="12.75">
      <c r="C45" s="15"/>
      <c r="D45" s="15"/>
      <c r="E45" s="21">
        <v>41859</v>
      </c>
      <c r="F45" s="24"/>
      <c r="G45" s="24">
        <v>-9777.60</v>
      </c>
      <c r="H45" s="15"/>
      <c r="L45" s="139"/>
    </row>
    <row r="46" spans="3:11" ht="12.75">
      <c r="C46" s="15"/>
      <c r="D46" s="15"/>
      <c r="E46" s="21">
        <v>41880</v>
      </c>
      <c r="F46" s="24"/>
      <c r="G46" s="24">
        <v>-6052.80</v>
      </c>
      <c r="H46" s="15"/>
      <c r="K46" s="140"/>
    </row>
    <row r="47" spans="3:8" ht="12.75">
      <c r="C47" s="15"/>
      <c r="D47" s="15"/>
      <c r="E47" s="21">
        <v>41900</v>
      </c>
      <c r="F47" s="24"/>
      <c r="G47" s="24">
        <v>-24948.41</v>
      </c>
      <c r="H47" s="15"/>
    </row>
    <row r="48" spans="3:8" ht="12.75">
      <c r="C48" s="15"/>
      <c r="D48" s="15"/>
      <c r="E48" s="21">
        <v>41915</v>
      </c>
      <c r="F48" s="24"/>
      <c r="G48" s="24">
        <v>-25666.19</v>
      </c>
      <c r="H48" s="15"/>
    </row>
    <row r="49" spans="3:10" ht="12.75">
      <c r="C49" s="15"/>
      <c r="D49" s="15"/>
      <c r="E49" s="21">
        <v>41929</v>
      </c>
      <c r="F49" s="24"/>
      <c r="G49" s="24">
        <v>-19031.40</v>
      </c>
      <c r="H49" s="15"/>
      <c r="I49" s="25"/>
      <c r="J49" s="15"/>
    </row>
    <row r="50" spans="3:10" ht="12.75">
      <c r="C50" s="15"/>
      <c r="D50" s="15"/>
      <c r="E50" s="21">
        <v>41943</v>
      </c>
      <c r="F50" s="24"/>
      <c r="G50" s="24">
        <v>-12648.80</v>
      </c>
      <c r="H50" s="15"/>
      <c r="I50" s="25"/>
      <c r="J50" s="15"/>
    </row>
    <row r="51" spans="3:10" ht="12.75">
      <c r="C51" s="15"/>
      <c r="D51" s="15"/>
      <c r="E51" s="21">
        <v>41977</v>
      </c>
      <c r="F51" s="24"/>
      <c r="G51" s="24">
        <v>-19109</v>
      </c>
      <c r="H51" s="15"/>
      <c r="I51" s="25"/>
      <c r="J51" s="15"/>
    </row>
    <row r="52" spans="3:10" ht="12.75">
      <c r="C52" s="15" t="s">
        <v>93</v>
      </c>
      <c r="D52" s="15"/>
      <c r="E52" s="21">
        <v>41817</v>
      </c>
      <c r="F52" s="24"/>
      <c r="G52" s="24">
        <v>14124.60</v>
      </c>
      <c r="H52" s="15"/>
      <c r="I52" s="25"/>
      <c r="J52" s="15"/>
    </row>
    <row r="53" spans="3:8" ht="12.75">
      <c r="C53" s="15" t="s">
        <v>76</v>
      </c>
      <c r="D53" s="15"/>
      <c r="E53" s="21">
        <v>42009</v>
      </c>
      <c r="F53" s="24"/>
      <c r="G53" s="24">
        <v>-61672.60</v>
      </c>
      <c r="H53" s="15"/>
    </row>
    <row r="54" spans="3:8" ht="12.75">
      <c r="C54" s="15"/>
      <c r="D54" s="15"/>
      <c r="E54" s="21">
        <v>42027</v>
      </c>
      <c r="F54" s="24"/>
      <c r="G54" s="24">
        <v>-29216.40</v>
      </c>
      <c r="H54" s="15"/>
    </row>
    <row r="55" spans="3:8" ht="12.75">
      <c r="C55" s="15"/>
      <c r="D55" s="15"/>
      <c r="E55" s="21">
        <v>42048</v>
      </c>
      <c r="F55" s="24"/>
      <c r="G55" s="24">
        <v>-13075.61</v>
      </c>
      <c r="H55" s="15"/>
    </row>
    <row r="56" spans="3:8" ht="12.75">
      <c r="C56" s="15"/>
      <c r="D56" s="15"/>
      <c r="E56" s="21">
        <v>42061</v>
      </c>
      <c r="F56" s="24"/>
      <c r="G56" s="24">
        <v>-9525.40</v>
      </c>
      <c r="H56" s="15"/>
    </row>
    <row r="57" spans="3:8" ht="12.75">
      <c r="C57" s="15"/>
      <c r="D57" s="15"/>
      <c r="E57" s="21">
        <v>42088</v>
      </c>
      <c r="F57" s="24"/>
      <c r="G57" s="24">
        <v>-20331.20</v>
      </c>
      <c r="H57" s="15"/>
    </row>
    <row r="58" spans="3:8" ht="12.75">
      <c r="C58" s="15"/>
      <c r="D58" s="15"/>
      <c r="E58" s="21">
        <v>42111</v>
      </c>
      <c r="F58" s="24"/>
      <c r="G58" s="24">
        <v>-16431.79</v>
      </c>
      <c r="H58" s="15"/>
    </row>
    <row r="59" spans="3:8" ht="12.75">
      <c r="C59" s="15"/>
      <c r="D59" s="15"/>
      <c r="E59" s="21">
        <v>42138</v>
      </c>
      <c r="F59" s="24"/>
      <c r="G59" s="24">
        <v>-14200.80</v>
      </c>
      <c r="H59" s="15"/>
    </row>
    <row r="60" spans="3:8" ht="12.75">
      <c r="C60" s="15"/>
      <c r="D60" s="15"/>
      <c r="E60" s="21">
        <v>42156</v>
      </c>
      <c r="F60" s="24"/>
      <c r="G60" s="24">
        <v>-17440.59</v>
      </c>
      <c r="H60" s="15"/>
    </row>
    <row r="61" spans="3:8" ht="12.75">
      <c r="C61" s="15"/>
      <c r="D61" s="15"/>
      <c r="E61" s="21">
        <v>42187</v>
      </c>
      <c r="F61" s="24"/>
      <c r="G61" s="24">
        <v>-13812.80</v>
      </c>
      <c r="H61" s="15"/>
    </row>
    <row r="62" spans="3:10" ht="12.75">
      <c r="C62" s="15"/>
      <c r="D62" s="15"/>
      <c r="E62" s="21">
        <v>42230</v>
      </c>
      <c r="F62" s="24"/>
      <c r="G62" s="24">
        <v>-9292.60</v>
      </c>
      <c r="H62" s="15"/>
      <c r="I62" s="25"/>
      <c r="J62" s="15"/>
    </row>
    <row r="63" spans="3:10" ht="12.75">
      <c r="C63" s="15"/>
      <c r="D63" s="15"/>
      <c r="E63" s="21">
        <v>42258</v>
      </c>
      <c r="F63" s="24"/>
      <c r="G63" s="24">
        <v>-18410.59</v>
      </c>
      <c r="H63" s="15"/>
      <c r="I63" s="25"/>
      <c r="J63" s="15"/>
    </row>
    <row r="64" spans="3:10" ht="12.75">
      <c r="C64" s="15"/>
      <c r="D64" s="15"/>
      <c r="E64" s="21">
        <v>42272</v>
      </c>
      <c r="F64" s="24"/>
      <c r="G64" s="24">
        <v>-25743.81</v>
      </c>
      <c r="H64" s="15"/>
      <c r="I64" s="25"/>
      <c r="J64" s="15"/>
    </row>
    <row r="65" spans="3:10" ht="12.75">
      <c r="C65" s="15"/>
      <c r="D65" s="15"/>
      <c r="E65" s="21">
        <v>42293</v>
      </c>
      <c r="F65" s="24"/>
      <c r="G65" s="24">
        <v>-24579.80</v>
      </c>
      <c r="H65" s="15"/>
      <c r="I65" s="25"/>
      <c r="J65" s="15"/>
    </row>
    <row r="66" spans="3:10" ht="12.75">
      <c r="C66" s="15"/>
      <c r="D66" s="15"/>
      <c r="E66" s="21">
        <v>42345</v>
      </c>
      <c r="F66" s="24"/>
      <c r="G66" s="24">
        <v>-11523.60</v>
      </c>
      <c r="H66" s="15"/>
      <c r="I66" s="25"/>
      <c r="J66" s="15"/>
    </row>
    <row r="67" spans="3:10" ht="12.75">
      <c r="C67" s="15"/>
      <c r="D67" s="15"/>
      <c r="E67" s="21">
        <v>42361</v>
      </c>
      <c r="F67" s="24"/>
      <c r="G67" s="24">
        <v>-8865.81</v>
      </c>
      <c r="H67" s="15"/>
      <c r="I67" s="25"/>
      <c r="J67" s="15"/>
    </row>
    <row r="68" spans="3:10" ht="12.75">
      <c r="C68" s="15" t="s">
        <v>94</v>
      </c>
      <c r="D68" s="15"/>
      <c r="E68" s="21">
        <v>42249</v>
      </c>
      <c r="F68" s="24"/>
      <c r="G68" s="24">
        <v>19359.94</v>
      </c>
      <c r="H68" s="15"/>
      <c r="I68" s="25"/>
      <c r="J68" s="15"/>
    </row>
    <row r="69" spans="3:10" ht="12.75">
      <c r="C69" s="15" t="s">
        <v>77</v>
      </c>
      <c r="D69" s="15"/>
      <c r="E69" s="21">
        <v>42382</v>
      </c>
      <c r="F69" s="24"/>
      <c r="G69" s="24">
        <v>-16101.99</v>
      </c>
      <c r="H69" s="15"/>
      <c r="I69" s="25"/>
      <c r="J69" s="15"/>
    </row>
    <row r="70" spans="3:10" ht="12.75">
      <c r="C70" s="15"/>
      <c r="D70" s="15"/>
      <c r="E70" s="21">
        <v>42457</v>
      </c>
      <c r="F70" s="24"/>
      <c r="G70" s="24">
        <v>-17983.81</v>
      </c>
      <c r="H70" s="15"/>
      <c r="I70" s="25"/>
      <c r="J70" s="15"/>
    </row>
    <row r="71" spans="3:10" ht="12.75">
      <c r="C71" s="15"/>
      <c r="D71" s="15"/>
      <c r="E71" s="21">
        <v>42468</v>
      </c>
      <c r="F71" s="24"/>
      <c r="G71" s="24">
        <v>-20796.80</v>
      </c>
      <c r="H71" s="15"/>
      <c r="I71" s="25"/>
      <c r="J71" s="15"/>
    </row>
    <row r="72" spans="3:10" ht="12.75">
      <c r="C72" s="15"/>
      <c r="D72" s="15"/>
      <c r="E72" s="21">
        <v>42507</v>
      </c>
      <c r="F72" s="24"/>
      <c r="G72" s="24">
        <v>-74864.6</v>
      </c>
      <c r="H72" s="15"/>
      <c r="I72" s="25"/>
      <c r="J72" s="15"/>
    </row>
    <row r="73" spans="3:10" ht="12.75">
      <c r="C73" s="15"/>
      <c r="D73" s="15"/>
      <c r="E73" s="21">
        <v>42543</v>
      </c>
      <c r="F73" s="24"/>
      <c r="G73" s="24">
        <v>-38528.40</v>
      </c>
      <c r="H73" s="15"/>
      <c r="I73" s="25"/>
      <c r="J73" s="15"/>
    </row>
    <row r="74" spans="3:10" ht="12.75">
      <c r="C74" s="15"/>
      <c r="D74" s="15"/>
      <c r="E74" s="21">
        <v>42557</v>
      </c>
      <c r="F74" s="24"/>
      <c r="G74" s="24">
        <v>-8594.19</v>
      </c>
      <c r="H74" s="15"/>
      <c r="I74" s="25"/>
      <c r="J74" s="15"/>
    </row>
    <row r="75" spans="3:8" ht="12.75">
      <c r="C75" s="15"/>
      <c r="D75" s="15"/>
      <c r="E75" s="21">
        <v>42590</v>
      </c>
      <c r="F75" s="24"/>
      <c r="G75" s="24">
        <v>-18003.21</v>
      </c>
      <c r="H75" s="15"/>
    </row>
    <row r="76" spans="3:8" ht="12.75">
      <c r="C76" s="15"/>
      <c r="D76" s="15"/>
      <c r="E76" s="21">
        <v>42607</v>
      </c>
      <c r="F76" s="24"/>
      <c r="G76" s="24">
        <v>-31951.80</v>
      </c>
      <c r="H76" s="15"/>
    </row>
    <row r="77" spans="3:8" ht="12.75">
      <c r="C77" s="15"/>
      <c r="D77" s="15"/>
      <c r="E77" s="21">
        <v>42628</v>
      </c>
      <c r="F77" s="24"/>
      <c r="G77" s="24">
        <v>-18216.60</v>
      </c>
      <c r="H77" s="15"/>
    </row>
    <row r="78" spans="3:8" ht="12.75">
      <c r="C78" s="15"/>
      <c r="D78" s="15"/>
      <c r="E78" s="21">
        <v>42634</v>
      </c>
      <c r="F78" s="24"/>
      <c r="G78" s="24">
        <v>-11872.81</v>
      </c>
      <c r="H78" s="15"/>
    </row>
    <row r="79" spans="3:8" ht="12.75">
      <c r="C79" s="15"/>
      <c r="D79" s="15"/>
      <c r="E79" s="21">
        <v>42663</v>
      </c>
      <c r="F79" s="24"/>
      <c r="G79" s="24">
        <v>-21049</v>
      </c>
      <c r="H79" s="15"/>
    </row>
    <row r="80" spans="3:8" ht="12.75">
      <c r="C80" s="15"/>
      <c r="D80" s="15"/>
      <c r="E80" s="21">
        <v>42731</v>
      </c>
      <c r="F80" s="24"/>
      <c r="G80" s="24">
        <v>-23862</v>
      </c>
      <c r="H80" s="15"/>
    </row>
    <row r="81" spans="3:8" ht="12.75">
      <c r="C81" s="15" t="s">
        <v>78</v>
      </c>
      <c r="D81" s="15"/>
      <c r="E81" s="21">
        <v>42377</v>
      </c>
      <c r="F81" s="24"/>
      <c r="G81" s="24">
        <v>112997.82</v>
      </c>
      <c r="H81" s="15"/>
    </row>
    <row r="82" spans="3:8" ht="12.75">
      <c r="C82" s="15"/>
      <c r="D82" s="15"/>
      <c r="E82" s="21">
        <v>42542</v>
      </c>
      <c r="F82" s="24"/>
      <c r="G82" s="24">
        <v>14181.90</v>
      </c>
      <c r="H82" s="15"/>
    </row>
    <row r="83" spans="3:8" ht="12.75">
      <c r="C83" s="15"/>
      <c r="D83" s="15"/>
      <c r="E83" s="21">
        <v>42570</v>
      </c>
      <c r="F83" s="24"/>
      <c r="G83" s="24">
        <v>4479.96</v>
      </c>
      <c r="H83" s="15"/>
    </row>
    <row r="84" spans="3:8" ht="12.75">
      <c r="C84" s="15"/>
      <c r="D84" s="15"/>
      <c r="E84" s="21">
        <v>42586</v>
      </c>
      <c r="F84" s="24"/>
      <c r="G84" s="24">
        <v>52988.38</v>
      </c>
      <c r="H84" s="15"/>
    </row>
    <row r="85" spans="3:8" ht="12.75">
      <c r="C85" s="15"/>
      <c r="D85" s="15"/>
      <c r="E85" s="21">
        <v>42634</v>
      </c>
      <c r="F85" s="24"/>
      <c r="G85" s="24">
        <v>11287.10</v>
      </c>
      <c r="H85" s="15"/>
    </row>
    <row r="86" spans="3:8" ht="12.75">
      <c r="C86" s="15"/>
      <c r="D86" s="15"/>
      <c r="E86" s="21">
        <v>42677</v>
      </c>
      <c r="F86" s="24"/>
      <c r="G86" s="24">
        <v>7607.96</v>
      </c>
      <c r="H86" s="15"/>
    </row>
    <row r="87" spans="3:8" ht="12.75">
      <c r="C87" s="15"/>
      <c r="D87" s="15"/>
      <c r="E87" s="21">
        <v>42709</v>
      </c>
      <c r="F87" s="24"/>
      <c r="G87" s="24">
        <v>17704.01</v>
      </c>
      <c r="H87" s="15"/>
    </row>
    <row r="88" spans="3:10" ht="12.75">
      <c r="C88" s="15"/>
      <c r="D88" s="15"/>
      <c r="E88" s="21">
        <v>42726</v>
      </c>
      <c r="F88" s="24"/>
      <c r="G88" s="24">
        <v>155129.46</v>
      </c>
      <c r="H88" s="15"/>
      <c r="I88" s="25"/>
      <c r="J88" s="15"/>
    </row>
    <row r="89" spans="3:10" ht="12.75">
      <c r="C89" s="15" t="s">
        <v>79</v>
      </c>
      <c r="D89" s="15"/>
      <c r="E89" s="21">
        <v>42753</v>
      </c>
      <c r="F89" s="24"/>
      <c r="G89" s="24">
        <v>-15772.21</v>
      </c>
      <c r="H89" s="15"/>
      <c r="I89" s="25"/>
      <c r="J89" s="15"/>
    </row>
    <row r="90" spans="3:10" ht="12.75">
      <c r="C90" s="15"/>
      <c r="D90" s="15"/>
      <c r="E90" s="21">
        <v>42816</v>
      </c>
      <c r="F90" s="24"/>
      <c r="G90" s="24">
        <v>-12241.40</v>
      </c>
      <c r="H90" s="15"/>
      <c r="I90" s="25"/>
      <c r="J90" s="15"/>
    </row>
    <row r="91" spans="3:10" ht="12.75">
      <c r="C91" s="15"/>
      <c r="D91" s="15"/>
      <c r="E91" s="21">
        <v>42838</v>
      </c>
      <c r="F91" s="24"/>
      <c r="G91" s="24">
        <v>-12125</v>
      </c>
      <c r="H91" s="15"/>
      <c r="I91" s="25"/>
      <c r="J91" s="15"/>
    </row>
    <row r="92" spans="3:10" ht="12.75">
      <c r="C92" s="15"/>
      <c r="D92" s="15"/>
      <c r="E92" s="21">
        <v>42879</v>
      </c>
      <c r="F92" s="24"/>
      <c r="G92" s="24">
        <v>-13114.40</v>
      </c>
      <c r="H92" s="15"/>
      <c r="I92" s="25"/>
      <c r="J92" s="15"/>
    </row>
    <row r="93" spans="3:10" ht="12.75">
      <c r="C93" s="15"/>
      <c r="D93" s="15"/>
      <c r="E93" s="21">
        <v>42908</v>
      </c>
      <c r="F93" s="24"/>
      <c r="G93" s="24">
        <v>-8497.2</v>
      </c>
      <c r="H93" s="15"/>
      <c r="I93" s="25"/>
      <c r="J93" s="15"/>
    </row>
    <row r="94" spans="3:10" ht="12.75">
      <c r="C94" s="15"/>
      <c r="D94" s="15"/>
      <c r="E94" s="21">
        <v>42933</v>
      </c>
      <c r="F94" s="24"/>
      <c r="G94" s="24">
        <v>-8303.19</v>
      </c>
      <c r="H94" s="15"/>
      <c r="I94" s="25"/>
      <c r="J94" s="15"/>
    </row>
    <row r="95" spans="3:10" ht="12.75">
      <c r="C95" s="15"/>
      <c r="D95" s="15"/>
      <c r="E95" s="21">
        <v>42963</v>
      </c>
      <c r="F95" s="24"/>
      <c r="G95" s="24">
        <v>-23862</v>
      </c>
      <c r="H95" s="15"/>
      <c r="I95" s="25"/>
      <c r="J95" s="15"/>
    </row>
    <row r="96" spans="3:10" ht="12.75">
      <c r="C96" s="15"/>
      <c r="D96" s="15"/>
      <c r="E96" s="21">
        <v>42997</v>
      </c>
      <c r="F96" s="24"/>
      <c r="G96" s="24">
        <v>-11834</v>
      </c>
      <c r="H96" s="15"/>
      <c r="I96" s="25"/>
      <c r="J96" s="15"/>
    </row>
    <row r="97" spans="3:10" ht="12.75">
      <c r="C97" s="15"/>
      <c r="D97" s="15"/>
      <c r="E97" s="21">
        <v>43014</v>
      </c>
      <c r="F97" s="24"/>
      <c r="G97" s="24">
        <v>-14821.60</v>
      </c>
      <c r="H97" s="15"/>
      <c r="I97" s="25"/>
      <c r="J97" s="15"/>
    </row>
    <row r="98" spans="3:10" ht="12.75">
      <c r="C98" s="15"/>
      <c r="D98" s="15"/>
      <c r="E98" s="21">
        <v>43091</v>
      </c>
      <c r="F98" s="24"/>
      <c r="G98" s="24">
        <v>-8691.2</v>
      </c>
      <c r="H98" s="15"/>
      <c r="I98" s="25"/>
      <c r="J98" s="15"/>
    </row>
    <row r="99" spans="3:8" ht="12.75">
      <c r="C99" s="15" t="s">
        <v>80</v>
      </c>
      <c r="D99" s="15"/>
      <c r="E99" s="21">
        <v>42745</v>
      </c>
      <c r="F99" s="24"/>
      <c r="G99" s="24">
        <v>145791.53</v>
      </c>
      <c r="H99" s="15"/>
    </row>
    <row r="100" spans="3:12" ht="15.75">
      <c r="C100" s="15"/>
      <c r="D100" s="15"/>
      <c r="E100" s="21">
        <v>42775</v>
      </c>
      <c r="F100" s="24"/>
      <c r="G100" s="24">
        <v>8665.25</v>
      </c>
      <c r="H100" s="15"/>
      <c r="I100" s="177"/>
      <c r="J100" s="177"/>
      <c r="K100" s="177"/>
      <c r="L100" s="178"/>
    </row>
    <row r="101" spans="3:12" ht="12.75">
      <c r="C101" s="15"/>
      <c r="D101" s="15"/>
      <c r="E101" s="21">
        <v>42824</v>
      </c>
      <c r="F101" s="24"/>
      <c r="G101" s="24">
        <v>5425.33</v>
      </c>
      <c r="H101" s="15"/>
      <c r="I101" s="179"/>
      <c r="J101" s="180"/>
      <c r="K101" s="177"/>
      <c r="L101" s="57"/>
    </row>
    <row r="102" spans="3:12" ht="12.75">
      <c r="C102" s="15"/>
      <c r="D102" s="15"/>
      <c r="E102" s="21">
        <v>42877</v>
      </c>
      <c r="F102" s="24"/>
      <c r="G102" s="24">
        <v>6038.39</v>
      </c>
      <c r="H102" s="15"/>
      <c r="I102" s="179"/>
      <c r="J102" s="180"/>
      <c r="K102" s="177"/>
      <c r="L102" s="57"/>
    </row>
    <row r="103" spans="3:12" ht="12.75">
      <c r="C103" s="15"/>
      <c r="D103" s="15"/>
      <c r="E103" s="21">
        <v>42914</v>
      </c>
      <c r="F103" s="24"/>
      <c r="G103" s="24">
        <v>54409.63</v>
      </c>
      <c r="H103" s="15"/>
      <c r="I103" s="179"/>
      <c r="J103" s="180"/>
      <c r="K103" s="177"/>
      <c r="L103" s="57"/>
    </row>
    <row r="104" spans="3:12" ht="12.75">
      <c r="C104" s="15"/>
      <c r="D104" s="15"/>
      <c r="E104" s="21">
        <v>42936</v>
      </c>
      <c r="F104" s="24"/>
      <c r="G104" s="24">
        <v>5808.96</v>
      </c>
      <c r="H104" s="15"/>
      <c r="I104" s="179"/>
      <c r="J104" s="180"/>
      <c r="K104" s="177"/>
      <c r="L104" s="57"/>
    </row>
    <row r="105" spans="3:12" ht="12.75">
      <c r="C105" s="15"/>
      <c r="D105" s="15"/>
      <c r="E105" s="21">
        <v>43019</v>
      </c>
      <c r="F105" s="24"/>
      <c r="G105" s="24">
        <v>4861.67</v>
      </c>
      <c r="H105" s="15"/>
      <c r="I105" s="179"/>
      <c r="J105" s="180"/>
      <c r="K105" s="177"/>
      <c r="L105" s="177"/>
    </row>
    <row r="106" spans="3:12" ht="12.75">
      <c r="C106" s="15"/>
      <c r="D106" s="15"/>
      <c r="E106" s="21">
        <v>43052</v>
      </c>
      <c r="F106" s="24"/>
      <c r="G106" s="24">
        <v>3105.78</v>
      </c>
      <c r="H106" s="15"/>
      <c r="I106" s="179"/>
      <c r="J106" s="180"/>
      <c r="K106" s="177"/>
      <c r="L106" s="177"/>
    </row>
    <row r="107" spans="3:12" ht="12.75">
      <c r="C107" s="15" t="s">
        <v>81</v>
      </c>
      <c r="D107" s="15"/>
      <c r="E107" s="21">
        <v>43178</v>
      </c>
      <c r="F107" s="24"/>
      <c r="G107" s="24">
        <v>-7003.40</v>
      </c>
      <c r="H107" s="15"/>
      <c r="I107" s="179"/>
      <c r="J107" s="180"/>
      <c r="K107" s="177"/>
      <c r="L107" s="177"/>
    </row>
    <row r="108" spans="3:10" ht="12.75">
      <c r="C108" s="15"/>
      <c r="D108" s="15"/>
      <c r="E108" s="21">
        <v>43194</v>
      </c>
      <c r="F108" s="24"/>
      <c r="G108" s="24">
        <v>-10223.8</v>
      </c>
      <c r="H108" s="15"/>
      <c r="I108" s="25"/>
      <c r="J108" s="15"/>
    </row>
    <row r="109" spans="3:10" ht="12.75">
      <c r="C109" s="15"/>
      <c r="D109" s="15"/>
      <c r="E109" s="21">
        <v>43251</v>
      </c>
      <c r="F109" s="24"/>
      <c r="G109" s="24">
        <v>-8439</v>
      </c>
      <c r="H109" s="15"/>
      <c r="I109" s="25"/>
      <c r="J109" s="15"/>
    </row>
    <row r="110" spans="3:10" ht="12.75">
      <c r="C110" s="15"/>
      <c r="D110" s="15"/>
      <c r="E110" s="21">
        <v>43342</v>
      </c>
      <c r="F110" s="24"/>
      <c r="G110" s="24">
        <v>-11058.01</v>
      </c>
      <c r="H110" s="15"/>
      <c r="I110" s="25"/>
      <c r="J110" s="15"/>
    </row>
    <row r="111" spans="3:10" ht="12.75">
      <c r="C111" s="15"/>
      <c r="D111" s="15"/>
      <c r="E111" s="21">
        <v>43434</v>
      </c>
      <c r="F111" s="24"/>
      <c r="G111" s="24">
        <v>-12571.20</v>
      </c>
      <c r="H111" s="15"/>
      <c r="I111" s="25"/>
      <c r="J111" s="15"/>
    </row>
    <row r="112" spans="3:10" ht="12.75">
      <c r="C112" s="15" t="s">
        <v>82</v>
      </c>
      <c r="D112" s="15"/>
      <c r="E112" s="21">
        <v>43116</v>
      </c>
      <c r="F112" s="24"/>
      <c r="G112" s="24">
        <v>26108.63</v>
      </c>
      <c r="H112" s="15"/>
      <c r="I112" s="25"/>
      <c r="J112" s="15"/>
    </row>
    <row r="113" spans="3:10" ht="12.75">
      <c r="C113" s="15"/>
      <c r="D113" s="15"/>
      <c r="E113" s="21">
        <v>43145</v>
      </c>
      <c r="F113" s="24"/>
      <c r="G113" s="24">
        <v>8058.97</v>
      </c>
      <c r="H113" s="15"/>
      <c r="I113" s="25"/>
      <c r="J113" s="15"/>
    </row>
    <row r="114" spans="3:10" ht="12.75">
      <c r="C114" s="15"/>
      <c r="D114" s="15"/>
      <c r="E114" s="21">
        <v>43222</v>
      </c>
      <c r="F114" s="24"/>
      <c r="G114" s="24">
        <v>16229.80</v>
      </c>
      <c r="H114" s="15"/>
      <c r="I114" s="25"/>
      <c r="J114" s="15"/>
    </row>
    <row r="115" spans="3:10" ht="12.75">
      <c r="C115" s="15"/>
      <c r="D115" s="15"/>
      <c r="E115" s="21">
        <v>43314</v>
      </c>
      <c r="F115" s="24"/>
      <c r="G115" s="24">
        <v>17321.99</v>
      </c>
      <c r="H115" s="15"/>
      <c r="I115" s="25"/>
      <c r="J115" s="15"/>
    </row>
    <row r="116" spans="3:10" ht="12.75">
      <c r="C116" s="15"/>
      <c r="D116" s="15"/>
      <c r="E116" s="21">
        <v>43341</v>
      </c>
      <c r="F116" s="24"/>
      <c r="G116" s="24">
        <v>48223.37</v>
      </c>
      <c r="H116" s="15"/>
      <c r="I116" s="25"/>
      <c r="J116" s="15"/>
    </row>
    <row r="117" spans="3:10" ht="12.75">
      <c r="C117" s="15"/>
      <c r="D117" s="15"/>
      <c r="E117" s="21">
        <v>43398</v>
      </c>
      <c r="F117" s="24"/>
      <c r="G117" s="24">
        <v>15335.35</v>
      </c>
      <c r="H117" s="15"/>
      <c r="I117" s="25"/>
      <c r="J117" s="15"/>
    </row>
    <row r="118" spans="3:10" ht="12.75">
      <c r="C118" s="15" t="s">
        <v>83</v>
      </c>
      <c r="D118" s="15"/>
      <c r="E118" s="21">
        <v>43529</v>
      </c>
      <c r="F118" s="24"/>
      <c r="G118" s="24">
        <v>-5800.60</v>
      </c>
      <c r="H118" s="15"/>
      <c r="I118" s="25"/>
      <c r="J118" s="15"/>
    </row>
    <row r="119" spans="3:10" ht="12.75">
      <c r="C119" s="15"/>
      <c r="D119" s="15"/>
      <c r="E119" s="21">
        <v>43564</v>
      </c>
      <c r="F119" s="24"/>
      <c r="G119" s="24">
        <v>-7197.40</v>
      </c>
      <c r="H119" s="15"/>
      <c r="I119" s="25"/>
      <c r="J119" s="15"/>
    </row>
    <row r="120" spans="3:10" ht="12.75">
      <c r="C120" s="15"/>
      <c r="D120" s="15"/>
      <c r="E120" s="21">
        <v>43782</v>
      </c>
      <c r="F120" s="24"/>
      <c r="G120" s="24">
        <v>-6227.40</v>
      </c>
      <c r="H120" s="15"/>
      <c r="I120" s="25"/>
      <c r="J120" s="15"/>
    </row>
    <row r="121" spans="3:10" ht="12.75">
      <c r="C121" s="15" t="s">
        <v>84</v>
      </c>
      <c r="D121" s="15"/>
      <c r="E121" s="21">
        <v>43479</v>
      </c>
      <c r="F121" s="24"/>
      <c r="G121" s="24">
        <v>5103.50</v>
      </c>
      <c r="H121" s="15"/>
      <c r="I121" s="25"/>
      <c r="J121" s="15"/>
    </row>
    <row r="122" spans="3:10" ht="12.75">
      <c r="C122" s="15"/>
      <c r="D122" s="15"/>
      <c r="E122" s="21">
        <v>43558</v>
      </c>
      <c r="F122" s="24"/>
      <c r="G122" s="24">
        <v>48982.15</v>
      </c>
      <c r="H122" s="15"/>
      <c r="I122" s="25"/>
      <c r="J122" s="15"/>
    </row>
    <row r="123" spans="3:10" ht="12.75">
      <c r="C123" s="15"/>
      <c r="D123" s="15"/>
      <c r="E123" s="21">
        <v>43622</v>
      </c>
      <c r="F123" s="24"/>
      <c r="G123" s="24">
        <v>6911.20</v>
      </c>
      <c r="H123" s="15"/>
      <c r="I123" s="25"/>
      <c r="J123" s="15"/>
    </row>
    <row r="124" spans="3:10" ht="12.75">
      <c r="C124" s="15"/>
      <c r="D124" s="15"/>
      <c r="E124" s="21">
        <v>43689</v>
      </c>
      <c r="F124" s="24"/>
      <c r="G124" s="24">
        <v>11739.53</v>
      </c>
      <c r="H124" s="15"/>
      <c r="I124" s="25"/>
      <c r="J124" s="15"/>
    </row>
    <row r="125" spans="3:10" ht="12.75">
      <c r="C125" s="15"/>
      <c r="D125" s="15"/>
      <c r="E125" s="21">
        <v>43753</v>
      </c>
      <c r="F125" s="24"/>
      <c r="G125" s="24">
        <v>5771.80</v>
      </c>
      <c r="H125" s="15"/>
      <c r="I125" s="25"/>
      <c r="J125" s="15"/>
    </row>
    <row r="126" spans="3:10" ht="12.75">
      <c r="C126" s="15" t="s">
        <v>16</v>
      </c>
      <c r="D126" s="15"/>
      <c r="E126" s="21">
        <v>43923</v>
      </c>
      <c r="F126" s="24"/>
      <c r="G126" s="24">
        <v>-5315.60</v>
      </c>
      <c r="H126" s="15"/>
      <c r="I126" s="25"/>
      <c r="J126" s="15"/>
    </row>
    <row r="127" spans="3:10" ht="12.75">
      <c r="C127" s="15"/>
      <c r="D127" s="15"/>
      <c r="E127" s="21">
        <v>44104</v>
      </c>
      <c r="F127" s="24"/>
      <c r="G127" s="24">
        <v>-6188.61</v>
      </c>
      <c r="H127" s="15"/>
      <c r="I127" s="25"/>
      <c r="J127" s="15"/>
    </row>
    <row r="128" spans="3:10" ht="12.75">
      <c r="C128" s="15" t="s">
        <v>85</v>
      </c>
      <c r="D128" s="15"/>
      <c r="E128" s="21">
        <v>43867</v>
      </c>
      <c r="F128" s="24"/>
      <c r="G128" s="24">
        <v>13193.28</v>
      </c>
      <c r="H128" s="15"/>
      <c r="I128" s="25"/>
      <c r="J128" s="15"/>
    </row>
    <row r="129" spans="3:12" ht="15.75">
      <c r="C129" s="15"/>
      <c r="D129" s="15"/>
      <c r="E129" s="21">
        <v>44153</v>
      </c>
      <c r="F129" s="24"/>
      <c r="G129" s="24">
        <v>8884.23</v>
      </c>
      <c r="H129" s="15"/>
      <c r="I129" s="25"/>
      <c r="J129" s="15"/>
      <c r="L129" s="55"/>
    </row>
    <row r="130" spans="3:10" ht="12.75">
      <c r="C130" s="15" t="s">
        <v>41</v>
      </c>
      <c r="D130" s="15"/>
      <c r="E130" s="21">
        <v>44279</v>
      </c>
      <c r="F130" s="24"/>
      <c r="G130" s="24">
        <v>-4171</v>
      </c>
      <c r="H130" s="15"/>
      <c r="I130" s="25"/>
      <c r="J130" s="15"/>
    </row>
    <row r="131" spans="3:10" ht="12.75">
      <c r="C131" s="15"/>
      <c r="D131" s="15"/>
      <c r="E131" s="21">
        <v>44463</v>
      </c>
      <c r="F131" s="24"/>
      <c r="G131" s="24">
        <v>-2832.40</v>
      </c>
      <c r="H131" s="15"/>
      <c r="I131" s="25"/>
      <c r="J131" s="15"/>
    </row>
    <row r="132" spans="3:12" ht="15.75">
      <c r="C132" s="15" t="s">
        <v>71</v>
      </c>
      <c r="D132" s="15"/>
      <c r="E132" s="21">
        <v>44224</v>
      </c>
      <c r="F132" s="24"/>
      <c r="G132" s="24">
        <v>6225.60</v>
      </c>
      <c r="H132" s="15"/>
      <c r="I132" s="25"/>
      <c r="J132" s="15"/>
      <c r="L132" s="55"/>
    </row>
    <row r="133" spans="3:12" ht="15.75">
      <c r="C133" s="15"/>
      <c r="D133" s="15"/>
      <c r="E133" s="21">
        <v>44259</v>
      </c>
      <c r="F133" s="24"/>
      <c r="G133" s="24">
        <v>13767.91</v>
      </c>
      <c r="H133" s="15"/>
      <c r="I133" s="25"/>
      <c r="J133" s="15"/>
      <c r="L133" s="55"/>
    </row>
    <row r="134" spans="3:12" ht="15.75">
      <c r="C134" s="15"/>
      <c r="D134" s="15"/>
      <c r="E134" s="21">
        <v>44383</v>
      </c>
      <c r="F134" s="24"/>
      <c r="G134" s="24">
        <v>62739.66</v>
      </c>
      <c r="H134" s="15"/>
      <c r="I134" s="25"/>
      <c r="J134" s="15"/>
      <c r="L134" s="55"/>
    </row>
    <row r="135" spans="3:12" ht="15.75">
      <c r="C135" s="15"/>
      <c r="D135" s="15"/>
      <c r="E135" s="21">
        <v>44441</v>
      </c>
      <c r="F135" s="24"/>
      <c r="G135" s="24">
        <v>5291.49</v>
      </c>
      <c r="H135" s="15"/>
      <c r="I135" s="25"/>
      <c r="J135" s="15"/>
      <c r="L135" s="55"/>
    </row>
    <row r="136" spans="3:12" ht="15.75">
      <c r="C136" s="15"/>
      <c r="D136" s="15"/>
      <c r="E136" s="21">
        <v>44502</v>
      </c>
      <c r="F136" s="24"/>
      <c r="G136" s="24">
        <v>24019.45</v>
      </c>
      <c r="H136" s="15"/>
      <c r="I136" s="25"/>
      <c r="J136" s="15"/>
      <c r="L136" s="55"/>
    </row>
    <row r="137" spans="3:12" ht="15.75">
      <c r="C137" s="15"/>
      <c r="D137" s="15"/>
      <c r="E137" s="21">
        <v>44551</v>
      </c>
      <c r="F137" s="24"/>
      <c r="G137" s="24">
        <v>7571.28</v>
      </c>
      <c r="H137" s="15"/>
      <c r="I137" s="25"/>
      <c r="J137" s="15"/>
      <c r="L137" s="55"/>
    </row>
    <row r="138" spans="3:12" ht="15.75">
      <c r="C138" s="15" t="s">
        <v>72</v>
      </c>
      <c r="D138" s="15"/>
      <c r="E138" s="21">
        <v>44651</v>
      </c>
      <c r="F138" s="24"/>
      <c r="G138" s="24">
        <v>-1571.40</v>
      </c>
      <c r="H138" s="15"/>
      <c r="I138" s="25"/>
      <c r="J138" s="15"/>
      <c r="L138" s="55"/>
    </row>
    <row r="139" spans="3:12" ht="15.75">
      <c r="C139" s="15"/>
      <c r="D139" s="15"/>
      <c r="E139" s="21">
        <v>44742</v>
      </c>
      <c r="F139" s="24"/>
      <c r="G139" s="24">
        <v>-1396.80</v>
      </c>
      <c r="H139" s="15"/>
      <c r="I139" s="25"/>
      <c r="J139" s="15"/>
      <c r="L139" s="55"/>
    </row>
    <row r="140" spans="3:12" ht="15.75">
      <c r="C140" s="15"/>
      <c r="D140" s="15"/>
      <c r="E140" s="21">
        <v>44827</v>
      </c>
      <c r="F140" s="24"/>
      <c r="G140" s="24">
        <v>-1319.20</v>
      </c>
      <c r="H140" s="15"/>
      <c r="I140" s="25"/>
      <c r="J140" s="15"/>
      <c r="L140" s="55"/>
    </row>
    <row r="141" spans="3:12" ht="15.75">
      <c r="C141" s="15" t="s">
        <v>73</v>
      </c>
      <c r="D141" s="15"/>
      <c r="E141" s="21">
        <v>44582</v>
      </c>
      <c r="F141" s="24"/>
      <c r="G141" s="24">
        <v>30889.58</v>
      </c>
      <c r="H141" s="15"/>
      <c r="I141" s="25"/>
      <c r="J141" s="15"/>
      <c r="L141" s="55"/>
    </row>
    <row r="142" spans="3:12" ht="15.75">
      <c r="C142" s="15"/>
      <c r="D142" s="15"/>
      <c r="E142" s="21">
        <v>44599</v>
      </c>
      <c r="F142" s="24"/>
      <c r="G142" s="24">
        <v>12658.15</v>
      </c>
      <c r="H142" s="15"/>
      <c r="I142" s="25"/>
      <c r="J142" s="15"/>
      <c r="L142" s="55"/>
    </row>
    <row r="143" spans="3:12" ht="15.75">
      <c r="C143" s="15"/>
      <c r="D143" s="15"/>
      <c r="E143" s="21">
        <v>44634</v>
      </c>
      <c r="F143" s="24"/>
      <c r="G143" s="24">
        <v>22379.35</v>
      </c>
      <c r="H143" s="15"/>
      <c r="I143" s="25"/>
      <c r="J143" s="15"/>
      <c r="L143" s="55"/>
    </row>
    <row r="144" spans="3:12" ht="15.75">
      <c r="C144" s="15"/>
      <c r="D144" s="15"/>
      <c r="E144" s="21">
        <v>44657</v>
      </c>
      <c r="F144" s="24"/>
      <c r="G144" s="24">
        <v>21681.51</v>
      </c>
      <c r="H144" s="15"/>
      <c r="I144" s="25"/>
      <c r="J144" s="15"/>
      <c r="L144" s="55"/>
    </row>
    <row r="145" spans="3:12" ht="15.75">
      <c r="C145" s="15"/>
      <c r="D145" s="15"/>
      <c r="E145" s="21">
        <v>44694</v>
      </c>
      <c r="F145" s="24"/>
      <c r="G145" s="24">
        <v>27260.29</v>
      </c>
      <c r="H145" s="15"/>
      <c r="I145" s="25"/>
      <c r="J145" s="15"/>
      <c r="L145" s="55"/>
    </row>
    <row r="146" spans="3:12" ht="15.75">
      <c r="C146" s="15"/>
      <c r="D146" s="15"/>
      <c r="E146" s="21">
        <v>44715</v>
      </c>
      <c r="F146" s="24"/>
      <c r="G146" s="24">
        <v>14232.74</v>
      </c>
      <c r="H146" s="15"/>
      <c r="I146" s="25"/>
      <c r="J146" s="15"/>
      <c r="L146" s="55"/>
    </row>
    <row r="147" spans="3:12" ht="15.75">
      <c r="C147" s="15"/>
      <c r="D147" s="15"/>
      <c r="E147" s="21">
        <v>44755</v>
      </c>
      <c r="F147" s="24"/>
      <c r="G147" s="24">
        <v>25502.76</v>
      </c>
      <c r="H147" s="15"/>
      <c r="I147" s="25"/>
      <c r="J147" s="15"/>
      <c r="L147" s="55"/>
    </row>
    <row r="148" spans="3:12" ht="15.75">
      <c r="C148" s="15"/>
      <c r="D148" s="15"/>
      <c r="E148" s="21">
        <v>44777</v>
      </c>
      <c r="F148" s="24"/>
      <c r="G148" s="24">
        <v>8644.26</v>
      </c>
      <c r="H148" s="15"/>
      <c r="I148" s="25"/>
      <c r="J148" s="15"/>
      <c r="L148" s="55"/>
    </row>
    <row r="149" spans="3:12" ht="15.75">
      <c r="C149" s="15"/>
      <c r="D149" s="15"/>
      <c r="E149" s="21">
        <v>44812</v>
      </c>
      <c r="F149" s="24"/>
      <c r="G149" s="24">
        <v>17805.38</v>
      </c>
      <c r="H149" s="15"/>
      <c r="I149" s="25"/>
      <c r="J149" s="15"/>
      <c r="L149" s="55"/>
    </row>
    <row r="150" spans="3:12" ht="15.75">
      <c r="C150" s="15"/>
      <c r="D150" s="15"/>
      <c r="E150" s="21">
        <v>44851</v>
      </c>
      <c r="F150" s="24"/>
      <c r="G150" s="24">
        <v>20169.77</v>
      </c>
      <c r="H150" s="15"/>
      <c r="I150" s="25"/>
      <c r="J150" s="15"/>
      <c r="L150" s="55"/>
    </row>
    <row r="151" spans="3:12" ht="15.75">
      <c r="C151" s="15"/>
      <c r="D151" s="15"/>
      <c r="E151" s="21">
        <v>44869</v>
      </c>
      <c r="F151" s="24"/>
      <c r="G151" s="24">
        <v>8114.41</v>
      </c>
      <c r="H151" s="15"/>
      <c r="I151" s="25"/>
      <c r="J151" s="15"/>
      <c r="L151" s="55"/>
    </row>
    <row r="152" spans="3:12" ht="15.75">
      <c r="C152" s="15" t="s">
        <v>75</v>
      </c>
      <c r="D152" s="15"/>
      <c r="E152" s="21">
        <v>44938</v>
      </c>
      <c r="F152" s="24"/>
      <c r="G152" s="24">
        <v>11221.47</v>
      </c>
      <c r="H152" s="15"/>
      <c r="I152" s="25"/>
      <c r="J152" s="15"/>
      <c r="L152" s="55"/>
    </row>
    <row r="153" spans="3:12" ht="15.75">
      <c r="C153" s="15"/>
      <c r="D153" s="15"/>
      <c r="E153" s="21">
        <v>44964</v>
      </c>
      <c r="F153" s="24"/>
      <c r="G153" s="24">
        <v>2623.72</v>
      </c>
      <c r="H153" s="15"/>
      <c r="I153" s="25"/>
      <c r="J153" s="15"/>
      <c r="L153" s="55"/>
    </row>
    <row r="154" spans="3:12" ht="15.75">
      <c r="C154" s="15"/>
      <c r="D154" s="15"/>
      <c r="E154" s="21">
        <v>45007</v>
      </c>
      <c r="F154" s="24"/>
      <c r="G154" s="24">
        <v>3707.40</v>
      </c>
      <c r="H154" s="15"/>
      <c r="I154" s="25"/>
      <c r="J154" s="15"/>
      <c r="L154" s="55"/>
    </row>
    <row r="155" spans="3:12" ht="15.75">
      <c r="C155" s="15"/>
      <c r="D155" s="15"/>
      <c r="E155" s="21">
        <v>45037</v>
      </c>
      <c r="F155" s="24"/>
      <c r="G155" s="24">
        <v>3336.46</v>
      </c>
      <c r="H155" s="15"/>
      <c r="I155" s="25"/>
      <c r="J155" s="15"/>
      <c r="L155" s="55"/>
    </row>
    <row r="156" spans="3:12" ht="15.75">
      <c r="C156" s="15"/>
      <c r="D156" s="15"/>
      <c r="E156" s="21">
        <v>45065</v>
      </c>
      <c r="F156" s="24"/>
      <c r="G156" s="24">
        <v>10053.76</v>
      </c>
      <c r="H156" s="15"/>
      <c r="I156" s="25"/>
      <c r="J156" s="15"/>
      <c r="L156" s="55"/>
    </row>
    <row r="157" spans="3:12" ht="15.75">
      <c r="C157" s="15"/>
      <c r="D157" s="15"/>
      <c r="E157" s="21">
        <v>45092</v>
      </c>
      <c r="F157" s="24"/>
      <c r="G157" s="24">
        <v>104189.40</v>
      </c>
      <c r="H157" s="15"/>
      <c r="I157" s="25"/>
      <c r="J157" s="15"/>
      <c r="L157" s="55"/>
    </row>
    <row r="158" spans="3:9" ht="4.5" customHeight="1">
      <c r="C158" s="15"/>
      <c r="D158" s="15"/>
      <c r="E158" s="21"/>
      <c r="F158" s="15"/>
      <c r="G158" s="24"/>
      <c r="H158" s="15"/>
      <c r="I158" s="25"/>
    </row>
    <row r="159" spans="3:12" ht="12.75">
      <c r="C159" s="15" t="s">
        <v>5</v>
      </c>
      <c r="D159" s="15"/>
      <c r="E159" s="21">
        <f>+E8</f>
        <v>45107</v>
      </c>
      <c r="F159" s="15"/>
      <c r="G159" s="46">
        <f>L159/0.97*C22</f>
        <v>334699.9967998527</v>
      </c>
      <c r="H159" s="15"/>
      <c r="I159" s="24">
        <f>+SUMIF($G$23:$G$158,"&lt;0",$G$23:$G$158)</f>
        <v>-1151434.3099999998</v>
      </c>
      <c r="J159" s="15" t="s">
        <v>14</v>
      </c>
      <c r="L159" s="57">
        <v>1.673499984E9</v>
      </c>
    </row>
    <row r="160" spans="3:10" ht="12.75">
      <c r="C160" s="15"/>
      <c r="D160" s="15"/>
      <c r="E160" s="15"/>
      <c r="F160" s="15"/>
      <c r="G160" s="15"/>
      <c r="H160" s="15"/>
      <c r="I160" s="24">
        <f>+SUMIF($G$23:$G$158,"&gt;0",$G$23:$G$158)</f>
        <v>1339917.2699999998</v>
      </c>
      <c r="J160" s="15" t="s">
        <v>15</v>
      </c>
    </row>
    <row r="161" spans="3:8" ht="12.75">
      <c r="C161" s="14" t="s">
        <v>0</v>
      </c>
      <c r="G161" s="29">
        <f>+XIRR(G23:G159,E23:E159,0.1)</f>
        <v>0.103925234079361</v>
      </c>
      <c r="H161" s="15"/>
    </row>
    <row r="162" spans="3:12" ht="12.75">
      <c r="C162" s="15"/>
      <c r="D162" s="15"/>
      <c r="E162" s="15"/>
      <c r="F162" s="15"/>
      <c r="G162" s="25"/>
      <c r="H162" s="15"/>
      <c r="L162" s="139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26"/>
      <c r="D164" s="15"/>
      <c r="E164" s="141"/>
      <c r="F164" s="15"/>
      <c r="G164" s="141"/>
      <c r="H164" s="15"/>
    </row>
    <row r="165" spans="3:8" ht="12.75">
      <c r="C165" s="142"/>
      <c r="D165" s="52"/>
      <c r="E165" s="141"/>
      <c r="F165" s="52"/>
      <c r="G165" s="141"/>
      <c r="H165" s="15"/>
    </row>
    <row r="166" spans="3:8" ht="12.75">
      <c r="C166" s="142"/>
      <c r="D166" s="52"/>
      <c r="E166" s="141"/>
      <c r="F166" s="52"/>
      <c r="G166" s="141"/>
      <c r="H166" s="15"/>
    </row>
    <row r="167" spans="3:8" ht="12.75">
      <c r="C167" s="52"/>
      <c r="D167" s="52"/>
      <c r="E167" s="132"/>
      <c r="F167" s="132"/>
      <c r="G167" s="132"/>
      <c r="H167" s="14"/>
    </row>
    <row r="168" spans="3:8" ht="12.75">
      <c r="C168" s="52"/>
      <c r="D168" s="52"/>
      <c r="E168" s="53"/>
      <c r="F168" s="53"/>
      <c r="G168" s="53"/>
      <c r="H168" s="14"/>
    </row>
    <row r="169" spans="3:8" ht="12.75">
      <c r="C169" s="52"/>
      <c r="D169" s="52"/>
      <c r="E169" s="52"/>
      <c r="F169" s="52"/>
      <c r="G169" s="52"/>
      <c r="H169" s="14"/>
    </row>
    <row r="170" spans="3:8" ht="12.75">
      <c r="C170" s="170"/>
      <c r="D170" s="170"/>
      <c r="E170" s="171"/>
      <c r="F170" s="70"/>
      <c r="G170" s="58"/>
      <c r="H170" s="14"/>
    </row>
    <row r="171" spans="3:8" ht="12.75">
      <c r="C171" s="170"/>
      <c r="D171" s="170"/>
      <c r="E171" s="70"/>
      <c r="F171" s="70"/>
      <c r="G171" s="70"/>
      <c r="H171" s="14"/>
    </row>
    <row r="172" spans="3:8" ht="12.75">
      <c r="C172" s="170"/>
      <c r="D172" s="170"/>
      <c r="E172" s="70"/>
      <c r="F172" s="70"/>
      <c r="G172" s="70"/>
      <c r="H172" s="14"/>
    </row>
    <row r="173" spans="3:8" ht="12.75">
      <c r="C173" s="172"/>
      <c r="D173" s="170"/>
      <c r="E173" s="70"/>
      <c r="F173" s="70"/>
      <c r="G173" s="70"/>
      <c r="H173" s="14"/>
    </row>
    <row r="174" spans="3:8" ht="12.75">
      <c r="C174" s="172"/>
      <c r="D174" s="170"/>
      <c r="E174" s="70"/>
      <c r="F174" s="70"/>
      <c r="G174" s="70"/>
      <c r="H174" s="14"/>
    </row>
    <row r="175" spans="3:8" ht="12.75">
      <c r="C175" s="173"/>
      <c r="D175" s="170"/>
      <c r="E175" s="70"/>
      <c r="F175" s="70"/>
      <c r="G175" s="70"/>
      <c r="H175" s="14"/>
    </row>
    <row r="176" spans="3:8" ht="12.75">
      <c r="C176" s="170"/>
      <c r="D176" s="170"/>
      <c r="E176" s="70"/>
      <c r="F176" s="70"/>
      <c r="G176" s="70"/>
      <c r="H176" s="14"/>
    </row>
    <row r="177" spans="3:8" ht="12.75">
      <c r="C177" s="170"/>
      <c r="D177" s="170"/>
      <c r="E177" s="70"/>
      <c r="F177" s="70"/>
      <c r="G177" s="70"/>
      <c r="H177" s="14"/>
    </row>
    <row r="178" spans="3:8" ht="12.75">
      <c r="C178" s="170"/>
      <c r="D178" s="170"/>
      <c r="E178" s="70"/>
      <c r="F178" s="70"/>
      <c r="G178" s="70"/>
      <c r="H178" s="14"/>
    </row>
    <row r="179" spans="3:8" ht="12.75">
      <c r="C179" s="170"/>
      <c r="D179" s="170"/>
      <c r="E179" s="70"/>
      <c r="F179" s="70"/>
      <c r="G179" s="70"/>
      <c r="H179" s="14"/>
    </row>
    <row r="180" spans="3:8" ht="12.75">
      <c r="C180" s="170"/>
      <c r="D180" s="170"/>
      <c r="E180" s="70"/>
      <c r="F180" s="70"/>
      <c r="G180" s="70"/>
      <c r="H180" s="14"/>
    </row>
    <row r="181" spans="3:8" ht="12.75">
      <c r="C181" s="170"/>
      <c r="D181" s="170"/>
      <c r="E181" s="70"/>
      <c r="F181" s="70"/>
      <c r="G181" s="70"/>
      <c r="H181" s="14"/>
    </row>
    <row r="182" spans="3:8" s="39" customFormat="1" ht="5.1" customHeight="1">
      <c r="C182" s="14"/>
      <c r="D182" s="14"/>
      <c r="E182" s="33"/>
      <c r="F182" s="33"/>
      <c r="G182" s="33"/>
      <c r="H182" s="36"/>
    </row>
    <row r="183" spans="3:8" ht="12.75">
      <c r="C183" s="14"/>
      <c r="D183" s="14"/>
      <c r="E183" s="37"/>
      <c r="F183" s="37"/>
      <c r="G183" s="37"/>
      <c r="H183" s="14"/>
    </row>
    <row r="184" spans="3:8" ht="12.75">
      <c r="C184" s="15"/>
      <c r="D184" s="15"/>
      <c r="E184" s="123"/>
      <c r="F184" s="123"/>
      <c r="G184" s="123"/>
      <c r="H184" s="15"/>
    </row>
    <row r="185" spans="3:8" ht="12.75">
      <c r="C185" s="15"/>
      <c r="D185" s="15"/>
      <c r="E185" s="123"/>
      <c r="F185" s="123"/>
      <c r="G185" s="123"/>
      <c r="H185" s="15"/>
    </row>
    <row r="186" spans="3:8" ht="12.75">
      <c r="C186" s="15"/>
      <c r="D186" s="15"/>
      <c r="E186" s="123"/>
      <c r="F186" s="123"/>
      <c r="G186" s="123"/>
      <c r="H186" s="15"/>
    </row>
    <row r="187" spans="3:8" ht="12.75">
      <c r="C187" s="15"/>
      <c r="D187" s="15"/>
      <c r="E187" s="124"/>
      <c r="F187" s="124"/>
      <c r="G187" s="124"/>
      <c r="H187" s="15"/>
    </row>
    <row r="188" spans="3:8" ht="12.75">
      <c r="C188" s="15"/>
      <c r="D188" s="15"/>
      <c r="E188" s="15"/>
      <c r="F188" s="15"/>
      <c r="G188" s="15"/>
      <c r="H188" s="15"/>
    </row>
    <row r="189" spans="3:8" ht="12.75">
      <c r="C189" s="15"/>
      <c r="D189" s="15"/>
      <c r="E189" s="15"/>
      <c r="F189" s="15"/>
      <c r="G189" s="15"/>
      <c r="H189" s="15"/>
    </row>
    <row r="190" spans="3:8" ht="12.75">
      <c r="C190" s="15"/>
      <c r="D190" s="15"/>
      <c r="E190" s="15"/>
      <c r="F190" s="15"/>
      <c r="G190" s="15"/>
      <c r="H190" s="15"/>
    </row>
    <row r="191" spans="3:8" ht="12.75">
      <c r="C191" s="15"/>
      <c r="D191" s="15"/>
      <c r="E191" s="15"/>
      <c r="F191" s="15"/>
      <c r="G191" s="15"/>
      <c r="H191" s="15"/>
    </row>
    <row r="192" spans="3:8" ht="12.75">
      <c r="C192" s="15"/>
      <c r="D192" s="15"/>
      <c r="E192" s="15"/>
      <c r="F192" s="15"/>
      <c r="G192" s="15"/>
      <c r="H192" s="15"/>
    </row>
    <row r="193" spans="3:8" ht="12.75">
      <c r="C193" s="15"/>
      <c r="D193" s="15"/>
      <c r="E193" s="15"/>
      <c r="F193" s="15"/>
      <c r="G193" s="15"/>
      <c r="H193" s="15"/>
    </row>
    <row r="194" spans="3:8" ht="12.75">
      <c r="C194" s="15"/>
      <c r="D194" s="15"/>
      <c r="E194" s="15"/>
      <c r="F194" s="15"/>
      <c r="G194" s="15"/>
      <c r="H194" s="15"/>
    </row>
    <row r="195" spans="3:8" ht="12.75">
      <c r="C195" s="15"/>
      <c r="D195" s="15"/>
      <c r="E195" s="15"/>
      <c r="F195" s="15"/>
      <c r="G195" s="15"/>
      <c r="H195" s="15"/>
    </row>
    <row r="196" spans="3:8" ht="12.75">
      <c r="C196" s="15"/>
      <c r="D196" s="15"/>
      <c r="E196" s="15"/>
      <c r="F196" s="15"/>
      <c r="G196" s="15"/>
      <c r="H196" s="15"/>
    </row>
    <row r="197" spans="3:8" ht="12.75">
      <c r="C197" s="15"/>
      <c r="D197" s="15"/>
      <c r="E197" s="15"/>
      <c r="F197" s="15"/>
      <c r="G197" s="15"/>
      <c r="H197" s="15"/>
    </row>
  </sheetData>
  <mergeCells count="1">
    <mergeCell ref="E167:G167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CC47D3-B076-40F7-95C3-3688E5E2AAE7}">
  <sheetPr>
    <pageSetUpPr fitToPage="1"/>
  </sheetPr>
  <dimension ref="B4:L184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39" customWidth="1"/>
    <col min="9" max="9" width="12.571428571428571" bestFit="1" customWidth="1"/>
    <col min="10" max="10" width="10.571428571428571" bestFit="1" customWidth="1"/>
    <col min="12" max="12" width="17" customWidth="1"/>
    <col min="13" max="13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17">
        <f>+'Fund IX'!E8</f>
        <v>45107</v>
      </c>
      <c r="F8" s="32"/>
      <c r="G8" s="6"/>
      <c r="H8" s="143"/>
    </row>
    <row r="9" spans="3:7" ht="15.75">
      <c r="C9" s="161"/>
      <c r="D9" s="161"/>
      <c r="E9" s="161"/>
      <c r="F9" s="161"/>
      <c r="G9" s="162"/>
    </row>
    <row r="10" spans="3:8" ht="12.75">
      <c r="C10" s="163"/>
      <c r="D10" s="163"/>
      <c r="E10" s="164"/>
      <c r="F10" s="163"/>
      <c r="G10" s="181"/>
      <c r="H10" s="144"/>
    </row>
    <row r="11" spans="3:8" ht="12.75">
      <c r="C11" s="163"/>
      <c r="D11" s="163"/>
      <c r="E11" s="164"/>
      <c r="F11" s="163"/>
      <c r="G11" s="182"/>
      <c r="H11" s="144"/>
    </row>
    <row r="12" spans="3:8" ht="15.75">
      <c r="C12" s="165"/>
      <c r="D12" s="165"/>
      <c r="E12" s="166"/>
      <c r="F12" s="165"/>
      <c r="G12" s="183"/>
      <c r="H12" s="145"/>
    </row>
    <row r="13" spans="3:8" ht="12.75">
      <c r="C13" s="163"/>
      <c r="D13" s="163"/>
      <c r="E13" s="167"/>
      <c r="F13" s="163"/>
      <c r="G13" s="181"/>
      <c r="H13" s="146"/>
    </row>
    <row r="14" spans="3:8" ht="12.75">
      <c r="C14" s="163"/>
      <c r="D14" s="163"/>
      <c r="E14" s="168"/>
      <c r="F14" s="163"/>
      <c r="G14" s="181"/>
      <c r="H14" s="147"/>
    </row>
    <row r="15" spans="3:8" ht="12.75">
      <c r="C15" s="163"/>
      <c r="D15" s="163"/>
      <c r="E15" s="164"/>
      <c r="F15" s="163"/>
      <c r="G15" s="164"/>
      <c r="H15" s="144"/>
    </row>
    <row r="16" spans="3:8" ht="15.75">
      <c r="C16" s="161"/>
      <c r="D16" s="161"/>
      <c r="E16" s="166"/>
      <c r="F16" s="161"/>
      <c r="G16" s="166"/>
      <c r="H16" s="145"/>
    </row>
    <row r="17" spans="3:8" ht="15.75">
      <c r="C17" s="26" t="s">
        <v>7</v>
      </c>
      <c r="D17" s="26"/>
      <c r="E17" s="11"/>
      <c r="F17" s="26"/>
      <c r="G17" s="11"/>
      <c r="H17" s="145"/>
    </row>
    <row r="18" spans="3:8" ht="12.75" customHeight="1">
      <c r="C18" s="18" t="s">
        <v>8</v>
      </c>
      <c r="D18" s="18"/>
      <c r="E18" s="8">
        <f>G162</f>
        <v>0.0902816265821457</v>
      </c>
      <c r="F18" s="18"/>
      <c r="G18" s="28"/>
      <c r="H18" s="146"/>
    </row>
    <row r="19" spans="3:8" ht="12.75">
      <c r="C19" s="18" t="s">
        <v>10</v>
      </c>
      <c r="D19" s="18"/>
      <c r="E19" s="34">
        <f>(G160+I161)/-I160</f>
        <v>1.4232576261902523</v>
      </c>
      <c r="F19" s="18"/>
      <c r="G19" s="10"/>
      <c r="H19" s="144"/>
    </row>
    <row r="20" spans="3:7" ht="12.75">
      <c r="C20" s="18"/>
      <c r="D20" s="18"/>
      <c r="E20" s="18"/>
      <c r="F20" s="18"/>
      <c r="G20" s="7"/>
    </row>
    <row r="21" spans="3:11" ht="15.75">
      <c r="C21" s="19" t="s">
        <v>95</v>
      </c>
      <c r="D21" s="20"/>
      <c r="E21" s="20"/>
      <c r="F21" s="20"/>
      <c r="I21" s="15"/>
      <c r="K21" s="119"/>
    </row>
    <row r="22" spans="3:9" ht="12.75">
      <c r="C22" s="22">
        <v>0.013382981362945806</v>
      </c>
      <c r="D22" s="15"/>
      <c r="E22" s="15"/>
      <c r="F22" s="15"/>
      <c r="G22" s="23"/>
      <c r="H22" s="126"/>
      <c r="I22" s="15"/>
    </row>
    <row r="23" spans="3:9" ht="12.75">
      <c r="C23" s="15" t="s">
        <v>90</v>
      </c>
      <c r="D23" s="15"/>
      <c r="E23" s="21">
        <v>41282</v>
      </c>
      <c r="F23" s="24"/>
      <c r="G23" s="130">
        <v>-90000</v>
      </c>
      <c r="H23" s="126"/>
      <c r="I23" s="25"/>
    </row>
    <row r="24" spans="3:9" ht="12.75">
      <c r="C24" s="15"/>
      <c r="D24" s="15"/>
      <c r="E24" s="21">
        <v>41359</v>
      </c>
      <c r="F24" s="24"/>
      <c r="G24" s="130">
        <v>-74205</v>
      </c>
      <c r="H24" s="126"/>
      <c r="I24" s="25"/>
    </row>
    <row r="25" spans="3:9" ht="12.75">
      <c r="C25" s="15"/>
      <c r="D25" s="15"/>
      <c r="E25" s="21">
        <v>41381</v>
      </c>
      <c r="F25" s="24"/>
      <c r="G25" s="130">
        <v>-28809</v>
      </c>
      <c r="H25" s="126"/>
      <c r="I25" s="25"/>
    </row>
    <row r="26" spans="3:9" ht="12.75">
      <c r="C26" s="15"/>
      <c r="D26" s="15"/>
      <c r="E26" s="21">
        <v>41424</v>
      </c>
      <c r="F26" s="24"/>
      <c r="G26" s="130">
        <v>-24153.01</v>
      </c>
      <c r="H26" s="126"/>
      <c r="I26" s="25"/>
    </row>
    <row r="27" spans="3:9" ht="12.75">
      <c r="C27" s="15"/>
      <c r="D27" s="15"/>
      <c r="E27" s="21">
        <v>41446</v>
      </c>
      <c r="F27" s="24"/>
      <c r="G27" s="130">
        <v>-879983.99</v>
      </c>
      <c r="H27" s="126"/>
      <c r="I27" s="25"/>
    </row>
    <row r="28" spans="3:9" ht="12.75">
      <c r="C28" s="15"/>
      <c r="D28" s="15"/>
      <c r="E28" s="21">
        <v>41498</v>
      </c>
      <c r="F28" s="24"/>
      <c r="G28" s="130">
        <v>-58782</v>
      </c>
      <c r="H28" s="126"/>
      <c r="I28" s="25"/>
    </row>
    <row r="29" spans="3:9" ht="12.75">
      <c r="C29" s="15"/>
      <c r="D29" s="15"/>
      <c r="E29" s="21">
        <v>41527</v>
      </c>
      <c r="F29" s="24"/>
      <c r="G29" s="130">
        <v>-147828</v>
      </c>
      <c r="H29" s="126"/>
      <c r="I29" s="25"/>
    </row>
    <row r="30" spans="3:8" ht="12.75">
      <c r="C30" s="15"/>
      <c r="D30" s="15"/>
      <c r="E30" s="21">
        <v>41534</v>
      </c>
      <c r="F30" s="24"/>
      <c r="G30" s="130">
        <v>-75369.01</v>
      </c>
      <c r="H30" s="126"/>
    </row>
    <row r="31" spans="3:8" ht="12.75">
      <c r="C31" s="15"/>
      <c r="D31" s="15"/>
      <c r="E31" s="21">
        <v>41551</v>
      </c>
      <c r="F31" s="24"/>
      <c r="G31" s="130">
        <v>-71586</v>
      </c>
      <c r="H31" s="126"/>
    </row>
    <row r="32" spans="3:8" ht="12.75">
      <c r="C32" s="15"/>
      <c r="D32" s="15"/>
      <c r="E32" s="21">
        <v>41585</v>
      </c>
      <c r="F32" s="24"/>
      <c r="G32" s="130">
        <v>-137061</v>
      </c>
      <c r="H32" s="126"/>
    </row>
    <row r="33" spans="3:8" ht="12.75">
      <c r="C33" s="15"/>
      <c r="D33" s="15"/>
      <c r="E33" s="21">
        <v>41621</v>
      </c>
      <c r="F33" s="24"/>
      <c r="G33" s="130">
        <v>-249387</v>
      </c>
      <c r="H33" s="126"/>
    </row>
    <row r="34" spans="3:8" ht="12.75">
      <c r="C34" s="15"/>
      <c r="D34" s="15"/>
      <c r="E34" s="21">
        <v>41635</v>
      </c>
      <c r="F34" s="24"/>
      <c r="G34" s="130">
        <v>-101559</v>
      </c>
      <c r="H34" s="126"/>
    </row>
    <row r="35" spans="3:10" ht="12.75">
      <c r="C35" s="15" t="s">
        <v>92</v>
      </c>
      <c r="D35" s="15"/>
      <c r="E35" s="21">
        <v>41670</v>
      </c>
      <c r="F35" s="24"/>
      <c r="G35" s="24">
        <v>-86718</v>
      </c>
      <c r="H35" s="126"/>
      <c r="I35" s="25"/>
      <c r="J35" s="15"/>
    </row>
    <row r="36" spans="3:10" ht="12.75">
      <c r="C36" s="15"/>
      <c r="D36" s="15"/>
      <c r="E36" s="21">
        <v>41712</v>
      </c>
      <c r="F36" s="24"/>
      <c r="G36" s="24">
        <v>-219997.24</v>
      </c>
      <c r="H36" s="126"/>
      <c r="I36" s="25"/>
      <c r="J36" s="15"/>
    </row>
    <row r="37" spans="3:10" ht="12.75">
      <c r="C37" s="15"/>
      <c r="D37" s="15"/>
      <c r="E37" s="21">
        <v>41724</v>
      </c>
      <c r="F37" s="24"/>
      <c r="G37" s="24">
        <v>-79734</v>
      </c>
      <c r="H37" s="126"/>
      <c r="I37" s="25"/>
      <c r="J37" s="15"/>
    </row>
    <row r="38" spans="3:10" ht="12.75">
      <c r="C38" s="15"/>
      <c r="D38" s="15"/>
      <c r="E38" s="21">
        <v>41733</v>
      </c>
      <c r="F38" s="24"/>
      <c r="G38" s="24">
        <v>-125712</v>
      </c>
      <c r="H38" s="126"/>
      <c r="I38" s="25"/>
      <c r="J38" s="15"/>
    </row>
    <row r="39" spans="3:10" ht="12.75">
      <c r="C39" s="15"/>
      <c r="D39" s="15"/>
      <c r="E39" s="21">
        <v>41764</v>
      </c>
      <c r="F39" s="24"/>
      <c r="G39" s="24">
        <v>-109998</v>
      </c>
      <c r="H39" s="126"/>
      <c r="I39" s="25"/>
      <c r="J39" s="15"/>
    </row>
    <row r="40" spans="3:10" ht="12.75">
      <c r="C40" s="15"/>
      <c r="D40" s="15"/>
      <c r="E40" s="21">
        <v>41774</v>
      </c>
      <c r="F40" s="24"/>
      <c r="G40" s="24">
        <v>-154812</v>
      </c>
      <c r="H40" s="126"/>
      <c r="I40" s="25"/>
      <c r="J40" s="15"/>
    </row>
    <row r="41" spans="3:10" ht="12.75">
      <c r="C41" s="15"/>
      <c r="D41" s="15"/>
      <c r="E41" s="21">
        <v>41788</v>
      </c>
      <c r="F41" s="24"/>
      <c r="G41" s="24">
        <v>-120183.01</v>
      </c>
      <c r="H41" s="126"/>
      <c r="I41" s="25"/>
      <c r="J41" s="15"/>
    </row>
    <row r="42" spans="3:10" ht="12.75">
      <c r="C42" s="15"/>
      <c r="D42" s="15"/>
      <c r="E42" s="21">
        <v>41817</v>
      </c>
      <c r="F42" s="24"/>
      <c r="G42" s="24">
        <v>-215922</v>
      </c>
      <c r="H42" s="126"/>
      <c r="I42" s="25"/>
      <c r="J42" s="15"/>
    </row>
    <row r="43" spans="3:10" ht="12.75">
      <c r="C43" s="15"/>
      <c r="D43" s="15"/>
      <c r="E43" s="21">
        <v>41830</v>
      </c>
      <c r="F43" s="24"/>
      <c r="G43" s="24">
        <v>-136478.99</v>
      </c>
      <c r="H43" s="126"/>
      <c r="I43" s="25"/>
      <c r="J43" s="15"/>
    </row>
    <row r="44" spans="3:10" ht="12.75">
      <c r="C44" s="15"/>
      <c r="D44" s="15"/>
      <c r="E44" s="21">
        <v>41851</v>
      </c>
      <c r="F44" s="24"/>
      <c r="G44" s="24">
        <v>-76824</v>
      </c>
      <c r="H44" s="126"/>
      <c r="I44" s="25"/>
      <c r="J44" s="15"/>
    </row>
    <row r="45" spans="3:8" ht="12.75">
      <c r="C45" s="15"/>
      <c r="D45" s="15"/>
      <c r="E45" s="21">
        <v>41859</v>
      </c>
      <c r="F45" s="24"/>
      <c r="G45" s="24">
        <v>-146664</v>
      </c>
      <c r="H45" s="126"/>
    </row>
    <row r="46" spans="3:8" ht="12.75">
      <c r="C46" s="15"/>
      <c r="D46" s="15"/>
      <c r="E46" s="21">
        <v>41880</v>
      </c>
      <c r="F46" s="24"/>
      <c r="G46" s="24">
        <v>-90792</v>
      </c>
      <c r="H46" s="126"/>
    </row>
    <row r="47" spans="3:8" ht="12.75">
      <c r="C47" s="15"/>
      <c r="D47" s="15"/>
      <c r="E47" s="21">
        <v>41900</v>
      </c>
      <c r="F47" s="24"/>
      <c r="G47" s="24">
        <v>-374226</v>
      </c>
      <c r="H47" s="126"/>
    </row>
    <row r="48" spans="3:8" ht="12.75">
      <c r="C48" s="15"/>
      <c r="D48" s="15"/>
      <c r="E48" s="21">
        <v>41915</v>
      </c>
      <c r="F48" s="24"/>
      <c r="G48" s="24">
        <v>-384993</v>
      </c>
      <c r="H48" s="126"/>
    </row>
    <row r="49" spans="3:8" ht="12.75">
      <c r="C49" s="15"/>
      <c r="D49" s="15"/>
      <c r="E49" s="21">
        <v>41929</v>
      </c>
      <c r="F49" s="24"/>
      <c r="G49" s="24">
        <v>-285470.99</v>
      </c>
      <c r="H49" s="126"/>
    </row>
    <row r="50" spans="3:8" ht="12.75">
      <c r="C50" s="15"/>
      <c r="D50" s="15"/>
      <c r="E50" s="21">
        <v>41943</v>
      </c>
      <c r="F50" s="24"/>
      <c r="G50" s="24">
        <v>-189732</v>
      </c>
      <c r="H50" s="126"/>
    </row>
    <row r="51" spans="3:8" ht="12.75">
      <c r="C51" s="15"/>
      <c r="D51" s="15"/>
      <c r="E51" s="21">
        <v>41977</v>
      </c>
      <c r="F51" s="24"/>
      <c r="G51" s="24">
        <v>-286635</v>
      </c>
      <c r="H51" s="126"/>
    </row>
    <row r="52" spans="3:8" ht="12.75">
      <c r="C52" s="15" t="s">
        <v>93</v>
      </c>
      <c r="D52" s="15"/>
      <c r="E52" s="21">
        <v>41817</v>
      </c>
      <c r="F52" s="24"/>
      <c r="G52" s="24">
        <v>197235.54</v>
      </c>
      <c r="H52" s="126"/>
    </row>
    <row r="53" spans="3:8" ht="12.75">
      <c r="C53" s="15" t="s">
        <v>76</v>
      </c>
      <c r="D53" s="15"/>
      <c r="E53" s="21">
        <v>42009</v>
      </c>
      <c r="F53" s="24"/>
      <c r="G53" s="24">
        <v>-925089.01</v>
      </c>
      <c r="H53" s="126"/>
    </row>
    <row r="54" spans="3:10" ht="12.75">
      <c r="C54" s="15"/>
      <c r="D54" s="15"/>
      <c r="E54" s="21">
        <v>42027</v>
      </c>
      <c r="F54" s="24"/>
      <c r="G54" s="24">
        <v>-438246</v>
      </c>
      <c r="H54" s="126"/>
      <c r="I54" s="25"/>
      <c r="J54" s="15"/>
    </row>
    <row r="55" spans="3:10" ht="12.75">
      <c r="C55" s="15"/>
      <c r="D55" s="15"/>
      <c r="E55" s="21">
        <v>42048</v>
      </c>
      <c r="F55" s="24"/>
      <c r="G55" s="24">
        <v>-196133.99</v>
      </c>
      <c r="H55" s="126"/>
      <c r="I55" s="25"/>
      <c r="J55" s="15"/>
    </row>
    <row r="56" spans="3:10" ht="12.75">
      <c r="C56" s="15"/>
      <c r="D56" s="15"/>
      <c r="E56" s="21">
        <v>42061</v>
      </c>
      <c r="F56" s="24"/>
      <c r="G56" s="24">
        <v>-142881</v>
      </c>
      <c r="H56" s="126"/>
      <c r="I56" s="25"/>
      <c r="J56" s="15"/>
    </row>
    <row r="57" spans="3:10" ht="12.75">
      <c r="C57" s="15"/>
      <c r="D57" s="15"/>
      <c r="E57" s="21">
        <v>42088</v>
      </c>
      <c r="F57" s="24"/>
      <c r="G57" s="24">
        <v>-304968.01</v>
      </c>
      <c r="H57" s="126"/>
      <c r="I57" s="25"/>
      <c r="J57" s="15"/>
    </row>
    <row r="58" spans="3:8" ht="12.75">
      <c r="C58" s="15"/>
      <c r="D58" s="15"/>
      <c r="E58" s="21">
        <v>42111</v>
      </c>
      <c r="F58" s="24"/>
      <c r="G58" s="24">
        <v>-246477.01</v>
      </c>
      <c r="H58" s="126"/>
    </row>
    <row r="59" spans="3:8" ht="12.75">
      <c r="C59" s="15"/>
      <c r="D59" s="15"/>
      <c r="E59" s="21">
        <v>42138</v>
      </c>
      <c r="F59" s="24"/>
      <c r="G59" s="24">
        <v>-213012</v>
      </c>
      <c r="H59" s="126"/>
    </row>
    <row r="60" spans="3:8" ht="12.75">
      <c r="C60" s="15"/>
      <c r="D60" s="15"/>
      <c r="E60" s="21">
        <v>42156</v>
      </c>
      <c r="F60" s="24"/>
      <c r="G60" s="24">
        <v>-261608.99</v>
      </c>
      <c r="H60" s="126"/>
    </row>
    <row r="61" spans="3:8" ht="12.75">
      <c r="C61" s="15"/>
      <c r="D61" s="15"/>
      <c r="E61" s="21">
        <v>42187</v>
      </c>
      <c r="F61" s="24"/>
      <c r="G61" s="24">
        <v>-207192</v>
      </c>
      <c r="H61" s="126"/>
    </row>
    <row r="62" spans="3:8" ht="12.75">
      <c r="C62" s="15"/>
      <c r="D62" s="15"/>
      <c r="E62" s="21">
        <v>42230</v>
      </c>
      <c r="F62" s="24"/>
      <c r="G62" s="24">
        <v>-139389.01</v>
      </c>
      <c r="H62" s="126"/>
    </row>
    <row r="63" spans="3:8" ht="12.75">
      <c r="C63" s="15"/>
      <c r="D63" s="15"/>
      <c r="E63" s="21">
        <v>42258</v>
      </c>
      <c r="F63" s="24"/>
      <c r="G63" s="24">
        <v>-276159</v>
      </c>
      <c r="H63" s="126"/>
    </row>
    <row r="64" spans="3:8" ht="12.75">
      <c r="C64" s="15"/>
      <c r="D64" s="15"/>
      <c r="E64" s="21">
        <v>42272</v>
      </c>
      <c r="F64" s="24"/>
      <c r="G64" s="24">
        <v>-386156.99</v>
      </c>
      <c r="H64" s="126"/>
    </row>
    <row r="65" spans="3:10" ht="12.75">
      <c r="C65" s="15"/>
      <c r="D65" s="15"/>
      <c r="E65" s="21">
        <v>42293</v>
      </c>
      <c r="F65" s="24"/>
      <c r="G65" s="24">
        <v>-368696.99</v>
      </c>
      <c r="H65" s="126"/>
      <c r="I65" s="25"/>
      <c r="J65" s="15"/>
    </row>
    <row r="66" spans="3:8" ht="12.75">
      <c r="C66" s="15"/>
      <c r="D66" s="15"/>
      <c r="E66" s="21">
        <v>42345</v>
      </c>
      <c r="F66" s="24"/>
      <c r="G66" s="24">
        <v>-172854</v>
      </c>
      <c r="H66" s="126"/>
    </row>
    <row r="67" spans="3:10" ht="12.75">
      <c r="C67" s="15"/>
      <c r="D67" s="15"/>
      <c r="E67" s="21">
        <v>42361</v>
      </c>
      <c r="F67" s="24"/>
      <c r="G67" s="24">
        <v>-132987</v>
      </c>
      <c r="H67" s="126"/>
      <c r="I67" s="25"/>
      <c r="J67" s="15"/>
    </row>
    <row r="68" spans="3:10" ht="12.75">
      <c r="C68" s="15" t="s">
        <v>94</v>
      </c>
      <c r="D68" s="15"/>
      <c r="E68" s="21">
        <v>42249</v>
      </c>
      <c r="F68" s="24"/>
      <c r="G68" s="24">
        <v>288567.1</v>
      </c>
      <c r="H68" s="126"/>
      <c r="I68" s="25"/>
      <c r="J68" s="15"/>
    </row>
    <row r="69" spans="3:10" ht="12.75">
      <c r="C69" s="15" t="s">
        <v>77</v>
      </c>
      <c r="D69" s="15"/>
      <c r="E69" s="21">
        <v>42382</v>
      </c>
      <c r="F69" s="24"/>
      <c r="G69" s="24">
        <v>-241530</v>
      </c>
      <c r="H69" s="126"/>
      <c r="I69" s="25"/>
      <c r="J69" s="15"/>
    </row>
    <row r="70" spans="3:10" ht="12.75">
      <c r="C70" s="15"/>
      <c r="D70" s="15"/>
      <c r="E70" s="21">
        <v>42457</v>
      </c>
      <c r="F70" s="24"/>
      <c r="G70" s="24">
        <v>-269757.01</v>
      </c>
      <c r="H70" s="126"/>
      <c r="I70" s="25"/>
      <c r="J70" s="15"/>
    </row>
    <row r="71" spans="3:10" ht="12.75">
      <c r="C71" s="15"/>
      <c r="D71" s="15"/>
      <c r="E71" s="21">
        <v>42468</v>
      </c>
      <c r="F71" s="24"/>
      <c r="G71" s="24">
        <v>-311952</v>
      </c>
      <c r="H71" s="126"/>
      <c r="I71" s="25"/>
      <c r="J71" s="15"/>
    </row>
    <row r="72" spans="3:10" ht="12.75">
      <c r="C72" s="15"/>
      <c r="D72" s="15"/>
      <c r="E72" s="21">
        <v>42507</v>
      </c>
      <c r="F72" s="24"/>
      <c r="G72" s="24">
        <v>-1122969</v>
      </c>
      <c r="H72" s="126"/>
      <c r="I72" s="25"/>
      <c r="J72" s="15"/>
    </row>
    <row r="73" spans="3:10" ht="12.75">
      <c r="C73" s="15"/>
      <c r="D73" s="15"/>
      <c r="E73" s="21">
        <v>42543</v>
      </c>
      <c r="F73" s="24"/>
      <c r="G73" s="24">
        <v>-577926</v>
      </c>
      <c r="H73" s="126"/>
      <c r="I73" s="25"/>
      <c r="J73" s="15"/>
    </row>
    <row r="74" spans="3:10" ht="12.75">
      <c r="C74" s="15"/>
      <c r="D74" s="15"/>
      <c r="E74" s="21">
        <v>42557</v>
      </c>
      <c r="F74" s="24"/>
      <c r="G74" s="24">
        <v>-128913</v>
      </c>
      <c r="H74" s="126"/>
      <c r="I74" s="25"/>
      <c r="J74" s="15"/>
    </row>
    <row r="75" spans="3:10" ht="12.75">
      <c r="C75" s="15"/>
      <c r="D75" s="15"/>
      <c r="E75" s="21">
        <v>42590</v>
      </c>
      <c r="F75" s="24"/>
      <c r="G75" s="24">
        <v>-270048</v>
      </c>
      <c r="H75" s="126"/>
      <c r="I75" s="25"/>
      <c r="J75" s="15"/>
    </row>
    <row r="76" spans="3:8" ht="12.75">
      <c r="C76" s="15"/>
      <c r="D76" s="15"/>
      <c r="E76" s="21">
        <v>42607</v>
      </c>
      <c r="F76" s="24"/>
      <c r="G76" s="24">
        <v>-479277</v>
      </c>
      <c r="H76" s="126"/>
    </row>
    <row r="77" spans="3:8" ht="12.75">
      <c r="C77" s="15"/>
      <c r="D77" s="15"/>
      <c r="E77" s="21">
        <v>42628</v>
      </c>
      <c r="F77" s="24"/>
      <c r="G77" s="24">
        <v>-273249</v>
      </c>
      <c r="H77" s="126"/>
    </row>
    <row r="78" spans="3:8" ht="12.75">
      <c r="C78" s="15"/>
      <c r="D78" s="15"/>
      <c r="E78" s="21">
        <v>42634</v>
      </c>
      <c r="F78" s="24"/>
      <c r="G78" s="24">
        <v>-178092</v>
      </c>
      <c r="H78" s="126"/>
    </row>
    <row r="79" spans="3:8" ht="12.75">
      <c r="C79" s="15"/>
      <c r="D79" s="15"/>
      <c r="E79" s="21">
        <v>42663</v>
      </c>
      <c r="F79" s="24"/>
      <c r="G79" s="24">
        <v>-315735</v>
      </c>
      <c r="H79" s="126"/>
    </row>
    <row r="80" spans="3:8" ht="12.75">
      <c r="C80" s="15"/>
      <c r="D80" s="15"/>
      <c r="E80" s="21">
        <v>42731</v>
      </c>
      <c r="F80" s="24"/>
      <c r="G80" s="24">
        <v>-357929.99</v>
      </c>
      <c r="H80" s="126"/>
    </row>
    <row r="81" spans="3:8" ht="12.75">
      <c r="C81" s="15" t="s">
        <v>78</v>
      </c>
      <c r="D81" s="15"/>
      <c r="E81" s="21">
        <v>42377</v>
      </c>
      <c r="F81" s="24"/>
      <c r="G81" s="24">
        <v>1014530.40</v>
      </c>
      <c r="H81" s="126"/>
    </row>
    <row r="82" spans="3:8" ht="12.75">
      <c r="C82" s="15"/>
      <c r="D82" s="15"/>
      <c r="E82" s="21">
        <v>42486</v>
      </c>
      <c r="F82" s="24"/>
      <c r="G82" s="24">
        <v>401489.44</v>
      </c>
      <c r="H82" s="126"/>
    </row>
    <row r="83" spans="3:8" ht="12.75">
      <c r="C83" s="15"/>
      <c r="D83" s="15"/>
      <c r="E83" s="21">
        <v>42542</v>
      </c>
      <c r="F83" s="24"/>
      <c r="G83" s="24">
        <v>210673.20</v>
      </c>
      <c r="H83" s="126"/>
    </row>
    <row r="84" spans="3:8" ht="12.75">
      <c r="C84" s="15"/>
      <c r="D84" s="15"/>
      <c r="E84" s="21">
        <v>42570</v>
      </c>
      <c r="F84" s="24"/>
      <c r="G84" s="24">
        <v>66041.17</v>
      </c>
      <c r="H84" s="126"/>
    </row>
    <row r="85" spans="3:10" ht="12.75">
      <c r="C85" s="15"/>
      <c r="D85" s="15"/>
      <c r="E85" s="21">
        <v>42586</v>
      </c>
      <c r="F85" s="24"/>
      <c r="G85" s="24">
        <v>527166.21</v>
      </c>
      <c r="H85" s="126"/>
      <c r="I85" s="25"/>
      <c r="J85" s="15"/>
    </row>
    <row r="86" spans="3:10" ht="12.75">
      <c r="C86" s="15"/>
      <c r="D86" s="15"/>
      <c r="E86" s="21">
        <v>42634</v>
      </c>
      <c r="F86" s="24"/>
      <c r="G86" s="24">
        <v>249347.58</v>
      </c>
      <c r="H86" s="126"/>
      <c r="I86" s="25"/>
      <c r="J86" s="15"/>
    </row>
    <row r="87" spans="3:10" ht="12.75">
      <c r="C87" s="15"/>
      <c r="D87" s="15"/>
      <c r="E87" s="21">
        <v>42677</v>
      </c>
      <c r="F87" s="24"/>
      <c r="G87" s="24">
        <v>113721.19</v>
      </c>
      <c r="H87" s="126"/>
      <c r="I87" s="25"/>
      <c r="J87" s="15"/>
    </row>
    <row r="88" spans="3:10" ht="12.75">
      <c r="C88" s="15"/>
      <c r="D88" s="15"/>
      <c r="E88" s="21">
        <v>42709</v>
      </c>
      <c r="F88" s="24"/>
      <c r="G88" s="24">
        <v>265560.19</v>
      </c>
      <c r="H88" s="126"/>
      <c r="I88" s="25"/>
      <c r="J88" s="15"/>
    </row>
    <row r="89" spans="3:10" ht="12.75">
      <c r="C89" s="15"/>
      <c r="D89" s="15"/>
      <c r="E89" s="21">
        <v>42726</v>
      </c>
      <c r="F89" s="24"/>
      <c r="G89" s="24">
        <v>1590878.05</v>
      </c>
      <c r="H89" s="126"/>
      <c r="I89" s="25"/>
      <c r="J89" s="15"/>
    </row>
    <row r="90" spans="3:10" ht="12.75">
      <c r="C90" s="15" t="s">
        <v>79</v>
      </c>
      <c r="D90" s="15"/>
      <c r="E90" s="21">
        <v>42753</v>
      </c>
      <c r="F90" s="24"/>
      <c r="G90" s="24">
        <v>-236583</v>
      </c>
      <c r="H90" s="126"/>
      <c r="I90" s="25"/>
      <c r="J90" s="15"/>
    </row>
    <row r="91" spans="3:10" ht="12.75">
      <c r="C91" s="15"/>
      <c r="D91" s="15"/>
      <c r="E91" s="21">
        <v>42816</v>
      </c>
      <c r="F91" s="24"/>
      <c r="G91" s="24">
        <v>-183621</v>
      </c>
      <c r="H91" s="126"/>
      <c r="I91" s="25"/>
      <c r="J91" s="15"/>
    </row>
    <row r="92" spans="3:10" ht="12.75">
      <c r="C92" s="15"/>
      <c r="D92" s="15"/>
      <c r="E92" s="21">
        <v>42838</v>
      </c>
      <c r="F92" s="24"/>
      <c r="G92" s="24">
        <v>-181875</v>
      </c>
      <c r="H92" s="126"/>
      <c r="I92" s="25"/>
      <c r="J92" s="15"/>
    </row>
    <row r="93" spans="3:10" ht="12.75">
      <c r="C93" s="15"/>
      <c r="D93" s="15"/>
      <c r="E93" s="21">
        <v>42879</v>
      </c>
      <c r="F93" s="24"/>
      <c r="G93" s="24">
        <v>-196716</v>
      </c>
      <c r="H93" s="126"/>
      <c r="I93" s="25"/>
      <c r="J93" s="15"/>
    </row>
    <row r="94" spans="3:10" ht="12.75">
      <c r="C94" s="15"/>
      <c r="D94" s="15"/>
      <c r="E94" s="21">
        <v>42908</v>
      </c>
      <c r="F94" s="24"/>
      <c r="G94" s="24">
        <v>-127458</v>
      </c>
      <c r="H94" s="126"/>
      <c r="I94" s="25"/>
      <c r="J94" s="15"/>
    </row>
    <row r="95" spans="3:10" ht="12.75">
      <c r="C95" s="15"/>
      <c r="D95" s="15"/>
      <c r="E95" s="21">
        <v>42933</v>
      </c>
      <c r="F95" s="24"/>
      <c r="G95" s="24">
        <v>-124547.99</v>
      </c>
      <c r="H95" s="126"/>
      <c r="I95" s="25"/>
      <c r="J95" s="15"/>
    </row>
    <row r="96" spans="3:10" ht="12.75">
      <c r="C96" s="15"/>
      <c r="D96" s="15"/>
      <c r="E96" s="21">
        <v>42963</v>
      </c>
      <c r="F96" s="24"/>
      <c r="G96" s="24">
        <v>-357929.99</v>
      </c>
      <c r="H96" s="126"/>
      <c r="I96" s="25"/>
      <c r="J96" s="15"/>
    </row>
    <row r="97" spans="3:10" ht="12.75">
      <c r="C97" s="15"/>
      <c r="D97" s="15"/>
      <c r="E97" s="21">
        <v>42997</v>
      </c>
      <c r="F97" s="24"/>
      <c r="G97" s="24">
        <v>-177510</v>
      </c>
      <c r="H97" s="15"/>
      <c r="I97" s="25"/>
      <c r="J97" s="15"/>
    </row>
    <row r="98" spans="3:10" ht="12.75">
      <c r="C98" s="15"/>
      <c r="D98" s="15"/>
      <c r="E98" s="21">
        <v>43014</v>
      </c>
      <c r="F98" s="24"/>
      <c r="G98" s="24">
        <v>-222324</v>
      </c>
      <c r="H98" s="15"/>
      <c r="I98" s="25"/>
      <c r="J98" s="15"/>
    </row>
    <row r="99" spans="3:12" ht="15.75">
      <c r="C99" s="15"/>
      <c r="D99" s="15"/>
      <c r="E99" s="21">
        <v>43091</v>
      </c>
      <c r="F99" s="24"/>
      <c r="G99" s="24">
        <v>-130367.99</v>
      </c>
      <c r="H99" s="15"/>
      <c r="I99" s="115"/>
      <c r="J99" s="116"/>
      <c r="K99" s="169"/>
      <c r="L99" s="162"/>
    </row>
    <row r="100" spans="3:12" ht="12.75">
      <c r="C100" s="15" t="s">
        <v>80</v>
      </c>
      <c r="D100" s="15"/>
      <c r="E100" s="21">
        <v>42745</v>
      </c>
      <c r="F100" s="24"/>
      <c r="G100" s="24">
        <v>1517724</v>
      </c>
      <c r="H100" s="126"/>
      <c r="I100" s="115"/>
      <c r="J100" s="116"/>
      <c r="K100" s="169"/>
      <c r="L100" s="57"/>
    </row>
    <row r="101" spans="3:12" ht="12.75">
      <c r="C101" s="15"/>
      <c r="D101" s="15"/>
      <c r="E101" s="21">
        <v>42775</v>
      </c>
      <c r="F101" s="24"/>
      <c r="G101" s="24">
        <v>127992.01</v>
      </c>
      <c r="H101" s="126"/>
      <c r="I101" s="115"/>
      <c r="J101" s="116"/>
      <c r="K101" s="169"/>
      <c r="L101" s="57"/>
    </row>
    <row r="102" spans="3:12" ht="12.75">
      <c r="C102" s="15"/>
      <c r="D102" s="15"/>
      <c r="E102" s="21">
        <v>42824</v>
      </c>
      <c r="F102" s="24"/>
      <c r="G102" s="24">
        <v>215209.81</v>
      </c>
      <c r="H102" s="126"/>
      <c r="I102" s="115"/>
      <c r="J102" s="116"/>
      <c r="K102" s="169"/>
      <c r="L102" s="57"/>
    </row>
    <row r="103" spans="3:12" ht="12.75">
      <c r="C103" s="15"/>
      <c r="D103" s="15"/>
      <c r="E103" s="21">
        <v>42877</v>
      </c>
      <c r="F103" s="24"/>
      <c r="G103" s="24">
        <v>89851.49</v>
      </c>
      <c r="H103" s="126"/>
      <c r="I103" s="115"/>
      <c r="J103" s="116"/>
      <c r="K103" s="169"/>
      <c r="L103" s="57"/>
    </row>
    <row r="104" spans="3:12" ht="12.75">
      <c r="C104" s="15"/>
      <c r="D104" s="15"/>
      <c r="E104" s="21">
        <v>42914</v>
      </c>
      <c r="F104" s="24"/>
      <c r="G104" s="24">
        <v>815427.31</v>
      </c>
      <c r="H104" s="126"/>
      <c r="I104" s="115"/>
      <c r="J104" s="116"/>
      <c r="K104" s="169"/>
      <c r="L104" s="169"/>
    </row>
    <row r="105" spans="3:12" ht="12.75">
      <c r="C105" s="15"/>
      <c r="D105" s="15"/>
      <c r="E105" s="21">
        <v>42936</v>
      </c>
      <c r="F105" s="24"/>
      <c r="G105" s="24">
        <v>86694.10</v>
      </c>
      <c r="H105" s="15"/>
      <c r="I105" s="115"/>
      <c r="J105" s="116"/>
      <c r="K105" s="169"/>
      <c r="L105" s="169"/>
    </row>
    <row r="106" spans="3:12" ht="12.75">
      <c r="C106" s="15"/>
      <c r="D106" s="15"/>
      <c r="E106" s="21">
        <v>43019</v>
      </c>
      <c r="F106" s="24"/>
      <c r="G106" s="24">
        <v>71768.57</v>
      </c>
      <c r="H106" s="15"/>
      <c r="I106" s="115"/>
      <c r="J106" s="116"/>
      <c r="K106" s="169"/>
      <c r="L106" s="169"/>
    </row>
    <row r="107" spans="3:10" ht="12.75">
      <c r="C107" s="15"/>
      <c r="D107" s="15"/>
      <c r="E107" s="21">
        <v>43052</v>
      </c>
      <c r="F107" s="24"/>
      <c r="G107" s="24">
        <v>312687.29</v>
      </c>
      <c r="H107" s="15"/>
      <c r="I107" s="25"/>
      <c r="J107" s="15"/>
    </row>
    <row r="108" spans="3:10" ht="12.75">
      <c r="C108" s="15" t="s">
        <v>81</v>
      </c>
      <c r="D108" s="15"/>
      <c r="E108" s="21">
        <v>43178</v>
      </c>
      <c r="F108" s="24"/>
      <c r="G108" s="24">
        <v>-105051</v>
      </c>
      <c r="H108" s="15"/>
      <c r="I108" s="25"/>
      <c r="J108" s="15"/>
    </row>
    <row r="109" spans="3:10" ht="12.75">
      <c r="C109" s="15"/>
      <c r="D109" s="15"/>
      <c r="E109" s="21">
        <v>43194</v>
      </c>
      <c r="F109" s="24"/>
      <c r="G109" s="24">
        <v>-153356.99</v>
      </c>
      <c r="H109" s="15"/>
      <c r="I109" s="25"/>
      <c r="J109" s="15"/>
    </row>
    <row r="110" spans="3:10" ht="12.75">
      <c r="C110" s="15"/>
      <c r="D110" s="15"/>
      <c r="E110" s="21">
        <v>43251</v>
      </c>
      <c r="F110" s="24"/>
      <c r="G110" s="24">
        <v>-126585</v>
      </c>
      <c r="H110" s="15"/>
      <c r="I110" s="25"/>
      <c r="J110" s="15"/>
    </row>
    <row r="111" spans="3:10" ht="12.75">
      <c r="C111" s="15"/>
      <c r="D111" s="15"/>
      <c r="E111" s="21">
        <v>43342</v>
      </c>
      <c r="F111" s="24"/>
      <c r="G111" s="24">
        <v>-165870</v>
      </c>
      <c r="H111" s="15"/>
      <c r="I111" s="25"/>
      <c r="J111" s="15"/>
    </row>
    <row r="112" spans="3:10" ht="12.75">
      <c r="C112" s="15"/>
      <c r="D112" s="15"/>
      <c r="E112" s="21">
        <v>43434</v>
      </c>
      <c r="F112" s="24"/>
      <c r="G112" s="24">
        <v>-188568.01</v>
      </c>
      <c r="H112" s="15"/>
      <c r="I112" s="25"/>
      <c r="J112" s="15"/>
    </row>
    <row r="113" spans="3:10" ht="12.75">
      <c r="C113" s="15" t="s">
        <v>82</v>
      </c>
      <c r="D113" s="15"/>
      <c r="E113" s="21">
        <v>43116</v>
      </c>
      <c r="F113" s="24"/>
      <c r="G113" s="24">
        <v>389832.04</v>
      </c>
      <c r="H113" s="15"/>
      <c r="I113" s="25"/>
      <c r="J113" s="15"/>
    </row>
    <row r="114" spans="3:10" ht="12.75">
      <c r="C114" s="15"/>
      <c r="D114" s="15"/>
      <c r="E114" s="21">
        <v>43145</v>
      </c>
      <c r="F114" s="24"/>
      <c r="G114" s="24">
        <v>120707.31</v>
      </c>
      <c r="H114" s="15"/>
      <c r="I114" s="25"/>
      <c r="J114" s="15"/>
    </row>
    <row r="115" spans="3:10" ht="12.75">
      <c r="C115" s="15"/>
      <c r="D115" s="15"/>
      <c r="E115" s="21">
        <v>43222</v>
      </c>
      <c r="F115" s="24"/>
      <c r="G115" s="24">
        <v>249398.55</v>
      </c>
      <c r="H115" s="15"/>
      <c r="I115" s="25"/>
      <c r="J115" s="15"/>
    </row>
    <row r="116" spans="3:10" ht="12.75">
      <c r="C116" s="15"/>
      <c r="D116" s="15"/>
      <c r="E116" s="21">
        <v>43314</v>
      </c>
      <c r="F116" s="24"/>
      <c r="G116" s="24">
        <v>259408.59</v>
      </c>
      <c r="H116" s="15"/>
      <c r="I116" s="25"/>
      <c r="J116" s="15"/>
    </row>
    <row r="117" spans="3:10" ht="12.75">
      <c r="C117" s="15"/>
      <c r="D117" s="15"/>
      <c r="E117" s="21">
        <v>43341</v>
      </c>
      <c r="F117" s="24"/>
      <c r="G117" s="24">
        <v>723326.43</v>
      </c>
      <c r="H117" s="15"/>
      <c r="I117" s="25"/>
      <c r="J117" s="15"/>
    </row>
    <row r="118" spans="3:10" ht="12.75">
      <c r="C118" s="15"/>
      <c r="D118" s="15"/>
      <c r="E118" s="21">
        <v>43398</v>
      </c>
      <c r="F118" s="24"/>
      <c r="G118" s="24">
        <v>556911.08</v>
      </c>
      <c r="H118" s="15"/>
      <c r="I118" s="25"/>
      <c r="J118" s="15"/>
    </row>
    <row r="119" spans="3:10" ht="12.75">
      <c r="C119" s="15" t="s">
        <v>83</v>
      </c>
      <c r="D119" s="15"/>
      <c r="E119" s="21">
        <v>43529</v>
      </c>
      <c r="F119" s="24"/>
      <c r="G119" s="24">
        <v>-87009.01</v>
      </c>
      <c r="H119" s="15"/>
      <c r="I119" s="25"/>
      <c r="J119" s="15"/>
    </row>
    <row r="120" spans="3:10" ht="12.75">
      <c r="C120" s="15"/>
      <c r="D120" s="15"/>
      <c r="E120" s="21">
        <v>43564</v>
      </c>
      <c r="F120" s="24"/>
      <c r="G120" s="24">
        <v>-107961</v>
      </c>
      <c r="H120" s="15"/>
      <c r="I120" s="25"/>
      <c r="J120" s="15"/>
    </row>
    <row r="121" spans="3:10" ht="12.75">
      <c r="C121" s="15"/>
      <c r="D121" s="15"/>
      <c r="E121" s="21">
        <v>43782</v>
      </c>
      <c r="F121" s="24"/>
      <c r="G121" s="24">
        <v>-93411</v>
      </c>
      <c r="H121" s="15"/>
      <c r="I121" s="25"/>
      <c r="J121" s="15"/>
    </row>
    <row r="122" spans="3:10" ht="12.75">
      <c r="C122" s="15" t="s">
        <v>84</v>
      </c>
      <c r="D122" s="15"/>
      <c r="E122" s="21">
        <v>43479</v>
      </c>
      <c r="F122" s="24"/>
      <c r="G122" s="24">
        <v>76369.08</v>
      </c>
      <c r="H122" s="15"/>
      <c r="I122" s="25"/>
      <c r="J122" s="15"/>
    </row>
    <row r="123" spans="3:10" ht="12.75">
      <c r="C123" s="15"/>
      <c r="D123" s="15"/>
      <c r="E123" s="21">
        <v>43558</v>
      </c>
      <c r="F123" s="24"/>
      <c r="G123" s="24">
        <v>734732.44</v>
      </c>
      <c r="H123" s="15"/>
      <c r="I123" s="25"/>
      <c r="J123" s="15"/>
    </row>
    <row r="124" spans="3:10" ht="12.75">
      <c r="C124" s="15"/>
      <c r="D124" s="15"/>
      <c r="E124" s="21">
        <v>43622</v>
      </c>
      <c r="F124" s="24"/>
      <c r="G124" s="24">
        <v>111430.20</v>
      </c>
      <c r="H124" s="15"/>
      <c r="I124" s="25"/>
      <c r="J124" s="15"/>
    </row>
    <row r="125" spans="3:10" ht="12.75">
      <c r="C125" s="15"/>
      <c r="D125" s="15"/>
      <c r="E125" s="21">
        <v>43689</v>
      </c>
      <c r="F125" s="24"/>
      <c r="G125" s="24">
        <v>176093.01</v>
      </c>
      <c r="H125" s="15"/>
      <c r="I125" s="25"/>
      <c r="J125" s="15"/>
    </row>
    <row r="126" spans="3:10" ht="12.75">
      <c r="C126" s="15"/>
      <c r="D126" s="15"/>
      <c r="E126" s="21">
        <v>43753</v>
      </c>
      <c r="F126" s="24"/>
      <c r="G126" s="24">
        <v>85913.24</v>
      </c>
      <c r="H126" s="15"/>
      <c r="I126" s="25"/>
      <c r="J126" s="15"/>
    </row>
    <row r="127" spans="3:10" ht="12.75">
      <c r="C127" s="15" t="s">
        <v>16</v>
      </c>
      <c r="D127" s="15"/>
      <c r="E127" s="21">
        <v>43923</v>
      </c>
      <c r="F127" s="24"/>
      <c r="G127" s="24">
        <v>-79734</v>
      </c>
      <c r="H127" s="15"/>
      <c r="I127" s="25"/>
      <c r="J127" s="15"/>
    </row>
    <row r="128" spans="3:10" ht="12.75">
      <c r="C128" s="15"/>
      <c r="D128" s="15"/>
      <c r="E128" s="21">
        <v>44104</v>
      </c>
      <c r="F128" s="24"/>
      <c r="G128" s="24">
        <v>-92829</v>
      </c>
      <c r="H128" s="15"/>
      <c r="I128" s="25"/>
      <c r="J128" s="15"/>
    </row>
    <row r="129" spans="3:10" ht="12.75">
      <c r="C129" s="15" t="s">
        <v>85</v>
      </c>
      <c r="D129" s="15"/>
      <c r="E129" s="21">
        <v>43867</v>
      </c>
      <c r="F129" s="24"/>
      <c r="G129" s="24">
        <v>197899.42</v>
      </c>
      <c r="H129" s="15"/>
      <c r="I129" s="25"/>
      <c r="J129" s="15"/>
    </row>
    <row r="130" spans="3:12" ht="15.75">
      <c r="C130" s="15"/>
      <c r="D130" s="15"/>
      <c r="E130" s="21">
        <v>44153</v>
      </c>
      <c r="F130" s="24"/>
      <c r="G130" s="24">
        <v>143633.63</v>
      </c>
      <c r="H130" s="15"/>
      <c r="I130" s="25"/>
      <c r="J130" s="15"/>
      <c r="L130" s="55"/>
    </row>
    <row r="131" spans="3:10" ht="12.75">
      <c r="C131" s="15" t="s">
        <v>41</v>
      </c>
      <c r="D131" s="15"/>
      <c r="E131" s="21">
        <v>44279</v>
      </c>
      <c r="F131" s="24"/>
      <c r="G131" s="24">
        <v>-62565</v>
      </c>
      <c r="H131" s="15"/>
      <c r="I131" s="25"/>
      <c r="J131" s="15"/>
    </row>
    <row r="132" spans="3:10" ht="12.75">
      <c r="C132" s="15"/>
      <c r="D132" s="15"/>
      <c r="E132" s="21">
        <v>44463</v>
      </c>
      <c r="F132" s="24"/>
      <c r="G132" s="24">
        <v>-42485.99</v>
      </c>
      <c r="H132" s="15"/>
      <c r="I132" s="25"/>
      <c r="J132" s="15"/>
    </row>
    <row r="133" spans="3:12" ht="15.75">
      <c r="C133" s="15" t="s">
        <v>71</v>
      </c>
      <c r="D133" s="15"/>
      <c r="E133" s="21">
        <v>44224</v>
      </c>
      <c r="F133" s="24"/>
      <c r="G133" s="24">
        <v>93091.16</v>
      </c>
      <c r="H133" s="15"/>
      <c r="I133" s="25"/>
      <c r="J133" s="15"/>
      <c r="L133" s="55"/>
    </row>
    <row r="134" spans="3:12" ht="15.75">
      <c r="C134" s="15"/>
      <c r="D134" s="15"/>
      <c r="E134" s="21">
        <v>44259</v>
      </c>
      <c r="F134" s="24"/>
      <c r="G134" s="24">
        <v>206439.50</v>
      </c>
      <c r="H134" s="15"/>
      <c r="I134" s="25"/>
      <c r="J134" s="15"/>
      <c r="L134" s="55"/>
    </row>
    <row r="135" spans="3:12" ht="15.75">
      <c r="C135" s="15"/>
      <c r="D135" s="15"/>
      <c r="E135" s="21">
        <v>44383</v>
      </c>
      <c r="F135" s="24"/>
      <c r="G135" s="24">
        <v>1572895.70</v>
      </c>
      <c r="H135" s="15"/>
      <c r="I135" s="25"/>
      <c r="J135" s="15"/>
      <c r="L135" s="55"/>
    </row>
    <row r="136" spans="3:12" ht="15.75">
      <c r="C136" s="15"/>
      <c r="D136" s="15"/>
      <c r="E136" s="21">
        <v>44441</v>
      </c>
      <c r="F136" s="24"/>
      <c r="G136" s="24">
        <v>79212.51</v>
      </c>
      <c r="H136" s="15"/>
      <c r="I136" s="25"/>
      <c r="J136" s="15"/>
      <c r="L136" s="55"/>
    </row>
    <row r="137" spans="3:12" ht="15.75">
      <c r="C137" s="15"/>
      <c r="D137" s="15"/>
      <c r="E137" s="21">
        <v>44502</v>
      </c>
      <c r="F137" s="24"/>
      <c r="G137" s="24">
        <v>359209.20</v>
      </c>
      <c r="H137" s="15"/>
      <c r="I137" s="25"/>
      <c r="J137" s="15"/>
      <c r="L137" s="55"/>
    </row>
    <row r="138" spans="3:12" ht="15.75">
      <c r="C138" s="15"/>
      <c r="D138" s="15"/>
      <c r="E138" s="21">
        <v>44551</v>
      </c>
      <c r="F138" s="24"/>
      <c r="G138" s="24">
        <v>113569.17</v>
      </c>
      <c r="H138" s="15"/>
      <c r="I138" s="25"/>
      <c r="J138" s="15"/>
      <c r="L138" s="55"/>
    </row>
    <row r="139" spans="3:12" ht="15.75">
      <c r="C139" s="15" t="s">
        <v>72</v>
      </c>
      <c r="D139" s="15"/>
      <c r="E139" s="21">
        <v>44651</v>
      </c>
      <c r="F139" s="24"/>
      <c r="G139" s="24">
        <v>-23571</v>
      </c>
      <c r="H139" s="15"/>
      <c r="I139" s="25"/>
      <c r="J139" s="15"/>
      <c r="L139" s="55"/>
    </row>
    <row r="140" spans="3:12" ht="15.75">
      <c r="C140" s="15"/>
      <c r="D140" s="15"/>
      <c r="E140" s="21">
        <v>44742</v>
      </c>
      <c r="F140" s="24"/>
      <c r="G140" s="24">
        <v>-20952</v>
      </c>
      <c r="H140" s="15"/>
      <c r="I140" s="25"/>
      <c r="J140" s="15"/>
      <c r="L140" s="55"/>
    </row>
    <row r="141" spans="3:12" ht="15.75">
      <c r="C141" s="15"/>
      <c r="D141" s="15"/>
      <c r="E141" s="21">
        <v>44827</v>
      </c>
      <c r="F141" s="24"/>
      <c r="G141" s="24">
        <v>-19788</v>
      </c>
      <c r="H141" s="15"/>
      <c r="I141" s="25"/>
      <c r="J141" s="15"/>
      <c r="L141" s="55"/>
    </row>
    <row r="142" spans="3:12" ht="15.75">
      <c r="C142" s="15" t="s">
        <v>73</v>
      </c>
      <c r="D142" s="15"/>
      <c r="E142" s="21">
        <v>44582</v>
      </c>
      <c r="F142" s="24"/>
      <c r="G142" s="24">
        <v>463062.55</v>
      </c>
      <c r="H142" s="15"/>
      <c r="I142" s="25"/>
      <c r="J142" s="15"/>
      <c r="L142" s="55"/>
    </row>
    <row r="143" spans="3:12" ht="15.75">
      <c r="C143" s="15"/>
      <c r="D143" s="15"/>
      <c r="E143" s="21">
        <v>44599</v>
      </c>
      <c r="F143" s="24"/>
      <c r="G143" s="24">
        <v>189520.29</v>
      </c>
      <c r="H143" s="15"/>
      <c r="I143" s="25"/>
      <c r="J143" s="15"/>
      <c r="L143" s="55"/>
    </row>
    <row r="144" spans="3:12" ht="15.75">
      <c r="C144" s="15"/>
      <c r="D144" s="15"/>
      <c r="E144" s="21">
        <v>44634</v>
      </c>
      <c r="F144" s="24"/>
      <c r="G144" s="24">
        <v>335690.32</v>
      </c>
      <c r="H144" s="15"/>
      <c r="I144" s="25"/>
      <c r="J144" s="15"/>
      <c r="L144" s="55"/>
    </row>
    <row r="145" spans="3:12" ht="15.75">
      <c r="C145" s="15"/>
      <c r="D145" s="15"/>
      <c r="E145" s="21">
        <v>44657</v>
      </c>
      <c r="F145" s="24"/>
      <c r="G145" s="24">
        <v>325222.55</v>
      </c>
      <c r="H145" s="15"/>
      <c r="I145" s="25"/>
      <c r="J145" s="15"/>
      <c r="L145" s="55"/>
    </row>
    <row r="146" spans="3:12" ht="15.75">
      <c r="C146" s="15"/>
      <c r="D146" s="15"/>
      <c r="E146" s="21">
        <v>44694</v>
      </c>
      <c r="F146" s="24"/>
      <c r="G146" s="24">
        <v>408724.47</v>
      </c>
      <c r="H146" s="15"/>
      <c r="I146" s="25"/>
      <c r="J146" s="15"/>
      <c r="L146" s="55"/>
    </row>
    <row r="147" spans="3:12" ht="15.75">
      <c r="C147" s="15"/>
      <c r="D147" s="15"/>
      <c r="E147" s="21">
        <v>44715</v>
      </c>
      <c r="F147" s="24"/>
      <c r="G147" s="24">
        <v>212586.08</v>
      </c>
      <c r="H147" s="15"/>
      <c r="I147" s="25"/>
      <c r="J147" s="15"/>
      <c r="L147" s="55"/>
    </row>
    <row r="148" spans="3:12" ht="15.75">
      <c r="C148" s="15"/>
      <c r="D148" s="15"/>
      <c r="E148" s="21">
        <v>44755</v>
      </c>
      <c r="F148" s="24"/>
      <c r="G148" s="24">
        <v>382541.50</v>
      </c>
      <c r="H148" s="15"/>
      <c r="I148" s="25"/>
      <c r="J148" s="15"/>
      <c r="L148" s="55"/>
    </row>
    <row r="149" spans="3:12" ht="15.75">
      <c r="C149" s="15"/>
      <c r="D149" s="15"/>
      <c r="E149" s="21">
        <v>44777</v>
      </c>
      <c r="F149" s="24"/>
      <c r="G149" s="24">
        <v>129234.45</v>
      </c>
      <c r="H149" s="15"/>
      <c r="I149" s="25"/>
      <c r="J149" s="15"/>
      <c r="L149" s="55"/>
    </row>
    <row r="150" spans="3:12" ht="15.75">
      <c r="C150" s="15"/>
      <c r="D150" s="15"/>
      <c r="E150" s="21">
        <v>44812</v>
      </c>
      <c r="F150" s="24"/>
      <c r="G150" s="24">
        <v>266992.18</v>
      </c>
      <c r="H150" s="15"/>
      <c r="I150" s="25"/>
      <c r="J150" s="15"/>
      <c r="L150" s="55"/>
    </row>
    <row r="151" spans="3:12" ht="15.75">
      <c r="C151" s="15"/>
      <c r="D151" s="15"/>
      <c r="E151" s="21">
        <v>44851</v>
      </c>
      <c r="F151" s="24"/>
      <c r="G151" s="24">
        <v>302546.41</v>
      </c>
      <c r="H151" s="15"/>
      <c r="I151" s="25"/>
      <c r="J151" s="15"/>
      <c r="L151" s="55"/>
    </row>
    <row r="152" spans="3:12" ht="15.75">
      <c r="C152" s="15"/>
      <c r="D152" s="15"/>
      <c r="E152" s="21">
        <v>44869</v>
      </c>
      <c r="F152" s="24"/>
      <c r="G152" s="24">
        <v>121716.25</v>
      </c>
      <c r="H152" s="15"/>
      <c r="I152" s="25"/>
      <c r="J152" s="15"/>
      <c r="L152" s="55"/>
    </row>
    <row r="153" spans="3:12" ht="15.75">
      <c r="C153" s="15" t="s">
        <v>75</v>
      </c>
      <c r="D153" s="15"/>
      <c r="E153" s="21">
        <v>44938</v>
      </c>
      <c r="F153" s="24"/>
      <c r="G153" s="24">
        <v>88024.19</v>
      </c>
      <c r="H153" s="15"/>
      <c r="I153" s="25"/>
      <c r="J153" s="15"/>
      <c r="L153" s="55"/>
    </row>
    <row r="154" spans="3:12" ht="15.75">
      <c r="C154" s="15"/>
      <c r="D154" s="15"/>
      <c r="E154" s="21">
        <v>44964</v>
      </c>
      <c r="F154" s="24"/>
      <c r="G154" s="24">
        <v>39355.74</v>
      </c>
      <c r="H154" s="15"/>
      <c r="I154" s="25"/>
      <c r="J154" s="15"/>
      <c r="L154" s="55"/>
    </row>
    <row r="155" spans="3:12" ht="15.75">
      <c r="C155" s="15"/>
      <c r="D155" s="15"/>
      <c r="E155" s="21">
        <v>45007</v>
      </c>
      <c r="F155" s="24"/>
      <c r="G155" s="24">
        <v>0</v>
      </c>
      <c r="H155" s="15"/>
      <c r="I155" s="25"/>
      <c r="J155" s="15"/>
      <c r="L155" s="55"/>
    </row>
    <row r="156" spans="3:12" ht="15.75">
      <c r="C156" s="15"/>
      <c r="D156" s="15"/>
      <c r="E156" s="21">
        <v>45037</v>
      </c>
      <c r="F156" s="24"/>
      <c r="G156" s="24">
        <v>0</v>
      </c>
      <c r="H156" s="15"/>
      <c r="I156" s="25"/>
      <c r="J156" s="15"/>
      <c r="L156" s="55"/>
    </row>
    <row r="157" spans="3:12" ht="15.75">
      <c r="C157" s="15"/>
      <c r="D157" s="15"/>
      <c r="E157" s="21">
        <v>45065</v>
      </c>
      <c r="F157" s="24"/>
      <c r="G157" s="24">
        <v>137423.3</v>
      </c>
      <c r="H157" s="15"/>
      <c r="I157" s="25"/>
      <c r="J157" s="15"/>
      <c r="L157" s="55"/>
    </row>
    <row r="158" spans="3:12" ht="15.75">
      <c r="C158" s="15"/>
      <c r="D158" s="15"/>
      <c r="E158" s="21">
        <v>45092</v>
      </c>
      <c r="F158" s="24"/>
      <c r="G158" s="24">
        <v>1227289.93</v>
      </c>
      <c r="H158" s="15"/>
      <c r="I158" s="25"/>
      <c r="J158" s="15"/>
      <c r="L158" s="55"/>
    </row>
    <row r="159" spans="3:9" ht="4.5" customHeight="1">
      <c r="C159" s="15"/>
      <c r="D159" s="15"/>
      <c r="E159" s="21"/>
      <c r="F159" s="15"/>
      <c r="G159" s="24"/>
      <c r="H159" s="126"/>
      <c r="I159" s="25"/>
    </row>
    <row r="160" spans="3:12" ht="12.75">
      <c r="C160" s="15" t="s">
        <v>5</v>
      </c>
      <c r="D160" s="15"/>
      <c r="E160" s="21">
        <f>+E8</f>
        <v>45107</v>
      </c>
      <c r="F160" s="15"/>
      <c r="G160" s="46">
        <f>L160*C22</f>
        <v>5539247.195235807</v>
      </c>
      <c r="H160" s="126"/>
      <c r="I160" s="24">
        <f>+SUMIF($G$23:$G$159,"&lt;0",$G$23:$G$159)</f>
        <v>-1.7271514209999997E7</v>
      </c>
      <c r="J160" s="15" t="s">
        <v>14</v>
      </c>
      <c r="L160" s="57">
        <v>413902332</v>
      </c>
    </row>
    <row r="161" spans="3:10" ht="12.75">
      <c r="C161" s="15"/>
      <c r="D161" s="15"/>
      <c r="E161" s="15"/>
      <c r="F161" s="15"/>
      <c r="G161" s="15"/>
      <c r="H161" s="126"/>
      <c r="I161" s="24">
        <f>+SUMIF($G$23:$G$159,"&gt;0",$G$23:$G$159)</f>
        <v>1.904256712E7</v>
      </c>
      <c r="J161" s="15" t="s">
        <v>15</v>
      </c>
    </row>
    <row r="162" spans="3:8" ht="12.75">
      <c r="C162" s="14" t="s">
        <v>0</v>
      </c>
      <c r="G162" s="29">
        <f>+XIRR(G23:G160,E23:E160,0.1)</f>
        <v>0.0902816265821457</v>
      </c>
      <c r="H162" s="126"/>
    </row>
    <row r="163" spans="3:8" ht="12.75">
      <c r="C163" s="15"/>
      <c r="D163" s="15"/>
      <c r="E163" s="15"/>
      <c r="F163" s="15"/>
      <c r="G163" s="15"/>
      <c r="H163" s="126"/>
    </row>
    <row r="164" spans="3:8" ht="12.75">
      <c r="C164" s="15"/>
      <c r="D164" s="15"/>
      <c r="E164" s="15"/>
      <c r="F164" s="15"/>
      <c r="G164" s="25"/>
      <c r="H164" s="126"/>
    </row>
    <row r="165" spans="3:8" ht="12.75">
      <c r="C165" s="126"/>
      <c r="D165" s="15"/>
      <c r="E165" s="141"/>
      <c r="F165" s="15"/>
      <c r="G165" s="141"/>
      <c r="H165" s="126"/>
    </row>
    <row r="166" spans="3:8" ht="12.75">
      <c r="C166" s="142"/>
      <c r="D166" s="52"/>
      <c r="E166" s="141"/>
      <c r="F166" s="52"/>
      <c r="G166" s="141"/>
      <c r="H166" s="126"/>
    </row>
    <row r="167" spans="3:8" ht="12.75">
      <c r="C167" s="142"/>
      <c r="D167" s="52"/>
      <c r="E167" s="141"/>
      <c r="F167" s="52"/>
      <c r="G167" s="141"/>
      <c r="H167" s="126"/>
    </row>
    <row r="168" spans="3:8" ht="12.75">
      <c r="C168" s="52"/>
      <c r="D168" s="52"/>
      <c r="E168" s="132"/>
      <c r="F168" s="132"/>
      <c r="G168" s="132"/>
      <c r="H168" s="14"/>
    </row>
    <row r="169" spans="3:8" ht="12.75">
      <c r="C169" s="52"/>
      <c r="D169" s="52"/>
      <c r="E169" s="53"/>
      <c r="F169" s="53"/>
      <c r="G169" s="53"/>
      <c r="H169" s="14"/>
    </row>
    <row r="170" spans="3:8" ht="12.75">
      <c r="C170" s="170"/>
      <c r="D170" s="170"/>
      <c r="E170" s="170"/>
      <c r="F170" s="52"/>
      <c r="G170" s="52"/>
      <c r="H170" s="14"/>
    </row>
    <row r="171" spans="3:8" ht="12.75">
      <c r="C171" s="170"/>
      <c r="D171" s="170"/>
      <c r="E171" s="171"/>
      <c r="F171" s="15"/>
      <c r="G171" s="58"/>
      <c r="H171" s="126"/>
    </row>
    <row r="172" spans="3:8" ht="12.75">
      <c r="C172" s="170"/>
      <c r="D172" s="170"/>
      <c r="E172" s="70"/>
      <c r="F172" s="15"/>
      <c r="G172" s="70"/>
      <c r="H172" s="126"/>
    </row>
    <row r="173" spans="3:8" ht="12.75">
      <c r="C173" s="170"/>
      <c r="D173" s="170"/>
      <c r="E173" s="70"/>
      <c r="F173" s="15"/>
      <c r="G173" s="70"/>
      <c r="H173" s="126"/>
    </row>
    <row r="174" spans="3:8" ht="12.75">
      <c r="C174" s="172"/>
      <c r="D174" s="170"/>
      <c r="E174" s="70"/>
      <c r="F174" s="15"/>
      <c r="G174" s="70"/>
      <c r="H174" s="126"/>
    </row>
    <row r="175" spans="3:8" ht="12.75">
      <c r="C175" s="172"/>
      <c r="D175" s="170"/>
      <c r="E175" s="70"/>
      <c r="F175" s="15"/>
      <c r="G175" s="70"/>
      <c r="H175" s="126"/>
    </row>
    <row r="176" spans="3:8" ht="12.75">
      <c r="C176" s="173"/>
      <c r="D176" s="170"/>
      <c r="E176" s="70"/>
      <c r="F176" s="15"/>
      <c r="G176" s="70"/>
      <c r="H176" s="126"/>
    </row>
    <row r="177" spans="3:8" ht="12.75">
      <c r="C177" s="170"/>
      <c r="D177" s="170"/>
      <c r="E177" s="70"/>
      <c r="F177" s="15"/>
      <c r="G177" s="70"/>
      <c r="H177" s="126"/>
    </row>
    <row r="178" spans="3:8" ht="12.75">
      <c r="C178" s="170"/>
      <c r="D178" s="170"/>
      <c r="E178" s="70"/>
      <c r="F178" s="15"/>
      <c r="G178" s="70"/>
      <c r="H178" s="126"/>
    </row>
    <row r="179" spans="3:8" ht="12.75">
      <c r="C179" s="170"/>
      <c r="D179" s="170"/>
      <c r="E179" s="70"/>
      <c r="F179" s="15"/>
      <c r="G179" s="70"/>
      <c r="H179" s="126"/>
    </row>
    <row r="180" spans="3:8" ht="12.75">
      <c r="C180" s="170"/>
      <c r="D180" s="170"/>
      <c r="E180" s="70"/>
      <c r="F180" s="15"/>
      <c r="G180" s="70"/>
      <c r="H180" s="126"/>
    </row>
    <row r="181" spans="3:8" ht="12.75">
      <c r="C181" s="170"/>
      <c r="D181" s="170"/>
      <c r="E181" s="70"/>
      <c r="F181" s="15"/>
      <c r="G181" s="70"/>
      <c r="H181" s="126"/>
    </row>
    <row r="182" spans="3:8" ht="12.75">
      <c r="C182" s="170"/>
      <c r="D182" s="170"/>
      <c r="E182" s="70"/>
      <c r="F182" s="15"/>
      <c r="G182" s="70"/>
      <c r="H182" s="126"/>
    </row>
    <row r="183" spans="3:8" s="39" customFormat="1" ht="5.1" customHeight="1">
      <c r="C183" s="15"/>
      <c r="D183" s="15"/>
      <c r="E183" s="15"/>
      <c r="F183" s="15"/>
      <c r="G183" s="15"/>
      <c r="H183" s="126"/>
    </row>
    <row r="184" spans="3:8" ht="12.75">
      <c r="C184" s="15"/>
      <c r="D184" s="15"/>
      <c r="E184" s="15"/>
      <c r="F184" s="15"/>
      <c r="G184" s="15"/>
      <c r="H184" s="126"/>
    </row>
  </sheetData>
  <mergeCells count="1">
    <mergeCell ref="E168:G168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31C76D-147C-4E7C-BA31-AB7DA156B378}">
  <sheetPr>
    <pageSetUpPr fitToPage="1"/>
  </sheetPr>
  <dimension ref="B4:M184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39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39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148"/>
      <c r="E4" s="1"/>
      <c r="F4" s="1"/>
    </row>
    <row r="6" spans="3:6" ht="12.75">
      <c r="C6" s="2"/>
      <c r="D6" s="149"/>
      <c r="E6" s="2"/>
      <c r="F6" s="2"/>
    </row>
    <row r="7" spans="2:6" ht="12.75">
      <c r="B7" s="4"/>
      <c r="C7" s="3"/>
      <c r="D7" s="150"/>
      <c r="E7" s="3"/>
      <c r="F7" s="3"/>
    </row>
    <row r="8" spans="3:8" ht="15.75">
      <c r="C8" s="145"/>
      <c r="D8" s="145"/>
      <c r="E8" s="151">
        <f>+'Fund IX'!E8</f>
        <v>45107</v>
      </c>
      <c r="F8" s="32"/>
      <c r="G8" s="6"/>
      <c r="H8" s="143"/>
    </row>
    <row r="9" spans="3:7" ht="15.75">
      <c r="C9" s="161"/>
      <c r="D9" s="161"/>
      <c r="E9" s="161"/>
      <c r="F9" s="161"/>
      <c r="G9" s="162"/>
    </row>
    <row r="10" spans="3:8" ht="12.75">
      <c r="C10" s="163"/>
      <c r="D10" s="163"/>
      <c r="E10" s="164"/>
      <c r="F10" s="163"/>
      <c r="G10" s="57"/>
      <c r="H10" s="144"/>
    </row>
    <row r="11" spans="3:8" ht="12.75">
      <c r="C11" s="163"/>
      <c r="D11" s="163"/>
      <c r="E11" s="164"/>
      <c r="F11" s="163"/>
      <c r="G11" s="164"/>
      <c r="H11" s="144"/>
    </row>
    <row r="12" spans="3:8" ht="15.75">
      <c r="C12" s="165"/>
      <c r="D12" s="165"/>
      <c r="E12" s="166"/>
      <c r="F12" s="165"/>
      <c r="G12" s="166"/>
      <c r="H12" s="145"/>
    </row>
    <row r="13" spans="3:8" ht="12.75">
      <c r="C13" s="163"/>
      <c r="D13" s="163"/>
      <c r="E13" s="167"/>
      <c r="F13" s="163"/>
      <c r="G13" s="57"/>
      <c r="H13" s="146"/>
    </row>
    <row r="14" spans="3:8" ht="12.75">
      <c r="C14" s="163"/>
      <c r="D14" s="163"/>
      <c r="E14" s="168"/>
      <c r="F14" s="163"/>
      <c r="G14" s="57"/>
      <c r="H14" s="147"/>
    </row>
    <row r="15" spans="3:8" ht="12.75">
      <c r="C15" s="163"/>
      <c r="D15" s="163"/>
      <c r="E15" s="164"/>
      <c r="F15" s="163"/>
      <c r="G15" s="164"/>
      <c r="H15" s="144"/>
    </row>
    <row r="16" spans="3:8" ht="15.75">
      <c r="C16" s="5"/>
      <c r="D16" s="5"/>
      <c r="E16" s="11"/>
      <c r="F16" s="5"/>
      <c r="G16" s="11"/>
      <c r="H16" s="145"/>
    </row>
    <row r="17" spans="3:8" ht="15.75">
      <c r="C17" s="26" t="s">
        <v>7</v>
      </c>
      <c r="D17" s="152"/>
      <c r="E17" s="11"/>
      <c r="F17" s="26"/>
      <c r="G17" s="11"/>
      <c r="H17" s="145"/>
    </row>
    <row r="18" spans="3:8" ht="12.75" customHeight="1">
      <c r="C18" s="18" t="s">
        <v>8</v>
      </c>
      <c r="D18" s="153"/>
      <c r="E18" s="8">
        <f>G161</f>
        <v>0.10348693728446959</v>
      </c>
      <c r="F18" s="18"/>
      <c r="G18" s="28"/>
      <c r="H18" s="146"/>
    </row>
    <row r="19" spans="3:8" ht="12.75">
      <c r="C19" s="18" t="s">
        <v>10</v>
      </c>
      <c r="D19" s="153"/>
      <c r="E19" s="34">
        <f>(G159+I160)/-I159</f>
        <v>1.4525534550678711</v>
      </c>
      <c r="F19" s="18"/>
      <c r="G19" s="10"/>
      <c r="H19" s="144"/>
    </row>
    <row r="20" spans="3:7" ht="12.75">
      <c r="C20" s="18"/>
      <c r="D20" s="153"/>
      <c r="E20" s="18"/>
      <c r="F20" s="18"/>
      <c r="G20" s="7"/>
    </row>
    <row r="21" spans="3:11" ht="15.75">
      <c r="C21" s="19" t="s">
        <v>95</v>
      </c>
      <c r="D21" s="154"/>
      <c r="E21" s="20"/>
      <c r="F21" s="20"/>
      <c r="I21" s="15"/>
      <c r="K21" s="119"/>
    </row>
    <row r="22" spans="3:9" ht="12.75">
      <c r="C22" s="22">
        <v>0.0030979701811262032</v>
      </c>
      <c r="D22" s="126"/>
      <c r="E22" s="15"/>
      <c r="F22" s="15"/>
      <c r="G22" s="23"/>
      <c r="H22" s="126"/>
      <c r="I22" s="15"/>
    </row>
    <row r="23" spans="3:9" ht="12.75">
      <c r="C23" s="15" t="s">
        <v>90</v>
      </c>
      <c r="D23" s="126"/>
      <c r="E23" s="21">
        <v>41282</v>
      </c>
      <c r="F23" s="24"/>
      <c r="G23" s="130">
        <v>-6000</v>
      </c>
      <c r="H23" s="126"/>
      <c r="I23" s="25"/>
    </row>
    <row r="24" spans="3:9" ht="12.75">
      <c r="C24" s="15"/>
      <c r="D24" s="126"/>
      <c r="E24" s="21">
        <v>41359</v>
      </c>
      <c r="F24" s="24"/>
      <c r="G24" s="130">
        <v>-4947</v>
      </c>
      <c r="H24" s="126"/>
      <c r="I24" s="25"/>
    </row>
    <row r="25" spans="3:9" ht="12.75">
      <c r="C25" s="15"/>
      <c r="D25" s="126"/>
      <c r="E25" s="21">
        <v>41381</v>
      </c>
      <c r="F25" s="24"/>
      <c r="G25" s="130">
        <v>-1920.60</v>
      </c>
      <c r="H25" s="126"/>
      <c r="I25" s="25"/>
    </row>
    <row r="26" spans="3:9" ht="12.75">
      <c r="C26" s="15"/>
      <c r="D26" s="126"/>
      <c r="E26" s="21">
        <v>41424</v>
      </c>
      <c r="F26" s="24"/>
      <c r="G26" s="130">
        <v>-1610.20</v>
      </c>
      <c r="H26" s="126"/>
      <c r="I26" s="25"/>
    </row>
    <row r="27" spans="3:9" ht="12.75">
      <c r="C27" s="15"/>
      <c r="D27" s="126"/>
      <c r="E27" s="21">
        <v>41446</v>
      </c>
      <c r="F27" s="24"/>
      <c r="G27" s="130">
        <v>-58665.60</v>
      </c>
      <c r="H27" s="126"/>
      <c r="I27" s="25"/>
    </row>
    <row r="28" spans="3:9" ht="12.75">
      <c r="C28" s="15"/>
      <c r="D28" s="126"/>
      <c r="E28" s="21">
        <v>41498</v>
      </c>
      <c r="F28" s="24"/>
      <c r="G28" s="130">
        <v>-3918.80</v>
      </c>
      <c r="H28" s="126"/>
      <c r="I28" s="25"/>
    </row>
    <row r="29" spans="3:9" ht="12.75">
      <c r="C29" s="15"/>
      <c r="D29" s="126"/>
      <c r="E29" s="21">
        <v>41527</v>
      </c>
      <c r="F29" s="24"/>
      <c r="G29" s="130">
        <v>-9855.2</v>
      </c>
      <c r="H29" s="126"/>
      <c r="I29" s="25"/>
    </row>
    <row r="30" spans="3:13" ht="12.75">
      <c r="C30" s="15"/>
      <c r="D30" s="126"/>
      <c r="E30" s="21">
        <v>41534</v>
      </c>
      <c r="F30" s="24"/>
      <c r="G30" s="130">
        <v>-5024.6</v>
      </c>
      <c r="H30" s="126"/>
      <c r="L30" s="139"/>
      <c r="M30" s="139"/>
    </row>
    <row r="31" spans="3:12" ht="12.75">
      <c r="C31" s="15"/>
      <c r="D31" s="126"/>
      <c r="E31" s="21">
        <v>41551</v>
      </c>
      <c r="F31" s="24"/>
      <c r="G31" s="130">
        <v>-4772.4</v>
      </c>
      <c r="H31" s="126"/>
      <c r="L31" s="139"/>
    </row>
    <row r="32" spans="3:12" ht="12.75">
      <c r="C32" s="15"/>
      <c r="D32" s="126"/>
      <c r="E32" s="21">
        <v>41585</v>
      </c>
      <c r="F32" s="24"/>
      <c r="G32" s="130">
        <v>-9137.40</v>
      </c>
      <c r="H32" s="126"/>
      <c r="L32" s="139"/>
    </row>
    <row r="33" spans="3:12" ht="12.75">
      <c r="C33" s="15"/>
      <c r="D33" s="126"/>
      <c r="E33" s="21">
        <v>41621</v>
      </c>
      <c r="F33" s="24"/>
      <c r="G33" s="130">
        <v>-16625.80</v>
      </c>
      <c r="H33" s="126"/>
      <c r="L33" s="139"/>
    </row>
    <row r="34" spans="3:12" ht="12.75">
      <c r="C34" s="15"/>
      <c r="D34" s="126"/>
      <c r="E34" s="21">
        <v>41635</v>
      </c>
      <c r="F34" s="24"/>
      <c r="G34" s="130">
        <v>-6770.60</v>
      </c>
      <c r="H34" s="126"/>
      <c r="L34" s="139"/>
    </row>
    <row r="35" spans="3:10" ht="12.75">
      <c r="C35" s="15" t="s">
        <v>92</v>
      </c>
      <c r="D35" s="126"/>
      <c r="E35" s="21">
        <v>41670</v>
      </c>
      <c r="F35" s="24"/>
      <c r="G35" s="24">
        <v>-5781.20</v>
      </c>
      <c r="H35" s="126"/>
      <c r="I35" s="25"/>
      <c r="J35" s="15"/>
    </row>
    <row r="36" spans="3:10" ht="12.75">
      <c r="C36" s="15"/>
      <c r="D36" s="126"/>
      <c r="E36" s="21">
        <v>41712</v>
      </c>
      <c r="F36" s="24"/>
      <c r="G36" s="24">
        <v>-14666.47</v>
      </c>
      <c r="H36" s="126"/>
      <c r="I36" s="25"/>
      <c r="J36" s="15"/>
    </row>
    <row r="37" spans="3:10" ht="12.75">
      <c r="C37" s="15"/>
      <c r="D37" s="126"/>
      <c r="E37" s="21">
        <v>41724</v>
      </c>
      <c r="F37" s="24"/>
      <c r="G37" s="24">
        <v>-5315.60</v>
      </c>
      <c r="H37" s="126"/>
      <c r="I37" s="25"/>
      <c r="J37" s="15"/>
    </row>
    <row r="38" spans="3:10" ht="12.75">
      <c r="C38" s="15"/>
      <c r="D38" s="126"/>
      <c r="E38" s="21">
        <v>41733</v>
      </c>
      <c r="F38" s="24"/>
      <c r="G38" s="24">
        <v>-8380.8</v>
      </c>
      <c r="H38" s="126"/>
      <c r="I38" s="25"/>
      <c r="J38" s="15"/>
    </row>
    <row r="39" spans="3:10" ht="12.75">
      <c r="C39" s="15"/>
      <c r="D39" s="126"/>
      <c r="E39" s="21">
        <v>41764</v>
      </c>
      <c r="F39" s="24"/>
      <c r="G39" s="24">
        <v>-7333.21</v>
      </c>
      <c r="H39" s="126"/>
      <c r="I39" s="25"/>
      <c r="J39" s="15"/>
    </row>
    <row r="40" spans="3:10" ht="12.75">
      <c r="C40" s="15"/>
      <c r="D40" s="126"/>
      <c r="E40" s="21">
        <v>41774</v>
      </c>
      <c r="F40" s="24"/>
      <c r="G40" s="24">
        <v>-10320.8</v>
      </c>
      <c r="H40" s="126"/>
      <c r="I40" s="25"/>
      <c r="J40" s="15"/>
    </row>
    <row r="41" spans="3:10" ht="12.75">
      <c r="C41" s="15"/>
      <c r="D41" s="126"/>
      <c r="E41" s="21">
        <v>41788</v>
      </c>
      <c r="F41" s="24"/>
      <c r="G41" s="24">
        <v>-8012.20</v>
      </c>
      <c r="H41" s="126"/>
      <c r="I41" s="25"/>
      <c r="J41" s="15"/>
    </row>
    <row r="42" spans="3:10" ht="12.75">
      <c r="C42" s="15"/>
      <c r="D42" s="126"/>
      <c r="E42" s="21">
        <v>41817</v>
      </c>
      <c r="F42" s="24"/>
      <c r="G42" s="24">
        <v>-14394.80</v>
      </c>
      <c r="H42" s="126"/>
      <c r="I42" s="25"/>
      <c r="J42" s="15"/>
    </row>
    <row r="43" spans="3:10" ht="12.75">
      <c r="C43" s="15"/>
      <c r="D43" s="126"/>
      <c r="E43" s="21">
        <v>41830</v>
      </c>
      <c r="F43" s="24"/>
      <c r="G43" s="24">
        <v>-9098.61</v>
      </c>
      <c r="H43" s="126"/>
      <c r="I43" s="25"/>
      <c r="J43" s="15"/>
    </row>
    <row r="44" spans="3:10" ht="12.75">
      <c r="C44" s="15"/>
      <c r="D44" s="126"/>
      <c r="E44" s="21">
        <v>41851</v>
      </c>
      <c r="F44" s="24"/>
      <c r="G44" s="24">
        <v>-5121.6</v>
      </c>
      <c r="H44" s="126"/>
      <c r="I44" s="25"/>
      <c r="J44" s="15"/>
    </row>
    <row r="45" spans="3:8" ht="12.75">
      <c r="C45" s="15"/>
      <c r="D45" s="126"/>
      <c r="E45" s="21">
        <v>41859</v>
      </c>
      <c r="F45" s="24"/>
      <c r="G45" s="24">
        <v>-9777.60</v>
      </c>
      <c r="H45" s="126"/>
    </row>
    <row r="46" spans="3:8" ht="12.75">
      <c r="C46" s="15"/>
      <c r="D46" s="126"/>
      <c r="E46" s="21">
        <v>41880</v>
      </c>
      <c r="F46" s="24"/>
      <c r="G46" s="24">
        <v>-6052.80</v>
      </c>
      <c r="H46" s="126"/>
    </row>
    <row r="47" spans="3:8" ht="12.75">
      <c r="C47" s="15"/>
      <c r="D47" s="126"/>
      <c r="E47" s="21">
        <v>41900</v>
      </c>
      <c r="F47" s="24"/>
      <c r="G47" s="24">
        <v>-24948.41</v>
      </c>
      <c r="H47" s="126"/>
    </row>
    <row r="48" spans="3:8" ht="12.75">
      <c r="C48" s="15"/>
      <c r="D48" s="126"/>
      <c r="E48" s="21">
        <v>41915</v>
      </c>
      <c r="F48" s="24"/>
      <c r="G48" s="24">
        <v>-25666.19</v>
      </c>
      <c r="H48" s="126"/>
    </row>
    <row r="49" spans="3:8" ht="12.75">
      <c r="C49" s="15"/>
      <c r="D49" s="126"/>
      <c r="E49" s="21">
        <v>41929</v>
      </c>
      <c r="F49" s="24"/>
      <c r="G49" s="24">
        <v>-19031.40</v>
      </c>
      <c r="H49" s="126"/>
    </row>
    <row r="50" spans="3:8" ht="12.75">
      <c r="C50" s="15"/>
      <c r="D50" s="126"/>
      <c r="E50" s="21">
        <v>41943</v>
      </c>
      <c r="F50" s="24"/>
      <c r="G50" s="24">
        <v>-12648.80</v>
      </c>
      <c r="H50" s="126"/>
    </row>
    <row r="51" spans="3:8" ht="12.75">
      <c r="C51" s="15"/>
      <c r="D51" s="126"/>
      <c r="E51" s="21">
        <v>41977</v>
      </c>
      <c r="F51" s="24"/>
      <c r="G51" s="24">
        <v>-19109</v>
      </c>
      <c r="H51" s="126"/>
    </row>
    <row r="52" spans="3:10" ht="12.75">
      <c r="C52" s="15" t="s">
        <v>93</v>
      </c>
      <c r="D52" s="126"/>
      <c r="E52" s="21">
        <v>41817</v>
      </c>
      <c r="F52" s="24"/>
      <c r="G52" s="24">
        <v>13980.57</v>
      </c>
      <c r="H52" s="126"/>
      <c r="I52" s="25"/>
      <c r="J52" s="15"/>
    </row>
    <row r="53" spans="3:10" ht="12.75">
      <c r="C53" s="15" t="s">
        <v>76</v>
      </c>
      <c r="D53" s="126"/>
      <c r="E53" s="21">
        <v>42009</v>
      </c>
      <c r="F53" s="24"/>
      <c r="G53" s="24">
        <v>-61672.60</v>
      </c>
      <c r="H53" s="126"/>
      <c r="I53" s="25"/>
      <c r="J53" s="15"/>
    </row>
    <row r="54" spans="3:10" ht="12.75">
      <c r="C54" s="15"/>
      <c r="D54" s="126"/>
      <c r="E54" s="21">
        <v>42027</v>
      </c>
      <c r="F54" s="24"/>
      <c r="G54" s="24">
        <v>-29216.40</v>
      </c>
      <c r="H54" s="126"/>
      <c r="I54" s="25"/>
      <c r="J54" s="15"/>
    </row>
    <row r="55" spans="3:10" ht="12.75">
      <c r="C55" s="15"/>
      <c r="D55" s="126"/>
      <c r="E55" s="21">
        <v>42048</v>
      </c>
      <c r="F55" s="24"/>
      <c r="G55" s="24">
        <v>-13075.61</v>
      </c>
      <c r="H55" s="126"/>
      <c r="I55" s="25"/>
      <c r="J55" s="15"/>
    </row>
    <row r="56" spans="3:10" ht="12.75">
      <c r="C56" s="15"/>
      <c r="D56" s="126"/>
      <c r="E56" s="21">
        <v>42061</v>
      </c>
      <c r="F56" s="24"/>
      <c r="G56" s="24">
        <v>-9525.40</v>
      </c>
      <c r="H56" s="126"/>
      <c r="I56" s="25"/>
      <c r="J56" s="15"/>
    </row>
    <row r="57" spans="3:10" ht="12.75">
      <c r="C57" s="15"/>
      <c r="D57" s="126"/>
      <c r="E57" s="21">
        <v>42088</v>
      </c>
      <c r="F57" s="24"/>
      <c r="G57" s="24">
        <v>-20331.20</v>
      </c>
      <c r="H57" s="126"/>
      <c r="I57" s="25"/>
      <c r="J57" s="15"/>
    </row>
    <row r="58" spans="3:10" ht="12.75">
      <c r="C58" s="15"/>
      <c r="D58" s="126"/>
      <c r="E58" s="21">
        <v>42111</v>
      </c>
      <c r="F58" s="24"/>
      <c r="G58" s="24">
        <v>-16431.80</v>
      </c>
      <c r="H58" s="126"/>
      <c r="I58" s="25"/>
      <c r="J58" s="15"/>
    </row>
    <row r="59" spans="3:10" ht="12.75">
      <c r="C59" s="15"/>
      <c r="D59" s="126"/>
      <c r="E59" s="21">
        <v>42138</v>
      </c>
      <c r="F59" s="24"/>
      <c r="G59" s="24">
        <v>-14200.80</v>
      </c>
      <c r="H59" s="126"/>
      <c r="I59" s="25"/>
      <c r="J59" s="15"/>
    </row>
    <row r="60" spans="3:10" ht="12.75">
      <c r="C60" s="15"/>
      <c r="D60" s="126"/>
      <c r="E60" s="21">
        <v>42156</v>
      </c>
      <c r="F60" s="24"/>
      <c r="G60" s="24">
        <v>-17440.60</v>
      </c>
      <c r="H60" s="126"/>
      <c r="I60" s="25"/>
      <c r="J60" s="15"/>
    </row>
    <row r="61" spans="3:8" ht="12.75">
      <c r="C61" s="15"/>
      <c r="D61" s="126"/>
      <c r="E61" s="21">
        <v>42187</v>
      </c>
      <c r="F61" s="24"/>
      <c r="G61" s="24">
        <v>-13812.80</v>
      </c>
      <c r="H61" s="126"/>
    </row>
    <row r="62" spans="3:8" ht="12.75">
      <c r="C62" s="15"/>
      <c r="D62" s="126"/>
      <c r="E62" s="21">
        <v>42230</v>
      </c>
      <c r="F62" s="24"/>
      <c r="G62" s="24">
        <v>-9292.60</v>
      </c>
      <c r="H62" s="126"/>
    </row>
    <row r="63" spans="3:8" ht="12.75">
      <c r="C63" s="15"/>
      <c r="D63" s="126"/>
      <c r="E63" s="21">
        <v>42258</v>
      </c>
      <c r="F63" s="24"/>
      <c r="G63" s="24">
        <v>-18410.59</v>
      </c>
      <c r="H63" s="126"/>
    </row>
    <row r="64" spans="3:8" ht="12.75">
      <c r="C64" s="15"/>
      <c r="D64" s="126"/>
      <c r="E64" s="21">
        <v>42272</v>
      </c>
      <c r="F64" s="24"/>
      <c r="G64" s="24">
        <v>-25743.81</v>
      </c>
      <c r="H64" s="126"/>
    </row>
    <row r="65" spans="3:8" ht="12.75">
      <c r="C65" s="15"/>
      <c r="D65" s="126"/>
      <c r="E65" s="21">
        <v>42293</v>
      </c>
      <c r="F65" s="24"/>
      <c r="G65" s="24">
        <v>-24579.80</v>
      </c>
      <c r="H65" s="126"/>
    </row>
    <row r="66" spans="3:8" ht="12.75">
      <c r="C66" s="15"/>
      <c r="D66" s="126"/>
      <c r="E66" s="21">
        <v>42345</v>
      </c>
      <c r="F66" s="24"/>
      <c r="G66" s="24">
        <v>-11523.60</v>
      </c>
      <c r="H66" s="126"/>
    </row>
    <row r="67" spans="3:8" ht="12.75">
      <c r="C67" s="15"/>
      <c r="D67" s="126"/>
      <c r="E67" s="21">
        <v>42361</v>
      </c>
      <c r="F67" s="24"/>
      <c r="G67" s="24">
        <v>-8865.81</v>
      </c>
      <c r="H67" s="126"/>
    </row>
    <row r="68" spans="3:10" ht="12.75">
      <c r="C68" s="15" t="s">
        <v>94</v>
      </c>
      <c r="D68" s="126"/>
      <c r="E68" s="21">
        <v>42249</v>
      </c>
      <c r="F68" s="24"/>
      <c r="G68" s="24">
        <v>19173.78</v>
      </c>
      <c r="H68" s="126"/>
      <c r="I68" s="25"/>
      <c r="J68" s="15"/>
    </row>
    <row r="69" spans="3:10" ht="12.75">
      <c r="C69" s="15" t="s">
        <v>77</v>
      </c>
      <c r="D69" s="126"/>
      <c r="E69" s="21">
        <v>42382</v>
      </c>
      <c r="F69" s="24"/>
      <c r="G69" s="24">
        <v>-16101.99</v>
      </c>
      <c r="H69" s="126"/>
      <c r="I69" s="25"/>
      <c r="J69" s="15"/>
    </row>
    <row r="70" spans="3:10" ht="12.75">
      <c r="C70" s="15"/>
      <c r="D70" s="15"/>
      <c r="E70" s="21">
        <v>42457</v>
      </c>
      <c r="F70" s="24"/>
      <c r="G70" s="24">
        <v>-17983.81</v>
      </c>
      <c r="H70" s="126"/>
      <c r="I70" s="25"/>
      <c r="J70" s="15"/>
    </row>
    <row r="71" spans="3:10" ht="12.75">
      <c r="C71" s="15"/>
      <c r="D71" s="15"/>
      <c r="E71" s="21">
        <v>42468</v>
      </c>
      <c r="F71" s="24"/>
      <c r="G71" s="24">
        <v>-20796.80</v>
      </c>
      <c r="H71" s="126"/>
      <c r="I71" s="25"/>
      <c r="J71" s="15"/>
    </row>
    <row r="72" spans="3:10" ht="12.75">
      <c r="C72" s="15"/>
      <c r="D72" s="15"/>
      <c r="E72" s="21">
        <v>42507</v>
      </c>
      <c r="F72" s="24"/>
      <c r="G72" s="24">
        <v>-74864.6</v>
      </c>
      <c r="H72" s="126"/>
      <c r="I72" s="25"/>
      <c r="J72" s="15"/>
    </row>
    <row r="73" spans="3:10" ht="12.75">
      <c r="C73" s="15"/>
      <c r="D73" s="15"/>
      <c r="E73" s="21">
        <v>42543</v>
      </c>
      <c r="F73" s="24"/>
      <c r="G73" s="24">
        <v>-38528.40</v>
      </c>
      <c r="H73" s="126"/>
      <c r="I73" s="25"/>
      <c r="J73" s="15"/>
    </row>
    <row r="74" spans="3:10" ht="12.75">
      <c r="C74" s="15"/>
      <c r="D74" s="15"/>
      <c r="E74" s="21">
        <v>42557</v>
      </c>
      <c r="F74" s="24"/>
      <c r="G74" s="24">
        <v>-8594.19</v>
      </c>
      <c r="H74" s="126"/>
      <c r="I74" s="25"/>
      <c r="J74" s="15"/>
    </row>
    <row r="75" spans="3:10" ht="12.75">
      <c r="C75" s="15"/>
      <c r="D75" s="15"/>
      <c r="E75" s="21">
        <v>42590</v>
      </c>
      <c r="F75" s="24"/>
      <c r="G75" s="24">
        <v>-18003.21</v>
      </c>
      <c r="H75" s="126"/>
      <c r="I75" s="25"/>
      <c r="J75" s="15"/>
    </row>
    <row r="76" spans="3:10" ht="12.75">
      <c r="C76" s="15"/>
      <c r="D76" s="15"/>
      <c r="E76" s="21">
        <v>42607</v>
      </c>
      <c r="F76" s="24"/>
      <c r="G76" s="24">
        <v>-31951.80</v>
      </c>
      <c r="H76" s="126"/>
      <c r="I76" s="25"/>
      <c r="J76" s="15"/>
    </row>
    <row r="77" spans="3:10" ht="12.75">
      <c r="C77" s="15"/>
      <c r="D77" s="15"/>
      <c r="E77" s="21">
        <v>42628</v>
      </c>
      <c r="F77" s="24"/>
      <c r="G77" s="24">
        <v>-18216.60</v>
      </c>
      <c r="H77" s="126"/>
      <c r="I77" s="25"/>
      <c r="J77" s="15"/>
    </row>
    <row r="78" spans="3:10" ht="12.75">
      <c r="C78" s="15"/>
      <c r="D78" s="15"/>
      <c r="E78" s="21">
        <v>42634</v>
      </c>
      <c r="F78" s="24"/>
      <c r="G78" s="24">
        <v>-11872.81</v>
      </c>
      <c r="H78" s="126"/>
      <c r="I78" s="25"/>
      <c r="J78" s="15"/>
    </row>
    <row r="79" spans="3:8" ht="12.75">
      <c r="C79" s="15"/>
      <c r="D79" s="15"/>
      <c r="E79" s="21">
        <v>42663</v>
      </c>
      <c r="F79" s="24"/>
      <c r="G79" s="24">
        <v>-21049</v>
      </c>
      <c r="H79" s="126"/>
    </row>
    <row r="80" spans="3:8" ht="12.75">
      <c r="C80" s="15"/>
      <c r="D80" s="15"/>
      <c r="E80" s="21">
        <v>42731</v>
      </c>
      <c r="F80" s="24"/>
      <c r="G80" s="24">
        <v>-23862</v>
      </c>
      <c r="H80" s="126"/>
    </row>
    <row r="81" spans="3:8" ht="12.75">
      <c r="C81" s="15" t="s">
        <v>78</v>
      </c>
      <c r="D81" s="15"/>
      <c r="E81" s="21">
        <v>42377</v>
      </c>
      <c r="F81" s="24"/>
      <c r="G81" s="24">
        <v>112925.78</v>
      </c>
      <c r="H81" s="126"/>
    </row>
    <row r="82" spans="3:8" ht="12.75">
      <c r="C82" s="15"/>
      <c r="D82" s="15"/>
      <c r="E82" s="21">
        <v>42542</v>
      </c>
      <c r="F82" s="24"/>
      <c r="G82" s="24">
        <v>14043.42</v>
      </c>
      <c r="H82" s="126"/>
    </row>
    <row r="83" spans="3:8" ht="12.75">
      <c r="C83" s="15"/>
      <c r="D83" s="15"/>
      <c r="E83" s="21">
        <v>42570</v>
      </c>
      <c r="F83" s="24"/>
      <c r="G83" s="24">
        <v>4460.6</v>
      </c>
      <c r="H83" s="126"/>
    </row>
    <row r="84" spans="3:8" ht="12.75">
      <c r="C84" s="15"/>
      <c r="D84" s="15"/>
      <c r="E84" s="21">
        <v>42586</v>
      </c>
      <c r="F84" s="24"/>
      <c r="G84" s="24">
        <v>52988.38</v>
      </c>
      <c r="H84" s="126"/>
    </row>
    <row r="85" spans="3:8" ht="12.75">
      <c r="C85" s="15"/>
      <c r="D85" s="15"/>
      <c r="E85" s="21">
        <v>42634</v>
      </c>
      <c r="F85" s="24"/>
      <c r="G85" s="24">
        <v>11280.90</v>
      </c>
      <c r="H85" s="126"/>
    </row>
    <row r="86" spans="3:10" ht="12.75">
      <c r="C86" s="15"/>
      <c r="D86" s="15"/>
      <c r="E86" s="21">
        <v>42677</v>
      </c>
      <c r="F86" s="24"/>
      <c r="G86" s="24">
        <v>7598.56</v>
      </c>
      <c r="H86" s="126"/>
      <c r="I86" s="25"/>
      <c r="J86" s="15"/>
    </row>
    <row r="87" spans="3:10" ht="12.75">
      <c r="C87" s="15"/>
      <c r="D87" s="15"/>
      <c r="E87" s="21">
        <v>42709</v>
      </c>
      <c r="F87" s="24"/>
      <c r="G87" s="24">
        <v>17704.01</v>
      </c>
      <c r="H87" s="126"/>
      <c r="I87" s="25"/>
      <c r="J87" s="15"/>
    </row>
    <row r="88" spans="3:10" ht="12.75">
      <c r="C88" s="15"/>
      <c r="D88" s="15"/>
      <c r="E88" s="21">
        <v>42726</v>
      </c>
      <c r="F88" s="24"/>
      <c r="G88" s="24">
        <v>155129.46</v>
      </c>
      <c r="H88" s="126"/>
      <c r="I88" s="25"/>
      <c r="J88" s="15"/>
    </row>
    <row r="89" spans="3:10" ht="12.75">
      <c r="C89" s="15" t="s">
        <v>79</v>
      </c>
      <c r="D89" s="15"/>
      <c r="E89" s="21">
        <v>42753</v>
      </c>
      <c r="F89" s="24"/>
      <c r="G89" s="24">
        <v>-15772.21</v>
      </c>
      <c r="H89" s="126"/>
      <c r="I89" s="25"/>
      <c r="J89" s="15"/>
    </row>
    <row r="90" spans="3:10" ht="12.75">
      <c r="C90" s="15"/>
      <c r="D90" s="15"/>
      <c r="E90" s="21">
        <v>42816</v>
      </c>
      <c r="F90" s="24"/>
      <c r="G90" s="24">
        <v>-12241.40</v>
      </c>
      <c r="H90" s="126"/>
      <c r="I90" s="25"/>
      <c r="J90" s="15"/>
    </row>
    <row r="91" spans="3:10" ht="12.75">
      <c r="C91" s="15"/>
      <c r="D91" s="15"/>
      <c r="E91" s="21">
        <v>42838</v>
      </c>
      <c r="F91" s="24"/>
      <c r="G91" s="24">
        <v>-12125</v>
      </c>
      <c r="H91" s="126"/>
      <c r="I91" s="25"/>
      <c r="J91" s="15"/>
    </row>
    <row r="92" spans="3:10" ht="12.75">
      <c r="C92" s="15"/>
      <c r="D92" s="15"/>
      <c r="E92" s="21">
        <v>42879</v>
      </c>
      <c r="F92" s="24"/>
      <c r="G92" s="24">
        <v>-13114.40</v>
      </c>
      <c r="H92" s="126"/>
      <c r="I92" s="25"/>
      <c r="J92" s="15"/>
    </row>
    <row r="93" spans="3:10" ht="12.75">
      <c r="C93" s="15"/>
      <c r="D93" s="15"/>
      <c r="E93" s="21">
        <v>42908</v>
      </c>
      <c r="F93" s="24"/>
      <c r="G93" s="24">
        <v>-8497.2</v>
      </c>
      <c r="H93" s="126"/>
      <c r="I93" s="25"/>
      <c r="J93" s="15"/>
    </row>
    <row r="94" spans="3:10" ht="12.75">
      <c r="C94" s="15"/>
      <c r="D94" s="15"/>
      <c r="E94" s="21">
        <v>42933</v>
      </c>
      <c r="F94" s="24"/>
      <c r="G94" s="24">
        <v>-8303.21</v>
      </c>
      <c r="H94" s="126"/>
      <c r="I94" s="25"/>
      <c r="J94" s="15"/>
    </row>
    <row r="95" spans="3:10" ht="12.75">
      <c r="C95" s="15"/>
      <c r="D95" s="15"/>
      <c r="E95" s="21">
        <v>42963</v>
      </c>
      <c r="F95" s="24"/>
      <c r="G95" s="24">
        <v>-23862</v>
      </c>
      <c r="H95" s="126"/>
      <c r="I95" s="25"/>
      <c r="J95" s="15"/>
    </row>
    <row r="96" spans="3:10" ht="12.75">
      <c r="C96" s="15"/>
      <c r="D96" s="15"/>
      <c r="E96" s="21">
        <v>42997</v>
      </c>
      <c r="F96" s="24"/>
      <c r="G96" s="24">
        <v>-11834</v>
      </c>
      <c r="H96" s="15"/>
      <c r="I96" s="25"/>
      <c r="J96" s="15"/>
    </row>
    <row r="97" spans="3:10" ht="12.75">
      <c r="C97" s="15"/>
      <c r="D97" s="15"/>
      <c r="E97" s="21">
        <v>43014</v>
      </c>
      <c r="F97" s="24"/>
      <c r="G97" s="24">
        <v>-14821.60</v>
      </c>
      <c r="H97" s="15"/>
      <c r="I97" s="25"/>
      <c r="J97" s="15"/>
    </row>
    <row r="98" spans="3:12" ht="15.75">
      <c r="C98" s="15"/>
      <c r="D98" s="15"/>
      <c r="E98" s="21">
        <v>43091</v>
      </c>
      <c r="F98" s="24"/>
      <c r="G98" s="24">
        <v>-8691.21</v>
      </c>
      <c r="H98" s="15"/>
      <c r="I98" s="115"/>
      <c r="J98" s="116"/>
      <c r="K98" s="169"/>
      <c r="L98" s="162"/>
    </row>
    <row r="99" spans="3:12" ht="12.75">
      <c r="C99" s="15" t="s">
        <v>80</v>
      </c>
      <c r="D99" s="15"/>
      <c r="E99" s="21">
        <v>42745</v>
      </c>
      <c r="F99" s="24"/>
      <c r="G99" s="24">
        <v>145791.53</v>
      </c>
      <c r="H99" s="126"/>
      <c r="I99" s="115"/>
      <c r="J99" s="116"/>
      <c r="K99" s="169"/>
      <c r="L99" s="57"/>
    </row>
    <row r="100" spans="3:12" ht="12.75">
      <c r="C100" s="15"/>
      <c r="D100" s="15"/>
      <c r="E100" s="21">
        <v>42775</v>
      </c>
      <c r="F100" s="24"/>
      <c r="G100" s="24">
        <v>8650.21</v>
      </c>
      <c r="H100" s="126"/>
      <c r="I100" s="115"/>
      <c r="J100" s="116"/>
      <c r="K100" s="169"/>
      <c r="L100" s="57"/>
    </row>
    <row r="101" spans="3:12" ht="12.75">
      <c r="C101" s="15"/>
      <c r="D101" s="15"/>
      <c r="E101" s="21">
        <v>42824</v>
      </c>
      <c r="F101" s="24"/>
      <c r="G101" s="24">
        <v>5425.33</v>
      </c>
      <c r="H101" s="126"/>
      <c r="I101" s="115"/>
      <c r="J101" s="116"/>
      <c r="K101" s="169"/>
      <c r="L101" s="57"/>
    </row>
    <row r="102" spans="3:12" ht="12.75">
      <c r="C102" s="15"/>
      <c r="D102" s="15"/>
      <c r="E102" s="21">
        <v>42877</v>
      </c>
      <c r="F102" s="24"/>
      <c r="G102" s="24">
        <v>5979.52</v>
      </c>
      <c r="H102" s="126"/>
      <c r="I102" s="115"/>
      <c r="J102" s="116"/>
      <c r="K102" s="169"/>
      <c r="L102" s="57"/>
    </row>
    <row r="103" spans="3:12" ht="12.75">
      <c r="C103" s="15"/>
      <c r="D103" s="15"/>
      <c r="E103" s="21">
        <v>42914</v>
      </c>
      <c r="F103" s="24"/>
      <c r="G103" s="24">
        <v>54363.16</v>
      </c>
      <c r="H103" s="126"/>
      <c r="I103" s="115"/>
      <c r="J103" s="116"/>
      <c r="K103" s="169"/>
      <c r="L103" s="169"/>
    </row>
    <row r="104" spans="3:12" ht="12.75">
      <c r="C104" s="15"/>
      <c r="D104" s="15"/>
      <c r="E104" s="21">
        <v>42936</v>
      </c>
      <c r="F104" s="24"/>
      <c r="G104" s="24">
        <v>5767.47</v>
      </c>
      <c r="H104" s="15"/>
      <c r="I104" s="115"/>
      <c r="J104" s="116"/>
      <c r="K104" s="169"/>
      <c r="L104" s="169"/>
    </row>
    <row r="105" spans="3:12" ht="12.75">
      <c r="C105" s="15"/>
      <c r="D105" s="15"/>
      <c r="E105" s="21">
        <v>43019</v>
      </c>
      <c r="F105" s="24"/>
      <c r="G105" s="24">
        <v>4812.14</v>
      </c>
      <c r="H105" s="15"/>
      <c r="I105" s="115"/>
      <c r="J105" s="116"/>
      <c r="K105" s="169"/>
      <c r="L105" s="169"/>
    </row>
    <row r="106" spans="3:10" ht="12.75">
      <c r="C106" s="15"/>
      <c r="D106" s="15"/>
      <c r="E106" s="21">
        <v>43052</v>
      </c>
      <c r="F106" s="24"/>
      <c r="G106" s="24">
        <v>3102.40</v>
      </c>
      <c r="H106" s="15"/>
      <c r="I106" s="25"/>
      <c r="J106" s="15"/>
    </row>
    <row r="107" spans="3:10" ht="12.75">
      <c r="C107" s="15" t="s">
        <v>81</v>
      </c>
      <c r="D107" s="15"/>
      <c r="E107" s="21">
        <v>43178</v>
      </c>
      <c r="F107" s="24"/>
      <c r="G107" s="24">
        <v>-7003.40</v>
      </c>
      <c r="H107" s="15"/>
      <c r="I107" s="25"/>
      <c r="J107" s="15"/>
    </row>
    <row r="108" spans="3:10" ht="12.75">
      <c r="C108" s="15"/>
      <c r="D108" s="15"/>
      <c r="E108" s="21">
        <v>43194</v>
      </c>
      <c r="F108" s="24"/>
      <c r="G108" s="24">
        <v>-10223.81</v>
      </c>
      <c r="H108" s="15"/>
      <c r="I108" s="25"/>
      <c r="J108" s="15"/>
    </row>
    <row r="109" spans="3:10" ht="12.75">
      <c r="C109" s="15"/>
      <c r="D109" s="15"/>
      <c r="E109" s="21">
        <v>43251</v>
      </c>
      <c r="F109" s="24"/>
      <c r="G109" s="24">
        <v>-8439</v>
      </c>
      <c r="H109" s="15"/>
      <c r="I109" s="25"/>
      <c r="J109" s="15"/>
    </row>
    <row r="110" spans="3:10" ht="12.75">
      <c r="C110" s="15"/>
      <c r="D110" s="15"/>
      <c r="E110" s="21">
        <v>43342</v>
      </c>
      <c r="F110" s="24"/>
      <c r="G110" s="24">
        <v>-11058.01</v>
      </c>
      <c r="H110" s="15"/>
      <c r="I110" s="25"/>
      <c r="J110" s="15"/>
    </row>
    <row r="111" spans="3:10" ht="12.75">
      <c r="C111" s="15"/>
      <c r="D111" s="15"/>
      <c r="E111" s="21">
        <v>43434</v>
      </c>
      <c r="F111" s="24"/>
      <c r="G111" s="24">
        <v>-12571.20</v>
      </c>
      <c r="H111" s="15"/>
      <c r="I111" s="25"/>
      <c r="J111" s="15"/>
    </row>
    <row r="112" spans="3:10" ht="12.75">
      <c r="C112" s="15" t="s">
        <v>82</v>
      </c>
      <c r="D112" s="15"/>
      <c r="E112" s="21">
        <v>43116</v>
      </c>
      <c r="F112" s="24"/>
      <c r="G112" s="24">
        <v>26087.71</v>
      </c>
      <c r="H112" s="15"/>
      <c r="I112" s="25"/>
      <c r="J112" s="15"/>
    </row>
    <row r="113" spans="3:10" ht="12.75">
      <c r="C113" s="15"/>
      <c r="D113" s="15"/>
      <c r="E113" s="21">
        <v>43145</v>
      </c>
      <c r="F113" s="24"/>
      <c r="G113" s="24">
        <v>8035.12</v>
      </c>
      <c r="H113" s="15"/>
      <c r="I113" s="25"/>
      <c r="J113" s="15"/>
    </row>
    <row r="114" spans="3:10" ht="12.75">
      <c r="C114" s="15"/>
      <c r="D114" s="15"/>
      <c r="E114" s="21">
        <v>43222</v>
      </c>
      <c r="F114" s="24"/>
      <c r="G114" s="24">
        <v>16037.40</v>
      </c>
      <c r="H114" s="15"/>
      <c r="I114" s="25"/>
      <c r="J114" s="15"/>
    </row>
    <row r="115" spans="3:10" ht="12.75">
      <c r="C115" s="15"/>
      <c r="D115" s="15"/>
      <c r="E115" s="21">
        <v>43314</v>
      </c>
      <c r="F115" s="24"/>
      <c r="G115" s="24">
        <v>17282.37</v>
      </c>
      <c r="H115" s="15"/>
      <c r="I115" s="25"/>
      <c r="J115" s="15"/>
    </row>
    <row r="116" spans="3:10" ht="12.75">
      <c r="C116" s="15"/>
      <c r="D116" s="15"/>
      <c r="E116" s="21">
        <v>43341</v>
      </c>
      <c r="F116" s="24"/>
      <c r="G116" s="24">
        <v>48223.37</v>
      </c>
      <c r="H116" s="15"/>
      <c r="I116" s="25"/>
      <c r="J116" s="15"/>
    </row>
    <row r="117" spans="3:10" ht="12.75">
      <c r="C117" s="15"/>
      <c r="D117" s="15"/>
      <c r="E117" s="21">
        <v>43398</v>
      </c>
      <c r="F117" s="24"/>
      <c r="G117" s="24">
        <v>15331.47</v>
      </c>
      <c r="H117" s="15"/>
      <c r="I117" s="25"/>
      <c r="J117" s="15"/>
    </row>
    <row r="118" spans="3:10" ht="12.75">
      <c r="C118" s="15" t="s">
        <v>83</v>
      </c>
      <c r="D118" s="15"/>
      <c r="E118" s="21">
        <v>43529</v>
      </c>
      <c r="F118" s="24"/>
      <c r="G118" s="24">
        <v>-5800.60</v>
      </c>
      <c r="H118" s="15"/>
      <c r="I118" s="25"/>
      <c r="J118" s="15"/>
    </row>
    <row r="119" spans="3:10" ht="12.75">
      <c r="C119" s="15"/>
      <c r="D119" s="15"/>
      <c r="E119" s="21">
        <v>43564</v>
      </c>
      <c r="F119" s="24"/>
      <c r="G119" s="24">
        <v>-7197.40</v>
      </c>
      <c r="H119" s="15"/>
      <c r="I119" s="25"/>
      <c r="J119" s="15"/>
    </row>
    <row r="120" spans="3:10" ht="12.75">
      <c r="C120" s="15"/>
      <c r="D120" s="15"/>
      <c r="E120" s="21">
        <v>43782</v>
      </c>
      <c r="F120" s="24"/>
      <c r="G120" s="24">
        <v>-6227.40</v>
      </c>
      <c r="H120" s="15"/>
      <c r="I120" s="25"/>
      <c r="J120" s="15"/>
    </row>
    <row r="121" spans="3:10" ht="12.75">
      <c r="C121" s="15" t="s">
        <v>84</v>
      </c>
      <c r="D121" s="15"/>
      <c r="E121" s="21">
        <v>43479</v>
      </c>
      <c r="F121" s="24"/>
      <c r="G121" s="24">
        <v>5081.35</v>
      </c>
      <c r="H121" s="15"/>
      <c r="I121" s="25"/>
      <c r="J121" s="15"/>
    </row>
    <row r="122" spans="3:10" ht="12.75">
      <c r="C122" s="15"/>
      <c r="D122" s="15"/>
      <c r="E122" s="21">
        <v>43558</v>
      </c>
      <c r="F122" s="24"/>
      <c r="G122" s="24">
        <v>48961.84</v>
      </c>
      <c r="H122" s="15"/>
      <c r="I122" s="25"/>
      <c r="J122" s="15"/>
    </row>
    <row r="123" spans="3:10" ht="12.75">
      <c r="C123" s="15"/>
      <c r="D123" s="15"/>
      <c r="E123" s="21">
        <v>43622</v>
      </c>
      <c r="F123" s="24"/>
      <c r="G123" s="24">
        <v>6911.20</v>
      </c>
      <c r="H123" s="15"/>
      <c r="I123" s="25"/>
      <c r="J123" s="15"/>
    </row>
    <row r="124" spans="3:10" ht="12.75">
      <c r="C124" s="15"/>
      <c r="D124" s="15"/>
      <c r="E124" s="21">
        <v>43689</v>
      </c>
      <c r="F124" s="24"/>
      <c r="G124" s="24">
        <v>11739.53</v>
      </c>
      <c r="H124" s="15"/>
      <c r="I124" s="25"/>
      <c r="J124" s="15"/>
    </row>
    <row r="125" spans="3:10" ht="12.75">
      <c r="C125" s="15"/>
      <c r="D125" s="15"/>
      <c r="E125" s="21">
        <v>43753</v>
      </c>
      <c r="F125" s="24"/>
      <c r="G125" s="24">
        <v>5524.96</v>
      </c>
      <c r="H125" s="15"/>
      <c r="I125" s="25"/>
      <c r="J125" s="15"/>
    </row>
    <row r="126" spans="3:10" ht="12.75">
      <c r="C126" s="15" t="s">
        <v>16</v>
      </c>
      <c r="D126" s="15"/>
      <c r="E126" s="21">
        <v>43923</v>
      </c>
      <c r="F126" s="24"/>
      <c r="G126" s="24">
        <v>-5315.61</v>
      </c>
      <c r="H126" s="15"/>
      <c r="I126" s="25"/>
      <c r="J126" s="15"/>
    </row>
    <row r="127" spans="3:10" ht="12.75">
      <c r="C127" s="15"/>
      <c r="D127" s="15"/>
      <c r="E127" s="21">
        <v>44104</v>
      </c>
      <c r="F127" s="24"/>
      <c r="G127" s="24">
        <v>-6188.61</v>
      </c>
      <c r="H127" s="15"/>
      <c r="I127" s="25"/>
      <c r="J127" s="15"/>
    </row>
    <row r="128" spans="3:10" ht="12.75">
      <c r="C128" s="15" t="s">
        <v>85</v>
      </c>
      <c r="D128" s="15"/>
      <c r="E128" s="21">
        <v>43867</v>
      </c>
      <c r="F128" s="24"/>
      <c r="G128" s="24">
        <v>13187.27</v>
      </c>
      <c r="H128" s="15"/>
      <c r="I128" s="25"/>
      <c r="J128" s="15"/>
    </row>
    <row r="129" spans="3:12" ht="15.75">
      <c r="C129" s="15"/>
      <c r="D129" s="15"/>
      <c r="E129" s="21">
        <v>44153</v>
      </c>
      <c r="F129" s="24"/>
      <c r="G129" s="24">
        <v>8637.33</v>
      </c>
      <c r="H129" s="15"/>
      <c r="I129" s="25"/>
      <c r="J129" s="15"/>
      <c r="L129" s="55"/>
    </row>
    <row r="130" spans="3:10" ht="12.75">
      <c r="C130" s="15" t="s">
        <v>41</v>
      </c>
      <c r="D130" s="15"/>
      <c r="E130" s="21">
        <v>44279</v>
      </c>
      <c r="F130" s="24"/>
      <c r="G130" s="24">
        <v>-4171</v>
      </c>
      <c r="H130" s="15"/>
      <c r="I130" s="25"/>
      <c r="J130" s="15"/>
    </row>
    <row r="131" spans="3:10" ht="12.75">
      <c r="C131" s="15"/>
      <c r="D131" s="15"/>
      <c r="E131" s="21">
        <v>44463</v>
      </c>
      <c r="F131" s="24"/>
      <c r="G131" s="24">
        <v>-2832.40</v>
      </c>
      <c r="H131" s="15"/>
      <c r="I131" s="25"/>
      <c r="J131" s="15"/>
    </row>
    <row r="132" spans="3:12" ht="15.75">
      <c r="C132" s="15" t="s">
        <v>71</v>
      </c>
      <c r="D132" s="15"/>
      <c r="E132" s="21">
        <v>44224</v>
      </c>
      <c r="F132" s="24"/>
      <c r="G132" s="24">
        <v>6183.64</v>
      </c>
      <c r="H132" s="15"/>
      <c r="I132" s="25"/>
      <c r="J132" s="15"/>
      <c r="L132" s="55"/>
    </row>
    <row r="133" spans="3:12" ht="15.75">
      <c r="C133" s="15"/>
      <c r="D133" s="15"/>
      <c r="E133" s="21">
        <v>44259</v>
      </c>
      <c r="F133" s="24"/>
      <c r="G133" s="24">
        <v>13767.33</v>
      </c>
      <c r="H133" s="15"/>
      <c r="I133" s="25"/>
      <c r="J133" s="15"/>
      <c r="L133" s="55"/>
    </row>
    <row r="134" spans="3:12" ht="15.75">
      <c r="C134" s="15"/>
      <c r="D134" s="15"/>
      <c r="E134" s="21">
        <v>44383</v>
      </c>
      <c r="F134" s="24"/>
      <c r="G134" s="24">
        <v>62582.64</v>
      </c>
      <c r="H134" s="15"/>
      <c r="I134" s="25"/>
      <c r="J134" s="15"/>
      <c r="L134" s="55"/>
    </row>
    <row r="135" spans="3:12" ht="15.75">
      <c r="C135" s="15"/>
      <c r="D135" s="15"/>
      <c r="E135" s="21">
        <v>44441</v>
      </c>
      <c r="F135" s="24"/>
      <c r="G135" s="24">
        <v>5274.05</v>
      </c>
      <c r="H135" s="15"/>
      <c r="I135" s="25"/>
      <c r="J135" s="15"/>
      <c r="L135" s="55"/>
    </row>
    <row r="136" spans="3:12" ht="15.75">
      <c r="C136" s="15"/>
      <c r="D136" s="15"/>
      <c r="E136" s="21">
        <v>44502</v>
      </c>
      <c r="F136" s="24"/>
      <c r="G136" s="24">
        <v>24015.59</v>
      </c>
      <c r="H136" s="15"/>
      <c r="I136" s="25"/>
      <c r="J136" s="15"/>
      <c r="L136" s="55"/>
    </row>
    <row r="137" spans="3:12" ht="15.75">
      <c r="C137" s="15"/>
      <c r="D137" s="15"/>
      <c r="E137" s="21">
        <v>44551</v>
      </c>
      <c r="F137" s="24"/>
      <c r="G137" s="24">
        <v>7571.28</v>
      </c>
      <c r="H137" s="15"/>
      <c r="I137" s="25"/>
      <c r="J137" s="15"/>
      <c r="L137" s="55"/>
    </row>
    <row r="138" spans="3:12" ht="15.75">
      <c r="C138" s="15" t="s">
        <v>72</v>
      </c>
      <c r="D138" s="15"/>
      <c r="E138" s="21">
        <v>44651</v>
      </c>
      <c r="F138" s="24"/>
      <c r="G138" s="24">
        <v>-1571.40</v>
      </c>
      <c r="H138" s="15"/>
      <c r="I138" s="25"/>
      <c r="J138" s="15"/>
      <c r="L138" s="55"/>
    </row>
    <row r="139" spans="3:12" ht="15.75">
      <c r="C139" s="15"/>
      <c r="D139" s="15"/>
      <c r="E139" s="21">
        <v>44742</v>
      </c>
      <c r="F139" s="24"/>
      <c r="G139" s="24">
        <v>-1396.80</v>
      </c>
      <c r="H139" s="15"/>
      <c r="I139" s="25"/>
      <c r="J139" s="15"/>
      <c r="L139" s="55"/>
    </row>
    <row r="140" spans="3:12" ht="15.75">
      <c r="C140" s="15"/>
      <c r="D140" s="15"/>
      <c r="E140" s="21">
        <v>44827</v>
      </c>
      <c r="F140" s="24"/>
      <c r="G140" s="24">
        <v>-1319.20</v>
      </c>
      <c r="H140" s="15"/>
      <c r="I140" s="25"/>
      <c r="J140" s="15"/>
      <c r="L140" s="55"/>
    </row>
    <row r="141" spans="3:12" ht="15.75">
      <c r="C141" s="15" t="s">
        <v>73</v>
      </c>
      <c r="D141" s="15"/>
      <c r="E141" s="21">
        <v>44582</v>
      </c>
      <c r="F141" s="24"/>
      <c r="G141" s="24">
        <v>30866.37</v>
      </c>
      <c r="H141" s="15"/>
      <c r="I141" s="25"/>
      <c r="J141" s="15"/>
      <c r="L141" s="55"/>
    </row>
    <row r="142" spans="3:12" ht="15.75">
      <c r="C142" s="15"/>
      <c r="D142" s="15"/>
      <c r="E142" s="21">
        <v>44599</v>
      </c>
      <c r="F142" s="24"/>
      <c r="G142" s="24">
        <v>12638.01</v>
      </c>
      <c r="H142" s="15"/>
      <c r="I142" s="25"/>
      <c r="J142" s="15"/>
      <c r="L142" s="55"/>
    </row>
    <row r="143" spans="3:12" ht="15.75">
      <c r="C143" s="15"/>
      <c r="D143" s="15"/>
      <c r="E143" s="21">
        <v>44634</v>
      </c>
      <c r="F143" s="24"/>
      <c r="G143" s="24">
        <v>22379.35</v>
      </c>
      <c r="H143" s="15"/>
      <c r="I143" s="25"/>
      <c r="J143" s="15"/>
      <c r="L143" s="55"/>
    </row>
    <row r="144" spans="3:12" ht="15.75">
      <c r="C144" s="15"/>
      <c r="D144" s="15"/>
      <c r="E144" s="21">
        <v>44657</v>
      </c>
      <c r="F144" s="24"/>
      <c r="G144" s="24">
        <v>21681.51</v>
      </c>
      <c r="H144" s="15"/>
      <c r="I144" s="25"/>
      <c r="J144" s="15"/>
      <c r="L144" s="55"/>
    </row>
    <row r="145" spans="3:12" ht="15.75">
      <c r="C145" s="15"/>
      <c r="D145" s="15"/>
      <c r="E145" s="21">
        <v>44694</v>
      </c>
      <c r="F145" s="24"/>
      <c r="G145" s="24">
        <v>27235.79</v>
      </c>
      <c r="H145" s="15"/>
      <c r="I145" s="25"/>
      <c r="J145" s="15"/>
      <c r="L145" s="55"/>
    </row>
    <row r="146" spans="3:12" ht="15.75">
      <c r="C146" s="15"/>
      <c r="D146" s="15"/>
      <c r="E146" s="21">
        <v>44715</v>
      </c>
      <c r="F146" s="24"/>
      <c r="G146" s="24">
        <v>14139.90</v>
      </c>
      <c r="H146" s="15"/>
      <c r="I146" s="25"/>
      <c r="J146" s="15"/>
      <c r="L146" s="55"/>
    </row>
    <row r="147" spans="3:12" ht="15.75">
      <c r="C147" s="15"/>
      <c r="D147" s="15"/>
      <c r="E147" s="21">
        <v>44755</v>
      </c>
      <c r="F147" s="24"/>
      <c r="G147" s="24">
        <v>25502.76</v>
      </c>
      <c r="H147" s="15"/>
      <c r="I147" s="25"/>
      <c r="J147" s="15"/>
      <c r="L147" s="55"/>
    </row>
    <row r="148" spans="3:12" ht="15.75">
      <c r="C148" s="15"/>
      <c r="D148" s="15"/>
      <c r="E148" s="21">
        <v>44777</v>
      </c>
      <c r="F148" s="24"/>
      <c r="G148" s="24">
        <v>8593.05</v>
      </c>
      <c r="H148" s="15"/>
      <c r="I148" s="25"/>
      <c r="J148" s="15"/>
      <c r="L148" s="55"/>
    </row>
    <row r="149" spans="3:12" ht="15.75">
      <c r="C149" s="15"/>
      <c r="D149" s="15"/>
      <c r="E149" s="21">
        <v>44812</v>
      </c>
      <c r="F149" s="24"/>
      <c r="G149" s="24">
        <v>17789.17</v>
      </c>
      <c r="H149" s="15"/>
      <c r="I149" s="25"/>
      <c r="J149" s="15"/>
      <c r="L149" s="55"/>
    </row>
    <row r="150" spans="3:12" ht="15.75">
      <c r="C150" s="15"/>
      <c r="D150" s="15"/>
      <c r="E150" s="21">
        <v>44851</v>
      </c>
      <c r="F150" s="24"/>
      <c r="G150" s="24">
        <v>20169.77</v>
      </c>
      <c r="H150" s="15"/>
      <c r="I150" s="25"/>
      <c r="J150" s="15"/>
      <c r="L150" s="55"/>
    </row>
    <row r="151" spans="3:12" ht="15.75">
      <c r="C151" s="15"/>
      <c r="D151" s="15"/>
      <c r="E151" s="21">
        <v>44869</v>
      </c>
      <c r="F151" s="24"/>
      <c r="G151" s="24">
        <v>8114.41</v>
      </c>
      <c r="H151" s="15"/>
      <c r="I151" s="25"/>
      <c r="J151" s="15"/>
      <c r="L151" s="55"/>
    </row>
    <row r="152" spans="3:12" ht="15.75">
      <c r="C152" s="15" t="s">
        <v>75</v>
      </c>
      <c r="D152" s="15"/>
      <c r="E152" s="21">
        <v>44938</v>
      </c>
      <c r="F152" s="24"/>
      <c r="G152" s="24">
        <v>11221.47</v>
      </c>
      <c r="H152" s="15"/>
      <c r="I152" s="25"/>
      <c r="J152" s="15"/>
      <c r="L152" s="55"/>
    </row>
    <row r="153" spans="3:12" ht="15.75">
      <c r="C153" s="15"/>
      <c r="D153" s="15"/>
      <c r="E153" s="21">
        <v>44964</v>
      </c>
      <c r="F153" s="24"/>
      <c r="G153" s="24">
        <v>2623.72</v>
      </c>
      <c r="H153" s="15"/>
      <c r="I153" s="25"/>
      <c r="J153" s="15"/>
      <c r="L153" s="55"/>
    </row>
    <row r="154" spans="3:12" ht="15.75">
      <c r="C154" s="15"/>
      <c r="D154" s="15"/>
      <c r="E154" s="21">
        <v>45007</v>
      </c>
      <c r="F154" s="24"/>
      <c r="G154" s="24">
        <v>3635.93</v>
      </c>
      <c r="H154" s="15"/>
      <c r="I154" s="25"/>
      <c r="J154" s="15"/>
      <c r="L154" s="55"/>
    </row>
    <row r="155" spans="3:12" ht="15.75">
      <c r="C155" s="15"/>
      <c r="D155" s="15"/>
      <c r="E155" s="21">
        <v>45037</v>
      </c>
      <c r="F155" s="24"/>
      <c r="G155" s="24">
        <v>3336.46</v>
      </c>
      <c r="H155" s="15"/>
      <c r="I155" s="25"/>
      <c r="J155" s="15"/>
      <c r="L155" s="55"/>
    </row>
    <row r="156" spans="3:12" ht="15.75">
      <c r="C156" s="15"/>
      <c r="D156" s="15"/>
      <c r="E156" s="21">
        <v>45065</v>
      </c>
      <c r="F156" s="24"/>
      <c r="G156" s="24">
        <v>10053.76</v>
      </c>
      <c r="H156" s="15"/>
      <c r="I156" s="25"/>
      <c r="J156" s="15"/>
      <c r="L156" s="55"/>
    </row>
    <row r="157" spans="3:12" ht="15.75">
      <c r="C157" s="15"/>
      <c r="D157" s="15"/>
      <c r="E157" s="21">
        <v>45092</v>
      </c>
      <c r="F157" s="24"/>
      <c r="G157" s="24">
        <v>104031.66</v>
      </c>
      <c r="H157" s="15"/>
      <c r="I157" s="25"/>
      <c r="J157" s="15"/>
      <c r="L157" s="55"/>
    </row>
    <row r="158" spans="3:9" ht="4.5" customHeight="1">
      <c r="C158" s="15"/>
      <c r="D158" s="15"/>
      <c r="E158" s="21"/>
      <c r="F158" s="15"/>
      <c r="G158" s="24"/>
      <c r="H158" s="15"/>
      <c r="I158" s="25"/>
    </row>
    <row r="159" spans="3:12" ht="12.75">
      <c r="C159" s="15" t="s">
        <v>5</v>
      </c>
      <c r="D159" s="126"/>
      <c r="E159" s="21">
        <f>+E8</f>
        <v>45107</v>
      </c>
      <c r="F159" s="15"/>
      <c r="G159" s="46">
        <f>L159*C22</f>
        <v>334894.24147846684</v>
      </c>
      <c r="H159" s="126"/>
      <c r="I159" s="24">
        <f>+SUMIF($G$23:$G$158,"&lt;0",$G$23:$G$158)</f>
        <v>-1151434.39</v>
      </c>
      <c r="J159" s="15" t="s">
        <v>14</v>
      </c>
      <c r="L159" s="57">
        <v>108101183</v>
      </c>
    </row>
    <row r="160" spans="3:10" ht="12.75">
      <c r="C160" s="15"/>
      <c r="D160" s="126"/>
      <c r="E160" s="15"/>
      <c r="F160" s="15"/>
      <c r="G160" s="15"/>
      <c r="H160" s="126"/>
      <c r="I160" s="24">
        <f>+SUMIF($G$23:$G$158,"&gt;0",$G$23:$G$158)</f>
        <v>1337625.7599999995</v>
      </c>
      <c r="J160" s="15" t="s">
        <v>15</v>
      </c>
    </row>
    <row r="161" spans="3:8" ht="12.75">
      <c r="C161" s="14" t="s">
        <v>0</v>
      </c>
      <c r="G161" s="29">
        <f>+XIRR(G23:G159,E23:E159,0.1)</f>
        <v>0.10348693728446959</v>
      </c>
      <c r="H161" s="126"/>
    </row>
    <row r="162" spans="3:8" ht="12.75">
      <c r="C162" s="15"/>
      <c r="D162" s="126"/>
      <c r="E162" s="15"/>
      <c r="F162" s="15"/>
      <c r="G162" s="15"/>
      <c r="H162" s="126"/>
    </row>
    <row r="163" spans="3:8" ht="12.75">
      <c r="C163" s="15"/>
      <c r="D163" s="126"/>
      <c r="E163" s="15"/>
      <c r="F163" s="15"/>
      <c r="G163" s="15"/>
      <c r="H163" s="126"/>
    </row>
    <row r="164" spans="3:8" ht="12.75">
      <c r="C164" s="126"/>
      <c r="D164" s="126"/>
      <c r="E164" s="141"/>
      <c r="F164" s="15"/>
      <c r="G164" s="141"/>
      <c r="H164" s="126"/>
    </row>
    <row r="165" spans="3:8" ht="12.75">
      <c r="C165" s="142"/>
      <c r="D165" s="142"/>
      <c r="E165" s="141"/>
      <c r="F165" s="52"/>
      <c r="G165" s="141"/>
      <c r="H165" s="126"/>
    </row>
    <row r="166" spans="3:8" ht="12.75">
      <c r="C166" s="142"/>
      <c r="D166" s="142"/>
      <c r="E166" s="141"/>
      <c r="F166" s="52"/>
      <c r="G166" s="141"/>
      <c r="H166" s="126"/>
    </row>
    <row r="167" spans="3:8" ht="12.75">
      <c r="C167" s="52"/>
      <c r="D167" s="52"/>
      <c r="E167" s="132"/>
      <c r="F167" s="132"/>
      <c r="G167" s="132"/>
      <c r="H167" s="14"/>
    </row>
    <row r="168" spans="3:8" ht="12.75">
      <c r="C168" s="52"/>
      <c r="D168" s="52"/>
      <c r="E168" s="53"/>
      <c r="F168" s="53"/>
      <c r="G168" s="53"/>
      <c r="H168" s="14"/>
    </row>
    <row r="169" spans="3:8" ht="12.75">
      <c r="C169" s="52"/>
      <c r="D169" s="52"/>
      <c r="E169" s="52"/>
      <c r="F169" s="52"/>
      <c r="G169" s="52"/>
      <c r="H169" s="14"/>
    </row>
    <row r="170" spans="3:8" ht="12.75">
      <c r="C170" s="170"/>
      <c r="D170" s="170"/>
      <c r="E170" s="171"/>
      <c r="F170" s="124"/>
      <c r="G170" s="58"/>
      <c r="H170" s="126"/>
    </row>
    <row r="171" spans="3:8" s="39" customFormat="1" ht="12.75">
      <c r="C171" s="170"/>
      <c r="D171" s="170"/>
      <c r="E171" s="70"/>
      <c r="F171" s="15"/>
      <c r="G171" s="70"/>
      <c r="H171" s="126"/>
    </row>
    <row r="172" spans="3:8" s="39" customFormat="1" ht="12.75">
      <c r="C172" s="170"/>
      <c r="D172" s="170"/>
      <c r="E172" s="70"/>
      <c r="F172" s="15"/>
      <c r="G172" s="70"/>
      <c r="H172" s="126"/>
    </row>
    <row r="173" spans="3:8" ht="12.75">
      <c r="C173" s="172"/>
      <c r="D173" s="170"/>
      <c r="E173" s="70"/>
      <c r="F173" s="15"/>
      <c r="G173" s="70"/>
      <c r="H173" s="126"/>
    </row>
    <row r="174" spans="3:8" ht="12.75">
      <c r="C174" s="172"/>
      <c r="D174" s="170"/>
      <c r="E174" s="70"/>
      <c r="F174" s="15"/>
      <c r="G174" s="70"/>
      <c r="H174" s="126"/>
    </row>
    <row r="175" spans="3:8" ht="12.75">
      <c r="C175" s="173"/>
      <c r="D175" s="170"/>
      <c r="E175" s="70"/>
      <c r="F175" s="15"/>
      <c r="G175" s="70"/>
      <c r="H175" s="126"/>
    </row>
    <row r="176" spans="3:8" s="39" customFormat="1" ht="12.75">
      <c r="C176" s="170"/>
      <c r="D176" s="170"/>
      <c r="E176" s="70"/>
      <c r="F176" s="15"/>
      <c r="G176" s="70"/>
      <c r="H176" s="126"/>
    </row>
    <row r="177" spans="3:8" ht="12.75">
      <c r="C177" s="170"/>
      <c r="D177" s="170"/>
      <c r="E177" s="70"/>
      <c r="F177" s="15"/>
      <c r="G177" s="70"/>
      <c r="H177" s="126"/>
    </row>
    <row r="178" spans="3:8" ht="12.75">
      <c r="C178" s="170"/>
      <c r="D178" s="170"/>
      <c r="E178" s="70"/>
      <c r="F178" s="15"/>
      <c r="G178" s="70"/>
      <c r="H178" s="126"/>
    </row>
    <row r="179" spans="3:8" ht="12.75">
      <c r="C179" s="170"/>
      <c r="D179" s="170"/>
      <c r="E179" s="70"/>
      <c r="F179" s="15"/>
      <c r="G179" s="70"/>
      <c r="H179" s="126"/>
    </row>
    <row r="180" spans="3:8" ht="12.75">
      <c r="C180" s="170"/>
      <c r="D180" s="170"/>
      <c r="E180" s="70"/>
      <c r="F180" s="15"/>
      <c r="G180" s="70"/>
      <c r="H180" s="126"/>
    </row>
    <row r="181" spans="3:8" ht="12.75">
      <c r="C181" s="170"/>
      <c r="D181" s="170"/>
      <c r="E181" s="70"/>
      <c r="F181" s="15"/>
      <c r="G181" s="70"/>
      <c r="H181" s="126"/>
    </row>
    <row r="182" spans="3:8" ht="5.1" customHeight="1">
      <c r="C182" s="15"/>
      <c r="D182" s="15"/>
      <c r="E182" s="15"/>
      <c r="F182" s="15"/>
      <c r="G182" s="15"/>
      <c r="H182" s="126"/>
    </row>
    <row r="183" spans="3:8" ht="12.75">
      <c r="C183" s="15"/>
      <c r="D183" s="15"/>
      <c r="E183" s="15"/>
      <c r="F183" s="15"/>
      <c r="G183" s="15"/>
      <c r="H183" s="15"/>
    </row>
    <row r="184" spans="3:8" ht="12.75">
      <c r="C184" s="15"/>
      <c r="D184" s="126"/>
      <c r="E184" s="15"/>
      <c r="F184" s="15"/>
      <c r="G184" s="15"/>
      <c r="H184" s="126"/>
    </row>
  </sheetData>
  <mergeCells count="1">
    <mergeCell ref="E167:G167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1D920E-CE29-465E-B704-1C452779EB54}">
  <sheetPr>
    <pageSetUpPr fitToPage="1"/>
  </sheetPr>
  <dimension ref="B4:Q190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  <col min="17" max="17" width="15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14" ht="12.75">
      <c r="C10" s="163"/>
      <c r="D10" s="163"/>
      <c r="E10" s="164"/>
      <c r="F10" s="163"/>
      <c r="G10" s="57"/>
      <c r="H10" s="7"/>
      <c r="I10" s="12"/>
      <c r="N10" s="118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9" ht="12.75">
      <c r="C13" s="163"/>
      <c r="D13" s="163"/>
      <c r="E13" s="167"/>
      <c r="F13" s="163"/>
      <c r="G13" s="57"/>
      <c r="H13" s="8"/>
      <c r="I13" s="12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G154</f>
        <v>0.15457375645637514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-(G152+J155)/J154</f>
        <v>1.8695650539168538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22">
        <v>2.23846E-4</v>
      </c>
      <c r="D22" s="15"/>
      <c r="E22" s="15"/>
      <c r="F22" s="15"/>
      <c r="G22" s="23"/>
      <c r="H22" s="15"/>
      <c r="I22" s="15"/>
      <c r="J22" s="15"/>
    </row>
    <row r="23" spans="3:15" ht="12.75">
      <c r="C23" s="15"/>
      <c r="D23" s="15"/>
      <c r="E23" s="21"/>
      <c r="F23" s="24"/>
      <c r="G23" s="24"/>
      <c r="H23" s="15"/>
      <c r="I23" s="25"/>
      <c r="J23" s="25"/>
      <c r="N23" s="35"/>
      <c r="O23" s="35"/>
    </row>
    <row r="24" spans="3:17" ht="12.75">
      <c r="C24" s="15" t="s">
        <v>76</v>
      </c>
      <c r="D24" s="15"/>
      <c r="E24" s="21">
        <v>42089</v>
      </c>
      <c r="F24" s="24"/>
      <c r="G24" s="24">
        <v>-71700</v>
      </c>
      <c r="H24" s="15"/>
      <c r="I24" s="25"/>
      <c r="N24" s="35"/>
      <c r="O24" s="35"/>
      <c r="Q24" s="27"/>
    </row>
    <row r="25" spans="3:17" ht="12.75">
      <c r="C25" s="15"/>
      <c r="D25" s="15"/>
      <c r="E25" s="21">
        <v>42118</v>
      </c>
      <c r="F25" s="24"/>
      <c r="G25" s="24">
        <v>23052.40</v>
      </c>
      <c r="H25" s="15"/>
      <c r="I25" s="25"/>
      <c r="N25" s="35"/>
      <c r="Q25" s="27"/>
    </row>
    <row r="26" spans="3:17" ht="12.75">
      <c r="C26" s="15"/>
      <c r="D26" s="15"/>
      <c r="E26" s="21">
        <v>42180</v>
      </c>
      <c r="F26" s="24"/>
      <c r="G26" s="24">
        <v>-7095.93</v>
      </c>
      <c r="H26" s="15"/>
      <c r="I26" s="25"/>
      <c r="N26" s="35"/>
      <c r="Q26" s="27"/>
    </row>
    <row r="27" spans="3:17" ht="12.75">
      <c r="C27" s="15"/>
      <c r="D27" s="15"/>
      <c r="E27" s="21">
        <v>42201</v>
      </c>
      <c r="F27" s="24"/>
      <c r="G27" s="24">
        <v>-2216.09</v>
      </c>
      <c r="H27" s="15"/>
      <c r="I27" s="25"/>
      <c r="N27" s="35"/>
      <c r="Q27" s="27"/>
    </row>
    <row r="28" spans="3:17" ht="12.75">
      <c r="C28" s="15"/>
      <c r="D28" s="15"/>
      <c r="E28" s="21">
        <v>42271</v>
      </c>
      <c r="F28" s="24"/>
      <c r="G28" s="24">
        <v>-6961.62</v>
      </c>
      <c r="H28" s="15"/>
      <c r="I28" s="25"/>
      <c r="N28" s="35"/>
      <c r="Q28" s="27"/>
    </row>
    <row r="29" spans="3:17" ht="12.75">
      <c r="C29" s="15"/>
      <c r="D29" s="15"/>
      <c r="E29" s="21">
        <v>42324</v>
      </c>
      <c r="F29" s="24"/>
      <c r="G29" s="24">
        <v>-10587.93</v>
      </c>
      <c r="H29" s="15"/>
      <c r="I29" s="25"/>
      <c r="J29" s="25"/>
      <c r="K29" s="15"/>
      <c r="N29" s="35"/>
      <c r="Q29" s="27"/>
    </row>
    <row r="30" spans="3:17" ht="12.75">
      <c r="C30" s="15"/>
      <c r="D30" s="15"/>
      <c r="E30" s="21">
        <v>42367</v>
      </c>
      <c r="F30" s="24"/>
      <c r="G30" s="24">
        <v>-28316.54</v>
      </c>
      <c r="H30" s="15"/>
      <c r="I30" s="25"/>
      <c r="J30" s="25"/>
      <c r="K30" s="15"/>
      <c r="N30" s="35"/>
      <c r="Q30" s="27"/>
    </row>
    <row r="31" spans="3:17" ht="12.75">
      <c r="C31" s="15" t="s">
        <v>77</v>
      </c>
      <c r="D31" s="15"/>
      <c r="E31" s="21">
        <v>42396</v>
      </c>
      <c r="F31" s="24"/>
      <c r="G31" s="24">
        <v>-46425.69</v>
      </c>
      <c r="H31" s="15"/>
      <c r="I31" s="25"/>
      <c r="J31" s="25"/>
      <c r="K31" s="15"/>
      <c r="N31" s="35"/>
      <c r="Q31" s="27"/>
    </row>
    <row r="32" spans="3:17" ht="12.75">
      <c r="C32" s="15"/>
      <c r="D32" s="15"/>
      <c r="E32" s="21">
        <v>42453</v>
      </c>
      <c r="F32" s="24"/>
      <c r="G32" s="24">
        <v>-10319.32</v>
      </c>
      <c r="H32" s="15"/>
      <c r="I32" s="25"/>
      <c r="J32" s="25"/>
      <c r="K32" s="15"/>
      <c r="N32" s="35"/>
      <c r="Q32" s="27"/>
    </row>
    <row r="33" spans="3:17" ht="12.75">
      <c r="C33" s="15"/>
      <c r="D33" s="15"/>
      <c r="E33" s="21">
        <v>42461</v>
      </c>
      <c r="F33" s="24"/>
      <c r="G33" s="24">
        <v>-7476.46</v>
      </c>
      <c r="H33" s="15"/>
      <c r="I33" s="25"/>
      <c r="J33" s="25"/>
      <c r="K33" s="15"/>
      <c r="N33" s="35"/>
      <c r="Q33" s="27"/>
    </row>
    <row r="34" spans="3:17" ht="12.75">
      <c r="C34" s="15"/>
      <c r="D34" s="15"/>
      <c r="E34" s="21">
        <v>42500</v>
      </c>
      <c r="F34" s="24"/>
      <c r="G34" s="24">
        <v>-6446.76</v>
      </c>
      <c r="H34" s="15"/>
      <c r="I34" s="25"/>
      <c r="J34" s="25"/>
      <c r="K34" s="15"/>
      <c r="N34" s="35"/>
      <c r="Q34" s="27"/>
    </row>
    <row r="35" spans="3:17" ht="12.75">
      <c r="C35" s="15"/>
      <c r="D35" s="15"/>
      <c r="E35" s="21">
        <v>42513</v>
      </c>
      <c r="F35" s="24"/>
      <c r="G35" s="24">
        <v>-21354.92</v>
      </c>
      <c r="H35" s="15"/>
      <c r="I35" s="25"/>
      <c r="J35" s="25"/>
      <c r="K35" s="15"/>
      <c r="N35" s="35"/>
      <c r="Q35" s="27"/>
    </row>
    <row r="36" spans="3:17" ht="12.75">
      <c r="C36" s="15"/>
      <c r="D36" s="15"/>
      <c r="E36" s="21">
        <v>42524</v>
      </c>
      <c r="F36" s="24"/>
      <c r="G36" s="24">
        <v>-50052</v>
      </c>
      <c r="H36" s="15"/>
      <c r="I36" s="25"/>
      <c r="J36" s="25"/>
      <c r="K36" s="15"/>
      <c r="N36" s="35"/>
      <c r="Q36" s="27"/>
    </row>
    <row r="37" spans="3:17" ht="12.75">
      <c r="C37" s="15"/>
      <c r="D37" s="15"/>
      <c r="E37" s="21">
        <v>42544</v>
      </c>
      <c r="F37" s="24"/>
      <c r="G37" s="24">
        <v>-73690.16</v>
      </c>
      <c r="H37" s="15"/>
      <c r="I37" s="25"/>
      <c r="J37" s="25"/>
      <c r="K37" s="15"/>
      <c r="N37" s="35"/>
      <c r="Q37" s="27"/>
    </row>
    <row r="38" spans="3:17" ht="12.75">
      <c r="C38" s="15"/>
      <c r="D38" s="15"/>
      <c r="E38" s="21">
        <v>42564</v>
      </c>
      <c r="F38" s="24"/>
      <c r="G38" s="24">
        <v>-8058.46</v>
      </c>
      <c r="H38" s="15"/>
      <c r="I38" s="25"/>
      <c r="J38" s="25"/>
      <c r="K38" s="15"/>
      <c r="N38" s="35"/>
      <c r="Q38" s="27"/>
    </row>
    <row r="39" spans="3:17" ht="12.75">
      <c r="C39" s="15"/>
      <c r="D39" s="15"/>
      <c r="E39" s="21">
        <v>42585</v>
      </c>
      <c r="F39" s="24"/>
      <c r="G39" s="24">
        <v>-35860.15</v>
      </c>
      <c r="H39" s="15"/>
      <c r="I39" s="25"/>
      <c r="J39" s="25"/>
      <c r="K39" s="15"/>
      <c r="N39" s="35"/>
      <c r="Q39" s="27"/>
    </row>
    <row r="40" spans="3:17" ht="12.75">
      <c r="C40" s="15"/>
      <c r="D40" s="15"/>
      <c r="E40" s="21">
        <v>42614</v>
      </c>
      <c r="F40" s="24"/>
      <c r="G40" s="24">
        <v>-13676.99</v>
      </c>
      <c r="H40" s="15"/>
      <c r="I40" s="25"/>
      <c r="J40" s="25"/>
      <c r="K40" s="15"/>
      <c r="N40" s="35"/>
      <c r="Q40" s="27"/>
    </row>
    <row r="41" spans="3:17" ht="12.75">
      <c r="C41" s="15"/>
      <c r="D41" s="15"/>
      <c r="E41" s="21">
        <v>42641</v>
      </c>
      <c r="F41" s="24"/>
      <c r="G41" s="24">
        <v>-20952</v>
      </c>
      <c r="H41" s="15"/>
      <c r="I41" s="25"/>
      <c r="N41" s="35"/>
      <c r="Q41" s="27"/>
    </row>
    <row r="42" spans="3:17" ht="12.75">
      <c r="C42" s="15"/>
      <c r="D42" s="15"/>
      <c r="E42" s="21">
        <v>42656</v>
      </c>
      <c r="F42" s="24"/>
      <c r="G42" s="24">
        <v>-22362.23</v>
      </c>
      <c r="H42" s="15"/>
      <c r="I42" s="25"/>
      <c r="N42" s="35"/>
      <c r="Q42" s="27"/>
    </row>
    <row r="43" spans="3:17" ht="12.75">
      <c r="C43" s="15"/>
      <c r="D43" s="15"/>
      <c r="E43" s="21">
        <v>42704</v>
      </c>
      <c r="F43" s="24"/>
      <c r="G43" s="24">
        <v>-19183.62</v>
      </c>
      <c r="H43" s="15"/>
      <c r="I43" s="25"/>
      <c r="N43" s="35"/>
      <c r="Q43" s="27"/>
    </row>
    <row r="44" spans="3:17" ht="12.75">
      <c r="C44" s="15"/>
      <c r="D44" s="15"/>
      <c r="E44" s="21">
        <v>42719</v>
      </c>
      <c r="F44" s="24"/>
      <c r="G44" s="24">
        <v>-20593.85</v>
      </c>
      <c r="H44" s="15"/>
      <c r="I44" s="25"/>
      <c r="N44" s="35"/>
      <c r="Q44" s="27"/>
    </row>
    <row r="45" spans="3:17" ht="12.75">
      <c r="C45" s="15"/>
      <c r="D45" s="15"/>
      <c r="E45" s="21">
        <v>42733</v>
      </c>
      <c r="F45" s="24"/>
      <c r="G45" s="24">
        <v>-13318.84</v>
      </c>
      <c r="H45" s="15"/>
      <c r="I45" s="25"/>
      <c r="N45" s="35"/>
      <c r="Q45" s="27"/>
    </row>
    <row r="46" spans="3:17" ht="12.75">
      <c r="C46" s="15" t="s">
        <v>78</v>
      </c>
      <c r="D46" s="15"/>
      <c r="E46" s="21">
        <v>42716</v>
      </c>
      <c r="F46" s="24"/>
      <c r="G46" s="24">
        <v>17744.73</v>
      </c>
      <c r="H46" s="15"/>
      <c r="I46" s="25"/>
      <c r="N46" s="35"/>
      <c r="Q46" s="27"/>
    </row>
    <row r="47" spans="3:17" ht="12.75">
      <c r="C47" s="15" t="s">
        <v>79</v>
      </c>
      <c r="D47" s="15"/>
      <c r="E47" s="21">
        <v>42754</v>
      </c>
      <c r="F47" s="24"/>
      <c r="G47" s="24">
        <v>-12983.08</v>
      </c>
      <c r="H47" s="15"/>
      <c r="I47" s="25"/>
      <c r="N47" s="35"/>
      <c r="Q47" s="27"/>
    </row>
    <row r="48" spans="3:17" ht="12.75">
      <c r="C48" s="15"/>
      <c r="D48" s="15"/>
      <c r="E48" s="21">
        <v>42765</v>
      </c>
      <c r="F48" s="24"/>
      <c r="G48" s="24">
        <v>-13251.70</v>
      </c>
      <c r="H48" s="15"/>
      <c r="I48" s="25"/>
      <c r="J48" s="25"/>
      <c r="K48" s="15"/>
      <c r="N48" s="35"/>
      <c r="Q48" s="27"/>
    </row>
    <row r="49" spans="3:17" ht="12.75">
      <c r="C49" s="15"/>
      <c r="D49" s="15"/>
      <c r="E49" s="21">
        <v>42773</v>
      </c>
      <c r="F49" s="24"/>
      <c r="G49" s="24">
        <v>-22608.46</v>
      </c>
      <c r="H49" s="15"/>
      <c r="I49" s="25"/>
      <c r="J49" s="25"/>
      <c r="K49" s="15"/>
      <c r="N49" s="35"/>
      <c r="Q49" s="27"/>
    </row>
    <row r="50" spans="3:17" ht="12.75">
      <c r="C50" s="15"/>
      <c r="D50" s="15"/>
      <c r="E50" s="21">
        <v>42797</v>
      </c>
      <c r="F50" s="24"/>
      <c r="G50" s="24">
        <v>-31629.46</v>
      </c>
      <c r="H50" s="15"/>
      <c r="I50" s="25"/>
      <c r="J50" s="25"/>
      <c r="K50" s="15"/>
      <c r="N50" s="35"/>
      <c r="Q50" s="27"/>
    </row>
    <row r="51" spans="3:17" ht="12.75">
      <c r="C51" s="15"/>
      <c r="D51" s="15"/>
      <c r="E51" s="21">
        <v>42817</v>
      </c>
      <c r="F51" s="24"/>
      <c r="G51" s="24">
        <v>-18758.31</v>
      </c>
      <c r="H51" s="15"/>
      <c r="I51" s="25"/>
      <c r="J51" s="25"/>
      <c r="K51" s="15"/>
      <c r="N51" s="35"/>
      <c r="Q51" s="27"/>
    </row>
    <row r="52" spans="3:17" ht="12.75">
      <c r="C52" s="15"/>
      <c r="D52" s="15"/>
      <c r="E52" s="21">
        <v>42828</v>
      </c>
      <c r="F52" s="24"/>
      <c r="G52" s="24">
        <v>-16296</v>
      </c>
      <c r="H52" s="15"/>
      <c r="I52" s="25"/>
      <c r="J52" s="25"/>
      <c r="K52" s="15"/>
      <c r="N52" s="35"/>
      <c r="Q52" s="27"/>
    </row>
    <row r="53" spans="3:17" ht="12.75">
      <c r="C53" s="15"/>
      <c r="D53" s="15"/>
      <c r="E53" s="21">
        <v>42851</v>
      </c>
      <c r="F53" s="24"/>
      <c r="G53" s="24">
        <v>-71496.45</v>
      </c>
      <c r="H53" s="15"/>
      <c r="I53" s="25"/>
      <c r="J53" s="25"/>
      <c r="K53" s="15"/>
      <c r="N53" s="35"/>
      <c r="Q53" s="27"/>
    </row>
    <row r="54" spans="3:17" ht="12.75">
      <c r="C54" s="15"/>
      <c r="D54" s="15"/>
      <c r="E54" s="21">
        <v>42863</v>
      </c>
      <c r="F54" s="24"/>
      <c r="G54" s="24">
        <v>-15087.24</v>
      </c>
      <c r="H54" s="15"/>
      <c r="I54" s="25"/>
      <c r="J54" s="25"/>
      <c r="K54" s="15"/>
      <c r="N54" s="35"/>
      <c r="Q54" s="27"/>
    </row>
    <row r="55" spans="3:17" ht="12.75">
      <c r="C55" s="15"/>
      <c r="D55" s="15"/>
      <c r="E55" s="21">
        <v>42878</v>
      </c>
      <c r="F55" s="24"/>
      <c r="G55" s="24">
        <v>-17057.08</v>
      </c>
      <c r="H55" s="15"/>
      <c r="I55" s="25"/>
      <c r="N55" s="35"/>
      <c r="Q55" s="27"/>
    </row>
    <row r="56" spans="3:17" ht="12.75">
      <c r="C56" s="15"/>
      <c r="D56" s="15"/>
      <c r="E56" s="21">
        <v>42893</v>
      </c>
      <c r="F56" s="24"/>
      <c r="G56" s="24">
        <v>-32032.38</v>
      </c>
      <c r="H56" s="15"/>
      <c r="I56" s="25"/>
      <c r="N56" s="35"/>
      <c r="Q56" s="27"/>
    </row>
    <row r="57" spans="3:17" ht="12.75">
      <c r="C57" s="15"/>
      <c r="D57" s="15"/>
      <c r="E57" s="21">
        <v>42907</v>
      </c>
      <c r="F57" s="24"/>
      <c r="G57" s="24">
        <v>-16989.92</v>
      </c>
      <c r="H57" s="15"/>
      <c r="I57" s="25"/>
      <c r="N57" s="35"/>
      <c r="Q57" s="27"/>
    </row>
    <row r="58" spans="3:17" ht="12.75">
      <c r="C58" s="15"/>
      <c r="D58" s="15"/>
      <c r="E58" s="21">
        <v>42915</v>
      </c>
      <c r="F58" s="24"/>
      <c r="G58" s="24">
        <v>-38949.24</v>
      </c>
      <c r="H58" s="15"/>
      <c r="I58" s="25"/>
      <c r="N58" s="35"/>
      <c r="Q58" s="27"/>
    </row>
    <row r="59" spans="3:17" ht="12.75">
      <c r="C59" s="15"/>
      <c r="D59" s="15"/>
      <c r="E59" s="21">
        <v>42927</v>
      </c>
      <c r="F59" s="24"/>
      <c r="G59" s="24">
        <v>-13878.47</v>
      </c>
      <c r="H59" s="15"/>
      <c r="I59" s="25"/>
      <c r="N59" s="35"/>
      <c r="Q59" s="27"/>
    </row>
    <row r="60" spans="3:17" ht="12.75">
      <c r="C60" s="15"/>
      <c r="D60" s="15"/>
      <c r="E60" s="21">
        <v>42957</v>
      </c>
      <c r="F60" s="24"/>
      <c r="G60" s="24">
        <v>-21265.38</v>
      </c>
      <c r="H60" s="15"/>
      <c r="I60" s="25"/>
      <c r="N60" s="35"/>
      <c r="Q60" s="27"/>
    </row>
    <row r="61" spans="3:17" ht="12.75">
      <c r="C61" s="15"/>
      <c r="D61" s="15"/>
      <c r="E61" s="21">
        <v>42970</v>
      </c>
      <c r="F61" s="24"/>
      <c r="G61" s="24">
        <v>-45910.85</v>
      </c>
      <c r="H61" s="15"/>
      <c r="I61" s="25"/>
      <c r="N61" s="35"/>
      <c r="Q61" s="27"/>
    </row>
    <row r="62" spans="3:17" ht="12.75">
      <c r="C62" s="15"/>
      <c r="D62" s="15"/>
      <c r="E62" s="21">
        <v>42993</v>
      </c>
      <c r="F62" s="24"/>
      <c r="G62" s="24">
        <v>-16452.68</v>
      </c>
      <c r="H62" s="15"/>
      <c r="I62" s="25"/>
      <c r="J62" s="25"/>
      <c r="K62" s="15"/>
      <c r="N62" s="35"/>
      <c r="Q62" s="27"/>
    </row>
    <row r="63" spans="3:17" ht="12.75">
      <c r="C63" s="15"/>
      <c r="D63" s="15"/>
      <c r="E63" s="21">
        <v>43000</v>
      </c>
      <c r="F63" s="24"/>
      <c r="G63" s="24">
        <v>-23817.22</v>
      </c>
      <c r="H63" s="15"/>
      <c r="I63" s="25"/>
      <c r="J63" s="25"/>
      <c r="K63" s="15"/>
      <c r="N63" s="35"/>
      <c r="Q63" s="27"/>
    </row>
    <row r="64" spans="3:17" ht="15.75">
      <c r="C64" s="15"/>
      <c r="D64" s="15"/>
      <c r="E64" s="21">
        <v>43012</v>
      </c>
      <c r="F64" s="24"/>
      <c r="G64" s="24">
        <v>-23794.85</v>
      </c>
      <c r="H64" s="15"/>
      <c r="I64" s="25"/>
      <c r="J64" s="115"/>
      <c r="K64" s="116"/>
      <c r="L64" s="162"/>
      <c r="N64" s="35"/>
      <c r="Q64" s="27"/>
    </row>
    <row r="65" spans="3:17" ht="12.75">
      <c r="C65" s="15"/>
      <c r="D65" s="15"/>
      <c r="E65" s="21">
        <v>43027</v>
      </c>
      <c r="F65" s="24"/>
      <c r="G65" s="24">
        <v>-23347.15</v>
      </c>
      <c r="H65" s="15"/>
      <c r="I65" s="25"/>
      <c r="J65" s="115"/>
      <c r="K65" s="116"/>
      <c r="L65" s="57"/>
      <c r="N65" s="35"/>
      <c r="Q65" s="27"/>
    </row>
    <row r="66" spans="3:17" ht="12.75">
      <c r="C66" s="15"/>
      <c r="D66" s="15"/>
      <c r="E66" s="21">
        <v>43046</v>
      </c>
      <c r="F66" s="24"/>
      <c r="G66" s="24">
        <v>-23481.45</v>
      </c>
      <c r="H66" s="15"/>
      <c r="I66" s="25"/>
      <c r="J66" s="115"/>
      <c r="K66" s="116"/>
      <c r="L66" s="57"/>
      <c r="N66" s="35"/>
      <c r="Q66" s="27"/>
    </row>
    <row r="67" spans="3:17" ht="12.75">
      <c r="C67" s="15"/>
      <c r="D67" s="15"/>
      <c r="E67" s="21">
        <v>43056</v>
      </c>
      <c r="F67" s="24"/>
      <c r="G67" s="24">
        <v>-21713.07</v>
      </c>
      <c r="H67" s="15"/>
      <c r="I67" s="25"/>
      <c r="J67" s="115"/>
      <c r="K67" s="116"/>
      <c r="L67" s="57"/>
      <c r="N67" s="35"/>
      <c r="Q67" s="27"/>
    </row>
    <row r="68" spans="3:17" ht="12.75">
      <c r="C68" s="15"/>
      <c r="D68" s="15"/>
      <c r="E68" s="21">
        <v>43083</v>
      </c>
      <c r="F68" s="24"/>
      <c r="G68" s="24">
        <v>-20996.77</v>
      </c>
      <c r="H68" s="15"/>
      <c r="I68" s="25"/>
      <c r="J68" s="115"/>
      <c r="K68" s="116"/>
      <c r="L68" s="57"/>
      <c r="N68" s="35"/>
      <c r="Q68" s="27"/>
    </row>
    <row r="69" spans="3:17" ht="12.75">
      <c r="C69" s="15" t="s">
        <v>80</v>
      </c>
      <c r="D69" s="15"/>
      <c r="E69" s="21">
        <v>42780</v>
      </c>
      <c r="F69" s="24"/>
      <c r="G69" s="24">
        <v>101415.12</v>
      </c>
      <c r="H69" s="15"/>
      <c r="I69" s="25"/>
      <c r="J69" s="115"/>
      <c r="K69" s="116"/>
      <c r="L69" s="169"/>
      <c r="N69" s="35"/>
      <c r="Q69" s="27"/>
    </row>
    <row r="70" spans="3:17" ht="12.75">
      <c r="C70" s="15"/>
      <c r="D70" s="15"/>
      <c r="E70" s="21">
        <v>42822</v>
      </c>
      <c r="F70" s="24"/>
      <c r="G70" s="24">
        <v>72434.42</v>
      </c>
      <c r="H70" s="15"/>
      <c r="I70" s="25"/>
      <c r="J70" s="115"/>
      <c r="K70" s="116"/>
      <c r="L70" s="169"/>
      <c r="N70" s="35"/>
      <c r="Q70" s="27"/>
    </row>
    <row r="71" spans="3:17" ht="12.75">
      <c r="C71" s="15"/>
      <c r="D71" s="15"/>
      <c r="E71" s="21">
        <v>42906</v>
      </c>
      <c r="F71" s="24"/>
      <c r="G71" s="24">
        <v>12538.72</v>
      </c>
      <c r="H71" s="15"/>
      <c r="I71" s="25"/>
      <c r="J71" s="115"/>
      <c r="K71" s="116"/>
      <c r="L71" s="169"/>
      <c r="N71" s="35"/>
      <c r="Q71" s="27"/>
    </row>
    <row r="72" spans="3:17" ht="12.75">
      <c r="C72" s="15"/>
      <c r="D72" s="15"/>
      <c r="E72" s="21">
        <v>42970</v>
      </c>
      <c r="F72" s="24"/>
      <c r="G72" s="24">
        <v>4971.53</v>
      </c>
      <c r="H72" s="15"/>
      <c r="I72" s="25"/>
      <c r="J72" s="25"/>
      <c r="K72" s="15"/>
      <c r="N72" s="35"/>
      <c r="Q72" s="27"/>
    </row>
    <row r="73" spans="3:17" ht="12.75">
      <c r="C73" s="15" t="s">
        <v>81</v>
      </c>
      <c r="D73" s="15"/>
      <c r="E73" s="21">
        <v>43104</v>
      </c>
      <c r="F73" s="24"/>
      <c r="G73" s="24">
        <v>-19586.53</v>
      </c>
      <c r="H73" s="15"/>
      <c r="I73" s="25"/>
      <c r="J73" s="25"/>
      <c r="K73" s="15"/>
      <c r="N73" s="35"/>
      <c r="Q73" s="27"/>
    </row>
    <row r="74" spans="3:17" ht="12.75">
      <c r="C74" s="15"/>
      <c r="D74" s="15"/>
      <c r="E74" s="21">
        <v>43157</v>
      </c>
      <c r="F74" s="24"/>
      <c r="G74" s="24">
        <v>-18825.46</v>
      </c>
      <c r="H74" s="15"/>
      <c r="I74" s="25"/>
      <c r="J74" s="25"/>
      <c r="K74" s="15"/>
      <c r="N74" s="35"/>
      <c r="Q74" s="27"/>
    </row>
    <row r="75" spans="3:17" ht="12.75">
      <c r="C75" s="15"/>
      <c r="D75" s="15"/>
      <c r="E75" s="21">
        <v>43181</v>
      </c>
      <c r="F75" s="24"/>
      <c r="G75" s="24">
        <v>-51798</v>
      </c>
      <c r="H75" s="15"/>
      <c r="I75" s="25"/>
      <c r="J75" s="25"/>
      <c r="K75" s="15"/>
      <c r="N75" s="35"/>
      <c r="Q75" s="27"/>
    </row>
    <row r="76" spans="3:17" ht="12.75">
      <c r="C76" s="15"/>
      <c r="D76" s="15"/>
      <c r="E76" s="21">
        <v>43256</v>
      </c>
      <c r="F76" s="24"/>
      <c r="G76" s="24">
        <v>-20772.92</v>
      </c>
      <c r="H76" s="15"/>
      <c r="I76" s="25"/>
      <c r="J76" s="25"/>
      <c r="K76" s="15"/>
      <c r="N76" s="35"/>
      <c r="Q76" s="27"/>
    </row>
    <row r="77" spans="3:17" ht="12.75">
      <c r="C77" s="15"/>
      <c r="D77" s="15"/>
      <c r="E77" s="21">
        <v>43278</v>
      </c>
      <c r="F77" s="24"/>
      <c r="G77" s="24">
        <v>-16564.61</v>
      </c>
      <c r="H77" s="15"/>
      <c r="I77" s="25"/>
      <c r="J77" s="25"/>
      <c r="K77" s="15"/>
      <c r="N77" s="35"/>
      <c r="Q77" s="27"/>
    </row>
    <row r="78" spans="3:17" ht="12.75">
      <c r="C78" s="15"/>
      <c r="D78" s="15"/>
      <c r="E78" s="21">
        <v>43336</v>
      </c>
      <c r="F78" s="24"/>
      <c r="G78" s="24">
        <v>-21511.63</v>
      </c>
      <c r="H78" s="15"/>
      <c r="I78" s="25"/>
      <c r="J78" s="25"/>
      <c r="K78" s="15"/>
      <c r="N78" s="35"/>
      <c r="Q78" s="27"/>
    </row>
    <row r="79" spans="3:17" ht="12.75">
      <c r="C79" s="15"/>
      <c r="D79" s="15"/>
      <c r="E79" s="21">
        <v>43367</v>
      </c>
      <c r="F79" s="24"/>
      <c r="G79" s="24">
        <v>-36509.3</v>
      </c>
      <c r="H79" s="15"/>
      <c r="I79" s="25"/>
      <c r="J79" s="25"/>
      <c r="K79" s="15"/>
      <c r="N79" s="35"/>
      <c r="Q79" s="27"/>
    </row>
    <row r="80" spans="3:17" ht="12.75">
      <c r="C80" s="15"/>
      <c r="D80" s="15"/>
      <c r="E80" s="21">
        <v>43439</v>
      </c>
      <c r="F80" s="24"/>
      <c r="G80" s="24">
        <v>-22787.54</v>
      </c>
      <c r="H80" s="15"/>
      <c r="I80" s="25"/>
      <c r="J80" s="25"/>
      <c r="K80" s="15"/>
      <c r="N80" s="35"/>
      <c r="Q80" s="27"/>
    </row>
    <row r="81" spans="3:17" ht="12.75">
      <c r="C81" s="15" t="s">
        <v>82</v>
      </c>
      <c r="D81" s="15"/>
      <c r="E81" s="21">
        <v>43167</v>
      </c>
      <c r="F81" s="24"/>
      <c r="G81" s="24">
        <v>5659.93</v>
      </c>
      <c r="H81" s="15"/>
      <c r="I81" s="25"/>
      <c r="J81" s="25"/>
      <c r="K81" s="15"/>
      <c r="N81" s="35"/>
      <c r="Q81" s="27"/>
    </row>
    <row r="82" spans="3:17" ht="12.75">
      <c r="C82" s="15"/>
      <c r="D82" s="15"/>
      <c r="E82" s="21">
        <v>43255</v>
      </c>
      <c r="F82" s="24"/>
      <c r="G82" s="24">
        <v>13720.21</v>
      </c>
      <c r="H82" s="15"/>
      <c r="I82" s="25"/>
      <c r="J82" s="25"/>
      <c r="K82" s="15"/>
      <c r="N82" s="35"/>
      <c r="Q82" s="27"/>
    </row>
    <row r="83" spans="3:17" ht="12.75">
      <c r="C83" s="15"/>
      <c r="D83" s="15"/>
      <c r="E83" s="21">
        <v>43444</v>
      </c>
      <c r="F83" s="24"/>
      <c r="G83" s="24">
        <v>8033.52</v>
      </c>
      <c r="H83" s="15"/>
      <c r="I83" s="25"/>
      <c r="J83" s="25"/>
      <c r="K83" s="15"/>
      <c r="N83" s="35"/>
      <c r="Q83" s="27"/>
    </row>
    <row r="84" spans="3:17" ht="12.75">
      <c r="C84" s="15" t="s">
        <v>83</v>
      </c>
      <c r="D84" s="15"/>
      <c r="E84" s="21">
        <v>43481</v>
      </c>
      <c r="F84" s="24"/>
      <c r="G84" s="24">
        <v>-12983.08</v>
      </c>
      <c r="H84" s="15"/>
      <c r="I84" s="25"/>
      <c r="J84" s="25"/>
      <c r="K84" s="15"/>
      <c r="N84" s="35"/>
      <c r="Q84" s="27"/>
    </row>
    <row r="85" spans="4:17" ht="12.75">
      <c r="D85" s="15"/>
      <c r="E85" s="21">
        <v>43544</v>
      </c>
      <c r="F85" s="24"/>
      <c r="G85" s="24">
        <v>-14370.91</v>
      </c>
      <c r="H85" s="15"/>
      <c r="I85" s="25"/>
      <c r="J85" s="25"/>
      <c r="K85" s="15"/>
      <c r="N85" s="35"/>
      <c r="Q85" s="27"/>
    </row>
    <row r="86" spans="4:17" ht="12.75">
      <c r="D86" s="15"/>
      <c r="E86" s="21">
        <v>43591</v>
      </c>
      <c r="F86" s="24"/>
      <c r="G86" s="24">
        <v>-12826.38</v>
      </c>
      <c r="H86" s="15"/>
      <c r="I86" s="25"/>
      <c r="J86" s="25"/>
      <c r="K86" s="15"/>
      <c r="N86" s="35"/>
      <c r="Q86" s="27"/>
    </row>
    <row r="87" spans="4:17" ht="12.75">
      <c r="D87" s="15"/>
      <c r="E87" s="21">
        <v>43675</v>
      </c>
      <c r="F87" s="24"/>
      <c r="G87" s="24">
        <v>-20056.62</v>
      </c>
      <c r="H87" s="15"/>
      <c r="I87" s="25"/>
      <c r="J87" s="25"/>
      <c r="K87" s="15"/>
      <c r="N87" s="35"/>
      <c r="Q87" s="27"/>
    </row>
    <row r="88" spans="4:17" ht="12.75">
      <c r="D88" s="15"/>
      <c r="E88" s="21">
        <v>43707</v>
      </c>
      <c r="F88" s="24"/>
      <c r="G88" s="24">
        <v>-34427.54</v>
      </c>
      <c r="H88" s="15"/>
      <c r="I88" s="25"/>
      <c r="J88" s="25"/>
      <c r="K88" s="15"/>
      <c r="N88" s="35"/>
      <c r="Q88" s="27"/>
    </row>
    <row r="89" spans="4:17" ht="12.75">
      <c r="D89" s="15"/>
      <c r="E89" s="21">
        <v>43769</v>
      </c>
      <c r="F89" s="24"/>
      <c r="G89" s="24">
        <v>-15781.16</v>
      </c>
      <c r="H89" s="15"/>
      <c r="I89" s="25"/>
      <c r="J89" s="25"/>
      <c r="K89" s="15"/>
      <c r="N89" s="35"/>
      <c r="Q89" s="27"/>
    </row>
    <row r="90" spans="4:17" ht="12.75">
      <c r="D90" s="15"/>
      <c r="E90" s="21">
        <v>43804</v>
      </c>
      <c r="F90" s="24"/>
      <c r="G90" s="24">
        <v>-15758.78</v>
      </c>
      <c r="H90" s="15"/>
      <c r="I90" s="25"/>
      <c r="J90" s="25"/>
      <c r="K90" s="15"/>
      <c r="N90" s="35"/>
      <c r="Q90" s="27"/>
    </row>
    <row r="91" spans="3:17" ht="12.75">
      <c r="C91" s="15" t="s">
        <v>84</v>
      </c>
      <c r="D91" s="15"/>
      <c r="E91" s="21">
        <v>43550</v>
      </c>
      <c r="F91" s="24"/>
      <c r="G91" s="24">
        <v>4511.33</v>
      </c>
      <c r="H91" s="15"/>
      <c r="I91" s="25"/>
      <c r="J91" s="25"/>
      <c r="K91" s="15"/>
      <c r="N91" s="35"/>
      <c r="Q91" s="27"/>
    </row>
    <row r="92" spans="3:17" ht="12.75">
      <c r="C92" s="15"/>
      <c r="D92" s="15"/>
      <c r="E92" s="21">
        <v>43629</v>
      </c>
      <c r="F92" s="24"/>
      <c r="G92" s="24">
        <v>5034.82</v>
      </c>
      <c r="H92" s="15"/>
      <c r="I92" s="25"/>
      <c r="J92" s="25"/>
      <c r="K92" s="15"/>
      <c r="N92" s="35"/>
      <c r="Q92" s="27"/>
    </row>
    <row r="93" spans="3:17" ht="12.75">
      <c r="C93" s="15"/>
      <c r="D93" s="15"/>
      <c r="E93" s="21">
        <v>43760</v>
      </c>
      <c r="F93" s="24"/>
      <c r="G93" s="24">
        <v>28035.04</v>
      </c>
      <c r="H93" s="15"/>
      <c r="I93" s="25"/>
      <c r="J93" s="25"/>
      <c r="K93" s="15"/>
      <c r="N93" s="35"/>
      <c r="Q93" s="27"/>
    </row>
    <row r="94" spans="3:17" ht="12.75">
      <c r="C94" s="15"/>
      <c r="D94" s="15"/>
      <c r="E94" s="21">
        <v>43816</v>
      </c>
      <c r="F94" s="24"/>
      <c r="G94" s="24">
        <v>5278.68</v>
      </c>
      <c r="H94" s="15"/>
      <c r="I94" s="25"/>
      <c r="J94" s="25"/>
      <c r="K94" s="15"/>
      <c r="N94" s="35"/>
      <c r="Q94" s="27"/>
    </row>
    <row r="95" spans="3:17" ht="12.75">
      <c r="C95" s="15" t="s">
        <v>16</v>
      </c>
      <c r="D95" s="15"/>
      <c r="E95" s="21">
        <v>43896</v>
      </c>
      <c r="F95" s="24"/>
      <c r="G95" s="24">
        <v>-9759.68</v>
      </c>
      <c r="H95" s="15"/>
      <c r="I95" s="25"/>
      <c r="J95" s="25"/>
      <c r="K95" s="15"/>
      <c r="N95" s="35"/>
      <c r="Q95" s="27"/>
    </row>
    <row r="96" spans="3:17" ht="12.75">
      <c r="C96" s="15"/>
      <c r="D96" s="15"/>
      <c r="E96" s="21">
        <v>43922</v>
      </c>
      <c r="F96" s="24"/>
      <c r="G96" s="24">
        <v>-7297.39</v>
      </c>
      <c r="H96" s="15"/>
      <c r="I96" s="25"/>
      <c r="J96" s="25"/>
      <c r="K96" s="15"/>
      <c r="N96" s="35"/>
      <c r="Q96" s="27"/>
    </row>
    <row r="97" spans="3:17" ht="12.75">
      <c r="C97" s="15"/>
      <c r="D97" s="15"/>
      <c r="E97" s="21">
        <v>43979</v>
      </c>
      <c r="F97" s="24"/>
      <c r="G97" s="24">
        <v>-9513.47</v>
      </c>
      <c r="H97" s="15"/>
      <c r="I97" s="25"/>
      <c r="J97" s="25"/>
      <c r="K97" s="15"/>
      <c r="N97" s="35"/>
      <c r="Q97" s="27"/>
    </row>
    <row r="98" spans="3:17" ht="12.75">
      <c r="C98" s="15"/>
      <c r="D98" s="15"/>
      <c r="E98" s="21">
        <v>44015</v>
      </c>
      <c r="F98" s="24"/>
      <c r="G98" s="24">
        <v>-8259.92</v>
      </c>
      <c r="H98" s="15"/>
      <c r="I98" s="25"/>
      <c r="J98" s="25"/>
      <c r="K98" s="15"/>
      <c r="N98" s="35"/>
      <c r="Q98" s="27"/>
    </row>
    <row r="99" spans="3:17" ht="12.75">
      <c r="C99" s="15"/>
      <c r="D99" s="15"/>
      <c r="E99" s="21">
        <v>44109</v>
      </c>
      <c r="F99" s="24"/>
      <c r="G99" s="24">
        <v>-5842.39</v>
      </c>
      <c r="H99" s="15"/>
      <c r="I99" s="25"/>
      <c r="J99" s="25"/>
      <c r="K99" s="15"/>
      <c r="N99" s="35"/>
      <c r="Q99" s="27"/>
    </row>
    <row r="100" spans="3:17" ht="12.75">
      <c r="C100" s="15"/>
      <c r="D100" s="15"/>
      <c r="E100" s="21">
        <v>44160</v>
      </c>
      <c r="F100" s="24"/>
      <c r="G100" s="24">
        <v>-11080.38</v>
      </c>
      <c r="H100" s="15"/>
      <c r="I100" s="25"/>
      <c r="J100" s="25"/>
      <c r="K100" s="15"/>
      <c r="N100" s="35"/>
      <c r="Q100" s="27"/>
    </row>
    <row r="101" spans="3:17" ht="12.75">
      <c r="C101" s="15" t="s">
        <v>85</v>
      </c>
      <c r="D101" s="15"/>
      <c r="E101" s="21">
        <v>43885</v>
      </c>
      <c r="F101" s="24"/>
      <c r="G101" s="24">
        <v>16738.80</v>
      </c>
      <c r="H101" s="15"/>
      <c r="I101" s="25"/>
      <c r="J101" s="25"/>
      <c r="K101" s="15"/>
      <c r="N101" s="35"/>
      <c r="Q101" s="27"/>
    </row>
    <row r="102" spans="3:17" ht="12.75">
      <c r="C102" s="15"/>
      <c r="D102" s="15"/>
      <c r="E102" s="21">
        <v>44082</v>
      </c>
      <c r="F102" s="24"/>
      <c r="G102" s="24">
        <v>9918.10</v>
      </c>
      <c r="H102" s="15"/>
      <c r="I102" s="25"/>
      <c r="J102" s="25"/>
      <c r="K102" s="15"/>
      <c r="N102" s="35"/>
      <c r="Q102" s="27"/>
    </row>
    <row r="103" spans="3:17" ht="12.75">
      <c r="C103" s="15" t="s">
        <v>41</v>
      </c>
      <c r="D103" s="15"/>
      <c r="E103" s="21">
        <v>44201</v>
      </c>
      <c r="F103" s="24"/>
      <c r="G103" s="24">
        <v>-5909.54</v>
      </c>
      <c r="H103" s="15"/>
      <c r="I103" s="25"/>
      <c r="J103" s="25"/>
      <c r="K103" s="15"/>
      <c r="N103" s="35"/>
      <c r="Q103" s="27"/>
    </row>
    <row r="104" spans="3:17" ht="12.75">
      <c r="C104" s="15"/>
      <c r="D104" s="15"/>
      <c r="E104" s="21">
        <v>44246</v>
      </c>
      <c r="F104" s="24"/>
      <c r="G104" s="24">
        <v>-33576.92</v>
      </c>
      <c r="H104" s="15"/>
      <c r="I104" s="25"/>
      <c r="J104" s="25"/>
      <c r="K104" s="15"/>
      <c r="N104" s="35"/>
      <c r="Q104" s="27"/>
    </row>
    <row r="105" spans="3:17" ht="12.75">
      <c r="C105" s="15"/>
      <c r="D105" s="15"/>
      <c r="E105" s="21">
        <v>44267</v>
      </c>
      <c r="F105" s="24"/>
      <c r="G105" s="24">
        <v>-3335.31</v>
      </c>
      <c r="H105" s="15"/>
      <c r="I105" s="25"/>
      <c r="J105" s="25"/>
      <c r="K105" s="15"/>
      <c r="N105" s="35"/>
      <c r="Q105" s="27"/>
    </row>
    <row r="106" spans="3:17" ht="12.75">
      <c r="C106" s="15"/>
      <c r="D106" s="15"/>
      <c r="E106" s="21">
        <v>44285</v>
      </c>
      <c r="F106" s="24"/>
      <c r="G106" s="24">
        <v>-4208.31</v>
      </c>
      <c r="H106" s="15"/>
      <c r="I106" s="25"/>
      <c r="J106" s="25"/>
      <c r="K106" s="15"/>
      <c r="N106" s="35"/>
      <c r="Q106" s="27"/>
    </row>
    <row r="107" spans="3:17" ht="12.75">
      <c r="C107" s="15"/>
      <c r="D107" s="15"/>
      <c r="E107" s="21">
        <v>44308</v>
      </c>
      <c r="F107" s="24"/>
      <c r="G107" s="24">
        <v>-11147.53</v>
      </c>
      <c r="H107" s="15"/>
      <c r="I107" s="25"/>
      <c r="J107" s="25"/>
      <c r="K107" s="15"/>
      <c r="N107" s="35"/>
      <c r="Q107" s="27"/>
    </row>
    <row r="108" spans="3:17" ht="12.75">
      <c r="C108" s="15"/>
      <c r="D108" s="15"/>
      <c r="E108" s="21">
        <v>44348</v>
      </c>
      <c r="F108" s="24"/>
      <c r="G108" s="24">
        <v>-24690.23</v>
      </c>
      <c r="H108" s="15"/>
      <c r="I108" s="25"/>
      <c r="J108" s="25"/>
      <c r="K108" s="15"/>
      <c r="N108" s="35"/>
      <c r="Q108" s="27"/>
    </row>
    <row r="109" spans="3:17" ht="12.75">
      <c r="C109" s="15"/>
      <c r="D109" s="15"/>
      <c r="E109" s="21">
        <v>44467</v>
      </c>
      <c r="F109" s="24"/>
      <c r="G109" s="24">
        <v>-3626.31</v>
      </c>
      <c r="H109" s="15"/>
      <c r="I109" s="25"/>
      <c r="J109" s="25"/>
      <c r="K109" s="15"/>
      <c r="N109" s="35"/>
      <c r="Q109" s="27"/>
    </row>
    <row r="110" spans="3:17" ht="12.75">
      <c r="C110" s="15"/>
      <c r="D110" s="15"/>
      <c r="E110" s="21">
        <v>44546</v>
      </c>
      <c r="F110" s="24"/>
      <c r="G110" s="24">
        <v>-16564.61</v>
      </c>
      <c r="H110" s="15"/>
      <c r="I110" s="25"/>
      <c r="J110" s="25"/>
      <c r="K110" s="15"/>
      <c r="N110" s="35"/>
      <c r="Q110" s="27"/>
    </row>
    <row r="111" spans="3:17" ht="12.75">
      <c r="C111" s="15" t="s">
        <v>71</v>
      </c>
      <c r="D111" s="15"/>
      <c r="E111" s="21">
        <v>44217</v>
      </c>
      <c r="F111" s="24"/>
      <c r="G111" s="24">
        <v>15809.21</v>
      </c>
      <c r="H111" s="15"/>
      <c r="I111" s="25"/>
      <c r="J111" s="25"/>
      <c r="K111" s="15"/>
      <c r="N111" s="35"/>
      <c r="Q111" s="27"/>
    </row>
    <row r="112" spans="3:17" ht="12.75">
      <c r="C112" s="15"/>
      <c r="D112" s="15"/>
      <c r="E112" s="21">
        <v>44256</v>
      </c>
      <c r="F112" s="24"/>
      <c r="G112" s="24">
        <v>127901.59</v>
      </c>
      <c r="H112" s="15"/>
      <c r="I112" s="25"/>
      <c r="J112" s="25"/>
      <c r="K112" s="15"/>
      <c r="N112" s="35"/>
      <c r="Q112" s="27"/>
    </row>
    <row r="113" spans="3:17" ht="12.75">
      <c r="C113" s="15"/>
      <c r="D113" s="15"/>
      <c r="E113" s="21">
        <v>44279</v>
      </c>
      <c r="F113" s="24"/>
      <c r="G113" s="24">
        <v>27339.20</v>
      </c>
      <c r="H113" s="15"/>
      <c r="I113" s="25"/>
      <c r="J113" s="25"/>
      <c r="K113" s="15"/>
      <c r="N113" s="35"/>
      <c r="Q113" s="27"/>
    </row>
    <row r="114" spans="3:17" ht="12.75">
      <c r="C114" s="15"/>
      <c r="D114" s="15"/>
      <c r="E114" s="21">
        <v>44295</v>
      </c>
      <c r="F114" s="24"/>
      <c r="G114" s="24">
        <v>35769.09</v>
      </c>
      <c r="H114" s="15"/>
      <c r="I114" s="25"/>
      <c r="J114" s="25"/>
      <c r="K114" s="15"/>
      <c r="N114" s="35"/>
      <c r="Q114" s="27"/>
    </row>
    <row r="115" spans="3:17" ht="12.75">
      <c r="C115" s="15"/>
      <c r="D115" s="15"/>
      <c r="E115" s="21">
        <v>44371</v>
      </c>
      <c r="F115" s="24"/>
      <c r="G115" s="24">
        <v>4987.34</v>
      </c>
      <c r="H115" s="15"/>
      <c r="I115" s="25"/>
      <c r="J115" s="25"/>
      <c r="K115" s="15"/>
      <c r="N115" s="35"/>
      <c r="Q115" s="27"/>
    </row>
    <row r="116" spans="3:17" ht="12.75">
      <c r="C116" s="15"/>
      <c r="D116" s="15"/>
      <c r="E116" s="21">
        <v>44386</v>
      </c>
      <c r="F116" s="24"/>
      <c r="G116" s="24">
        <v>8549.05</v>
      </c>
      <c r="H116" s="15"/>
      <c r="I116" s="25"/>
      <c r="J116" s="25"/>
      <c r="K116" s="15"/>
      <c r="N116" s="35"/>
      <c r="Q116" s="27"/>
    </row>
    <row r="117" spans="3:17" ht="12.75">
      <c r="C117" s="15"/>
      <c r="D117" s="15"/>
      <c r="E117" s="21">
        <v>44417</v>
      </c>
      <c r="F117" s="24"/>
      <c r="G117" s="24">
        <v>9288.05</v>
      </c>
      <c r="H117" s="15"/>
      <c r="I117" s="25"/>
      <c r="J117" s="25"/>
      <c r="K117" s="15"/>
      <c r="N117" s="35"/>
      <c r="Q117" s="27"/>
    </row>
    <row r="118" spans="3:17" ht="12.75">
      <c r="C118" s="15"/>
      <c r="D118" s="15"/>
      <c r="E118" s="21">
        <v>44446</v>
      </c>
      <c r="F118" s="24"/>
      <c r="G118" s="24">
        <v>8948.94</v>
      </c>
      <c r="H118" s="15"/>
      <c r="I118" s="25"/>
      <c r="J118" s="25"/>
      <c r="K118" s="15"/>
      <c r="N118" s="35"/>
      <c r="Q118" s="27"/>
    </row>
    <row r="119" spans="3:17" ht="12.75">
      <c r="C119" s="15"/>
      <c r="D119" s="15"/>
      <c r="E119" s="21">
        <v>44473</v>
      </c>
      <c r="F119" s="24"/>
      <c r="G119" s="24">
        <v>14044.16</v>
      </c>
      <c r="H119" s="15"/>
      <c r="I119" s="25"/>
      <c r="J119" s="25"/>
      <c r="K119" s="15"/>
      <c r="N119" s="35"/>
      <c r="Q119" s="27"/>
    </row>
    <row r="120" spans="3:17" ht="12.75">
      <c r="C120" s="15"/>
      <c r="D120" s="15"/>
      <c r="E120" s="21">
        <v>44489</v>
      </c>
      <c r="F120" s="24"/>
      <c r="G120" s="24">
        <v>36522.88</v>
      </c>
      <c r="H120" s="15"/>
      <c r="I120" s="25"/>
      <c r="J120" s="25"/>
      <c r="K120" s="15"/>
      <c r="N120" s="35"/>
      <c r="Q120" s="27"/>
    </row>
    <row r="121" spans="3:17" ht="12.75">
      <c r="C121" s="15"/>
      <c r="D121" s="15"/>
      <c r="E121" s="21">
        <v>44496</v>
      </c>
      <c r="F121" s="24"/>
      <c r="G121" s="24">
        <v>75188.57</v>
      </c>
      <c r="H121" s="15"/>
      <c r="I121" s="25"/>
      <c r="J121" s="25"/>
      <c r="K121" s="15"/>
      <c r="N121" s="35"/>
      <c r="Q121" s="27"/>
    </row>
    <row r="122" spans="3:17" ht="12.75">
      <c r="C122" s="15"/>
      <c r="D122" s="15"/>
      <c r="E122" s="21">
        <v>44505</v>
      </c>
      <c r="F122" s="24"/>
      <c r="G122" s="24">
        <v>7588.54</v>
      </c>
      <c r="H122" s="15"/>
      <c r="I122" s="25"/>
      <c r="J122" s="25"/>
      <c r="K122" s="15"/>
      <c r="N122" s="35"/>
      <c r="Q122" s="27"/>
    </row>
    <row r="123" spans="3:17" ht="12.75">
      <c r="C123" s="15"/>
      <c r="D123" s="15"/>
      <c r="E123" s="21">
        <v>44547</v>
      </c>
      <c r="F123" s="24"/>
      <c r="G123" s="24">
        <v>57433.86</v>
      </c>
      <c r="H123" s="15"/>
      <c r="I123" s="25"/>
      <c r="J123" s="25"/>
      <c r="K123" s="15"/>
      <c r="N123" s="35"/>
      <c r="Q123" s="27"/>
    </row>
    <row r="124" spans="3:17" ht="12.75">
      <c r="C124" s="15" t="s">
        <v>72</v>
      </c>
      <c r="D124" s="15"/>
      <c r="E124" s="21">
        <v>44585</v>
      </c>
      <c r="F124" s="24"/>
      <c r="G124" s="24">
        <v>-6872.07</v>
      </c>
      <c r="H124" s="15"/>
      <c r="I124" s="25"/>
      <c r="J124" s="25"/>
      <c r="K124" s="15"/>
      <c r="N124" s="35"/>
      <c r="Q124" s="27"/>
    </row>
    <row r="125" spans="3:17" ht="12.75">
      <c r="C125" s="15"/>
      <c r="D125" s="15"/>
      <c r="E125" s="21">
        <v>44630</v>
      </c>
      <c r="F125" s="24"/>
      <c r="G125" s="24">
        <v>-8282.31</v>
      </c>
      <c r="H125" s="15"/>
      <c r="I125" s="25"/>
      <c r="J125" s="25"/>
      <c r="K125" s="15"/>
      <c r="N125" s="35"/>
      <c r="Q125" s="27"/>
    </row>
    <row r="126" spans="3:17" ht="12.75">
      <c r="C126" s="15"/>
      <c r="D126" s="15"/>
      <c r="E126" s="21">
        <v>44741</v>
      </c>
      <c r="F126" s="24"/>
      <c r="G126" s="24">
        <v>-3492</v>
      </c>
      <c r="H126" s="15"/>
      <c r="I126" s="25"/>
      <c r="J126" s="25"/>
      <c r="K126" s="15"/>
      <c r="N126" s="35"/>
      <c r="Q126" s="27"/>
    </row>
    <row r="127" spans="3:17" ht="12.75">
      <c r="C127" s="15"/>
      <c r="D127" s="15"/>
      <c r="E127" s="21">
        <v>44830</v>
      </c>
      <c r="F127" s="24"/>
      <c r="G127" s="24">
        <v>-3424.85</v>
      </c>
      <c r="H127" s="15"/>
      <c r="I127" s="25"/>
      <c r="J127" s="25"/>
      <c r="K127" s="15"/>
      <c r="N127" s="35"/>
      <c r="Q127" s="27"/>
    </row>
    <row r="128" spans="3:17" ht="12.75">
      <c r="C128" s="15"/>
      <c r="D128" s="15"/>
      <c r="E128" s="21">
        <v>44925</v>
      </c>
      <c r="F128" s="24"/>
      <c r="G128" s="24">
        <v>-5640.92</v>
      </c>
      <c r="H128" s="15"/>
      <c r="I128" s="25"/>
      <c r="J128" s="25"/>
      <c r="K128" s="15"/>
      <c r="N128" s="35"/>
      <c r="Q128" s="27"/>
    </row>
    <row r="129" spans="3:17" ht="12.75">
      <c r="C129" s="15" t="s">
        <v>73</v>
      </c>
      <c r="D129" s="15"/>
      <c r="E129" s="21">
        <v>44580</v>
      </c>
      <c r="F129" s="24"/>
      <c r="G129" s="24">
        <v>90440.08</v>
      </c>
      <c r="H129" s="15"/>
      <c r="I129" s="25"/>
      <c r="J129" s="25"/>
      <c r="K129" s="15"/>
      <c r="N129" s="35"/>
      <c r="Q129" s="27"/>
    </row>
    <row r="130" spans="3:17" ht="12.75">
      <c r="C130" s="15"/>
      <c r="D130" s="15"/>
      <c r="E130" s="21">
        <v>44595</v>
      </c>
      <c r="F130" s="24"/>
      <c r="G130" s="24">
        <v>34837.28</v>
      </c>
      <c r="H130" s="15"/>
      <c r="I130" s="25"/>
      <c r="J130" s="25"/>
      <c r="K130" s="15"/>
      <c r="N130" s="35"/>
      <c r="Q130" s="27"/>
    </row>
    <row r="131" spans="3:17" ht="12.75">
      <c r="C131" s="15"/>
      <c r="D131" s="15"/>
      <c r="E131" s="21">
        <v>44630</v>
      </c>
      <c r="F131" s="24"/>
      <c r="G131" s="24">
        <v>48745.82</v>
      </c>
      <c r="H131" s="15"/>
      <c r="I131" s="25"/>
      <c r="J131" s="25"/>
      <c r="K131" s="15"/>
      <c r="N131" s="35"/>
      <c r="Q131" s="27"/>
    </row>
    <row r="132" spans="3:17" ht="12.75">
      <c r="C132" s="15"/>
      <c r="D132" s="15"/>
      <c r="E132" s="21">
        <v>44655</v>
      </c>
      <c r="F132" s="24"/>
      <c r="G132" s="24">
        <v>88493.71</v>
      </c>
      <c r="H132" s="15"/>
      <c r="I132" s="25"/>
      <c r="J132" s="25"/>
      <c r="K132" s="15"/>
      <c r="N132" s="35"/>
      <c r="Q132" s="27"/>
    </row>
    <row r="133" spans="3:17" ht="12.75">
      <c r="C133" s="15"/>
      <c r="D133" s="15"/>
      <c r="E133" s="21">
        <v>44690</v>
      </c>
      <c r="F133" s="24"/>
      <c r="G133" s="24">
        <v>44167.72</v>
      </c>
      <c r="H133" s="15"/>
      <c r="I133" s="25"/>
      <c r="J133" s="25"/>
      <c r="K133" s="15"/>
      <c r="N133" s="35"/>
      <c r="Q133" s="27"/>
    </row>
    <row r="134" spans="3:17" ht="12.75">
      <c r="C134" s="15"/>
      <c r="D134" s="15"/>
      <c r="E134" s="21">
        <v>44714</v>
      </c>
      <c r="F134" s="24"/>
      <c r="G134" s="24">
        <v>66332.74</v>
      </c>
      <c r="H134" s="15"/>
      <c r="I134" s="25"/>
      <c r="J134" s="25"/>
      <c r="K134" s="15"/>
      <c r="N134" s="35"/>
      <c r="Q134" s="27"/>
    </row>
    <row r="135" spans="3:17" ht="12.75">
      <c r="C135" s="15"/>
      <c r="D135" s="15"/>
      <c r="E135" s="21">
        <v>44754</v>
      </c>
      <c r="F135" s="24"/>
      <c r="G135" s="24">
        <v>63791.21</v>
      </c>
      <c r="H135" s="15"/>
      <c r="I135" s="25"/>
      <c r="J135" s="25"/>
      <c r="K135" s="15"/>
      <c r="N135" s="35"/>
      <c r="Q135" s="27"/>
    </row>
    <row r="136" spans="3:17" ht="12.75">
      <c r="C136" s="15"/>
      <c r="D136" s="15"/>
      <c r="E136" s="21">
        <v>44782</v>
      </c>
      <c r="F136" s="24"/>
      <c r="G136" s="24">
        <v>19406.66</v>
      </c>
      <c r="H136" s="15"/>
      <c r="I136" s="25"/>
      <c r="J136" s="25"/>
      <c r="K136" s="15"/>
      <c r="N136" s="35"/>
      <c r="Q136" s="27"/>
    </row>
    <row r="137" spans="3:17" ht="12.75">
      <c r="C137" s="15"/>
      <c r="D137" s="15"/>
      <c r="E137" s="21">
        <v>44806</v>
      </c>
      <c r="F137" s="24"/>
      <c r="G137" s="24">
        <v>57189.52</v>
      </c>
      <c r="H137" s="15"/>
      <c r="I137" s="25"/>
      <c r="J137" s="25"/>
      <c r="K137" s="15"/>
      <c r="N137" s="35"/>
      <c r="Q137" s="27"/>
    </row>
    <row r="138" spans="3:17" ht="12.75">
      <c r="C138" s="15"/>
      <c r="D138" s="15"/>
      <c r="E138" s="21">
        <v>44846</v>
      </c>
      <c r="F138" s="24"/>
      <c r="G138" s="24">
        <v>47881.28</v>
      </c>
      <c r="H138" s="15"/>
      <c r="I138" s="25"/>
      <c r="J138" s="25"/>
      <c r="K138" s="15"/>
      <c r="N138" s="35"/>
      <c r="Q138" s="27"/>
    </row>
    <row r="139" spans="3:17" ht="12.75">
      <c r="C139" s="15"/>
      <c r="D139" s="15"/>
      <c r="E139" s="21">
        <v>44868</v>
      </c>
      <c r="F139" s="24"/>
      <c r="G139" s="24">
        <v>23429.99</v>
      </c>
      <c r="H139" s="15"/>
      <c r="I139" s="25"/>
      <c r="J139" s="25"/>
      <c r="K139" s="15"/>
      <c r="N139" s="35"/>
      <c r="Q139" s="27"/>
    </row>
    <row r="140" spans="3:17" ht="12.75">
      <c r="C140" s="15"/>
      <c r="D140" s="15"/>
      <c r="E140" s="21">
        <v>44901</v>
      </c>
      <c r="F140" s="24"/>
      <c r="G140" s="24">
        <v>15195.14</v>
      </c>
      <c r="H140" s="15"/>
      <c r="I140" s="25"/>
      <c r="J140" s="25"/>
      <c r="K140" s="15"/>
      <c r="N140" s="35"/>
      <c r="Q140" s="27"/>
    </row>
    <row r="141" spans="3:17" ht="12.75">
      <c r="C141" s="15" t="s">
        <v>74</v>
      </c>
      <c r="D141" s="15"/>
      <c r="E141" s="21">
        <v>44965</v>
      </c>
      <c r="F141" s="24"/>
      <c r="G141" s="24">
        <v>-5596.15</v>
      </c>
      <c r="H141" s="15"/>
      <c r="I141" s="25"/>
      <c r="J141" s="25"/>
      <c r="K141" s="15"/>
      <c r="N141" s="35"/>
      <c r="Q141" s="27"/>
    </row>
    <row r="142" spans="3:17" ht="12.75">
      <c r="C142" s="15"/>
      <c r="D142" s="15"/>
      <c r="E142" s="21">
        <v>45009</v>
      </c>
      <c r="F142" s="24"/>
      <c r="G142" s="24">
        <v>-3357.69</v>
      </c>
      <c r="H142" s="15"/>
      <c r="I142" s="25"/>
      <c r="J142" s="25"/>
      <c r="K142" s="15"/>
      <c r="N142" s="35"/>
      <c r="Q142" s="27"/>
    </row>
    <row r="143" spans="3:17" ht="12.75">
      <c r="C143" s="15"/>
      <c r="D143" s="15"/>
      <c r="E143" s="21">
        <v>45022</v>
      </c>
      <c r="F143" s="24"/>
      <c r="G143" s="24">
        <v>-3962.08</v>
      </c>
      <c r="H143" s="15"/>
      <c r="I143" s="25"/>
      <c r="J143" s="25"/>
      <c r="K143" s="15"/>
      <c r="N143" s="35"/>
      <c r="Q143" s="27"/>
    </row>
    <row r="144" spans="3:17" ht="12.75">
      <c r="C144" s="15"/>
      <c r="D144" s="15"/>
      <c r="E144" s="21">
        <v>45084</v>
      </c>
      <c r="F144" s="24"/>
      <c r="G144" s="24">
        <v>-9468.69</v>
      </c>
      <c r="H144" s="15"/>
      <c r="I144" s="25"/>
      <c r="J144" s="25"/>
      <c r="K144" s="15"/>
      <c r="N144" s="35"/>
      <c r="Q144" s="27"/>
    </row>
    <row r="145" spans="3:17" ht="12.75">
      <c r="C145" s="15" t="s">
        <v>75</v>
      </c>
      <c r="D145" s="15"/>
      <c r="E145" s="21">
        <v>44937</v>
      </c>
      <c r="F145" s="24"/>
      <c r="G145" s="24">
        <v>20857.32</v>
      </c>
      <c r="H145" s="15"/>
      <c r="I145" s="25"/>
      <c r="J145" s="25"/>
      <c r="K145" s="15"/>
      <c r="N145" s="35"/>
      <c r="Q145" s="27"/>
    </row>
    <row r="146" spans="3:17" ht="12.75">
      <c r="C146" s="15"/>
      <c r="D146" s="15"/>
      <c r="E146" s="21">
        <v>44960</v>
      </c>
      <c r="F146" s="24"/>
      <c r="G146" s="24">
        <v>10126.3</v>
      </c>
      <c r="H146" s="15"/>
      <c r="I146" s="25"/>
      <c r="J146" s="25"/>
      <c r="K146" s="15"/>
      <c r="N146" s="35"/>
      <c r="Q146" s="27"/>
    </row>
    <row r="147" spans="3:17" ht="12.75">
      <c r="C147" s="15"/>
      <c r="D147" s="15"/>
      <c r="E147" s="21">
        <v>44994</v>
      </c>
      <c r="F147" s="24"/>
      <c r="G147" s="24">
        <v>23818.24</v>
      </c>
      <c r="H147" s="15"/>
      <c r="I147" s="25"/>
      <c r="J147" s="25"/>
      <c r="K147" s="15"/>
      <c r="N147" s="35"/>
      <c r="Q147" s="27"/>
    </row>
    <row r="148" spans="3:17" ht="12.75">
      <c r="C148" s="15"/>
      <c r="D148" s="15"/>
      <c r="E148" s="21">
        <v>45030</v>
      </c>
      <c r="F148" s="24"/>
      <c r="G148" s="24">
        <v>231560.75</v>
      </c>
      <c r="H148" s="15"/>
      <c r="I148" s="25"/>
      <c r="J148" s="25"/>
      <c r="K148" s="15"/>
      <c r="N148" s="35"/>
      <c r="Q148" s="27"/>
    </row>
    <row r="149" spans="3:17" ht="12.75">
      <c r="C149" s="15"/>
      <c r="D149" s="15"/>
      <c r="E149" s="21">
        <v>45049</v>
      </c>
      <c r="F149" s="24"/>
      <c r="G149" s="24">
        <v>18891.08</v>
      </c>
      <c r="H149" s="15"/>
      <c r="I149" s="25"/>
      <c r="J149" s="25"/>
      <c r="K149" s="15"/>
      <c r="N149" s="35"/>
      <c r="Q149" s="27"/>
    </row>
    <row r="150" spans="3:17" ht="12.75">
      <c r="C150" s="15"/>
      <c r="D150" s="15"/>
      <c r="E150" s="21">
        <v>45091</v>
      </c>
      <c r="F150" s="24"/>
      <c r="G150" s="24">
        <v>180817.09</v>
      </c>
      <c r="H150" s="15"/>
      <c r="I150" s="25"/>
      <c r="J150" s="25"/>
      <c r="K150" s="15"/>
      <c r="N150" s="35"/>
      <c r="Q150" s="27"/>
    </row>
    <row r="151" spans="3:17" ht="4.5" customHeight="1">
      <c r="C151" s="15"/>
      <c r="D151" s="15"/>
      <c r="E151" s="21"/>
      <c r="F151" s="15"/>
      <c r="G151" s="24"/>
      <c r="H151" s="15"/>
      <c r="I151" s="25"/>
      <c r="J151" s="25"/>
      <c r="N151" s="35"/>
      <c r="Q151" s="27"/>
    </row>
    <row r="152" spans="3:17" ht="15.75">
      <c r="C152" s="15" t="s">
        <v>5</v>
      </c>
      <c r="D152" s="15"/>
      <c r="E152" s="21">
        <f>+E8</f>
        <v>45107</v>
      </c>
      <c r="F152" s="15"/>
      <c r="G152" s="46">
        <f>L152/0.97*C22</f>
        <v>1085531.2527760516</v>
      </c>
      <c r="H152" s="15"/>
      <c r="I152" s="21"/>
      <c r="L152" s="57">
        <v>4.703971995E9</v>
      </c>
      <c r="M152" s="55"/>
      <c r="N152" s="35"/>
      <c r="Q152" s="27"/>
    </row>
    <row r="153" spans="3:14" ht="12.75">
      <c r="C153" s="15"/>
      <c r="D153" s="15"/>
      <c r="E153" s="15"/>
      <c r="F153" s="15"/>
      <c r="G153" s="15"/>
      <c r="H153" s="15"/>
      <c r="J153" s="25"/>
      <c r="N153" s="35"/>
    </row>
    <row r="154" spans="3:11" ht="12.75">
      <c r="C154" s="14" t="s">
        <v>0</v>
      </c>
      <c r="G154" s="29">
        <f>+XIRR(G24:G152,E24:E152,0.1)</f>
        <v>0.15457375645637514</v>
      </c>
      <c r="H154" s="15"/>
      <c r="J154" s="24">
        <f>+SUMIF($G$24:$G$151,"&lt;0",$G$24:$G$151)+23052.4</f>
        <v>-1554863.5799999996</v>
      </c>
      <c r="K154" s="15" t="s">
        <v>14</v>
      </c>
    </row>
    <row r="155" spans="3:11" ht="12.75">
      <c r="C155" s="15"/>
      <c r="D155" s="15"/>
      <c r="E155" s="15"/>
      <c r="F155" s="15"/>
      <c r="G155" s="15"/>
      <c r="H155" s="15"/>
      <c r="J155" s="24">
        <f>+SUMIF($G$24:$G$151,"&gt;0",$G$24:$G$151)-23052.4</f>
        <v>1821387.36</v>
      </c>
      <c r="K155" s="15" t="s">
        <v>15</v>
      </c>
    </row>
    <row r="156" spans="3:8" ht="12.75">
      <c r="C156" s="15"/>
      <c r="D156" s="15"/>
      <c r="E156" s="15"/>
      <c r="F156" s="15"/>
      <c r="G156" s="15"/>
      <c r="H156" s="15"/>
    </row>
    <row r="157" spans="3:11" ht="12.75">
      <c r="C157" s="15"/>
      <c r="D157" s="15"/>
      <c r="E157" s="53"/>
      <c r="F157" s="15"/>
      <c r="G157" s="53"/>
      <c r="H157" s="15"/>
      <c r="K157" s="53"/>
    </row>
    <row r="158" spans="3:11" ht="12.75">
      <c r="C158" s="52"/>
      <c r="D158" s="52"/>
      <c r="E158" s="53"/>
      <c r="F158" s="52"/>
      <c r="G158" s="53"/>
      <c r="H158" s="15"/>
      <c r="K158" s="53"/>
    </row>
    <row r="159" spans="3:11" ht="12.75">
      <c r="C159" s="52"/>
      <c r="D159" s="52"/>
      <c r="E159" s="53"/>
      <c r="F159" s="52"/>
      <c r="G159" s="53"/>
      <c r="H159" s="15"/>
      <c r="K159" s="53"/>
    </row>
    <row r="160" spans="3:11" ht="12.75">
      <c r="C160" s="52"/>
      <c r="D160" s="52"/>
      <c r="E160" s="52"/>
      <c r="F160" s="52"/>
      <c r="G160" s="52"/>
      <c r="H160" s="14"/>
      <c r="K160" s="53"/>
    </row>
    <row r="161" spans="3:11" ht="12.75">
      <c r="C161" s="52"/>
      <c r="D161" s="52"/>
      <c r="E161" s="53"/>
      <c r="F161" s="53"/>
      <c r="G161" s="53"/>
      <c r="H161" s="14"/>
      <c r="K161" s="53"/>
    </row>
    <row r="162" spans="3:11" ht="12.75">
      <c r="C162" s="52"/>
      <c r="D162" s="52"/>
      <c r="E162" s="52"/>
      <c r="F162" s="52"/>
      <c r="G162" s="52"/>
      <c r="H162" s="14"/>
      <c r="K162" s="35"/>
    </row>
    <row r="163" spans="3:8" ht="12.75">
      <c r="C163" s="170"/>
      <c r="D163" s="170"/>
      <c r="E163" s="171"/>
      <c r="F163" s="70"/>
      <c r="G163" s="58"/>
      <c r="H163" s="14"/>
    </row>
    <row r="164" spans="3:11" ht="12.75">
      <c r="C164" s="170"/>
      <c r="D164" s="170"/>
      <c r="E164" s="70"/>
      <c r="F164" s="70"/>
      <c r="G164" s="70"/>
      <c r="H164" s="14"/>
      <c r="K164" s="35"/>
    </row>
    <row r="165" spans="3:8" ht="12.75">
      <c r="C165" s="170"/>
      <c r="D165" s="170"/>
      <c r="E165" s="70"/>
      <c r="F165" s="70"/>
      <c r="G165" s="70"/>
      <c r="H165" s="14"/>
    </row>
    <row r="166" spans="3:8" ht="12.75">
      <c r="C166" s="172"/>
      <c r="D166" s="170"/>
      <c r="E166" s="70"/>
      <c r="F166" s="70"/>
      <c r="G166" s="70"/>
      <c r="H166" s="14"/>
    </row>
    <row r="167" spans="3:8" ht="12.75">
      <c r="C167" s="172"/>
      <c r="D167" s="170"/>
      <c r="E167" s="70"/>
      <c r="F167" s="70"/>
      <c r="G167" s="70"/>
      <c r="H167" s="14"/>
    </row>
    <row r="168" spans="3:8" ht="12.75">
      <c r="C168" s="173"/>
      <c r="D168" s="170"/>
      <c r="E168" s="70"/>
      <c r="F168" s="70"/>
      <c r="G168" s="70"/>
      <c r="H168" s="14"/>
    </row>
    <row r="169" spans="3:8" ht="12.75">
      <c r="C169" s="170"/>
      <c r="D169" s="170"/>
      <c r="E169" s="70"/>
      <c r="F169" s="70"/>
      <c r="G169" s="70"/>
      <c r="H169" s="14"/>
    </row>
    <row r="170" spans="3:8" ht="12.75">
      <c r="C170" s="170"/>
      <c r="D170" s="170"/>
      <c r="E170" s="70"/>
      <c r="F170" s="70"/>
      <c r="G170" s="70"/>
      <c r="H170" s="14"/>
    </row>
    <row r="171" spans="3:8" ht="12.75">
      <c r="C171" s="170"/>
      <c r="D171" s="170"/>
      <c r="E171" s="70"/>
      <c r="F171" s="70"/>
      <c r="G171" s="70"/>
      <c r="H171" s="14"/>
    </row>
    <row r="172" spans="3:8" ht="12.75">
      <c r="C172" s="170"/>
      <c r="D172" s="170"/>
      <c r="E172" s="70"/>
      <c r="F172" s="70"/>
      <c r="G172" s="70"/>
      <c r="H172" s="14"/>
    </row>
    <row r="173" spans="3:8" ht="12.75">
      <c r="C173" s="170"/>
      <c r="D173" s="170"/>
      <c r="E173" s="70"/>
      <c r="F173" s="70"/>
      <c r="G173" s="70"/>
      <c r="H173" s="14"/>
    </row>
    <row r="174" spans="3:8" ht="12.75">
      <c r="C174" s="170"/>
      <c r="D174" s="170"/>
      <c r="E174" s="70"/>
      <c r="F174" s="70"/>
      <c r="G174" s="70"/>
      <c r="H174" s="14"/>
    </row>
    <row r="175" spans="3:8" ht="5.1" customHeight="1">
      <c r="C175" s="14"/>
      <c r="D175" s="14"/>
      <c r="E175" s="120"/>
      <c r="F175" s="33"/>
      <c r="G175" s="120"/>
      <c r="H175" s="14"/>
    </row>
    <row r="176" spans="3:8" ht="12.75">
      <c r="C176" s="14"/>
      <c r="D176" s="14"/>
      <c r="E176" s="121"/>
      <c r="F176" s="37"/>
      <c r="G176" s="121"/>
      <c r="H176" s="14"/>
    </row>
    <row r="177" spans="3:8" ht="12.75">
      <c r="C177" s="15"/>
      <c r="D177" s="15"/>
      <c r="E177" s="122"/>
      <c r="F177" s="123"/>
      <c r="G177" s="122"/>
      <c r="H177" s="15"/>
    </row>
    <row r="178" spans="3:8" ht="12.75">
      <c r="C178" s="15"/>
      <c r="D178" s="15"/>
      <c r="E178" s="122"/>
      <c r="F178" s="123"/>
      <c r="G178" s="122"/>
      <c r="H178" s="15"/>
    </row>
    <row r="179" spans="3:8" ht="12.75">
      <c r="C179" s="15"/>
      <c r="D179" s="15"/>
      <c r="E179" s="122"/>
      <c r="F179" s="123"/>
      <c r="G179" s="122"/>
      <c r="H179" s="15"/>
    </row>
    <row r="180" spans="3:8" ht="12.75">
      <c r="C180" s="15"/>
      <c r="D180" s="15"/>
      <c r="E180" s="124"/>
      <c r="F180" s="124"/>
      <c r="G180" s="124"/>
      <c r="H180" s="15"/>
    </row>
    <row r="181" spans="3:8" ht="12.75">
      <c r="C181" s="15"/>
      <c r="D181" s="15"/>
      <c r="E181" s="15"/>
      <c r="F181" s="15"/>
      <c r="G181" s="15"/>
      <c r="H181" s="15"/>
    </row>
    <row r="182" spans="3:8" ht="12.75">
      <c r="C182" s="15"/>
      <c r="D182" s="15"/>
      <c r="E182" s="15"/>
      <c r="F182" s="15"/>
      <c r="G182" s="15"/>
      <c r="H182" s="15"/>
    </row>
    <row r="183" spans="3:8" ht="12.75">
      <c r="C183" s="15"/>
      <c r="D183" s="15"/>
      <c r="E183" s="15"/>
      <c r="F183" s="15"/>
      <c r="G183" s="15"/>
      <c r="H183" s="15"/>
    </row>
    <row r="184" spans="3:8" ht="12.75">
      <c r="C184" s="15"/>
      <c r="D184" s="15"/>
      <c r="E184" s="15"/>
      <c r="F184" s="15"/>
      <c r="G184" s="15"/>
      <c r="H184" s="15"/>
    </row>
    <row r="185" spans="3:8" ht="12.75">
      <c r="C185" s="15"/>
      <c r="D185" s="15"/>
      <c r="E185" s="15"/>
      <c r="F185" s="15"/>
      <c r="G185" s="15"/>
      <c r="H185" s="15"/>
    </row>
    <row r="186" spans="3:8" ht="12.75">
      <c r="C186" s="15"/>
      <c r="D186" s="15"/>
      <c r="E186" s="15"/>
      <c r="F186" s="15"/>
      <c r="G186" s="15"/>
      <c r="H186" s="15"/>
    </row>
    <row r="187" spans="3:8" ht="12.75">
      <c r="C187" s="15"/>
      <c r="D187" s="15"/>
      <c r="E187" s="15"/>
      <c r="F187" s="15"/>
      <c r="G187" s="15"/>
      <c r="H187" s="15"/>
    </row>
    <row r="188" spans="3:8" ht="12.75">
      <c r="C188" s="15"/>
      <c r="D188" s="15"/>
      <c r="E188" s="15"/>
      <c r="F188" s="15"/>
      <c r="G188" s="15"/>
      <c r="H188" s="15"/>
    </row>
    <row r="189" spans="3:8" ht="12.75">
      <c r="C189" s="15"/>
      <c r="D189" s="15"/>
      <c r="E189" s="15"/>
      <c r="F189" s="15"/>
      <c r="G189" s="15"/>
      <c r="H189" s="15"/>
    </row>
    <row r="190" spans="3:8" ht="12.75">
      <c r="C190" s="15"/>
      <c r="D190" s="15"/>
      <c r="E190" s="15"/>
      <c r="F190" s="15"/>
      <c r="G190" s="15"/>
      <c r="H190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E1B6A9-ED23-4CC6-85C0-072D1E08DE08}">
  <sheetPr>
    <pageSetUpPr fitToPage="1"/>
  </sheetPr>
  <dimension ref="B4:Q180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+'Fund X'!E8</f>
        <v>45107</v>
      </c>
      <c r="F8" s="32"/>
      <c r="G8" s="6"/>
      <c r="H8" s="6"/>
      <c r="I8" s="13"/>
    </row>
    <row r="9" spans="3:7" ht="15.75">
      <c r="C9" s="184"/>
      <c r="D9" s="184"/>
      <c r="E9" s="184"/>
      <c r="F9" s="184"/>
      <c r="G9" s="178"/>
    </row>
    <row r="10" spans="3:9" ht="12.75">
      <c r="C10" s="185"/>
      <c r="D10" s="185"/>
      <c r="E10" s="186"/>
      <c r="F10" s="185"/>
      <c r="G10" s="57"/>
      <c r="H10" s="7"/>
      <c r="I10" s="27"/>
    </row>
    <row r="11" spans="3:9" ht="12.75">
      <c r="C11" s="185"/>
      <c r="D11" s="185"/>
      <c r="E11" s="186"/>
      <c r="F11" s="185"/>
      <c r="G11" s="186"/>
      <c r="H11" s="7"/>
      <c r="I11" s="27"/>
    </row>
    <row r="12" spans="3:9" ht="15.75">
      <c r="C12" s="187"/>
      <c r="D12" s="187"/>
      <c r="E12" s="188"/>
      <c r="F12" s="187"/>
      <c r="G12" s="188"/>
      <c r="H12" s="5"/>
      <c r="I12" s="27"/>
    </row>
    <row r="13" spans="3:9" ht="12.75">
      <c r="C13" s="185"/>
      <c r="D13" s="185"/>
      <c r="E13" s="189"/>
      <c r="F13" s="185"/>
      <c r="G13" s="57"/>
      <c r="H13" s="8"/>
      <c r="I13" s="27"/>
    </row>
    <row r="14" spans="3:9" ht="12.75">
      <c r="C14" s="185"/>
      <c r="D14" s="185"/>
      <c r="E14" s="190"/>
      <c r="F14" s="185"/>
      <c r="G14" s="57"/>
      <c r="H14" s="9"/>
      <c r="I14" s="27"/>
    </row>
    <row r="15" spans="3:9" ht="12.75">
      <c r="C15" s="185"/>
      <c r="D15" s="185"/>
      <c r="E15" s="186"/>
      <c r="F15" s="185"/>
      <c r="G15" s="186"/>
      <c r="H15" s="7"/>
      <c r="I15" s="27"/>
    </row>
    <row r="16" spans="3:9" ht="15.75">
      <c r="C16" s="5"/>
      <c r="D16" s="5"/>
      <c r="E16" s="11"/>
      <c r="F16" s="5"/>
      <c r="G16" s="11"/>
      <c r="H16" s="5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G154</f>
        <v>0.14180315136909488</v>
      </c>
      <c r="F18" s="18"/>
      <c r="G18" s="28"/>
      <c r="H18" s="8"/>
      <c r="I18" s="27"/>
    </row>
    <row r="19" spans="3:16" ht="12.75">
      <c r="C19" s="18" t="s">
        <v>10</v>
      </c>
      <c r="D19" s="18"/>
      <c r="E19" s="34">
        <f>-(G152+J155)/J154</f>
        <v>1.7697093485899231</v>
      </c>
      <c r="F19" s="18"/>
      <c r="G19" s="10"/>
      <c r="H19" s="7"/>
      <c r="N19" s="35"/>
      <c r="O19" s="31"/>
      <c r="P19" s="35"/>
    </row>
    <row r="20" spans="3:16" ht="12.75">
      <c r="C20" s="18"/>
      <c r="D20" s="18"/>
      <c r="E20" s="18"/>
      <c r="F20" s="18"/>
      <c r="G20" s="7"/>
      <c r="N20" s="35"/>
      <c r="O20" s="31"/>
      <c r="P20" s="35"/>
    </row>
    <row r="21" spans="3:16" ht="15.75">
      <c r="C21" s="19" t="s">
        <v>95</v>
      </c>
      <c r="D21" s="20"/>
      <c r="E21" s="20"/>
      <c r="F21" s="20"/>
      <c r="I21" s="21"/>
      <c r="J21" s="15"/>
      <c r="L21" s="119"/>
      <c r="N21" s="35"/>
      <c r="O21" s="31"/>
      <c r="P21" s="35"/>
    </row>
    <row r="22" spans="3:17" ht="12.75">
      <c r="C22" s="22">
        <v>0.001086909</v>
      </c>
      <c r="D22" s="15"/>
      <c r="E22" s="15"/>
      <c r="F22" s="15"/>
      <c r="G22" s="23"/>
      <c r="H22" s="15"/>
      <c r="I22" s="15"/>
      <c r="J22" s="15"/>
      <c r="N22" s="35"/>
      <c r="O22" s="31"/>
      <c r="P22" s="35"/>
      <c r="Q22" s="118"/>
    </row>
    <row r="23" spans="3:16" ht="12.75">
      <c r="C23" s="15"/>
      <c r="D23" s="15"/>
      <c r="E23" s="21"/>
      <c r="F23" s="24"/>
      <c r="G23" s="24"/>
      <c r="H23" s="15"/>
      <c r="I23" s="25"/>
      <c r="N23" s="35"/>
      <c r="O23" s="31"/>
      <c r="P23" s="35"/>
    </row>
    <row r="24" spans="3:16" ht="12.75">
      <c r="C24" s="15" t="s">
        <v>76</v>
      </c>
      <c r="D24" s="15"/>
      <c r="E24" s="21">
        <v>42089</v>
      </c>
      <c r="F24" s="24"/>
      <c r="G24" s="24">
        <v>-71700</v>
      </c>
      <c r="H24" s="15"/>
      <c r="I24" s="25"/>
      <c r="N24" s="35"/>
      <c r="O24" s="31"/>
      <c r="P24" s="35"/>
    </row>
    <row r="25" spans="3:16" ht="12.75">
      <c r="C25" s="15"/>
      <c r="D25" s="15"/>
      <c r="E25" s="21">
        <v>42118</v>
      </c>
      <c r="F25" s="24"/>
      <c r="G25" s="24">
        <v>23052.40</v>
      </c>
      <c r="H25" s="15"/>
      <c r="I25" s="25"/>
      <c r="N25" s="35"/>
      <c r="O25" s="31"/>
      <c r="P25" s="35"/>
    </row>
    <row r="26" spans="3:16" ht="12.75">
      <c r="C26" s="15"/>
      <c r="D26" s="15"/>
      <c r="E26" s="21">
        <v>42180</v>
      </c>
      <c r="F26" s="24"/>
      <c r="G26" s="24">
        <v>-7095.93</v>
      </c>
      <c r="H26" s="15"/>
      <c r="I26" s="25"/>
      <c r="N26" s="35"/>
      <c r="O26" s="31"/>
      <c r="P26" s="35"/>
    </row>
    <row r="27" spans="3:16" ht="12.75">
      <c r="C27" s="15"/>
      <c r="D27" s="15"/>
      <c r="E27" s="21">
        <v>42201</v>
      </c>
      <c r="F27" s="24"/>
      <c r="G27" s="24">
        <v>-2216.09</v>
      </c>
      <c r="H27" s="15"/>
      <c r="I27" s="25"/>
      <c r="N27" s="35"/>
      <c r="O27" s="31"/>
      <c r="P27" s="35"/>
    </row>
    <row r="28" spans="3:16" ht="12.75">
      <c r="C28" s="15"/>
      <c r="E28" s="21">
        <v>42271</v>
      </c>
      <c r="G28" s="24">
        <v>-6961.62</v>
      </c>
      <c r="H28" s="15"/>
      <c r="I28" s="25"/>
      <c r="J28" s="25"/>
      <c r="K28" s="15"/>
      <c r="N28" s="35"/>
      <c r="O28" s="31"/>
      <c r="P28" s="35"/>
    </row>
    <row r="29" spans="3:11" ht="12.75">
      <c r="C29" s="15"/>
      <c r="E29" s="21">
        <v>42324</v>
      </c>
      <c r="G29" s="24">
        <v>-10587.93</v>
      </c>
      <c r="H29" s="15"/>
      <c r="I29" s="25"/>
      <c r="J29" s="25"/>
      <c r="K29" s="15"/>
    </row>
    <row r="30" spans="3:11" ht="12.75">
      <c r="C30" s="15"/>
      <c r="E30" s="21">
        <v>42367</v>
      </c>
      <c r="G30" s="24">
        <v>-28316.54</v>
      </c>
      <c r="H30" s="15"/>
      <c r="I30" s="25"/>
      <c r="J30" s="25"/>
      <c r="K30" s="15"/>
    </row>
    <row r="31" spans="3:11" ht="12.75">
      <c r="C31" s="15" t="s">
        <v>77</v>
      </c>
      <c r="D31" s="15"/>
      <c r="E31" s="21">
        <v>42396</v>
      </c>
      <c r="G31" s="24">
        <v>-46425.69</v>
      </c>
      <c r="H31" s="15"/>
      <c r="I31" s="25"/>
      <c r="J31" s="25"/>
      <c r="K31" s="15"/>
    </row>
    <row r="32" spans="3:11" ht="12.75">
      <c r="C32" s="15"/>
      <c r="D32" s="15"/>
      <c r="E32" s="21">
        <v>42453</v>
      </c>
      <c r="G32" s="24">
        <v>-10319.32</v>
      </c>
      <c r="H32" s="15"/>
      <c r="I32" s="25"/>
      <c r="J32" s="25"/>
      <c r="K32" s="15"/>
    </row>
    <row r="33" spans="3:11" ht="12.75">
      <c r="C33" s="15"/>
      <c r="D33" s="15"/>
      <c r="E33" s="21">
        <v>42461</v>
      </c>
      <c r="G33" s="24">
        <v>-7476.46</v>
      </c>
      <c r="H33" s="15"/>
      <c r="I33" s="25"/>
      <c r="J33" s="25"/>
      <c r="K33" s="15"/>
    </row>
    <row r="34" spans="3:11" ht="12.75">
      <c r="C34" s="15"/>
      <c r="D34" s="15"/>
      <c r="E34" s="21">
        <v>42500</v>
      </c>
      <c r="G34" s="24">
        <v>-6446.76</v>
      </c>
      <c r="H34" s="15"/>
      <c r="I34" s="25"/>
      <c r="J34" s="25"/>
      <c r="K34" s="15"/>
    </row>
    <row r="35" spans="3:11" ht="12.75">
      <c r="C35" s="15"/>
      <c r="D35" s="15"/>
      <c r="E35" s="21">
        <v>42513</v>
      </c>
      <c r="G35" s="24">
        <v>-21354.92</v>
      </c>
      <c r="H35" s="15"/>
      <c r="I35" s="25"/>
      <c r="J35" s="25"/>
      <c r="K35" s="15"/>
    </row>
    <row r="36" spans="3:11" ht="12.75">
      <c r="C36" s="15"/>
      <c r="D36" s="15"/>
      <c r="E36" s="21">
        <v>42524</v>
      </c>
      <c r="G36" s="24">
        <v>-50052</v>
      </c>
      <c r="H36" s="15"/>
      <c r="I36" s="25"/>
      <c r="J36" s="25"/>
      <c r="K36" s="15"/>
    </row>
    <row r="37" spans="3:11" ht="12.75">
      <c r="C37" s="15"/>
      <c r="D37" s="15"/>
      <c r="E37" s="21">
        <v>42544</v>
      </c>
      <c r="G37" s="24">
        <v>-73690.16</v>
      </c>
      <c r="H37" s="15"/>
      <c r="I37" s="25"/>
      <c r="J37" s="25"/>
      <c r="K37" s="15"/>
    </row>
    <row r="38" spans="3:11" ht="12.75">
      <c r="C38" s="15"/>
      <c r="D38" s="15"/>
      <c r="E38" s="21">
        <v>42564</v>
      </c>
      <c r="G38" s="24">
        <v>-8058.46</v>
      </c>
      <c r="H38" s="15"/>
      <c r="I38" s="25"/>
      <c r="J38" s="25"/>
      <c r="K38" s="15"/>
    </row>
    <row r="39" spans="3:11" ht="12.75">
      <c r="C39" s="15"/>
      <c r="D39" s="15"/>
      <c r="E39" s="21">
        <v>42585</v>
      </c>
      <c r="G39" s="24">
        <v>-35860.16</v>
      </c>
      <c r="H39" s="15"/>
      <c r="I39" s="25"/>
      <c r="J39" s="25"/>
      <c r="K39" s="15"/>
    </row>
    <row r="40" spans="3:11" ht="12.75">
      <c r="C40" s="15"/>
      <c r="D40" s="15"/>
      <c r="E40" s="21">
        <v>42614</v>
      </c>
      <c r="G40" s="24">
        <v>-13676.99</v>
      </c>
      <c r="H40" s="15"/>
      <c r="I40" s="25"/>
      <c r="J40" s="25"/>
      <c r="K40" s="15"/>
    </row>
    <row r="41" spans="3:9" ht="12.75">
      <c r="C41" s="15"/>
      <c r="D41" s="15"/>
      <c r="E41" s="21">
        <v>42641</v>
      </c>
      <c r="G41" s="24">
        <v>-20952</v>
      </c>
      <c r="H41" s="15"/>
      <c r="I41" s="25"/>
    </row>
    <row r="42" spans="3:9" ht="12.75">
      <c r="C42" s="15"/>
      <c r="D42" s="15"/>
      <c r="E42" s="21">
        <v>42656</v>
      </c>
      <c r="G42" s="24">
        <v>-22362.23</v>
      </c>
      <c r="H42" s="15"/>
      <c r="I42" s="25"/>
    </row>
    <row r="43" spans="3:9" ht="12.75">
      <c r="C43" s="15"/>
      <c r="D43" s="15"/>
      <c r="E43" s="21">
        <v>42704</v>
      </c>
      <c r="G43" s="24">
        <v>-19183.62</v>
      </c>
      <c r="H43" s="15"/>
      <c r="I43" s="25"/>
    </row>
    <row r="44" spans="3:9" ht="12.75">
      <c r="C44" s="15"/>
      <c r="D44" s="15"/>
      <c r="E44" s="21">
        <v>42719</v>
      </c>
      <c r="G44" s="24">
        <v>-20593.85</v>
      </c>
      <c r="H44" s="15"/>
      <c r="I44" s="25"/>
    </row>
    <row r="45" spans="3:9" ht="12.75">
      <c r="C45" s="15"/>
      <c r="D45" s="15"/>
      <c r="E45" s="21">
        <v>42733</v>
      </c>
      <c r="G45" s="24">
        <v>-13318.84</v>
      </c>
      <c r="H45" s="15"/>
      <c r="I45" s="25"/>
    </row>
    <row r="46" spans="3:11" ht="12.75">
      <c r="C46" s="15" t="s">
        <v>78</v>
      </c>
      <c r="D46" s="15"/>
      <c r="E46" s="21">
        <v>42716</v>
      </c>
      <c r="G46" s="24">
        <v>17585.47</v>
      </c>
      <c r="H46" s="15"/>
      <c r="I46" s="25"/>
      <c r="J46" s="25"/>
      <c r="K46" s="15"/>
    </row>
    <row r="47" spans="3:11" ht="12.75">
      <c r="C47" s="15" t="s">
        <v>79</v>
      </c>
      <c r="D47" s="15"/>
      <c r="E47" s="21">
        <v>42754</v>
      </c>
      <c r="G47" s="24">
        <v>-12983.08</v>
      </c>
      <c r="H47" s="15"/>
      <c r="I47" s="25"/>
      <c r="J47" s="25"/>
      <c r="K47" s="15"/>
    </row>
    <row r="48" spans="3:11" ht="12.75">
      <c r="C48" s="15"/>
      <c r="D48" s="15"/>
      <c r="E48" s="21">
        <v>42765</v>
      </c>
      <c r="G48" s="24">
        <v>-13251.70</v>
      </c>
      <c r="H48" s="15"/>
      <c r="I48" s="25"/>
      <c r="J48" s="25"/>
      <c r="K48" s="15"/>
    </row>
    <row r="49" spans="3:11" ht="12.75">
      <c r="C49" s="15"/>
      <c r="D49" s="15"/>
      <c r="E49" s="21">
        <v>42773</v>
      </c>
      <c r="G49" s="24">
        <v>-22608.46</v>
      </c>
      <c r="H49" s="15"/>
      <c r="I49" s="25"/>
      <c r="J49" s="25"/>
      <c r="K49" s="15"/>
    </row>
    <row r="50" spans="3:11" ht="12.75">
      <c r="C50" s="15"/>
      <c r="D50" s="15"/>
      <c r="E50" s="21">
        <v>42797</v>
      </c>
      <c r="G50" s="24">
        <v>-31629.46</v>
      </c>
      <c r="H50" s="15"/>
      <c r="I50" s="25"/>
      <c r="J50" s="25"/>
      <c r="K50" s="15"/>
    </row>
    <row r="51" spans="3:11" ht="12.75">
      <c r="C51" s="15"/>
      <c r="D51" s="15"/>
      <c r="E51" s="21">
        <v>42817</v>
      </c>
      <c r="G51" s="24">
        <v>-18758.31</v>
      </c>
      <c r="H51" s="15"/>
      <c r="I51" s="25"/>
      <c r="J51" s="25"/>
      <c r="K51" s="15"/>
    </row>
    <row r="52" spans="3:11" ht="12.75">
      <c r="C52" s="15"/>
      <c r="D52" s="15"/>
      <c r="E52" s="21">
        <v>42828</v>
      </c>
      <c r="G52" s="24">
        <v>-16296</v>
      </c>
      <c r="H52" s="15"/>
      <c r="I52" s="25"/>
      <c r="J52" s="25"/>
      <c r="K52" s="15"/>
    </row>
    <row r="53" spans="3:11" ht="12.75">
      <c r="C53" s="15"/>
      <c r="D53" s="15"/>
      <c r="E53" s="21">
        <v>42851</v>
      </c>
      <c r="G53" s="24">
        <v>-71496.45</v>
      </c>
      <c r="H53" s="15"/>
      <c r="I53" s="25"/>
      <c r="J53" s="25"/>
      <c r="K53" s="15"/>
    </row>
    <row r="54" spans="3:11" ht="12.75">
      <c r="C54" s="15"/>
      <c r="D54" s="15"/>
      <c r="E54" s="21">
        <v>42863</v>
      </c>
      <c r="G54" s="24">
        <v>-15087.24</v>
      </c>
      <c r="H54" s="15"/>
      <c r="I54" s="25"/>
      <c r="J54" s="25"/>
      <c r="K54" s="15"/>
    </row>
    <row r="55" spans="3:9" ht="12.75">
      <c r="C55" s="15"/>
      <c r="D55" s="15"/>
      <c r="E55" s="21">
        <v>42878</v>
      </c>
      <c r="G55" s="24">
        <v>-17057.08</v>
      </c>
      <c r="H55" s="15"/>
      <c r="I55" s="25"/>
    </row>
    <row r="56" spans="3:9" ht="12.75">
      <c r="C56" s="15"/>
      <c r="D56" s="15"/>
      <c r="E56" s="21">
        <v>42893</v>
      </c>
      <c r="G56" s="24">
        <v>-32032.38</v>
      </c>
      <c r="H56" s="15"/>
      <c r="I56" s="25"/>
    </row>
    <row r="57" spans="3:9" ht="12.75">
      <c r="C57" s="15"/>
      <c r="D57" s="15"/>
      <c r="E57" s="21">
        <v>42907</v>
      </c>
      <c r="G57" s="24">
        <v>-16989.92</v>
      </c>
      <c r="H57" s="15"/>
      <c r="I57" s="25"/>
    </row>
    <row r="58" spans="3:9" ht="12.75">
      <c r="C58" s="15"/>
      <c r="D58" s="15"/>
      <c r="E58" s="21">
        <v>42915</v>
      </c>
      <c r="G58" s="24">
        <v>-38949.24</v>
      </c>
      <c r="H58" s="15"/>
      <c r="I58" s="25"/>
    </row>
    <row r="59" spans="3:9" ht="12.75">
      <c r="C59" s="15"/>
      <c r="D59" s="15"/>
      <c r="E59" s="21">
        <v>42927</v>
      </c>
      <c r="G59" s="24">
        <v>-13878.47</v>
      </c>
      <c r="H59" s="15"/>
      <c r="I59" s="25"/>
    </row>
    <row r="60" spans="3:9" ht="12.75">
      <c r="C60" s="15"/>
      <c r="D60" s="15"/>
      <c r="E60" s="21">
        <v>42957</v>
      </c>
      <c r="G60" s="24">
        <v>-21265.38</v>
      </c>
      <c r="H60" s="15"/>
      <c r="I60" s="25"/>
    </row>
    <row r="61" spans="3:9" ht="12.75">
      <c r="C61" s="15"/>
      <c r="D61" s="15"/>
      <c r="E61" s="21">
        <v>42970</v>
      </c>
      <c r="G61" s="24">
        <v>-45910.85</v>
      </c>
      <c r="H61" s="15"/>
      <c r="I61" s="25"/>
    </row>
    <row r="62" spans="3:11" ht="12.75">
      <c r="C62" s="15"/>
      <c r="D62" s="15"/>
      <c r="E62" s="21">
        <v>42993</v>
      </c>
      <c r="G62" s="24">
        <v>-16452.68</v>
      </c>
      <c r="H62" s="15"/>
      <c r="I62" s="25"/>
      <c r="J62" s="25"/>
      <c r="K62" s="15"/>
    </row>
    <row r="63" spans="3:11" ht="12.75">
      <c r="C63" s="15"/>
      <c r="D63" s="15"/>
      <c r="E63" s="21">
        <v>43000</v>
      </c>
      <c r="G63" s="24">
        <v>-23817.22</v>
      </c>
      <c r="H63" s="15"/>
      <c r="I63" s="25"/>
      <c r="J63" s="25"/>
      <c r="K63" s="15"/>
    </row>
    <row r="64" spans="3:11" ht="12.75">
      <c r="C64" s="15"/>
      <c r="D64" s="15"/>
      <c r="E64" s="21">
        <v>43012</v>
      </c>
      <c r="G64" s="24">
        <v>-23794.85</v>
      </c>
      <c r="H64" s="15"/>
      <c r="I64" s="25"/>
      <c r="J64" s="25"/>
      <c r="K64" s="15"/>
    </row>
    <row r="65" spans="3:12" ht="15.75">
      <c r="C65" s="15"/>
      <c r="D65" s="15"/>
      <c r="E65" s="21">
        <v>43027</v>
      </c>
      <c r="G65" s="24">
        <v>-23347.15</v>
      </c>
      <c r="H65" s="15"/>
      <c r="I65" s="25"/>
      <c r="J65" s="115"/>
      <c r="K65" s="116"/>
      <c r="L65" s="162"/>
    </row>
    <row r="66" spans="3:12" ht="12.75">
      <c r="C66" s="15"/>
      <c r="D66" s="15"/>
      <c r="E66" s="21">
        <v>43046</v>
      </c>
      <c r="G66" s="24">
        <v>-23481.45</v>
      </c>
      <c r="H66" s="15"/>
      <c r="I66" s="25"/>
      <c r="J66" s="115"/>
      <c r="K66" s="116"/>
      <c r="L66" s="57"/>
    </row>
    <row r="67" spans="3:12" ht="12.75">
      <c r="C67" s="15"/>
      <c r="D67" s="15"/>
      <c r="E67" s="21">
        <v>43056</v>
      </c>
      <c r="G67" s="24">
        <v>-21713.07</v>
      </c>
      <c r="H67" s="15"/>
      <c r="I67" s="25"/>
      <c r="J67" s="115"/>
      <c r="K67" s="116"/>
      <c r="L67" s="57"/>
    </row>
    <row r="68" spans="3:12" ht="12.75">
      <c r="C68" s="15"/>
      <c r="D68" s="15"/>
      <c r="E68" s="21">
        <v>43083</v>
      </c>
      <c r="G68" s="24">
        <v>-20996.77</v>
      </c>
      <c r="H68" s="15"/>
      <c r="I68" s="25"/>
      <c r="J68" s="115"/>
      <c r="K68" s="116"/>
      <c r="L68" s="57"/>
    </row>
    <row r="69" spans="3:12" ht="12.75">
      <c r="C69" s="15" t="s">
        <v>80</v>
      </c>
      <c r="D69" s="15"/>
      <c r="E69" s="21">
        <v>42780</v>
      </c>
      <c r="G69" s="24">
        <v>101364.70</v>
      </c>
      <c r="H69" s="15"/>
      <c r="I69" s="25"/>
      <c r="J69" s="115"/>
      <c r="K69" s="116"/>
      <c r="L69" s="57"/>
    </row>
    <row r="70" spans="3:12" ht="12.75">
      <c r="C70" s="15"/>
      <c r="D70" s="15"/>
      <c r="E70" s="21">
        <v>42822</v>
      </c>
      <c r="G70" s="24">
        <v>70252.75</v>
      </c>
      <c r="H70" s="15"/>
      <c r="I70" s="25"/>
      <c r="J70" s="115"/>
      <c r="K70" s="116"/>
      <c r="L70" s="169"/>
    </row>
    <row r="71" spans="3:12" ht="12.75">
      <c r="C71" s="15"/>
      <c r="D71" s="15"/>
      <c r="E71" s="21">
        <v>42906</v>
      </c>
      <c r="G71" s="24">
        <v>12442.49</v>
      </c>
      <c r="H71" s="15"/>
      <c r="I71" s="25"/>
      <c r="J71" s="115"/>
      <c r="K71" s="116"/>
      <c r="L71" s="169"/>
    </row>
    <row r="72" spans="3:12" ht="12.75">
      <c r="C72" s="15"/>
      <c r="D72" s="15"/>
      <c r="E72" s="21">
        <v>42970</v>
      </c>
      <c r="G72" s="24">
        <v>4910.85</v>
      </c>
      <c r="H72" s="15"/>
      <c r="I72" s="25"/>
      <c r="J72" s="115"/>
      <c r="K72" s="116"/>
      <c r="L72" s="169"/>
    </row>
    <row r="73" spans="3:11" ht="12.75">
      <c r="C73" s="15" t="s">
        <v>81</v>
      </c>
      <c r="D73" s="15"/>
      <c r="E73" s="21">
        <v>43104</v>
      </c>
      <c r="G73" s="24">
        <v>-19586.53</v>
      </c>
      <c r="H73" s="15"/>
      <c r="I73" s="25"/>
      <c r="J73" s="25"/>
      <c r="K73" s="15"/>
    </row>
    <row r="74" spans="3:11" ht="12.75">
      <c r="C74" s="15"/>
      <c r="D74" s="15"/>
      <c r="E74" s="21">
        <v>43157</v>
      </c>
      <c r="G74" s="24">
        <v>-18825.46</v>
      </c>
      <c r="H74" s="15"/>
      <c r="I74" s="25"/>
      <c r="J74" s="25"/>
      <c r="K74" s="15"/>
    </row>
    <row r="75" spans="3:11" ht="12.75">
      <c r="C75" s="15"/>
      <c r="D75" s="15"/>
      <c r="E75" s="21">
        <v>43181</v>
      </c>
      <c r="G75" s="24">
        <v>-51798</v>
      </c>
      <c r="H75" s="15"/>
      <c r="I75" s="25"/>
      <c r="J75" s="25"/>
      <c r="K75" s="15"/>
    </row>
    <row r="76" spans="3:11" ht="12.75">
      <c r="C76" s="15"/>
      <c r="D76" s="15"/>
      <c r="E76" s="21">
        <v>43256</v>
      </c>
      <c r="G76" s="24">
        <v>-20772.92</v>
      </c>
      <c r="H76" s="15"/>
      <c r="I76" s="25"/>
      <c r="J76" s="25"/>
      <c r="K76" s="15"/>
    </row>
    <row r="77" spans="3:11" ht="12.75">
      <c r="C77" s="15"/>
      <c r="D77" s="15"/>
      <c r="E77" s="21">
        <v>43278</v>
      </c>
      <c r="G77" s="24">
        <v>-16564.61</v>
      </c>
      <c r="H77" s="15"/>
      <c r="I77" s="25"/>
      <c r="J77" s="25"/>
      <c r="K77" s="15"/>
    </row>
    <row r="78" spans="3:11" ht="12.75">
      <c r="C78" s="15"/>
      <c r="D78" s="15"/>
      <c r="E78" s="21">
        <v>43336</v>
      </c>
      <c r="G78" s="24">
        <v>-21511.63</v>
      </c>
      <c r="H78" s="15"/>
      <c r="I78" s="25"/>
      <c r="J78" s="25"/>
      <c r="K78" s="15"/>
    </row>
    <row r="79" spans="3:11" ht="12.75">
      <c r="C79" s="15"/>
      <c r="D79" s="15"/>
      <c r="E79" s="21">
        <v>43367</v>
      </c>
      <c r="G79" s="24">
        <v>-36509.3</v>
      </c>
      <c r="H79" s="15"/>
      <c r="I79" s="25"/>
      <c r="J79" s="25"/>
      <c r="K79" s="15"/>
    </row>
    <row r="80" spans="3:11" ht="12.75">
      <c r="C80" s="15" t="s">
        <v>82</v>
      </c>
      <c r="D80" s="15"/>
      <c r="E80" s="21">
        <v>43439</v>
      </c>
      <c r="G80" s="24">
        <v>-22787.54</v>
      </c>
      <c r="H80" s="15"/>
      <c r="I80" s="25"/>
      <c r="J80" s="25"/>
      <c r="K80" s="15"/>
    </row>
    <row r="81" spans="4:11" ht="12.75">
      <c r="D81" s="15"/>
      <c r="E81" s="21">
        <v>43167</v>
      </c>
      <c r="G81" s="24">
        <v>4586.18</v>
      </c>
      <c r="H81" s="15"/>
      <c r="I81" s="25"/>
      <c r="J81" s="25"/>
      <c r="K81" s="15"/>
    </row>
    <row r="82" spans="3:11" ht="12.75">
      <c r="C82" s="15"/>
      <c r="D82" s="15"/>
      <c r="E82" s="21">
        <v>43255</v>
      </c>
      <c r="G82" s="24">
        <v>13656.12</v>
      </c>
      <c r="H82" s="15"/>
      <c r="I82" s="25"/>
      <c r="J82" s="25"/>
      <c r="K82" s="15"/>
    </row>
    <row r="83" spans="3:11" ht="12.75">
      <c r="C83" s="15"/>
      <c r="D83" s="15"/>
      <c r="E83" s="21">
        <v>43444</v>
      </c>
      <c r="G83" s="24">
        <v>9094.49</v>
      </c>
      <c r="H83" s="15"/>
      <c r="I83" s="25"/>
      <c r="J83" s="25"/>
      <c r="K83" s="15"/>
    </row>
    <row r="84" spans="3:11" ht="12.75">
      <c r="C84" s="15" t="s">
        <v>83</v>
      </c>
      <c r="D84" s="15"/>
      <c r="E84" s="21">
        <v>43481</v>
      </c>
      <c r="F84" s="24"/>
      <c r="G84" s="24">
        <v>-12983.08</v>
      </c>
      <c r="H84" s="15"/>
      <c r="I84" s="25"/>
      <c r="J84" s="25"/>
      <c r="K84" s="15"/>
    </row>
    <row r="85" spans="4:11" ht="12.75">
      <c r="D85" s="15"/>
      <c r="E85" s="21">
        <v>43544</v>
      </c>
      <c r="F85" s="24"/>
      <c r="G85" s="24">
        <v>-14370.91</v>
      </c>
      <c r="H85" s="15"/>
      <c r="I85" s="25"/>
      <c r="J85" s="25"/>
      <c r="K85" s="15"/>
    </row>
    <row r="86" spans="4:11" ht="12.75">
      <c r="D86" s="15"/>
      <c r="E86" s="21">
        <v>43591</v>
      </c>
      <c r="F86" s="24"/>
      <c r="G86" s="24">
        <v>-12826.38</v>
      </c>
      <c r="H86" s="15"/>
      <c r="I86" s="25"/>
      <c r="J86" s="25"/>
      <c r="K86" s="15"/>
    </row>
    <row r="87" spans="4:11" ht="12.75">
      <c r="D87" s="15"/>
      <c r="E87" s="21">
        <v>43675</v>
      </c>
      <c r="F87" s="24"/>
      <c r="G87" s="24">
        <v>-20056.62</v>
      </c>
      <c r="H87" s="15"/>
      <c r="I87" s="25"/>
      <c r="J87" s="25"/>
      <c r="K87" s="15"/>
    </row>
    <row r="88" spans="4:11" ht="12.75">
      <c r="D88" s="15"/>
      <c r="E88" s="21">
        <v>43707</v>
      </c>
      <c r="F88" s="24"/>
      <c r="G88" s="24">
        <v>-34427.54</v>
      </c>
      <c r="H88" s="15"/>
      <c r="I88" s="25"/>
      <c r="J88" s="25"/>
      <c r="K88" s="15"/>
    </row>
    <row r="89" spans="4:11" ht="12.75">
      <c r="D89" s="15"/>
      <c r="E89" s="21">
        <v>43769</v>
      </c>
      <c r="F89" s="24"/>
      <c r="G89" s="24">
        <v>-15781.16</v>
      </c>
      <c r="H89" s="15"/>
      <c r="I89" s="25"/>
      <c r="J89" s="25"/>
      <c r="K89" s="15"/>
    </row>
    <row r="90" spans="4:11" ht="12.75">
      <c r="D90" s="15"/>
      <c r="E90" s="21">
        <v>43804</v>
      </c>
      <c r="F90" s="24"/>
      <c r="G90" s="24">
        <v>-15758.78</v>
      </c>
      <c r="H90" s="15"/>
      <c r="I90" s="25"/>
      <c r="J90" s="25"/>
      <c r="K90" s="15"/>
    </row>
    <row r="91" spans="3:11" ht="12.75">
      <c r="C91" s="15" t="s">
        <v>84</v>
      </c>
      <c r="D91" s="15"/>
      <c r="E91" s="21">
        <v>43550</v>
      </c>
      <c r="F91" s="24"/>
      <c r="G91" s="24">
        <v>4493.27</v>
      </c>
      <c r="H91" s="15"/>
      <c r="I91" s="25"/>
      <c r="J91" s="25"/>
      <c r="K91" s="15"/>
    </row>
    <row r="92" spans="3:11" ht="12.75">
      <c r="C92" s="15"/>
      <c r="D92" s="15"/>
      <c r="E92" s="21">
        <v>43629</v>
      </c>
      <c r="F92" s="24"/>
      <c r="G92" s="24">
        <v>5024.01</v>
      </c>
      <c r="H92" s="15"/>
      <c r="I92" s="25"/>
      <c r="J92" s="25"/>
      <c r="K92" s="15"/>
    </row>
    <row r="93" spans="3:11" ht="12.75">
      <c r="C93" s="15"/>
      <c r="D93" s="15"/>
      <c r="E93" s="21">
        <v>43760</v>
      </c>
      <c r="F93" s="24"/>
      <c r="G93" s="24">
        <v>27971.27</v>
      </c>
      <c r="H93" s="15"/>
      <c r="I93" s="25"/>
      <c r="J93" s="25"/>
      <c r="K93" s="15"/>
    </row>
    <row r="94" spans="3:11" ht="12.75">
      <c r="C94" s="15"/>
      <c r="D94" s="15"/>
      <c r="E94" s="21">
        <v>43816</v>
      </c>
      <c r="F94" s="24"/>
      <c r="G94" s="24">
        <v>5278.68</v>
      </c>
      <c r="H94" s="15"/>
      <c r="I94" s="25"/>
      <c r="J94" s="25"/>
      <c r="K94" s="15"/>
    </row>
    <row r="95" spans="3:11" ht="12.75">
      <c r="C95" s="15" t="s">
        <v>16</v>
      </c>
      <c r="D95" s="15"/>
      <c r="E95" s="21">
        <v>43896</v>
      </c>
      <c r="F95" s="24"/>
      <c r="G95" s="24">
        <v>-9759.68</v>
      </c>
      <c r="H95" s="15"/>
      <c r="I95" s="25"/>
      <c r="J95" s="25"/>
      <c r="K95" s="15"/>
    </row>
    <row r="96" spans="3:11" ht="12.75">
      <c r="C96" s="15"/>
      <c r="D96" s="15"/>
      <c r="E96" s="21">
        <v>43922</v>
      </c>
      <c r="F96" s="24"/>
      <c r="G96" s="24">
        <v>-7297.39</v>
      </c>
      <c r="H96" s="15"/>
      <c r="I96" s="25"/>
      <c r="J96" s="25"/>
      <c r="K96" s="15"/>
    </row>
    <row r="97" spans="3:11" ht="12.75">
      <c r="C97" s="15"/>
      <c r="D97" s="15"/>
      <c r="E97" s="21">
        <v>43979</v>
      </c>
      <c r="F97" s="24"/>
      <c r="G97" s="24">
        <v>-9513.47</v>
      </c>
      <c r="H97" s="15"/>
      <c r="I97" s="25"/>
      <c r="J97" s="25"/>
      <c r="K97" s="15"/>
    </row>
    <row r="98" spans="3:11" ht="12.75">
      <c r="C98" s="15"/>
      <c r="D98" s="15"/>
      <c r="E98" s="21">
        <v>44015</v>
      </c>
      <c r="F98" s="24"/>
      <c r="G98" s="24">
        <v>-8259.92</v>
      </c>
      <c r="H98" s="15"/>
      <c r="I98" s="25"/>
      <c r="J98" s="25"/>
      <c r="K98" s="15"/>
    </row>
    <row r="99" spans="3:11" ht="12.75">
      <c r="C99" s="15"/>
      <c r="D99" s="15"/>
      <c r="E99" s="21">
        <v>44109</v>
      </c>
      <c r="F99" s="24"/>
      <c r="G99" s="24">
        <v>-5842.39</v>
      </c>
      <c r="H99" s="15"/>
      <c r="I99" s="25"/>
      <c r="J99" s="25"/>
      <c r="K99" s="15"/>
    </row>
    <row r="100" spans="3:11" ht="12.75">
      <c r="C100" s="15"/>
      <c r="D100" s="15"/>
      <c r="E100" s="21">
        <v>44160</v>
      </c>
      <c r="F100" s="24"/>
      <c r="G100" s="24">
        <v>-11080.38</v>
      </c>
      <c r="H100" s="15"/>
      <c r="I100" s="25"/>
      <c r="J100" s="25"/>
      <c r="K100" s="15"/>
    </row>
    <row r="101" spans="3:11" ht="12.75">
      <c r="C101" s="15" t="s">
        <v>85</v>
      </c>
      <c r="D101" s="15"/>
      <c r="E101" s="21">
        <v>43885</v>
      </c>
      <c r="F101" s="24"/>
      <c r="G101" s="24">
        <v>16180.48</v>
      </c>
      <c r="H101" s="15"/>
      <c r="I101" s="25"/>
      <c r="J101" s="25"/>
      <c r="K101" s="15"/>
    </row>
    <row r="102" spans="3:11" ht="12.75">
      <c r="C102" s="15"/>
      <c r="D102" s="15"/>
      <c r="E102" s="21">
        <v>44082</v>
      </c>
      <c r="F102" s="24"/>
      <c r="G102" s="24">
        <v>9793.01</v>
      </c>
      <c r="H102" s="15"/>
      <c r="I102" s="25"/>
      <c r="J102" s="25"/>
      <c r="K102" s="15"/>
    </row>
    <row r="103" spans="3:11" ht="12.75">
      <c r="C103" s="15" t="s">
        <v>41</v>
      </c>
      <c r="D103" s="15"/>
      <c r="E103" s="21">
        <v>44201</v>
      </c>
      <c r="F103" s="24"/>
      <c r="G103" s="24">
        <v>-5909.54</v>
      </c>
      <c r="H103" s="15"/>
      <c r="I103" s="25"/>
      <c r="J103" s="25"/>
      <c r="K103" s="15"/>
    </row>
    <row r="104" spans="3:12" ht="15.75">
      <c r="C104" s="15"/>
      <c r="D104" s="15"/>
      <c r="E104" s="21">
        <v>44246</v>
      </c>
      <c r="F104" s="24"/>
      <c r="G104" s="24">
        <v>-33576.92</v>
      </c>
      <c r="H104" s="15"/>
      <c r="I104" s="25"/>
      <c r="J104" s="25"/>
      <c r="K104" s="15"/>
      <c r="L104" s="55"/>
    </row>
    <row r="105" spans="3:12" ht="15.75">
      <c r="C105" s="15"/>
      <c r="D105" s="15"/>
      <c r="E105" s="21">
        <v>44267</v>
      </c>
      <c r="F105" s="24"/>
      <c r="G105" s="24">
        <v>-3335.31</v>
      </c>
      <c r="H105" s="15"/>
      <c r="I105" s="25"/>
      <c r="J105" s="25"/>
      <c r="K105" s="15"/>
      <c r="L105" s="55"/>
    </row>
    <row r="106" spans="3:12" ht="15.75">
      <c r="C106" s="15"/>
      <c r="D106" s="15"/>
      <c r="E106" s="21">
        <v>44285</v>
      </c>
      <c r="F106" s="24"/>
      <c r="G106" s="24">
        <v>-4208.31</v>
      </c>
      <c r="H106" s="15"/>
      <c r="I106" s="25"/>
      <c r="J106" s="25"/>
      <c r="K106" s="15"/>
      <c r="L106" s="55"/>
    </row>
    <row r="107" spans="3:12" ht="15.75">
      <c r="C107" s="15"/>
      <c r="D107" s="15"/>
      <c r="E107" s="21">
        <v>44308</v>
      </c>
      <c r="F107" s="24"/>
      <c r="G107" s="24">
        <v>-11147.53</v>
      </c>
      <c r="H107" s="15"/>
      <c r="I107" s="25"/>
      <c r="J107" s="25"/>
      <c r="K107" s="15"/>
      <c r="L107" s="55"/>
    </row>
    <row r="108" spans="3:12" ht="15.75">
      <c r="C108" s="15"/>
      <c r="D108" s="15"/>
      <c r="E108" s="21">
        <v>44348</v>
      </c>
      <c r="F108" s="24"/>
      <c r="G108" s="24">
        <v>-24690.23</v>
      </c>
      <c r="H108" s="15"/>
      <c r="I108" s="25"/>
      <c r="J108" s="25"/>
      <c r="K108" s="15"/>
      <c r="L108" s="55"/>
    </row>
    <row r="109" spans="3:12" ht="15.75">
      <c r="C109" s="15"/>
      <c r="D109" s="15"/>
      <c r="E109" s="21">
        <v>44467</v>
      </c>
      <c r="F109" s="24"/>
      <c r="G109" s="24">
        <v>-3626.31</v>
      </c>
      <c r="H109" s="15"/>
      <c r="I109" s="25"/>
      <c r="J109" s="25"/>
      <c r="K109" s="15"/>
      <c r="L109" s="55"/>
    </row>
    <row r="110" spans="3:12" ht="15.75">
      <c r="C110" s="15"/>
      <c r="D110" s="15"/>
      <c r="E110" s="21">
        <v>44546</v>
      </c>
      <c r="F110" s="24"/>
      <c r="G110" s="24">
        <v>-16564.61</v>
      </c>
      <c r="H110" s="15"/>
      <c r="I110" s="25"/>
      <c r="J110" s="25"/>
      <c r="K110" s="15"/>
      <c r="L110" s="55"/>
    </row>
    <row r="111" spans="3:12" ht="15.75">
      <c r="C111" s="15" t="s">
        <v>71</v>
      </c>
      <c r="D111" s="15"/>
      <c r="E111" s="21">
        <v>44217</v>
      </c>
      <c r="F111" s="24"/>
      <c r="G111" s="24">
        <v>16848.9</v>
      </c>
      <c r="H111" s="15"/>
      <c r="I111" s="25"/>
      <c r="J111" s="25"/>
      <c r="K111" s="15"/>
      <c r="L111" s="55"/>
    </row>
    <row r="112" spans="3:12" ht="15.75">
      <c r="C112" s="15"/>
      <c r="D112" s="15"/>
      <c r="E112" s="21">
        <v>44256</v>
      </c>
      <c r="F112" s="24"/>
      <c r="G112" s="24">
        <v>127881.02</v>
      </c>
      <c r="H112" s="15"/>
      <c r="I112" s="25"/>
      <c r="J112" s="25"/>
      <c r="K112" s="15"/>
      <c r="L112" s="55"/>
    </row>
    <row r="113" spans="3:12" ht="15.75">
      <c r="C113" s="15"/>
      <c r="D113" s="15"/>
      <c r="E113" s="21">
        <v>44279</v>
      </c>
      <c r="F113" s="24"/>
      <c r="G113" s="24">
        <v>27339.20</v>
      </c>
      <c r="H113" s="15"/>
      <c r="I113" s="25"/>
      <c r="J113" s="25"/>
      <c r="K113" s="15"/>
      <c r="L113" s="55"/>
    </row>
    <row r="114" spans="3:12" ht="15.75">
      <c r="C114" s="15"/>
      <c r="D114" s="15"/>
      <c r="E114" s="21">
        <v>44295</v>
      </c>
      <c r="F114" s="24"/>
      <c r="G114" s="24">
        <v>35769.09</v>
      </c>
      <c r="H114" s="15"/>
      <c r="I114" s="25"/>
      <c r="J114" s="25"/>
      <c r="K114" s="15"/>
      <c r="L114" s="55"/>
    </row>
    <row r="115" spans="3:12" ht="15.75">
      <c r="C115" s="15"/>
      <c r="D115" s="15"/>
      <c r="E115" s="21">
        <v>44371</v>
      </c>
      <c r="F115" s="24"/>
      <c r="G115" s="24">
        <v>5986.33</v>
      </c>
      <c r="H115" s="15"/>
      <c r="I115" s="25"/>
      <c r="J115" s="25"/>
      <c r="K115" s="15"/>
      <c r="L115" s="55"/>
    </row>
    <row r="116" spans="3:12" ht="15.75">
      <c r="C116" s="15"/>
      <c r="D116" s="15"/>
      <c r="E116" s="21">
        <v>44386</v>
      </c>
      <c r="F116" s="24"/>
      <c r="G116" s="24">
        <v>8536.12</v>
      </c>
      <c r="H116" s="15"/>
      <c r="I116" s="25"/>
      <c r="J116" s="25"/>
      <c r="K116" s="15"/>
      <c r="L116" s="55"/>
    </row>
    <row r="117" spans="3:12" ht="15.75">
      <c r="C117" s="15"/>
      <c r="D117" s="15"/>
      <c r="E117" s="21">
        <v>44417</v>
      </c>
      <c r="F117" s="24"/>
      <c r="G117" s="24">
        <v>9278.22</v>
      </c>
      <c r="H117" s="15"/>
      <c r="I117" s="25"/>
      <c r="J117" s="25"/>
      <c r="K117" s="15"/>
      <c r="L117" s="55"/>
    </row>
    <row r="118" spans="3:12" ht="15.75">
      <c r="C118" s="15"/>
      <c r="D118" s="15"/>
      <c r="E118" s="21">
        <v>44446</v>
      </c>
      <c r="F118" s="24"/>
      <c r="G118" s="24">
        <v>8939.64</v>
      </c>
      <c r="H118" s="15"/>
      <c r="I118" s="25"/>
      <c r="J118" s="25"/>
      <c r="K118" s="15"/>
      <c r="L118" s="55"/>
    </row>
    <row r="119" spans="3:12" ht="15.75">
      <c r="C119" s="15"/>
      <c r="D119" s="15"/>
      <c r="E119" s="21">
        <v>44473</v>
      </c>
      <c r="F119" s="24"/>
      <c r="G119" s="24">
        <v>14044.16</v>
      </c>
      <c r="H119" s="15"/>
      <c r="I119" s="25"/>
      <c r="J119" s="25"/>
      <c r="K119" s="15"/>
      <c r="L119" s="55"/>
    </row>
    <row r="120" spans="3:12" ht="15.75">
      <c r="C120" s="15"/>
      <c r="D120" s="15"/>
      <c r="E120" s="21">
        <v>44489</v>
      </c>
      <c r="F120" s="24"/>
      <c r="G120" s="24">
        <v>36503.26</v>
      </c>
      <c r="H120" s="15"/>
      <c r="I120" s="25"/>
      <c r="J120" s="25"/>
      <c r="K120" s="15"/>
      <c r="L120" s="55"/>
    </row>
    <row r="121" spans="3:12" ht="15.75">
      <c r="C121" s="15"/>
      <c r="D121" s="15"/>
      <c r="E121" s="21">
        <v>44496</v>
      </c>
      <c r="F121" s="24"/>
      <c r="G121" s="24">
        <v>75188.57</v>
      </c>
      <c r="H121" s="15"/>
      <c r="I121" s="25"/>
      <c r="J121" s="25"/>
      <c r="K121" s="15"/>
      <c r="L121" s="55"/>
    </row>
    <row r="122" spans="3:12" ht="15.75">
      <c r="C122" s="15"/>
      <c r="D122" s="15"/>
      <c r="E122" s="21">
        <v>44505</v>
      </c>
      <c r="F122" s="24"/>
      <c r="G122" s="24">
        <v>7588.54</v>
      </c>
      <c r="H122" s="15"/>
      <c r="I122" s="25"/>
      <c r="J122" s="25"/>
      <c r="K122" s="15"/>
      <c r="L122" s="55"/>
    </row>
    <row r="123" spans="3:12" ht="15.75">
      <c r="C123" s="15"/>
      <c r="D123" s="15"/>
      <c r="E123" s="21">
        <v>44547</v>
      </c>
      <c r="F123" s="24"/>
      <c r="G123" s="24">
        <v>57433.86</v>
      </c>
      <c r="H123" s="15"/>
      <c r="I123" s="25"/>
      <c r="J123" s="25"/>
      <c r="K123" s="15"/>
      <c r="L123" s="55"/>
    </row>
    <row r="124" spans="3:12" ht="15.75">
      <c r="C124" s="15" t="s">
        <v>72</v>
      </c>
      <c r="D124" s="15"/>
      <c r="E124" s="21">
        <v>44585</v>
      </c>
      <c r="F124" s="24"/>
      <c r="G124" s="24">
        <v>-6872.07</v>
      </c>
      <c r="H124" s="15"/>
      <c r="I124" s="25"/>
      <c r="J124" s="25"/>
      <c r="K124" s="15"/>
      <c r="L124" s="55"/>
    </row>
    <row r="125" spans="3:12" ht="15.75">
      <c r="C125" s="15"/>
      <c r="D125" s="15"/>
      <c r="E125" s="21">
        <v>44630</v>
      </c>
      <c r="F125" s="24"/>
      <c r="G125" s="24">
        <v>-8282.31</v>
      </c>
      <c r="H125" s="15"/>
      <c r="I125" s="25"/>
      <c r="J125" s="25"/>
      <c r="K125" s="15"/>
      <c r="L125" s="55"/>
    </row>
    <row r="126" spans="3:12" ht="15.75">
      <c r="C126" s="15"/>
      <c r="D126" s="15"/>
      <c r="E126" s="21">
        <v>44741</v>
      </c>
      <c r="F126" s="24"/>
      <c r="G126" s="24">
        <v>-3492</v>
      </c>
      <c r="H126" s="15"/>
      <c r="I126" s="25"/>
      <c r="J126" s="25"/>
      <c r="K126" s="15"/>
      <c r="L126" s="55"/>
    </row>
    <row r="127" spans="3:12" ht="15.75">
      <c r="C127" s="15"/>
      <c r="D127" s="15"/>
      <c r="E127" s="21">
        <v>44830</v>
      </c>
      <c r="F127" s="24"/>
      <c r="G127" s="24">
        <v>-3424.85</v>
      </c>
      <c r="H127" s="15"/>
      <c r="I127" s="25"/>
      <c r="J127" s="25"/>
      <c r="K127" s="15"/>
      <c r="L127" s="55"/>
    </row>
    <row r="128" spans="3:12" ht="15.75">
      <c r="C128" s="15"/>
      <c r="D128" s="15"/>
      <c r="E128" s="21">
        <v>44925</v>
      </c>
      <c r="F128" s="24"/>
      <c r="G128" s="24">
        <v>-5640.92</v>
      </c>
      <c r="H128" s="15"/>
      <c r="I128" s="25"/>
      <c r="J128" s="25"/>
      <c r="K128" s="15"/>
      <c r="L128" s="55"/>
    </row>
    <row r="129" spans="3:12" ht="15.75">
      <c r="C129" s="15" t="s">
        <v>73</v>
      </c>
      <c r="D129" s="15"/>
      <c r="E129" s="21">
        <v>44580</v>
      </c>
      <c r="F129" s="24"/>
      <c r="G129" s="24">
        <v>90440.08</v>
      </c>
      <c r="H129" s="15"/>
      <c r="I129" s="25"/>
      <c r="J129" s="25"/>
      <c r="K129" s="15"/>
      <c r="L129" s="55"/>
    </row>
    <row r="130" spans="3:12" ht="15.75">
      <c r="C130" s="15"/>
      <c r="D130" s="15"/>
      <c r="E130" s="21">
        <v>44595</v>
      </c>
      <c r="F130" s="24"/>
      <c r="G130" s="24">
        <v>34793.75</v>
      </c>
      <c r="H130" s="15"/>
      <c r="I130" s="25"/>
      <c r="J130" s="25"/>
      <c r="K130" s="15"/>
      <c r="L130" s="55"/>
    </row>
    <row r="131" spans="3:12" ht="15.75">
      <c r="C131" s="15"/>
      <c r="D131" s="15"/>
      <c r="E131" s="21">
        <v>44630</v>
      </c>
      <c r="F131" s="24"/>
      <c r="G131" s="24">
        <v>48745.82</v>
      </c>
      <c r="H131" s="15"/>
      <c r="I131" s="25"/>
      <c r="J131" s="25"/>
      <c r="K131" s="15"/>
      <c r="L131" s="55"/>
    </row>
    <row r="132" spans="3:12" ht="15.75">
      <c r="C132" s="15"/>
      <c r="D132" s="15"/>
      <c r="E132" s="21">
        <v>44655</v>
      </c>
      <c r="F132" s="24"/>
      <c r="G132" s="24">
        <v>87950.26</v>
      </c>
      <c r="H132" s="15"/>
      <c r="I132" s="25"/>
      <c r="J132" s="25"/>
      <c r="K132" s="15"/>
      <c r="L132" s="55"/>
    </row>
    <row r="133" spans="3:12" ht="15.75">
      <c r="C133" s="15"/>
      <c r="D133" s="15"/>
      <c r="E133" s="21">
        <v>44690</v>
      </c>
      <c r="F133" s="24"/>
      <c r="G133" s="24">
        <v>44153.45</v>
      </c>
      <c r="H133" s="15"/>
      <c r="I133" s="25"/>
      <c r="J133" s="25"/>
      <c r="K133" s="15"/>
      <c r="L133" s="55"/>
    </row>
    <row r="134" spans="3:12" ht="15.75">
      <c r="C134" s="15"/>
      <c r="D134" s="15"/>
      <c r="E134" s="21">
        <v>44714</v>
      </c>
      <c r="F134" s="24"/>
      <c r="G134" s="24">
        <v>63546.11</v>
      </c>
      <c r="H134" s="15"/>
      <c r="I134" s="25"/>
      <c r="J134" s="25"/>
      <c r="K134" s="15"/>
      <c r="L134" s="55"/>
    </row>
    <row r="135" spans="3:12" ht="15.75">
      <c r="C135" s="15"/>
      <c r="D135" s="15"/>
      <c r="E135" s="21">
        <v>44754</v>
      </c>
      <c r="F135" s="24"/>
      <c r="G135" s="24">
        <v>63217.80</v>
      </c>
      <c r="H135" s="15"/>
      <c r="I135" s="25"/>
      <c r="J135" s="25"/>
      <c r="K135" s="15"/>
      <c r="L135" s="55"/>
    </row>
    <row r="136" spans="3:12" ht="15.75">
      <c r="C136" s="15"/>
      <c r="D136" s="15"/>
      <c r="E136" s="21">
        <v>44782</v>
      </c>
      <c r="F136" s="24"/>
      <c r="G136" s="24">
        <v>13407.07</v>
      </c>
      <c r="H136" s="15"/>
      <c r="I136" s="25"/>
      <c r="J136" s="25"/>
      <c r="K136" s="15"/>
      <c r="L136" s="55"/>
    </row>
    <row r="137" spans="3:12" ht="15.75">
      <c r="C137" s="15"/>
      <c r="D137" s="15"/>
      <c r="E137" s="21">
        <v>44806</v>
      </c>
      <c r="F137" s="24"/>
      <c r="G137" s="24">
        <v>62613.50</v>
      </c>
      <c r="H137" s="15"/>
      <c r="I137" s="25"/>
      <c r="J137" s="25"/>
      <c r="K137" s="15"/>
      <c r="L137" s="55"/>
    </row>
    <row r="138" spans="3:12" ht="15.75">
      <c r="C138" s="15"/>
      <c r="D138" s="15"/>
      <c r="E138" s="21">
        <v>44846</v>
      </c>
      <c r="F138" s="24"/>
      <c r="G138" s="24">
        <v>47881.28</v>
      </c>
      <c r="H138" s="15"/>
      <c r="I138" s="25"/>
      <c r="J138" s="25"/>
      <c r="K138" s="15"/>
      <c r="L138" s="55"/>
    </row>
    <row r="139" spans="3:12" ht="15.75">
      <c r="C139" s="15"/>
      <c r="D139" s="15"/>
      <c r="E139" s="21">
        <v>44868</v>
      </c>
      <c r="F139" s="24"/>
      <c r="G139" s="24">
        <v>23429.99</v>
      </c>
      <c r="H139" s="15"/>
      <c r="I139" s="25"/>
      <c r="J139" s="25"/>
      <c r="K139" s="15"/>
      <c r="L139" s="55"/>
    </row>
    <row r="140" spans="3:12" ht="15.75">
      <c r="C140" s="15"/>
      <c r="D140" s="15"/>
      <c r="E140" s="21">
        <v>44901</v>
      </c>
      <c r="F140" s="24"/>
      <c r="G140" s="24">
        <v>9699.54</v>
      </c>
      <c r="H140" s="15"/>
      <c r="I140" s="25"/>
      <c r="J140" s="25"/>
      <c r="K140" s="15"/>
      <c r="L140" s="55"/>
    </row>
    <row r="141" spans="3:12" ht="15.75">
      <c r="C141" s="15" t="s">
        <v>74</v>
      </c>
      <c r="D141" s="15"/>
      <c r="E141" s="21">
        <v>44965</v>
      </c>
      <c r="F141" s="24"/>
      <c r="G141" s="24">
        <v>-5596.15</v>
      </c>
      <c r="H141" s="15"/>
      <c r="I141" s="25"/>
      <c r="J141" s="25"/>
      <c r="K141" s="15"/>
      <c r="L141" s="55"/>
    </row>
    <row r="142" spans="3:12" ht="15.75">
      <c r="C142" s="15"/>
      <c r="D142" s="15"/>
      <c r="E142" s="21">
        <v>45009</v>
      </c>
      <c r="F142" s="24"/>
      <c r="G142" s="24">
        <v>-3357.69</v>
      </c>
      <c r="H142" s="15"/>
      <c r="I142" s="25"/>
      <c r="J142" s="25"/>
      <c r="K142" s="15"/>
      <c r="L142" s="55"/>
    </row>
    <row r="143" spans="3:12" ht="15.75">
      <c r="C143" s="15"/>
      <c r="D143" s="15"/>
      <c r="E143" s="21">
        <v>45022</v>
      </c>
      <c r="F143" s="24"/>
      <c r="G143" s="24">
        <v>-3962.08</v>
      </c>
      <c r="H143" s="15"/>
      <c r="I143" s="25"/>
      <c r="J143" s="25"/>
      <c r="K143" s="15"/>
      <c r="L143" s="55"/>
    </row>
    <row r="144" spans="3:12" ht="15.75">
      <c r="C144" s="15"/>
      <c r="D144" s="15"/>
      <c r="E144" s="21">
        <v>45084</v>
      </c>
      <c r="F144" s="24"/>
      <c r="G144" s="24">
        <v>-9468.69</v>
      </c>
      <c r="H144" s="15"/>
      <c r="I144" s="25"/>
      <c r="J144" s="25"/>
      <c r="K144" s="15"/>
      <c r="L144" s="55"/>
    </row>
    <row r="145" spans="3:12" ht="15.75">
      <c r="C145" s="15" t="s">
        <v>75</v>
      </c>
      <c r="D145" s="15"/>
      <c r="E145" s="21">
        <v>44937</v>
      </c>
      <c r="F145" s="24"/>
      <c r="G145" s="24">
        <v>20857.32</v>
      </c>
      <c r="H145" s="15"/>
      <c r="I145" s="25"/>
      <c r="J145" s="25"/>
      <c r="K145" s="15"/>
      <c r="L145" s="55"/>
    </row>
    <row r="146" spans="3:12" ht="15.75">
      <c r="C146" s="15"/>
      <c r="D146" s="15"/>
      <c r="E146" s="21">
        <v>44960</v>
      </c>
      <c r="F146" s="24"/>
      <c r="G146" s="24">
        <v>10126.3</v>
      </c>
      <c r="H146" s="15"/>
      <c r="I146" s="25"/>
      <c r="J146" s="25"/>
      <c r="K146" s="15"/>
      <c r="L146" s="55"/>
    </row>
    <row r="147" spans="3:12" ht="15.75">
      <c r="C147" s="15"/>
      <c r="D147" s="15"/>
      <c r="E147" s="21">
        <v>44994</v>
      </c>
      <c r="F147" s="24"/>
      <c r="G147" s="24">
        <v>22712.60</v>
      </c>
      <c r="H147" s="15"/>
      <c r="I147" s="25"/>
      <c r="J147" s="25"/>
      <c r="K147" s="15"/>
      <c r="L147" s="55"/>
    </row>
    <row r="148" spans="3:12" ht="15.75">
      <c r="C148" s="15"/>
      <c r="D148" s="15"/>
      <c r="E148" s="21">
        <v>45030</v>
      </c>
      <c r="F148" s="24"/>
      <c r="G148" s="24">
        <v>198953.47</v>
      </c>
      <c r="H148" s="15"/>
      <c r="I148" s="25"/>
      <c r="J148" s="25"/>
      <c r="K148" s="15"/>
      <c r="L148" s="55"/>
    </row>
    <row r="149" spans="3:12" ht="15.75">
      <c r="C149" s="15"/>
      <c r="D149" s="15"/>
      <c r="E149" s="21">
        <v>45049</v>
      </c>
      <c r="F149" s="24"/>
      <c r="G149" s="24">
        <v>18891.08</v>
      </c>
      <c r="H149" s="15"/>
      <c r="I149" s="25"/>
      <c r="J149" s="25"/>
      <c r="K149" s="15"/>
      <c r="L149" s="55"/>
    </row>
    <row r="150" spans="3:12" ht="15.75">
      <c r="C150" s="15"/>
      <c r="D150" s="15"/>
      <c r="E150" s="21">
        <v>45091</v>
      </c>
      <c r="F150" s="24"/>
      <c r="G150" s="24">
        <v>148119.27</v>
      </c>
      <c r="H150" s="15"/>
      <c r="I150" s="25"/>
      <c r="J150" s="25"/>
      <c r="K150" s="15"/>
      <c r="L150" s="55"/>
    </row>
    <row r="151" spans="3:12" ht="4.5" customHeight="1">
      <c r="C151" s="15"/>
      <c r="D151" s="15"/>
      <c r="E151" s="21"/>
      <c r="F151" s="15"/>
      <c r="G151" s="24"/>
      <c r="H151" s="15"/>
      <c r="I151" s="25"/>
      <c r="J151" s="25"/>
      <c r="L151" s="55"/>
    </row>
    <row r="152" spans="3:13" ht="15.75">
      <c r="C152" s="15" t="s">
        <v>5</v>
      </c>
      <c r="D152" s="15"/>
      <c r="E152" s="21">
        <f>+E8</f>
        <v>45107</v>
      </c>
      <c r="F152" s="15"/>
      <c r="G152" s="46">
        <f>L152*C22</f>
        <v>1008147.2610050881</v>
      </c>
      <c r="H152" s="15"/>
      <c r="I152" s="21"/>
      <c r="L152" s="57">
        <v>9.27536032E8</v>
      </c>
      <c r="M152" s="55"/>
    </row>
    <row r="153" spans="3:8" ht="12.75">
      <c r="C153" s="15"/>
      <c r="D153" s="15"/>
      <c r="E153" s="15"/>
      <c r="F153" s="15"/>
      <c r="G153" s="15"/>
      <c r="H153" s="15"/>
    </row>
    <row r="154" spans="3:11" ht="12.75">
      <c r="C154" s="14" t="s">
        <v>0</v>
      </c>
      <c r="G154" s="29">
        <f>+XIRR(G24:G152,E24:E152,0.1)</f>
        <v>0.14180315136909488</v>
      </c>
      <c r="H154" s="15"/>
      <c r="J154" s="24">
        <f>+SUMIF($G$24:$G$151,"&lt;0",$G$24:$G$151)+23052.4</f>
        <v>-1554863.5899999996</v>
      </c>
      <c r="K154" s="15" t="s">
        <v>14</v>
      </c>
    </row>
    <row r="155" spans="3:11" ht="12.75">
      <c r="C155" s="15"/>
      <c r="D155" s="15"/>
      <c r="E155" s="15"/>
      <c r="F155" s="15"/>
      <c r="G155" s="15"/>
      <c r="H155" s="15"/>
      <c r="J155" s="24">
        <f>+SUMIF($G$24:$G$151,"&gt;0",$G$24:$G$151)-23052.4</f>
        <v>1743509.3700000006</v>
      </c>
      <c r="K155" s="15" t="s">
        <v>15</v>
      </c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52"/>
      <c r="D157" s="52"/>
      <c r="E157" s="53"/>
      <c r="F157" s="15"/>
      <c r="G157" s="53"/>
      <c r="H157" s="15"/>
    </row>
    <row r="158" spans="3:8" ht="12.75">
      <c r="C158" s="52"/>
      <c r="D158" s="52"/>
      <c r="E158" s="53"/>
      <c r="F158" s="52"/>
      <c r="G158" s="53"/>
      <c r="H158" s="15"/>
    </row>
    <row r="159" spans="3:8" ht="12.75">
      <c r="C159" s="52"/>
      <c r="D159" s="52"/>
      <c r="E159" s="53"/>
      <c r="F159" s="52"/>
      <c r="G159" s="53"/>
      <c r="H159" s="15"/>
    </row>
    <row r="160" spans="3:8" ht="12.75">
      <c r="C160" s="52"/>
      <c r="D160" s="52"/>
      <c r="E160" s="52"/>
      <c r="F160" s="52"/>
      <c r="G160" s="52"/>
      <c r="H160" s="14"/>
    </row>
    <row r="161" spans="3:8" ht="12.75">
      <c r="C161" s="52"/>
      <c r="D161" s="52"/>
      <c r="E161" s="53"/>
      <c r="F161" s="53"/>
      <c r="G161" s="53"/>
      <c r="H161" s="14"/>
    </row>
    <row r="162" spans="3:8" ht="12.75">
      <c r="C162" s="52"/>
      <c r="D162" s="52"/>
      <c r="E162" s="52"/>
      <c r="F162" s="52"/>
      <c r="G162" s="52"/>
      <c r="H162" s="14"/>
    </row>
    <row r="163" spans="3:8" ht="12.75">
      <c r="C163" s="170"/>
      <c r="D163" s="170"/>
      <c r="E163" s="171"/>
      <c r="F163" s="70"/>
      <c r="G163" s="58"/>
      <c r="H163" s="15"/>
    </row>
    <row r="164" spans="3:8" s="39" customFormat="1" ht="12.75">
      <c r="C164" s="170"/>
      <c r="D164" s="170"/>
      <c r="E164" s="70"/>
      <c r="F164" s="70"/>
      <c r="G164" s="70"/>
      <c r="H164" s="126"/>
    </row>
    <row r="165" spans="3:8" s="39" customFormat="1" ht="12.75">
      <c r="C165" s="170"/>
      <c r="D165" s="170"/>
      <c r="E165" s="70"/>
      <c r="F165" s="70"/>
      <c r="G165" s="70"/>
      <c r="H165" s="126"/>
    </row>
    <row r="166" spans="3:8" ht="12.75">
      <c r="C166" s="172"/>
      <c r="D166" s="170"/>
      <c r="E166" s="70"/>
      <c r="F166" s="70"/>
      <c r="G166" s="70"/>
      <c r="H166" s="15"/>
    </row>
    <row r="167" spans="3:8" ht="12.75">
      <c r="C167" s="172"/>
      <c r="D167" s="170"/>
      <c r="E167" s="70"/>
      <c r="F167" s="70"/>
      <c r="G167" s="70"/>
      <c r="H167" s="15"/>
    </row>
    <row r="168" spans="3:8" ht="12.75">
      <c r="C168" s="173"/>
      <c r="D168" s="170"/>
      <c r="E168" s="70"/>
      <c r="F168" s="70"/>
      <c r="G168" s="70"/>
      <c r="H168" s="15"/>
    </row>
    <row r="169" spans="3:8" s="39" customFormat="1" ht="12.75">
      <c r="C169" s="170"/>
      <c r="D169" s="170"/>
      <c r="E169" s="70"/>
      <c r="F169" s="70"/>
      <c r="G169" s="70"/>
      <c r="H169" s="126"/>
    </row>
    <row r="170" spans="3:8" ht="12.75">
      <c r="C170" s="170"/>
      <c r="D170" s="170"/>
      <c r="E170" s="70"/>
      <c r="F170" s="70"/>
      <c r="G170" s="70"/>
      <c r="H170" s="15"/>
    </row>
    <row r="171" spans="3:8" ht="12.75">
      <c r="C171" s="170"/>
      <c r="D171" s="170"/>
      <c r="E171" s="70"/>
      <c r="F171" s="70"/>
      <c r="G171" s="70"/>
      <c r="H171" s="15"/>
    </row>
    <row r="172" spans="3:8" ht="12.75">
      <c r="C172" s="170"/>
      <c r="D172" s="170"/>
      <c r="E172" s="70"/>
      <c r="F172" s="70"/>
      <c r="G172" s="70"/>
      <c r="H172" s="15"/>
    </row>
    <row r="173" spans="3:8" ht="12.75">
      <c r="C173" s="170"/>
      <c r="D173" s="170"/>
      <c r="E173" s="70"/>
      <c r="F173" s="70"/>
      <c r="G173" s="70"/>
      <c r="H173" s="15"/>
    </row>
    <row r="174" spans="3:8" ht="12.75">
      <c r="C174" s="170"/>
      <c r="D174" s="170"/>
      <c r="E174" s="70"/>
      <c r="F174" s="70"/>
      <c r="G174" s="70"/>
      <c r="H174" s="15"/>
    </row>
    <row r="175" spans="3:8" s="39" customFormat="1" ht="4.9" customHeight="1">
      <c r="C175" s="36"/>
      <c r="D175" s="14"/>
      <c r="E175" s="127"/>
      <c r="F175" s="33"/>
      <c r="G175" s="127"/>
      <c r="H175" s="126"/>
    </row>
    <row r="176" spans="3:8" ht="12.75">
      <c r="C176" s="15"/>
      <c r="D176" s="15"/>
      <c r="E176" s="15"/>
      <c r="F176" s="15"/>
      <c r="G176" s="15"/>
      <c r="H176" s="15"/>
    </row>
    <row r="177" spans="3:8" ht="12.75">
      <c r="C177" s="15"/>
      <c r="D177" s="15"/>
      <c r="E177" s="15"/>
      <c r="F177" s="15"/>
      <c r="G177" s="15"/>
      <c r="H177" s="15"/>
    </row>
    <row r="178" spans="3:8" ht="12.75">
      <c r="C178" s="15"/>
      <c r="D178" s="15"/>
      <c r="E178" s="15"/>
      <c r="F178" s="15"/>
      <c r="G178" s="15"/>
      <c r="H178" s="15"/>
    </row>
    <row r="179" spans="3:8" ht="12.75">
      <c r="C179" s="15"/>
      <c r="D179" s="15"/>
      <c r="E179" s="15"/>
      <c r="F179" s="15"/>
      <c r="G179" s="15"/>
      <c r="H179" s="15"/>
    </row>
    <row r="180" spans="3:8" ht="12.75">
      <c r="C180" s="15"/>
      <c r="D180" s="15"/>
      <c r="E180" s="15"/>
      <c r="F180" s="15"/>
      <c r="G180" s="15"/>
      <c r="H180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966907-C01D-4656-98D7-41A993CB4E50}">
  <sheetPr>
    <pageSetUpPr fitToPage="1"/>
  </sheetPr>
  <dimension ref="B4:O175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+'Fund X'!E8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27"/>
    </row>
    <row r="11" spans="3:9" ht="12.75">
      <c r="C11" s="163"/>
      <c r="D11" s="163"/>
      <c r="E11" s="164"/>
      <c r="F11" s="163"/>
      <c r="G11" s="164"/>
      <c r="H11" s="7"/>
      <c r="I11" s="27"/>
    </row>
    <row r="12" spans="3:9" ht="15.75">
      <c r="C12" s="165"/>
      <c r="D12" s="165"/>
      <c r="E12" s="166"/>
      <c r="F12" s="165"/>
      <c r="G12" s="166"/>
      <c r="H12" s="5"/>
      <c r="I12" s="27"/>
    </row>
    <row r="13" spans="3:9" ht="12.75">
      <c r="C13" s="163"/>
      <c r="D13" s="163"/>
      <c r="E13" s="167"/>
      <c r="F13" s="163"/>
      <c r="G13" s="57"/>
      <c r="H13" s="8"/>
      <c r="I13" s="27"/>
    </row>
    <row r="14" spans="3:9" ht="12.75">
      <c r="C14" s="163"/>
      <c r="D14" s="163"/>
      <c r="E14" s="168"/>
      <c r="F14" s="163"/>
      <c r="G14" s="57"/>
      <c r="H14" s="9"/>
      <c r="I14" s="27"/>
    </row>
    <row r="15" spans="3:9" ht="12.75">
      <c r="C15" s="163"/>
      <c r="D15" s="163"/>
      <c r="E15" s="164"/>
      <c r="F15" s="163"/>
      <c r="G15" s="164"/>
      <c r="H15" s="7"/>
      <c r="I15" s="27"/>
    </row>
    <row r="16" spans="3:9" ht="15.75">
      <c r="C16" s="5"/>
      <c r="D16" s="5"/>
      <c r="E16" s="11"/>
      <c r="F16" s="5"/>
      <c r="G16" s="11"/>
      <c r="H16" s="5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15" ht="12.75" customHeight="1">
      <c r="C18" s="18" t="s">
        <v>8</v>
      </c>
      <c r="D18" s="18"/>
      <c r="E18" s="8">
        <f>G154</f>
        <v>0.15421505570411684</v>
      </c>
      <c r="F18" s="18"/>
      <c r="G18" s="28"/>
      <c r="H18" s="8"/>
      <c r="I18" s="27"/>
      <c r="M18" s="35"/>
      <c r="N18" s="31"/>
      <c r="O18" s="31"/>
    </row>
    <row r="19" spans="3:15" ht="12.75">
      <c r="C19" s="18" t="s">
        <v>10</v>
      </c>
      <c r="D19" s="18"/>
      <c r="E19" s="34">
        <f>-(G152+J155)/(J154)</f>
        <v>1.867849957850488</v>
      </c>
      <c r="F19" s="18"/>
      <c r="G19" s="10"/>
      <c r="H19" s="7"/>
      <c r="M19" s="35"/>
      <c r="N19" s="31"/>
      <c r="O19" s="31"/>
    </row>
    <row r="20" spans="3:15" ht="12.75">
      <c r="C20" s="18"/>
      <c r="D20" s="18"/>
      <c r="E20" s="18"/>
      <c r="F20" s="18"/>
      <c r="G20" s="7"/>
      <c r="M20" s="35"/>
      <c r="N20" s="31"/>
      <c r="O20" s="31"/>
    </row>
    <row r="21" spans="3:15" ht="15.75">
      <c r="C21" s="19" t="s">
        <v>95</v>
      </c>
      <c r="D21" s="20"/>
      <c r="E21" s="20"/>
      <c r="F21" s="20"/>
      <c r="I21" s="21"/>
      <c r="J21" s="15"/>
      <c r="L21" s="119"/>
      <c r="M21" s="35"/>
      <c r="N21" s="31"/>
      <c r="O21" s="31"/>
    </row>
    <row r="22" spans="3:15" ht="12.75">
      <c r="C22" s="128">
        <v>0.009989242</v>
      </c>
      <c r="D22" s="15"/>
      <c r="E22" s="15"/>
      <c r="F22" s="15"/>
      <c r="G22" s="23"/>
      <c r="H22" s="15"/>
      <c r="I22" s="15"/>
      <c r="J22" s="15"/>
      <c r="M22" s="35"/>
      <c r="N22" s="31"/>
      <c r="O22" s="31"/>
    </row>
    <row r="23" spans="3:15" ht="12.75">
      <c r="C23" s="15"/>
      <c r="D23" s="15"/>
      <c r="E23" s="21"/>
      <c r="F23" s="24"/>
      <c r="G23" s="24"/>
      <c r="H23" s="15"/>
      <c r="I23" s="25"/>
      <c r="M23" s="35"/>
      <c r="N23" s="31"/>
      <c r="O23" s="31"/>
    </row>
    <row r="24" spans="3:15" ht="12.75">
      <c r="C24" s="15" t="s">
        <v>76</v>
      </c>
      <c r="D24" s="15"/>
      <c r="E24" s="21">
        <v>42089</v>
      </c>
      <c r="F24" s="24"/>
      <c r="G24" s="24">
        <v>-155350</v>
      </c>
      <c r="H24" s="15"/>
      <c r="I24" s="25"/>
      <c r="M24" s="35"/>
      <c r="N24" s="31"/>
      <c r="O24" s="31"/>
    </row>
    <row r="25" spans="3:15" ht="12.75">
      <c r="C25" s="15"/>
      <c r="D25" s="15"/>
      <c r="E25" s="21">
        <v>42118</v>
      </c>
      <c r="F25" s="24"/>
      <c r="G25" s="24">
        <v>49946.86</v>
      </c>
      <c r="H25" s="15"/>
      <c r="I25" s="25"/>
      <c r="M25" s="35"/>
      <c r="N25" s="31"/>
      <c r="O25" s="31"/>
    </row>
    <row r="26" spans="3:15" ht="12.75">
      <c r="C26" s="15"/>
      <c r="D26" s="15"/>
      <c r="E26" s="21">
        <v>42180</v>
      </c>
      <c r="F26" s="24"/>
      <c r="G26" s="24">
        <v>-15374.51</v>
      </c>
      <c r="H26" s="15"/>
      <c r="I26" s="25"/>
      <c r="M26" s="35"/>
      <c r="N26" s="31"/>
      <c r="O26" s="31"/>
    </row>
    <row r="27" spans="3:15" ht="12.75">
      <c r="C27" s="15"/>
      <c r="D27" s="15"/>
      <c r="E27" s="21">
        <v>42201</v>
      </c>
      <c r="F27" s="24"/>
      <c r="G27" s="24">
        <v>-4801.51</v>
      </c>
      <c r="H27" s="15"/>
      <c r="I27" s="25"/>
      <c r="M27" s="35"/>
      <c r="N27" s="31"/>
      <c r="O27" s="31"/>
    </row>
    <row r="28" spans="3:15" ht="12.75">
      <c r="C28" s="15"/>
      <c r="E28" s="21">
        <v>42271</v>
      </c>
      <c r="G28" s="24">
        <v>-15083.50</v>
      </c>
      <c r="H28" s="15"/>
      <c r="I28" s="25"/>
      <c r="J28" s="25"/>
      <c r="K28" s="15"/>
      <c r="M28" s="35"/>
      <c r="N28" s="31"/>
      <c r="O28" s="31"/>
    </row>
    <row r="29" spans="5:11" ht="12.75">
      <c r="E29" s="21">
        <v>42324</v>
      </c>
      <c r="G29" s="24">
        <v>-22940.50</v>
      </c>
      <c r="H29" s="15"/>
      <c r="I29" s="25"/>
      <c r="J29" s="25"/>
      <c r="K29" s="15"/>
    </row>
    <row r="30" spans="5:11" ht="12.75">
      <c r="E30" s="21">
        <v>42367</v>
      </c>
      <c r="G30" s="24">
        <v>-61352.50</v>
      </c>
      <c r="H30" s="15"/>
      <c r="I30" s="25"/>
      <c r="J30" s="25"/>
      <c r="K30" s="15"/>
    </row>
    <row r="31" spans="3:11" ht="12.75">
      <c r="C31" s="15" t="s">
        <v>77</v>
      </c>
      <c r="D31" s="15"/>
      <c r="E31" s="21">
        <v>42396</v>
      </c>
      <c r="G31" s="24">
        <v>-100589</v>
      </c>
      <c r="H31" s="15"/>
      <c r="I31" s="25"/>
      <c r="J31" s="25"/>
      <c r="K31" s="15"/>
    </row>
    <row r="32" spans="3:11" ht="12.75">
      <c r="C32" s="15"/>
      <c r="D32" s="15"/>
      <c r="E32" s="21">
        <v>42453</v>
      </c>
      <c r="G32" s="24">
        <v>-22358.50</v>
      </c>
      <c r="H32" s="15"/>
      <c r="I32" s="25"/>
      <c r="J32" s="25"/>
      <c r="K32" s="15"/>
    </row>
    <row r="33" spans="3:11" ht="12.75">
      <c r="C33" s="15"/>
      <c r="D33" s="15"/>
      <c r="E33" s="21">
        <v>42461</v>
      </c>
      <c r="G33" s="24">
        <v>-16199</v>
      </c>
      <c r="H33" s="15"/>
      <c r="I33" s="25"/>
      <c r="J33" s="25"/>
      <c r="K33" s="15"/>
    </row>
    <row r="34" spans="3:11" ht="12.75">
      <c r="C34" s="15"/>
      <c r="D34" s="15"/>
      <c r="E34" s="21">
        <v>42500</v>
      </c>
      <c r="G34" s="24">
        <v>-13968</v>
      </c>
      <c r="H34" s="15"/>
      <c r="I34" s="25"/>
      <c r="J34" s="25"/>
      <c r="K34" s="15"/>
    </row>
    <row r="35" spans="3:11" ht="12.75">
      <c r="C35" s="15"/>
      <c r="D35" s="15"/>
      <c r="E35" s="21">
        <v>42513</v>
      </c>
      <c r="G35" s="24">
        <v>-46268.99</v>
      </c>
      <c r="H35" s="15"/>
      <c r="I35" s="25"/>
      <c r="J35" s="25"/>
      <c r="K35" s="15"/>
    </row>
    <row r="36" spans="3:11" ht="12.75">
      <c r="C36" s="15"/>
      <c r="D36" s="15"/>
      <c r="E36" s="21">
        <v>42524</v>
      </c>
      <c r="G36" s="24">
        <v>-108446</v>
      </c>
      <c r="H36" s="15"/>
      <c r="I36" s="25"/>
      <c r="J36" s="25"/>
      <c r="K36" s="15"/>
    </row>
    <row r="37" spans="3:11" ht="12.75">
      <c r="C37" s="15"/>
      <c r="D37" s="15"/>
      <c r="E37" s="21">
        <v>42544</v>
      </c>
      <c r="G37" s="24">
        <v>-159662</v>
      </c>
      <c r="H37" s="15"/>
      <c r="I37" s="25"/>
      <c r="J37" s="25"/>
      <c r="K37" s="15"/>
    </row>
    <row r="38" spans="3:11" ht="12.75">
      <c r="C38" s="15"/>
      <c r="D38" s="15"/>
      <c r="E38" s="21">
        <v>42564</v>
      </c>
      <c r="G38" s="24">
        <v>-17460</v>
      </c>
      <c r="H38" s="15"/>
      <c r="I38" s="25"/>
      <c r="J38" s="25"/>
      <c r="K38" s="15"/>
    </row>
    <row r="39" spans="3:11" ht="12.75">
      <c r="C39" s="15"/>
      <c r="D39" s="15"/>
      <c r="E39" s="21">
        <v>42585</v>
      </c>
      <c r="G39" s="24">
        <v>-77697.02</v>
      </c>
      <c r="H39" s="15"/>
      <c r="I39" s="25"/>
      <c r="J39" s="25"/>
      <c r="K39" s="15"/>
    </row>
    <row r="40" spans="3:11" ht="12.75">
      <c r="C40" s="15"/>
      <c r="D40" s="15"/>
      <c r="E40" s="21">
        <v>42614</v>
      </c>
      <c r="G40" s="24">
        <v>-29633.49</v>
      </c>
      <c r="H40" s="15"/>
      <c r="I40" s="25"/>
      <c r="J40" s="25"/>
      <c r="K40" s="15"/>
    </row>
    <row r="41" spans="3:9" ht="12.75">
      <c r="C41" s="15"/>
      <c r="D41" s="15"/>
      <c r="E41" s="21">
        <v>42641</v>
      </c>
      <c r="G41" s="24">
        <v>-45396</v>
      </c>
      <c r="H41" s="15"/>
      <c r="I41" s="25"/>
    </row>
    <row r="42" spans="3:9" ht="12.75">
      <c r="C42" s="15"/>
      <c r="D42" s="15"/>
      <c r="E42" s="21">
        <v>42656</v>
      </c>
      <c r="G42" s="24">
        <v>-48451.50</v>
      </c>
      <c r="H42" s="15"/>
      <c r="I42" s="25"/>
    </row>
    <row r="43" spans="3:9" ht="12.75">
      <c r="C43" s="15"/>
      <c r="D43" s="15"/>
      <c r="E43" s="21">
        <v>42704</v>
      </c>
      <c r="G43" s="24">
        <v>-41564.50</v>
      </c>
      <c r="H43" s="15"/>
      <c r="I43" s="25"/>
    </row>
    <row r="44" spans="3:9" ht="12.75">
      <c r="C44" s="15"/>
      <c r="D44" s="15"/>
      <c r="E44" s="21">
        <v>42719</v>
      </c>
      <c r="G44" s="24">
        <v>-44620</v>
      </c>
      <c r="H44" s="15"/>
      <c r="I44" s="25"/>
    </row>
    <row r="45" spans="3:9" ht="12.75">
      <c r="C45" s="15"/>
      <c r="D45" s="15"/>
      <c r="E45" s="21">
        <v>42733</v>
      </c>
      <c r="G45" s="24">
        <v>-28857.49</v>
      </c>
      <c r="H45" s="15"/>
      <c r="I45" s="25"/>
    </row>
    <row r="46" spans="3:11" ht="12.75">
      <c r="C46" s="15" t="s">
        <v>78</v>
      </c>
      <c r="D46" s="15"/>
      <c r="E46" s="21">
        <v>42716</v>
      </c>
      <c r="G46" s="24">
        <v>37881.40</v>
      </c>
      <c r="H46" s="15"/>
      <c r="I46" s="25"/>
      <c r="J46" s="25"/>
      <c r="K46" s="15"/>
    </row>
    <row r="47" spans="3:11" ht="12.75">
      <c r="C47" s="15" t="s">
        <v>79</v>
      </c>
      <c r="D47" s="15"/>
      <c r="E47" s="21">
        <v>42754</v>
      </c>
      <c r="G47" s="24">
        <v>-28130</v>
      </c>
      <c r="H47" s="15"/>
      <c r="I47" s="25"/>
      <c r="J47" s="25"/>
      <c r="K47" s="15"/>
    </row>
    <row r="48" spans="3:11" ht="12.75">
      <c r="C48" s="15"/>
      <c r="D48" s="15"/>
      <c r="E48" s="21">
        <v>42765</v>
      </c>
      <c r="G48" s="24">
        <v>-28711.99</v>
      </c>
      <c r="H48" s="15"/>
      <c r="I48" s="25"/>
      <c r="J48" s="25"/>
      <c r="K48" s="15"/>
    </row>
    <row r="49" spans="3:11" ht="12.75">
      <c r="C49" s="15"/>
      <c r="D49" s="15"/>
      <c r="E49" s="21">
        <v>42773</v>
      </c>
      <c r="G49" s="24">
        <v>-48985</v>
      </c>
      <c r="H49" s="15"/>
      <c r="I49" s="25"/>
      <c r="J49" s="25"/>
      <c r="K49" s="15"/>
    </row>
    <row r="50" spans="3:11" ht="12.75">
      <c r="C50" s="15"/>
      <c r="D50" s="15"/>
      <c r="E50" s="21">
        <v>42797</v>
      </c>
      <c r="G50" s="24">
        <v>-68530.51</v>
      </c>
      <c r="H50" s="15"/>
      <c r="I50" s="25"/>
      <c r="J50" s="25"/>
      <c r="K50" s="15"/>
    </row>
    <row r="51" spans="3:11" ht="12.75">
      <c r="C51" s="15"/>
      <c r="D51" s="15"/>
      <c r="E51" s="21">
        <v>42817</v>
      </c>
      <c r="G51" s="24">
        <v>-40643</v>
      </c>
      <c r="H51" s="15"/>
      <c r="I51" s="25"/>
      <c r="J51" s="25"/>
      <c r="K51" s="15"/>
    </row>
    <row r="52" spans="3:11" ht="12.75">
      <c r="C52" s="15"/>
      <c r="D52" s="15"/>
      <c r="E52" s="21">
        <v>42828</v>
      </c>
      <c r="G52" s="24">
        <v>-35308</v>
      </c>
      <c r="H52" s="15"/>
      <c r="I52" s="25"/>
      <c r="J52" s="25"/>
      <c r="K52" s="15"/>
    </row>
    <row r="53" spans="3:11" ht="12.75">
      <c r="C53" s="15"/>
      <c r="D53" s="15"/>
      <c r="E53" s="21">
        <v>42851</v>
      </c>
      <c r="G53" s="24">
        <v>-154909</v>
      </c>
      <c r="H53" s="15"/>
      <c r="I53" s="25"/>
      <c r="J53" s="25"/>
      <c r="K53" s="15"/>
    </row>
    <row r="54" spans="3:11" ht="12.75">
      <c r="C54" s="15"/>
      <c r="D54" s="15"/>
      <c r="E54" s="21">
        <v>42863</v>
      </c>
      <c r="G54" s="24">
        <v>-32689.01</v>
      </c>
      <c r="H54" s="15"/>
      <c r="I54" s="25"/>
      <c r="J54" s="25"/>
      <c r="K54" s="15"/>
    </row>
    <row r="55" spans="3:9" ht="12.75">
      <c r="C55" s="15"/>
      <c r="D55" s="15"/>
      <c r="E55" s="21">
        <v>42878</v>
      </c>
      <c r="G55" s="24">
        <v>-36957</v>
      </c>
      <c r="H55" s="15"/>
      <c r="I55" s="25"/>
    </row>
    <row r="56" spans="3:9" ht="12.75">
      <c r="C56" s="15"/>
      <c r="D56" s="15"/>
      <c r="E56" s="21">
        <v>42893</v>
      </c>
      <c r="G56" s="24">
        <v>-69403.50</v>
      </c>
      <c r="H56" s="15"/>
      <c r="I56" s="25"/>
    </row>
    <row r="57" spans="3:9" ht="12.75">
      <c r="C57" s="15"/>
      <c r="D57" s="15"/>
      <c r="E57" s="21">
        <v>42907</v>
      </c>
      <c r="G57" s="24">
        <v>-36811.50</v>
      </c>
      <c r="H57" s="15"/>
      <c r="I57" s="25"/>
    </row>
    <row r="58" spans="3:9" ht="12.75">
      <c r="C58" s="15"/>
      <c r="D58" s="15"/>
      <c r="E58" s="21">
        <v>42915</v>
      </c>
      <c r="G58" s="24">
        <v>-84390</v>
      </c>
      <c r="H58" s="15"/>
      <c r="I58" s="25"/>
    </row>
    <row r="59" spans="3:9" ht="12.75">
      <c r="C59" s="15"/>
      <c r="D59" s="15"/>
      <c r="E59" s="21">
        <v>42927</v>
      </c>
      <c r="G59" s="24">
        <v>-30070</v>
      </c>
      <c r="H59" s="15"/>
      <c r="I59" s="25"/>
    </row>
    <row r="60" spans="3:9" ht="12.75">
      <c r="C60" s="15"/>
      <c r="D60" s="15"/>
      <c r="E60" s="21">
        <v>42957</v>
      </c>
      <c r="G60" s="24">
        <v>-46075</v>
      </c>
      <c r="H60" s="15"/>
      <c r="I60" s="25"/>
    </row>
    <row r="61" spans="3:9" ht="12.75">
      <c r="C61" s="15"/>
      <c r="D61" s="15"/>
      <c r="E61" s="21">
        <v>42970</v>
      </c>
      <c r="G61" s="24">
        <v>-99473.50</v>
      </c>
      <c r="H61" s="15"/>
      <c r="I61" s="25"/>
    </row>
    <row r="62" spans="3:11" ht="12.75">
      <c r="C62" s="15"/>
      <c r="D62" s="15"/>
      <c r="E62" s="21">
        <v>42993</v>
      </c>
      <c r="G62" s="24">
        <v>-35647.50</v>
      </c>
      <c r="H62" s="15"/>
      <c r="I62" s="25"/>
      <c r="J62" s="25"/>
      <c r="K62" s="15"/>
    </row>
    <row r="63" spans="3:11" ht="12.75">
      <c r="C63" s="15"/>
      <c r="D63" s="15"/>
      <c r="E63" s="21">
        <v>43000</v>
      </c>
      <c r="G63" s="24">
        <v>-51604</v>
      </c>
      <c r="H63" s="15"/>
      <c r="I63" s="25"/>
      <c r="J63" s="25"/>
      <c r="K63" s="15"/>
    </row>
    <row r="64" spans="3:11" ht="12.75">
      <c r="C64" s="15"/>
      <c r="D64" s="15"/>
      <c r="E64" s="21">
        <v>43012</v>
      </c>
      <c r="G64" s="24">
        <v>-51555.50</v>
      </c>
      <c r="H64" s="15"/>
      <c r="I64" s="25"/>
      <c r="J64" s="25"/>
      <c r="K64" s="15"/>
    </row>
    <row r="65" spans="3:12" ht="15.75">
      <c r="C65" s="15"/>
      <c r="D65" s="15"/>
      <c r="E65" s="21">
        <v>43027</v>
      </c>
      <c r="G65" s="24">
        <v>-50585.50</v>
      </c>
      <c r="H65" s="15"/>
      <c r="I65" s="25"/>
      <c r="J65" s="115"/>
      <c r="K65" s="116"/>
      <c r="L65" s="162"/>
    </row>
    <row r="66" spans="3:12" ht="12.75">
      <c r="C66" s="15"/>
      <c r="D66" s="15"/>
      <c r="E66" s="21">
        <v>43046</v>
      </c>
      <c r="G66" s="24">
        <v>-50876.49</v>
      </c>
      <c r="H66" s="15"/>
      <c r="I66" s="25"/>
      <c r="J66" s="115"/>
      <c r="K66" s="116"/>
      <c r="L66" s="57"/>
    </row>
    <row r="67" spans="3:12" ht="12.75">
      <c r="C67" s="15"/>
      <c r="D67" s="15"/>
      <c r="E67" s="21">
        <v>43056</v>
      </c>
      <c r="G67" s="24">
        <v>-47045</v>
      </c>
      <c r="H67" s="15"/>
      <c r="I67" s="25"/>
      <c r="J67" s="115"/>
      <c r="K67" s="116"/>
      <c r="L67" s="57"/>
    </row>
    <row r="68" spans="3:12" ht="12.75">
      <c r="C68" s="15"/>
      <c r="D68" s="15"/>
      <c r="E68" s="21">
        <v>43083</v>
      </c>
      <c r="G68" s="24">
        <v>-45493</v>
      </c>
      <c r="H68" s="15"/>
      <c r="I68" s="25"/>
      <c r="J68" s="115"/>
      <c r="K68" s="116"/>
      <c r="L68" s="57"/>
    </row>
    <row r="69" spans="3:12" ht="12.75">
      <c r="C69" s="15" t="s">
        <v>80</v>
      </c>
      <c r="D69" s="15"/>
      <c r="E69" s="21">
        <v>42780</v>
      </c>
      <c r="G69" s="24">
        <v>219636.89</v>
      </c>
      <c r="H69" s="15"/>
      <c r="I69" s="25"/>
      <c r="J69" s="115"/>
      <c r="K69" s="116"/>
      <c r="L69" s="57"/>
    </row>
    <row r="70" spans="3:12" ht="12.75">
      <c r="C70" s="15"/>
      <c r="D70" s="15"/>
      <c r="E70" s="21">
        <v>42822</v>
      </c>
      <c r="G70" s="24">
        <v>156941.24</v>
      </c>
      <c r="H70" s="15"/>
      <c r="I70" s="25"/>
      <c r="J70" s="115"/>
      <c r="K70" s="116"/>
      <c r="L70" s="169"/>
    </row>
    <row r="71" spans="3:12" ht="12.75">
      <c r="C71" s="15"/>
      <c r="D71" s="15"/>
      <c r="E71" s="21">
        <v>42906</v>
      </c>
      <c r="G71" s="24">
        <v>26826.13</v>
      </c>
      <c r="H71" s="15"/>
      <c r="I71" s="25"/>
      <c r="J71" s="115"/>
      <c r="K71" s="116"/>
      <c r="L71" s="169"/>
    </row>
    <row r="72" spans="3:12" ht="12.75">
      <c r="C72" s="15"/>
      <c r="D72" s="15"/>
      <c r="E72" s="21">
        <v>42970</v>
      </c>
      <c r="G72" s="24">
        <v>10515.41</v>
      </c>
      <c r="H72" s="15"/>
      <c r="I72" s="25"/>
      <c r="J72" s="115"/>
      <c r="K72" s="116"/>
      <c r="L72" s="169"/>
    </row>
    <row r="73" spans="3:11" ht="12.75">
      <c r="C73" s="15" t="s">
        <v>81</v>
      </c>
      <c r="D73" s="15"/>
      <c r="E73" s="21">
        <v>43104</v>
      </c>
      <c r="G73" s="24">
        <v>-42437.51</v>
      </c>
      <c r="H73" s="15"/>
      <c r="I73" s="25"/>
      <c r="J73" s="25"/>
      <c r="K73" s="15"/>
    </row>
    <row r="74" spans="3:11" ht="12.75">
      <c r="C74" s="15"/>
      <c r="D74" s="15"/>
      <c r="E74" s="21">
        <v>43157</v>
      </c>
      <c r="G74" s="24">
        <v>-40788.50</v>
      </c>
      <c r="H74" s="15"/>
      <c r="I74" s="25"/>
      <c r="J74" s="25"/>
      <c r="K74" s="15"/>
    </row>
    <row r="75" spans="3:11" ht="12.75">
      <c r="C75" s="15"/>
      <c r="D75" s="15"/>
      <c r="E75" s="21">
        <v>43181</v>
      </c>
      <c r="G75" s="24">
        <v>-112229</v>
      </c>
      <c r="H75" s="15"/>
      <c r="I75" s="25"/>
      <c r="J75" s="25"/>
      <c r="K75" s="15"/>
    </row>
    <row r="76" spans="3:11" ht="12.75">
      <c r="C76" s="15"/>
      <c r="D76" s="15"/>
      <c r="E76" s="21">
        <v>43256</v>
      </c>
      <c r="G76" s="24">
        <v>-45007.99</v>
      </c>
      <c r="H76" s="15"/>
      <c r="I76" s="25"/>
      <c r="J76" s="25"/>
      <c r="K76" s="15"/>
    </row>
    <row r="77" spans="3:11" ht="12.75">
      <c r="C77" s="15"/>
      <c r="D77" s="15"/>
      <c r="E77" s="21">
        <v>43278</v>
      </c>
      <c r="G77" s="24">
        <v>-35890.01</v>
      </c>
      <c r="H77" s="15"/>
      <c r="I77" s="25"/>
      <c r="J77" s="25"/>
      <c r="K77" s="15"/>
    </row>
    <row r="78" spans="3:11" ht="12.75">
      <c r="C78" s="15"/>
      <c r="D78" s="15"/>
      <c r="E78" s="21">
        <v>43336</v>
      </c>
      <c r="G78" s="24">
        <v>-46608.51</v>
      </c>
      <c r="H78" s="15"/>
      <c r="I78" s="25"/>
      <c r="J78" s="25"/>
      <c r="K78" s="15"/>
    </row>
    <row r="79" spans="3:11" ht="12.75">
      <c r="C79" s="15"/>
      <c r="D79" s="15"/>
      <c r="E79" s="21">
        <v>43367</v>
      </c>
      <c r="G79" s="24">
        <v>-79103.50</v>
      </c>
      <c r="H79" s="15"/>
      <c r="I79" s="25"/>
      <c r="J79" s="25"/>
      <c r="K79" s="15"/>
    </row>
    <row r="80" spans="3:11" ht="12.75">
      <c r="C80" s="15"/>
      <c r="D80" s="15"/>
      <c r="E80" s="21">
        <v>43439</v>
      </c>
      <c r="G80" s="24">
        <v>-49373</v>
      </c>
      <c r="H80" s="15"/>
      <c r="I80" s="25"/>
      <c r="J80" s="25"/>
      <c r="K80" s="15"/>
    </row>
    <row r="81" spans="3:11" ht="12.75">
      <c r="C81" s="15" t="s">
        <v>82</v>
      </c>
      <c r="D81" s="15"/>
      <c r="E81" s="21">
        <v>43167</v>
      </c>
      <c r="G81" s="24">
        <v>11812.57</v>
      </c>
      <c r="H81" s="15"/>
      <c r="I81" s="25"/>
      <c r="J81" s="25"/>
      <c r="K81" s="15"/>
    </row>
    <row r="82" spans="3:11" ht="12.75">
      <c r="C82" s="15"/>
      <c r="D82" s="15"/>
      <c r="E82" s="21">
        <v>43255</v>
      </c>
      <c r="G82" s="24">
        <v>29353.12</v>
      </c>
      <c r="H82" s="15"/>
      <c r="I82" s="25"/>
      <c r="J82" s="25"/>
      <c r="K82" s="15"/>
    </row>
    <row r="83" spans="3:11" ht="12.75">
      <c r="C83" s="15"/>
      <c r="D83" s="15"/>
      <c r="E83" s="21">
        <v>43444</v>
      </c>
      <c r="G83" s="24">
        <v>17341.60</v>
      </c>
      <c r="H83" s="15"/>
      <c r="I83" s="25"/>
      <c r="J83" s="25"/>
      <c r="K83" s="15"/>
    </row>
    <row r="84" spans="3:11" ht="12.75">
      <c r="C84" s="15" t="s">
        <v>83</v>
      </c>
      <c r="D84" s="15"/>
      <c r="E84" s="21">
        <v>43481</v>
      </c>
      <c r="F84" s="24"/>
      <c r="G84" s="24">
        <v>-28129.99</v>
      </c>
      <c r="H84" s="15"/>
      <c r="I84" s="25"/>
      <c r="J84" s="25"/>
      <c r="K84" s="15"/>
    </row>
    <row r="85" spans="4:11" ht="12.75">
      <c r="D85" s="15"/>
      <c r="E85" s="21">
        <v>43544</v>
      </c>
      <c r="F85" s="24"/>
      <c r="G85" s="24">
        <v>-31137</v>
      </c>
      <c r="H85" s="15"/>
      <c r="I85" s="25"/>
      <c r="J85" s="25"/>
      <c r="K85" s="15"/>
    </row>
    <row r="86" spans="4:11" ht="12.75">
      <c r="D86" s="15"/>
      <c r="E86" s="21">
        <v>43591</v>
      </c>
      <c r="F86" s="24"/>
      <c r="G86" s="24">
        <v>-27790.50</v>
      </c>
      <c r="H86" s="15"/>
      <c r="I86" s="25"/>
      <c r="J86" s="25"/>
      <c r="K86" s="15"/>
    </row>
    <row r="87" spans="4:11" ht="12.75">
      <c r="D87" s="15"/>
      <c r="E87" s="21">
        <v>43675</v>
      </c>
      <c r="F87" s="24"/>
      <c r="G87" s="24">
        <v>-43456</v>
      </c>
      <c r="H87" s="15"/>
      <c r="I87" s="25"/>
      <c r="J87" s="25"/>
      <c r="K87" s="15"/>
    </row>
    <row r="88" spans="4:11" ht="12.75">
      <c r="D88" s="15"/>
      <c r="E88" s="21">
        <v>43707</v>
      </c>
      <c r="F88" s="24"/>
      <c r="G88" s="24">
        <v>-74593</v>
      </c>
      <c r="H88" s="15"/>
      <c r="I88" s="25"/>
      <c r="J88" s="25"/>
      <c r="K88" s="15"/>
    </row>
    <row r="89" spans="4:11" ht="12.75">
      <c r="D89" s="15"/>
      <c r="E89" s="21">
        <v>43769</v>
      </c>
      <c r="F89" s="24"/>
      <c r="G89" s="24">
        <v>-34192.50</v>
      </c>
      <c r="H89" s="15"/>
      <c r="I89" s="25"/>
      <c r="J89" s="25"/>
      <c r="K89" s="15"/>
    </row>
    <row r="90" spans="4:11" ht="12.75">
      <c r="D90" s="15"/>
      <c r="E90" s="21">
        <v>43804</v>
      </c>
      <c r="F90" s="24"/>
      <c r="G90" s="24">
        <v>-34144</v>
      </c>
      <c r="H90" s="15"/>
      <c r="I90" s="25"/>
      <c r="J90" s="25"/>
      <c r="K90" s="15"/>
    </row>
    <row r="91" spans="3:11" ht="12.75">
      <c r="C91" s="15" t="s">
        <v>84</v>
      </c>
      <c r="D91" s="15"/>
      <c r="E91" s="21">
        <v>43550</v>
      </c>
      <c r="F91" s="24"/>
      <c r="G91" s="24">
        <v>9634.96</v>
      </c>
      <c r="H91" s="15"/>
      <c r="I91" s="25"/>
      <c r="J91" s="25"/>
      <c r="K91" s="15"/>
    </row>
    <row r="92" spans="3:11" ht="12.75">
      <c r="C92" s="15"/>
      <c r="D92" s="15"/>
      <c r="E92" s="21">
        <v>43629</v>
      </c>
      <c r="F92" s="24"/>
      <c r="G92" s="24">
        <v>10836.58</v>
      </c>
      <c r="H92" s="15"/>
      <c r="I92" s="25"/>
      <c r="J92" s="25"/>
      <c r="K92" s="15"/>
    </row>
    <row r="93" spans="3:11" ht="12.75">
      <c r="C93" s="15"/>
      <c r="D93" s="15"/>
      <c r="E93" s="21">
        <v>43760</v>
      </c>
      <c r="F93" s="24"/>
      <c r="G93" s="24">
        <v>60129.25</v>
      </c>
      <c r="H93" s="15"/>
      <c r="I93" s="25"/>
      <c r="J93" s="25"/>
      <c r="K93" s="15"/>
    </row>
    <row r="94" spans="3:11" ht="12.75">
      <c r="C94" s="15"/>
      <c r="D94" s="15"/>
      <c r="E94" s="21">
        <v>43816</v>
      </c>
      <c r="F94" s="24"/>
      <c r="G94" s="24">
        <v>11437.15</v>
      </c>
      <c r="H94" s="15"/>
      <c r="I94" s="25"/>
      <c r="J94" s="25"/>
      <c r="K94" s="15"/>
    </row>
    <row r="95" spans="3:11" ht="12.75">
      <c r="C95" s="15" t="s">
        <v>16</v>
      </c>
      <c r="D95" s="15"/>
      <c r="E95" s="21">
        <v>43896</v>
      </c>
      <c r="F95" s="24"/>
      <c r="G95" s="24">
        <v>-21146</v>
      </c>
      <c r="H95" s="15"/>
      <c r="I95" s="25"/>
      <c r="J95" s="25"/>
      <c r="K95" s="15"/>
    </row>
    <row r="96" spans="3:11" ht="12.75">
      <c r="C96" s="15"/>
      <c r="D96" s="15"/>
      <c r="E96" s="21">
        <v>43922</v>
      </c>
      <c r="F96" s="24"/>
      <c r="G96" s="24">
        <v>-15811</v>
      </c>
      <c r="H96" s="15"/>
      <c r="I96" s="25"/>
      <c r="J96" s="25"/>
      <c r="K96" s="15"/>
    </row>
    <row r="97" spans="3:11" ht="12.75">
      <c r="C97" s="15"/>
      <c r="D97" s="15"/>
      <c r="E97" s="21">
        <v>43979</v>
      </c>
      <c r="F97" s="24"/>
      <c r="G97" s="24">
        <v>-20612.50</v>
      </c>
      <c r="H97" s="15"/>
      <c r="I97" s="25"/>
      <c r="J97" s="25"/>
      <c r="K97" s="15"/>
    </row>
    <row r="98" spans="3:11" ht="12.75">
      <c r="C98" s="15"/>
      <c r="D98" s="15"/>
      <c r="E98" s="21">
        <v>44015</v>
      </c>
      <c r="F98" s="24"/>
      <c r="G98" s="24">
        <v>-17896.50</v>
      </c>
      <c r="H98" s="15"/>
      <c r="I98" s="25"/>
      <c r="J98" s="25"/>
      <c r="K98" s="15"/>
    </row>
    <row r="99" spans="3:11" ht="12.75">
      <c r="C99" s="15"/>
      <c r="D99" s="15"/>
      <c r="E99" s="21">
        <v>44109</v>
      </c>
      <c r="F99" s="24"/>
      <c r="G99" s="24">
        <v>-12658.50</v>
      </c>
      <c r="H99" s="15"/>
      <c r="I99" s="25"/>
      <c r="J99" s="25"/>
      <c r="K99" s="15"/>
    </row>
    <row r="100" spans="3:11" ht="12.75">
      <c r="C100" s="15"/>
      <c r="D100" s="15"/>
      <c r="E100" s="21">
        <v>44160</v>
      </c>
      <c r="F100" s="24"/>
      <c r="G100" s="24">
        <v>-24007.50</v>
      </c>
      <c r="H100" s="15"/>
      <c r="I100" s="25"/>
      <c r="J100" s="25"/>
      <c r="K100" s="15"/>
    </row>
    <row r="101" spans="3:11" ht="12.75">
      <c r="C101" s="15" t="s">
        <v>85</v>
      </c>
      <c r="D101" s="15"/>
      <c r="E101" s="21">
        <v>43885</v>
      </c>
      <c r="F101" s="24"/>
      <c r="G101" s="24">
        <v>36192.72</v>
      </c>
      <c r="H101" s="15"/>
      <c r="I101" s="25"/>
      <c r="J101" s="25"/>
      <c r="K101" s="15"/>
    </row>
    <row r="102" spans="3:11" ht="12.75">
      <c r="C102" s="15"/>
      <c r="D102" s="15"/>
      <c r="E102" s="21">
        <v>44082</v>
      </c>
      <c r="F102" s="24"/>
      <c r="G102" s="24">
        <v>21489.23</v>
      </c>
      <c r="H102" s="15"/>
      <c r="I102" s="25"/>
      <c r="J102" s="25"/>
      <c r="K102" s="15"/>
    </row>
    <row r="103" spans="3:11" ht="12.75">
      <c r="C103" s="15" t="s">
        <v>41</v>
      </c>
      <c r="D103" s="15"/>
      <c r="E103" s="21">
        <v>44201</v>
      </c>
      <c r="F103" s="24"/>
      <c r="G103" s="24">
        <v>-12804</v>
      </c>
      <c r="H103" s="15"/>
      <c r="I103" s="25"/>
      <c r="J103" s="25"/>
      <c r="K103" s="15"/>
    </row>
    <row r="104" spans="3:11" ht="12.75">
      <c r="C104" s="15"/>
      <c r="D104" s="15"/>
      <c r="E104" s="21">
        <v>44246</v>
      </c>
      <c r="F104" s="24"/>
      <c r="G104" s="24">
        <v>-72750</v>
      </c>
      <c r="H104" s="15"/>
      <c r="I104" s="25"/>
      <c r="J104" s="25"/>
      <c r="K104" s="15"/>
    </row>
    <row r="105" spans="3:11" ht="12.75">
      <c r="C105" s="15"/>
      <c r="D105" s="15"/>
      <c r="E105" s="21">
        <v>44267</v>
      </c>
      <c r="F105" s="24"/>
      <c r="G105" s="24">
        <v>-7226.50</v>
      </c>
      <c r="H105" s="15"/>
      <c r="I105" s="25"/>
      <c r="J105" s="25"/>
      <c r="K105" s="15"/>
    </row>
    <row r="106" spans="3:11" ht="12.75">
      <c r="C106" s="15"/>
      <c r="D106" s="15"/>
      <c r="E106" s="21">
        <v>44285</v>
      </c>
      <c r="F106" s="24"/>
      <c r="G106" s="24">
        <v>-9118</v>
      </c>
      <c r="H106" s="15"/>
      <c r="I106" s="25"/>
      <c r="J106" s="25"/>
      <c r="K106" s="15"/>
    </row>
    <row r="107" spans="3:11" ht="12.75">
      <c r="C107" s="15"/>
      <c r="D107" s="15"/>
      <c r="E107" s="21">
        <v>44308</v>
      </c>
      <c r="F107" s="24"/>
      <c r="G107" s="24">
        <v>-24153</v>
      </c>
      <c r="H107" s="15"/>
      <c r="I107" s="25"/>
      <c r="J107" s="25"/>
      <c r="K107" s="15"/>
    </row>
    <row r="108" spans="3:11" ht="12.75">
      <c r="C108" s="15"/>
      <c r="D108" s="15"/>
      <c r="E108" s="21">
        <v>44348</v>
      </c>
      <c r="F108" s="24"/>
      <c r="G108" s="24">
        <v>-53495.50</v>
      </c>
      <c r="H108" s="15"/>
      <c r="I108" s="25"/>
      <c r="J108" s="25"/>
      <c r="K108" s="15"/>
    </row>
    <row r="109" spans="3:11" ht="12.75">
      <c r="C109" s="15"/>
      <c r="D109" s="15"/>
      <c r="E109" s="21">
        <v>44467</v>
      </c>
      <c r="F109" s="24"/>
      <c r="G109" s="24">
        <v>-7857</v>
      </c>
      <c r="H109" s="15"/>
      <c r="I109" s="25"/>
      <c r="J109" s="25"/>
      <c r="K109" s="15"/>
    </row>
    <row r="110" spans="3:11" ht="12.75">
      <c r="C110" s="15"/>
      <c r="D110" s="15"/>
      <c r="E110" s="21">
        <v>44546</v>
      </c>
      <c r="F110" s="24"/>
      <c r="G110" s="24">
        <v>-35890</v>
      </c>
      <c r="H110" s="15"/>
      <c r="I110" s="25"/>
      <c r="J110" s="25"/>
      <c r="K110" s="15"/>
    </row>
    <row r="111" spans="3:11" ht="12.75">
      <c r="C111" s="15" t="s">
        <v>71</v>
      </c>
      <c r="D111" s="15"/>
      <c r="E111" s="21">
        <v>44217</v>
      </c>
      <c r="F111" s="24"/>
      <c r="G111" s="24">
        <v>33239.26</v>
      </c>
      <c r="H111" s="15"/>
      <c r="I111" s="25"/>
      <c r="J111" s="25"/>
      <c r="K111" s="15"/>
    </row>
    <row r="112" spans="3:11" ht="12.75">
      <c r="C112" s="15"/>
      <c r="D112" s="15"/>
      <c r="E112" s="21">
        <v>44256</v>
      </c>
      <c r="F112" s="24"/>
      <c r="G112" s="24">
        <v>276993.05</v>
      </c>
      <c r="H112" s="15"/>
      <c r="I112" s="25"/>
      <c r="J112" s="25"/>
      <c r="K112" s="15"/>
    </row>
    <row r="113" spans="3:11" ht="12.75">
      <c r="C113" s="15"/>
      <c r="D113" s="15"/>
      <c r="E113" s="21">
        <v>44279</v>
      </c>
      <c r="F113" s="24"/>
      <c r="G113" s="24">
        <v>59234.92</v>
      </c>
      <c r="H113" s="15"/>
      <c r="I113" s="25"/>
      <c r="J113" s="25"/>
      <c r="K113" s="15"/>
    </row>
    <row r="114" spans="3:11" ht="12.75">
      <c r="C114" s="15"/>
      <c r="D114" s="15"/>
      <c r="E114" s="21">
        <v>44295</v>
      </c>
      <c r="F114" s="24"/>
      <c r="G114" s="24">
        <v>77499.69</v>
      </c>
      <c r="H114" s="15"/>
      <c r="I114" s="25"/>
      <c r="J114" s="25"/>
      <c r="K114" s="15"/>
    </row>
    <row r="115" spans="3:11" ht="12.75">
      <c r="C115" s="15"/>
      <c r="D115" s="15"/>
      <c r="E115" s="21">
        <v>44371</v>
      </c>
      <c r="F115" s="24"/>
      <c r="G115" s="24">
        <v>10182.89</v>
      </c>
      <c r="H115" s="15"/>
      <c r="I115" s="25"/>
      <c r="J115" s="25"/>
      <c r="K115" s="15"/>
    </row>
    <row r="116" spans="3:11" ht="12.75">
      <c r="C116" s="15"/>
      <c r="D116" s="15"/>
      <c r="E116" s="21">
        <v>44386</v>
      </c>
      <c r="F116" s="24"/>
      <c r="G116" s="24">
        <v>18470.01</v>
      </c>
      <c r="H116" s="15"/>
      <c r="I116" s="25"/>
      <c r="J116" s="25"/>
      <c r="K116" s="15"/>
    </row>
    <row r="117" spans="3:11" ht="12.75">
      <c r="C117" s="15"/>
      <c r="D117" s="15"/>
      <c r="E117" s="21">
        <v>44417</v>
      </c>
      <c r="F117" s="24"/>
      <c r="G117" s="24">
        <v>20081.81</v>
      </c>
      <c r="H117" s="15"/>
      <c r="I117" s="25"/>
      <c r="J117" s="25"/>
      <c r="K117" s="15"/>
    </row>
    <row r="118" spans="3:11" ht="12.75">
      <c r="C118" s="15"/>
      <c r="D118" s="15"/>
      <c r="E118" s="21">
        <v>44446</v>
      </c>
      <c r="F118" s="24"/>
      <c r="G118" s="24">
        <v>19372.30</v>
      </c>
      <c r="H118" s="15"/>
      <c r="I118" s="25"/>
      <c r="J118" s="25"/>
      <c r="K118" s="15"/>
    </row>
    <row r="119" spans="3:11" ht="12.75">
      <c r="C119" s="15"/>
      <c r="D119" s="15"/>
      <c r="E119" s="21">
        <v>44473</v>
      </c>
      <c r="F119" s="24"/>
      <c r="G119" s="24">
        <v>30429</v>
      </c>
      <c r="H119" s="15"/>
      <c r="I119" s="25"/>
      <c r="J119" s="25"/>
      <c r="K119" s="15"/>
    </row>
    <row r="120" spans="3:11" ht="12.75">
      <c r="C120" s="15"/>
      <c r="D120" s="15"/>
      <c r="E120" s="21">
        <v>44489</v>
      </c>
      <c r="F120" s="24"/>
      <c r="G120" s="24">
        <v>79017.88</v>
      </c>
      <c r="H120" s="15"/>
      <c r="I120" s="25"/>
      <c r="J120" s="25"/>
      <c r="K120" s="15"/>
    </row>
    <row r="121" spans="3:11" ht="12.75">
      <c r="C121" s="15"/>
      <c r="D121" s="15"/>
      <c r="E121" s="21">
        <v>44496</v>
      </c>
      <c r="F121" s="24"/>
      <c r="G121" s="24">
        <v>162908.57</v>
      </c>
      <c r="H121" s="15"/>
      <c r="I121" s="25"/>
      <c r="J121" s="25"/>
      <c r="K121" s="15"/>
    </row>
    <row r="122" spans="3:11" ht="12.75">
      <c r="C122" s="15"/>
      <c r="D122" s="15"/>
      <c r="E122" s="21">
        <v>44505</v>
      </c>
      <c r="F122" s="24"/>
      <c r="G122" s="24">
        <v>16441.85</v>
      </c>
      <c r="H122" s="15"/>
      <c r="I122" s="25"/>
      <c r="J122" s="25"/>
      <c r="K122" s="15"/>
    </row>
    <row r="123" spans="3:11" ht="12.75">
      <c r="C123" s="15"/>
      <c r="D123" s="15"/>
      <c r="E123" s="21">
        <v>44547</v>
      </c>
      <c r="F123" s="24"/>
      <c r="G123" s="24">
        <v>124440.06</v>
      </c>
      <c r="H123" s="15"/>
      <c r="I123" s="25"/>
      <c r="J123" s="25"/>
      <c r="K123" s="15"/>
    </row>
    <row r="124" spans="3:11" ht="12.75">
      <c r="C124" s="15" t="s">
        <v>72</v>
      </c>
      <c r="D124" s="15"/>
      <c r="E124" s="21">
        <v>44585</v>
      </c>
      <c r="F124" s="24"/>
      <c r="G124" s="24">
        <v>-14889.50</v>
      </c>
      <c r="H124" s="15"/>
      <c r="I124" s="25"/>
      <c r="J124" s="25"/>
      <c r="K124" s="15"/>
    </row>
    <row r="125" spans="3:11" ht="12.75">
      <c r="C125" s="15"/>
      <c r="D125" s="15"/>
      <c r="E125" s="21">
        <v>44630</v>
      </c>
      <c r="F125" s="24"/>
      <c r="G125" s="24">
        <v>-17945</v>
      </c>
      <c r="H125" s="15"/>
      <c r="I125" s="25"/>
      <c r="J125" s="25"/>
      <c r="K125" s="15"/>
    </row>
    <row r="126" spans="3:11" ht="12.75">
      <c r="C126" s="15"/>
      <c r="D126" s="15"/>
      <c r="E126" s="21">
        <v>44741</v>
      </c>
      <c r="F126" s="24"/>
      <c r="G126" s="24">
        <v>-7566</v>
      </c>
      <c r="H126" s="15"/>
      <c r="I126" s="25"/>
      <c r="J126" s="25"/>
      <c r="K126" s="15"/>
    </row>
    <row r="127" spans="3:11" ht="12.75">
      <c r="C127" s="15"/>
      <c r="D127" s="15"/>
      <c r="E127" s="21">
        <v>44830</v>
      </c>
      <c r="F127" s="24"/>
      <c r="G127" s="24">
        <v>-7420.50</v>
      </c>
      <c r="H127" s="15"/>
      <c r="I127" s="25"/>
      <c r="J127" s="25"/>
      <c r="K127" s="15"/>
    </row>
    <row r="128" spans="3:11" ht="12.75">
      <c r="C128" s="15"/>
      <c r="D128" s="15"/>
      <c r="E128" s="21">
        <v>44925</v>
      </c>
      <c r="F128" s="24"/>
      <c r="G128" s="24">
        <v>-12222</v>
      </c>
      <c r="H128" s="15"/>
      <c r="I128" s="25"/>
      <c r="J128" s="25"/>
      <c r="K128" s="15"/>
    </row>
    <row r="129" spans="3:11" ht="12.75">
      <c r="C129" s="15" t="s">
        <v>73</v>
      </c>
      <c r="D129" s="15"/>
      <c r="E129" s="21">
        <v>44580</v>
      </c>
      <c r="F129" s="24"/>
      <c r="G129" s="24">
        <v>195953.50</v>
      </c>
      <c r="H129" s="15"/>
      <c r="I129" s="25"/>
      <c r="J129" s="25"/>
      <c r="K129" s="15"/>
    </row>
    <row r="130" spans="3:11" ht="12.75">
      <c r="C130" s="15"/>
      <c r="D130" s="15"/>
      <c r="E130" s="21">
        <v>44595</v>
      </c>
      <c r="F130" s="24"/>
      <c r="G130" s="24">
        <v>75341.20</v>
      </c>
      <c r="H130" s="15"/>
      <c r="I130" s="25"/>
      <c r="J130" s="25"/>
      <c r="K130" s="15"/>
    </row>
    <row r="131" spans="3:11" ht="12.75">
      <c r="C131" s="15"/>
      <c r="D131" s="15"/>
      <c r="E131" s="21">
        <v>44630</v>
      </c>
      <c r="F131" s="24"/>
      <c r="G131" s="24">
        <v>105615.95</v>
      </c>
      <c r="H131" s="15"/>
      <c r="I131" s="25"/>
      <c r="J131" s="25"/>
      <c r="K131" s="15"/>
    </row>
    <row r="132" spans="3:11" ht="12.75">
      <c r="C132" s="15"/>
      <c r="D132" s="15"/>
      <c r="E132" s="21">
        <v>44655</v>
      </c>
      <c r="F132" s="24"/>
      <c r="G132" s="24">
        <v>191736.38</v>
      </c>
      <c r="H132" s="15"/>
      <c r="I132" s="25"/>
      <c r="J132" s="25"/>
      <c r="K132" s="15"/>
    </row>
    <row r="133" spans="3:11" ht="12.75">
      <c r="C133" s="15"/>
      <c r="D133" s="15"/>
      <c r="E133" s="21">
        <v>44690</v>
      </c>
      <c r="F133" s="24"/>
      <c r="G133" s="24">
        <v>95616.97</v>
      </c>
      <c r="H133" s="15"/>
      <c r="I133" s="25"/>
      <c r="J133" s="25"/>
      <c r="K133" s="15"/>
    </row>
    <row r="134" spans="3:11" ht="12.75">
      <c r="C134" s="15"/>
      <c r="D134" s="15"/>
      <c r="E134" s="21">
        <v>44714</v>
      </c>
      <c r="F134" s="24"/>
      <c r="G134" s="24">
        <v>143347.05</v>
      </c>
      <c r="H134" s="15"/>
      <c r="I134" s="25"/>
      <c r="J134" s="25"/>
      <c r="K134" s="15"/>
    </row>
    <row r="135" spans="3:11" ht="12.75">
      <c r="C135" s="15"/>
      <c r="D135" s="15"/>
      <c r="E135" s="21">
        <v>44754</v>
      </c>
      <c r="F135" s="24"/>
      <c r="G135" s="24">
        <v>138214.31</v>
      </c>
      <c r="H135" s="15"/>
      <c r="I135" s="25"/>
      <c r="J135" s="25"/>
      <c r="K135" s="15"/>
    </row>
    <row r="136" spans="3:11" ht="12.75">
      <c r="C136" s="15"/>
      <c r="D136" s="15"/>
      <c r="E136" s="21">
        <v>44782</v>
      </c>
      <c r="F136" s="24"/>
      <c r="G136" s="24">
        <v>41814.62</v>
      </c>
      <c r="H136" s="15"/>
      <c r="I136" s="25"/>
      <c r="J136" s="25"/>
      <c r="K136" s="15"/>
    </row>
    <row r="137" spans="3:11" ht="12.75">
      <c r="C137" s="15"/>
      <c r="D137" s="15"/>
      <c r="E137" s="21">
        <v>44806</v>
      </c>
      <c r="F137" s="24"/>
      <c r="G137" s="24">
        <v>123851.67</v>
      </c>
      <c r="H137" s="15"/>
      <c r="I137" s="25"/>
      <c r="J137" s="25"/>
      <c r="K137" s="15"/>
    </row>
    <row r="138" spans="3:11" ht="12.75">
      <c r="C138" s="15"/>
      <c r="D138" s="15"/>
      <c r="E138" s="21">
        <v>44846</v>
      </c>
      <c r="F138" s="24"/>
      <c r="G138" s="24">
        <v>103742.78</v>
      </c>
      <c r="H138" s="15"/>
      <c r="I138" s="25"/>
      <c r="J138" s="25"/>
      <c r="K138" s="15"/>
    </row>
    <row r="139" spans="3:11" ht="12.75">
      <c r="C139" s="15"/>
      <c r="D139" s="15"/>
      <c r="E139" s="21">
        <v>44868</v>
      </c>
      <c r="F139" s="24"/>
      <c r="G139" s="24">
        <v>50764.98</v>
      </c>
      <c r="H139" s="15"/>
      <c r="I139" s="25"/>
      <c r="J139" s="25"/>
      <c r="K139" s="15"/>
    </row>
    <row r="140" spans="3:11" ht="12.75">
      <c r="C140" s="15"/>
      <c r="D140" s="15"/>
      <c r="E140" s="21">
        <v>44901</v>
      </c>
      <c r="F140" s="24"/>
      <c r="G140" s="24">
        <v>33198.13</v>
      </c>
      <c r="H140" s="15"/>
      <c r="I140" s="25"/>
      <c r="J140" s="25"/>
      <c r="K140" s="15"/>
    </row>
    <row r="141" spans="3:11" ht="12.75">
      <c r="C141" s="15" t="s">
        <v>74</v>
      </c>
      <c r="D141" s="15"/>
      <c r="E141" s="21">
        <v>44965</v>
      </c>
      <c r="F141" s="24"/>
      <c r="G141" s="24">
        <v>-12125</v>
      </c>
      <c r="H141" s="15"/>
      <c r="I141" s="25"/>
      <c r="J141" s="25"/>
      <c r="K141" s="15"/>
    </row>
    <row r="142" spans="3:11" ht="12.75">
      <c r="C142" s="15"/>
      <c r="D142" s="15"/>
      <c r="E142" s="21">
        <v>45009</v>
      </c>
      <c r="F142" s="24"/>
      <c r="G142" s="24">
        <v>-7275</v>
      </c>
      <c r="H142" s="15"/>
      <c r="I142" s="25"/>
      <c r="J142" s="25"/>
      <c r="K142" s="15"/>
    </row>
    <row r="143" spans="3:11" ht="12.75">
      <c r="C143" s="15"/>
      <c r="D143" s="15"/>
      <c r="E143" s="21">
        <v>45022</v>
      </c>
      <c r="F143" s="24"/>
      <c r="G143" s="24">
        <v>-8584.50</v>
      </c>
      <c r="H143" s="15"/>
      <c r="I143" s="25"/>
      <c r="J143" s="25"/>
      <c r="K143" s="15"/>
    </row>
    <row r="144" spans="3:11" ht="12.75">
      <c r="C144" s="15"/>
      <c r="D144" s="15"/>
      <c r="E144" s="21">
        <v>45084</v>
      </c>
      <c r="F144" s="24"/>
      <c r="G144" s="24">
        <v>-20515.50</v>
      </c>
      <c r="H144" s="15"/>
      <c r="I144" s="25"/>
      <c r="J144" s="25"/>
      <c r="K144" s="15"/>
    </row>
    <row r="145" spans="3:11" ht="12.75">
      <c r="C145" s="15" t="s">
        <v>75</v>
      </c>
      <c r="D145" s="15"/>
      <c r="E145" s="21">
        <v>44937</v>
      </c>
      <c r="F145" s="24"/>
      <c r="G145" s="24">
        <v>45190.86</v>
      </c>
      <c r="H145" s="15"/>
      <c r="I145" s="25"/>
      <c r="J145" s="25"/>
      <c r="K145" s="15"/>
    </row>
    <row r="146" spans="3:11" ht="12.75">
      <c r="C146" s="15"/>
      <c r="D146" s="15"/>
      <c r="E146" s="21">
        <v>44960</v>
      </c>
      <c r="F146" s="24"/>
      <c r="G146" s="24">
        <v>21940.34</v>
      </c>
      <c r="H146" s="15"/>
      <c r="I146" s="25"/>
      <c r="J146" s="25"/>
      <c r="K146" s="15"/>
    </row>
    <row r="147" spans="3:11" ht="12.75">
      <c r="C147" s="15"/>
      <c r="D147" s="15"/>
      <c r="E147" s="21">
        <v>44994</v>
      </c>
      <c r="F147" s="24"/>
      <c r="G147" s="24">
        <v>51513.14</v>
      </c>
      <c r="H147" s="15"/>
      <c r="I147" s="25"/>
      <c r="J147" s="25"/>
      <c r="K147" s="15"/>
    </row>
    <row r="148" spans="3:11" ht="12.75">
      <c r="C148" s="15"/>
      <c r="D148" s="15"/>
      <c r="E148" s="21">
        <v>45030</v>
      </c>
      <c r="F148" s="24"/>
      <c r="G148" s="24">
        <v>501714.97</v>
      </c>
      <c r="H148" s="15"/>
      <c r="I148" s="25"/>
      <c r="J148" s="25"/>
      <c r="K148" s="15"/>
    </row>
    <row r="149" spans="3:11" ht="12.75">
      <c r="C149" s="15"/>
      <c r="D149" s="15"/>
      <c r="E149" s="21">
        <v>45049</v>
      </c>
      <c r="F149" s="24"/>
      <c r="G149" s="24">
        <v>40930.68</v>
      </c>
      <c r="H149" s="15"/>
      <c r="I149" s="25"/>
      <c r="J149" s="25"/>
      <c r="K149" s="15"/>
    </row>
    <row r="150" spans="3:11" ht="12.75">
      <c r="C150" s="15"/>
      <c r="D150" s="15"/>
      <c r="E150" s="21">
        <v>45091</v>
      </c>
      <c r="F150" s="24"/>
      <c r="G150" s="24">
        <v>391060.28</v>
      </c>
      <c r="H150" s="15"/>
      <c r="I150" s="25"/>
      <c r="J150" s="25"/>
      <c r="K150" s="15"/>
    </row>
    <row r="151" spans="3:10" ht="4.5" customHeight="1">
      <c r="C151" s="15"/>
      <c r="D151" s="15"/>
      <c r="E151" s="21"/>
      <c r="F151" s="15"/>
      <c r="G151" s="24"/>
      <c r="H151" s="15"/>
      <c r="I151" s="25"/>
      <c r="J151" s="25"/>
    </row>
    <row r="152" spans="3:12" ht="12.75">
      <c r="C152" s="15" t="s">
        <v>5</v>
      </c>
      <c r="D152" s="15"/>
      <c r="E152" s="21">
        <f>+E8</f>
        <v>45107</v>
      </c>
      <c r="F152" s="15"/>
      <c r="G152" s="46">
        <f>L152*C22</f>
        <v>2352658.5042097243</v>
      </c>
      <c r="H152" s="15"/>
      <c r="I152" s="21"/>
      <c r="L152" s="57">
        <v>235519222</v>
      </c>
    </row>
    <row r="153" spans="3:8" ht="12.75">
      <c r="C153" s="15"/>
      <c r="D153" s="15"/>
      <c r="E153" s="15"/>
      <c r="F153" s="15"/>
      <c r="G153" s="15"/>
      <c r="H153" s="15"/>
    </row>
    <row r="154" spans="3:11" ht="12.75">
      <c r="C154" s="14" t="s">
        <v>0</v>
      </c>
      <c r="G154" s="29">
        <f>+XIRR(G24:G152,E24:E152,0.1)</f>
        <v>0.15421505570411684</v>
      </c>
      <c r="H154" s="15"/>
      <c r="J154" s="24">
        <f>+SUMIF($G$24:$G$151,"&lt;0",$G$24:$G$151)+49946.86</f>
        <v>-3368871.16</v>
      </c>
      <c r="K154" s="15" t="s">
        <v>14</v>
      </c>
    </row>
    <row r="155" spans="3:11" ht="12.75">
      <c r="C155" s="15"/>
      <c r="D155" s="15"/>
      <c r="E155" s="15"/>
      <c r="F155" s="15"/>
      <c r="G155" s="15"/>
      <c r="H155" s="15"/>
      <c r="J155" s="24">
        <f>+SUMIF($G$24:$G$151,"&gt;0",$G$24:$G$151)-49946.86</f>
        <v>3939887.35</v>
      </c>
      <c r="K155" s="15" t="s">
        <v>15</v>
      </c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52"/>
      <c r="D157" s="52"/>
      <c r="E157" s="53"/>
      <c r="F157" s="15"/>
      <c r="G157" s="53"/>
      <c r="H157" s="15"/>
    </row>
    <row r="158" spans="3:8" ht="12.75">
      <c r="C158" s="52"/>
      <c r="D158" s="52"/>
      <c r="E158" s="53"/>
      <c r="F158" s="52"/>
      <c r="G158" s="53"/>
      <c r="H158" s="15"/>
    </row>
    <row r="159" spans="3:8" ht="12.75">
      <c r="C159" s="52"/>
      <c r="D159" s="52"/>
      <c r="E159" s="53"/>
      <c r="F159" s="52"/>
      <c r="G159" s="53"/>
      <c r="H159" s="15"/>
    </row>
    <row r="160" spans="3:8" ht="12.75">
      <c r="C160" s="52"/>
      <c r="D160" s="52"/>
      <c r="E160" s="52"/>
      <c r="F160" s="52"/>
      <c r="G160" s="52"/>
      <c r="H160" s="14"/>
    </row>
    <row r="161" spans="3:8" ht="12.75">
      <c r="C161" s="52"/>
      <c r="D161" s="52"/>
      <c r="E161" s="53"/>
      <c r="F161" s="53"/>
      <c r="G161" s="53"/>
      <c r="H161" s="14"/>
    </row>
    <row r="162" spans="3:8" ht="12.75">
      <c r="C162" s="52"/>
      <c r="D162" s="52"/>
      <c r="E162" s="52"/>
      <c r="F162" s="52"/>
      <c r="G162" s="52"/>
      <c r="H162" s="14"/>
    </row>
    <row r="163" spans="3:8" ht="12.75">
      <c r="C163" s="170"/>
      <c r="D163" s="170"/>
      <c r="E163" s="171"/>
      <c r="F163" s="70"/>
      <c r="G163" s="58"/>
      <c r="H163" s="15"/>
    </row>
    <row r="164" spans="3:8" ht="12.75">
      <c r="C164" s="170"/>
      <c r="D164" s="170"/>
      <c r="E164" s="70"/>
      <c r="F164" s="70"/>
      <c r="G164" s="70"/>
      <c r="H164" s="15"/>
    </row>
    <row r="165" spans="3:8" ht="12.75">
      <c r="C165" s="170"/>
      <c r="D165" s="170"/>
      <c r="E165" s="70"/>
      <c r="F165" s="70"/>
      <c r="G165" s="70"/>
      <c r="H165" s="15"/>
    </row>
    <row r="166" spans="3:8" ht="12.75">
      <c r="C166" s="172"/>
      <c r="D166" s="170"/>
      <c r="E166" s="70"/>
      <c r="F166" s="70"/>
      <c r="G166" s="70"/>
      <c r="H166" s="15"/>
    </row>
    <row r="167" spans="3:8" ht="12.75">
      <c r="C167" s="172"/>
      <c r="D167" s="170"/>
      <c r="E167" s="70"/>
      <c r="F167" s="70"/>
      <c r="G167" s="70"/>
      <c r="H167" s="15"/>
    </row>
    <row r="168" spans="3:8" ht="12.75">
      <c r="C168" s="173"/>
      <c r="D168" s="170"/>
      <c r="E168" s="70"/>
      <c r="F168" s="70"/>
      <c r="G168" s="70"/>
      <c r="H168" s="15"/>
    </row>
    <row r="169" spans="3:8" ht="12.75">
      <c r="C169" s="170"/>
      <c r="D169" s="170"/>
      <c r="E169" s="70"/>
      <c r="F169" s="70"/>
      <c r="G169" s="70"/>
      <c r="H169" s="15"/>
    </row>
    <row r="170" spans="3:8" ht="12.75">
      <c r="C170" s="170"/>
      <c r="D170" s="170"/>
      <c r="E170" s="70"/>
      <c r="F170" s="70"/>
      <c r="G170" s="70"/>
      <c r="H170" s="15"/>
    </row>
    <row r="171" spans="3:8" ht="12.75">
      <c r="C171" s="170"/>
      <c r="D171" s="170"/>
      <c r="E171" s="70"/>
      <c r="F171" s="70"/>
      <c r="G171" s="70"/>
      <c r="H171" s="15"/>
    </row>
    <row r="172" spans="3:8" ht="12.75">
      <c r="C172" s="170"/>
      <c r="D172" s="170"/>
      <c r="E172" s="70"/>
      <c r="F172" s="70"/>
      <c r="G172" s="70"/>
      <c r="H172" s="15"/>
    </row>
    <row r="173" spans="3:8" ht="12.75">
      <c r="C173" s="170"/>
      <c r="D173" s="170"/>
      <c r="E173" s="70"/>
      <c r="F173" s="70"/>
      <c r="G173" s="70"/>
      <c r="H173" s="15"/>
    </row>
    <row r="174" spans="3:8" ht="12.75">
      <c r="C174" s="170"/>
      <c r="D174" s="170"/>
      <c r="E174" s="70"/>
      <c r="F174" s="70"/>
      <c r="G174" s="70"/>
      <c r="H174" s="15"/>
    </row>
    <row r="175" spans="3:8" ht="4.9" customHeight="1">
      <c r="C175" s="15"/>
      <c r="D175" s="15"/>
      <c r="E175" s="15"/>
      <c r="F175" s="15"/>
      <c r="G175" s="15"/>
      <c r="H175" s="15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8A8743-F2B3-46D2-B1F5-FFB8BB2CB0AD}">
  <sheetPr>
    <pageSetUpPr fitToPage="1"/>
  </sheetPr>
  <dimension ref="B4:O152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12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9" ht="12.75">
      <c r="C13" s="163"/>
      <c r="D13" s="163"/>
      <c r="E13" s="167"/>
      <c r="F13" s="163"/>
      <c r="G13" s="57"/>
      <c r="H13" s="8"/>
      <c r="I13" s="12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G116</f>
        <v>0.18790022730827333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-(G114+J117)/J116</f>
        <v>1.5264786370221115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55"/>
    </row>
    <row r="22" spans="3:13" ht="12.75">
      <c r="C22" s="22">
        <f>2000000/6961190721.65</f>
        <v>2.8730716912837915E-4</v>
      </c>
      <c r="D22" s="15"/>
      <c r="E22" s="15"/>
      <c r="F22" s="15"/>
      <c r="G22" s="23"/>
      <c r="H22" s="15"/>
      <c r="I22" s="15"/>
      <c r="J22" s="115"/>
      <c r="K22" s="116"/>
      <c r="L22" s="57"/>
      <c r="M22" s="160"/>
    </row>
    <row r="23" spans="3:14" ht="12.75">
      <c r="C23" s="15"/>
      <c r="D23" s="15"/>
      <c r="E23" s="21"/>
      <c r="F23" s="24"/>
      <c r="G23" s="24"/>
      <c r="H23" s="15"/>
      <c r="I23" s="25"/>
      <c r="J23" s="115"/>
      <c r="K23" s="116"/>
      <c r="L23" s="57"/>
      <c r="M23" s="160"/>
      <c r="N23" s="45"/>
    </row>
    <row r="24" spans="3:15" ht="12.75">
      <c r="C24" s="15" t="s">
        <v>79</v>
      </c>
      <c r="D24" s="15"/>
      <c r="E24" s="21">
        <v>42933</v>
      </c>
      <c r="F24" s="24"/>
      <c r="G24" s="24">
        <v>-33800</v>
      </c>
      <c r="H24" s="15"/>
      <c r="I24" s="25"/>
      <c r="J24" s="115"/>
      <c r="K24" s="116"/>
      <c r="L24" s="57"/>
      <c r="M24" s="160"/>
      <c r="N24" s="117"/>
      <c r="O24" s="169"/>
    </row>
    <row r="25" spans="3:15" ht="12.75">
      <c r="C25" s="15"/>
      <c r="D25" s="15"/>
      <c r="E25" s="21">
        <v>43010</v>
      </c>
      <c r="F25" s="24"/>
      <c r="G25" s="24">
        <v>-8200</v>
      </c>
      <c r="H25" s="15"/>
      <c r="I25" s="25"/>
      <c r="J25" s="115"/>
      <c r="K25" s="116"/>
      <c r="L25" s="57"/>
      <c r="M25" s="160"/>
      <c r="N25" s="117"/>
      <c r="O25" s="169"/>
    </row>
    <row r="26" spans="3:15" ht="12.75">
      <c r="C26" s="15"/>
      <c r="D26" s="15"/>
      <c r="E26" s="21">
        <v>43052</v>
      </c>
      <c r="F26" s="24"/>
      <c r="G26" s="24">
        <v>-3600</v>
      </c>
      <c r="H26" s="15"/>
      <c r="I26" s="25"/>
      <c r="J26" s="115"/>
      <c r="K26" s="116"/>
      <c r="L26" s="191"/>
      <c r="M26" s="45"/>
      <c r="N26" s="117"/>
      <c r="O26" s="169"/>
    </row>
    <row r="27" spans="3:15" ht="12.75">
      <c r="C27" s="15"/>
      <c r="D27" s="15"/>
      <c r="E27" s="21">
        <v>43087</v>
      </c>
      <c r="F27" s="24"/>
      <c r="G27" s="24">
        <v>-15835.83</v>
      </c>
      <c r="H27" s="15"/>
      <c r="I27" s="25"/>
      <c r="J27" s="115"/>
      <c r="K27" s="169"/>
      <c r="L27" s="169"/>
      <c r="N27" s="117"/>
      <c r="O27" s="169"/>
    </row>
    <row r="28" spans="3:15" ht="12.75">
      <c r="C28" s="15"/>
      <c r="D28" s="15"/>
      <c r="E28" s="21">
        <v>43096</v>
      </c>
      <c r="F28" s="24"/>
      <c r="G28" s="24">
        <v>-9710.99</v>
      </c>
      <c r="H28" s="15"/>
      <c r="I28" s="25"/>
      <c r="J28" s="115"/>
      <c r="K28" s="116"/>
      <c r="L28" s="169"/>
      <c r="N28" s="117"/>
      <c r="O28" s="169"/>
    </row>
    <row r="29" spans="3:15" ht="12.75">
      <c r="C29" s="15" t="s">
        <v>81</v>
      </c>
      <c r="D29" s="15"/>
      <c r="E29" s="21">
        <v>43182</v>
      </c>
      <c r="F29" s="24"/>
      <c r="G29" s="24">
        <v>-70246.61</v>
      </c>
      <c r="H29" s="15"/>
      <c r="I29" s="25"/>
      <c r="J29" s="25"/>
      <c r="K29" s="15"/>
      <c r="N29" s="117"/>
      <c r="O29" s="169"/>
    </row>
    <row r="30" spans="3:15" ht="12.75">
      <c r="C30" s="15"/>
      <c r="D30" s="15"/>
      <c r="E30" s="21">
        <v>43276</v>
      </c>
      <c r="F30" s="24"/>
      <c r="G30" s="24">
        <v>-24938.27</v>
      </c>
      <c r="H30" s="15"/>
      <c r="I30" s="25"/>
      <c r="J30" s="25"/>
      <c r="K30" s="15"/>
      <c r="N30" s="117"/>
      <c r="O30" s="169"/>
    </row>
    <row r="31" spans="3:15" ht="12.75">
      <c r="C31" s="15"/>
      <c r="D31" s="15"/>
      <c r="E31" s="21">
        <v>43363</v>
      </c>
      <c r="F31" s="24"/>
      <c r="G31" s="24">
        <v>-18588.78</v>
      </c>
      <c r="H31" s="15"/>
      <c r="I31" s="25"/>
      <c r="J31" s="25"/>
      <c r="K31" s="15"/>
      <c r="N31" s="117"/>
      <c r="O31" s="169"/>
    </row>
    <row r="32" spans="3:15" ht="12.75">
      <c r="C32" s="15"/>
      <c r="D32" s="15"/>
      <c r="E32" s="21">
        <v>43398</v>
      </c>
      <c r="F32" s="24"/>
      <c r="G32" s="24">
        <v>-16290.31</v>
      </c>
      <c r="H32" s="15"/>
      <c r="I32" s="25"/>
      <c r="J32" s="25"/>
      <c r="K32" s="15"/>
      <c r="N32" s="117"/>
      <c r="O32" s="169"/>
    </row>
    <row r="33" spans="3:15" ht="12.75">
      <c r="C33" s="15"/>
      <c r="D33" s="15"/>
      <c r="E33" s="21">
        <v>43433</v>
      </c>
      <c r="F33" s="24"/>
      <c r="G33" s="24">
        <v>-13216.14</v>
      </c>
      <c r="H33" s="15"/>
      <c r="I33" s="25"/>
      <c r="J33" s="25"/>
      <c r="K33" s="15"/>
      <c r="N33" s="117"/>
      <c r="O33" s="169"/>
    </row>
    <row r="34" spans="3:15" ht="12.75">
      <c r="C34" s="15" t="s">
        <v>83</v>
      </c>
      <c r="D34" s="15"/>
      <c r="E34" s="21">
        <v>43468</v>
      </c>
      <c r="F34" s="24"/>
      <c r="G34" s="24">
        <v>-22438.69</v>
      </c>
      <c r="H34" s="15"/>
      <c r="I34" s="25"/>
      <c r="J34" s="25"/>
      <c r="K34" s="15"/>
      <c r="N34" s="117"/>
      <c r="O34" s="169"/>
    </row>
    <row r="35" spans="3:15" ht="12.75">
      <c r="C35" s="15"/>
      <c r="D35" s="15"/>
      <c r="E35" s="21">
        <v>43495</v>
      </c>
      <c r="F35" s="24"/>
      <c r="G35" s="24">
        <v>-36976.44</v>
      </c>
      <c r="H35" s="15"/>
      <c r="I35" s="25"/>
      <c r="J35" s="25"/>
      <c r="K35" s="15"/>
      <c r="N35" s="117"/>
      <c r="O35" s="169"/>
    </row>
    <row r="36" spans="3:15" ht="12.75">
      <c r="C36" s="15"/>
      <c r="D36" s="15"/>
      <c r="E36" s="21">
        <v>43510</v>
      </c>
      <c r="F36" s="24"/>
      <c r="G36" s="24">
        <v>-14853.79</v>
      </c>
      <c r="H36" s="15"/>
      <c r="I36" s="25"/>
      <c r="J36" s="25"/>
      <c r="K36" s="15"/>
      <c r="N36" s="117"/>
      <c r="O36" s="169"/>
    </row>
    <row r="37" spans="3:15" ht="12.75">
      <c r="C37" s="15"/>
      <c r="D37" s="15"/>
      <c r="E37" s="21">
        <v>43559</v>
      </c>
      <c r="F37" s="24"/>
      <c r="G37" s="24">
        <v>-20599.93</v>
      </c>
      <c r="H37" s="15"/>
      <c r="I37" s="25"/>
      <c r="J37" s="25"/>
      <c r="K37" s="15"/>
      <c r="N37" s="117"/>
      <c r="O37" s="169"/>
    </row>
    <row r="38" spans="3:15" ht="12.75">
      <c r="C38" s="15"/>
      <c r="D38" s="15"/>
      <c r="E38" s="21">
        <v>43593</v>
      </c>
      <c r="F38" s="24"/>
      <c r="G38" s="24">
        <v>-20542.46</v>
      </c>
      <c r="H38" s="15"/>
      <c r="I38" s="25"/>
      <c r="J38" s="25"/>
      <c r="K38" s="15"/>
      <c r="N38" s="117"/>
      <c r="O38" s="169"/>
    </row>
    <row r="39" spans="3:15" ht="12.75">
      <c r="C39" s="15"/>
      <c r="D39" s="15"/>
      <c r="E39" s="21">
        <v>43642</v>
      </c>
      <c r="F39" s="24"/>
      <c r="G39" s="24">
        <v>-32810.49</v>
      </c>
      <c r="H39" s="15"/>
      <c r="I39" s="25"/>
      <c r="J39" s="25"/>
      <c r="K39" s="15"/>
      <c r="N39" s="117"/>
      <c r="O39" s="169"/>
    </row>
    <row r="40" spans="3:15" ht="12.75">
      <c r="C40" s="15"/>
      <c r="D40" s="15"/>
      <c r="E40" s="21">
        <v>43656</v>
      </c>
      <c r="F40" s="24"/>
      <c r="G40" s="24">
        <v>-24363.64</v>
      </c>
      <c r="H40" s="15"/>
      <c r="I40" s="25"/>
      <c r="J40" s="25"/>
      <c r="K40" s="15"/>
      <c r="N40" s="117"/>
      <c r="O40" s="169"/>
    </row>
    <row r="41" spans="3:15" ht="12.75">
      <c r="C41" s="15"/>
      <c r="D41" s="15"/>
      <c r="E41" s="21">
        <v>43684</v>
      </c>
      <c r="F41" s="24"/>
      <c r="G41" s="24">
        <v>-21260.73</v>
      </c>
      <c r="H41" s="15"/>
      <c r="I41" s="25"/>
      <c r="J41" s="25"/>
      <c r="K41" s="15"/>
      <c r="N41" s="117"/>
      <c r="O41" s="169"/>
    </row>
    <row r="42" spans="3:15" ht="12.75">
      <c r="C42" s="15"/>
      <c r="D42" s="15"/>
      <c r="E42" s="21">
        <v>43768</v>
      </c>
      <c r="F42" s="24"/>
      <c r="G42" s="24">
        <v>-21030.88</v>
      </c>
      <c r="H42" s="15"/>
      <c r="I42" s="25"/>
      <c r="J42" s="25"/>
      <c r="K42" s="15"/>
      <c r="N42" s="117"/>
      <c r="O42" s="169"/>
    </row>
    <row r="43" spans="3:15" ht="12.75">
      <c r="C43" s="15"/>
      <c r="D43" s="15"/>
      <c r="E43" s="21">
        <v>43817</v>
      </c>
      <c r="F43" s="24"/>
      <c r="G43" s="24">
        <v>-161696.48</v>
      </c>
      <c r="H43" s="15"/>
      <c r="I43" s="25"/>
      <c r="J43" s="25"/>
      <c r="K43" s="15"/>
      <c r="N43" s="117"/>
      <c r="O43" s="169"/>
    </row>
    <row r="44" spans="3:15" ht="12.75">
      <c r="C44" s="15" t="s">
        <v>16</v>
      </c>
      <c r="D44" s="15"/>
      <c r="E44" s="21">
        <v>44006</v>
      </c>
      <c r="F44" s="24"/>
      <c r="G44" s="24">
        <v>-11980.70</v>
      </c>
      <c r="H44" s="15"/>
      <c r="I44" s="25"/>
      <c r="J44" s="25"/>
      <c r="K44" s="15"/>
      <c r="N44" s="117"/>
      <c r="O44" s="169"/>
    </row>
    <row r="45" spans="3:15" ht="12.75">
      <c r="C45" s="15"/>
      <c r="D45" s="15"/>
      <c r="E45" s="21">
        <v>44026</v>
      </c>
      <c r="F45" s="24"/>
      <c r="G45" s="24">
        <v>-29621.37</v>
      </c>
      <c r="H45" s="15"/>
      <c r="I45" s="25"/>
      <c r="J45" s="25"/>
      <c r="K45" s="15"/>
      <c r="N45" s="117"/>
      <c r="O45" s="169"/>
    </row>
    <row r="46" spans="3:15" ht="12.75">
      <c r="C46" s="15"/>
      <c r="D46" s="15"/>
      <c r="E46" s="21">
        <v>44106</v>
      </c>
      <c r="F46" s="24"/>
      <c r="G46" s="24">
        <v>-10170.67</v>
      </c>
      <c r="H46" s="15"/>
      <c r="I46" s="25"/>
      <c r="J46" s="25"/>
      <c r="K46" s="15"/>
      <c r="N46" s="117"/>
      <c r="O46" s="169"/>
    </row>
    <row r="47" spans="3:15" ht="12.75">
      <c r="C47" s="15"/>
      <c r="D47" s="15"/>
      <c r="E47" s="21">
        <v>44182</v>
      </c>
      <c r="F47" s="24"/>
      <c r="G47" s="24">
        <v>-41228.58</v>
      </c>
      <c r="H47" s="15"/>
      <c r="I47" s="25"/>
      <c r="J47" s="25"/>
      <c r="K47" s="15"/>
      <c r="N47" s="117"/>
      <c r="O47" s="169"/>
    </row>
    <row r="48" spans="3:15" ht="12.75">
      <c r="C48" s="15"/>
      <c r="D48" s="15"/>
      <c r="E48" s="21">
        <v>44188</v>
      </c>
      <c r="F48" s="24"/>
      <c r="G48" s="24">
        <v>-9596.06</v>
      </c>
      <c r="H48" s="15"/>
      <c r="I48" s="25"/>
      <c r="J48" s="25"/>
      <c r="K48" s="15"/>
      <c r="N48" s="117"/>
      <c r="O48" s="169"/>
    </row>
    <row r="49" spans="3:15" ht="12.75">
      <c r="C49" s="15" t="s">
        <v>41</v>
      </c>
      <c r="D49" s="15"/>
      <c r="E49" s="21">
        <v>44246</v>
      </c>
      <c r="F49" s="24"/>
      <c r="G49" s="24">
        <v>-8849.07</v>
      </c>
      <c r="H49" s="15"/>
      <c r="I49" s="25"/>
      <c r="J49" s="25"/>
      <c r="K49" s="15"/>
      <c r="N49" s="117"/>
      <c r="O49" s="169"/>
    </row>
    <row r="50" spans="3:15" ht="12.75">
      <c r="C50" s="15"/>
      <c r="D50" s="15"/>
      <c r="E50" s="21">
        <v>44250</v>
      </c>
      <c r="F50" s="24"/>
      <c r="G50" s="24">
        <v>-9337.48</v>
      </c>
      <c r="H50" s="15"/>
      <c r="I50" s="25"/>
      <c r="J50" s="25"/>
      <c r="K50" s="15"/>
      <c r="N50" s="117"/>
      <c r="O50" s="169"/>
    </row>
    <row r="51" spans="3:15" ht="12.75">
      <c r="C51" s="15"/>
      <c r="D51" s="15"/>
      <c r="E51" s="21">
        <v>44274</v>
      </c>
      <c r="F51" s="24"/>
      <c r="G51" s="24">
        <v>-14710.13</v>
      </c>
      <c r="H51" s="15"/>
      <c r="I51" s="25"/>
      <c r="J51" s="25"/>
      <c r="K51" s="15"/>
      <c r="N51" s="117"/>
      <c r="O51" s="169"/>
    </row>
    <row r="52" spans="3:15" ht="12.75">
      <c r="C52" s="15"/>
      <c r="D52" s="15"/>
      <c r="E52" s="21">
        <v>44305</v>
      </c>
      <c r="F52" s="24"/>
      <c r="G52" s="24">
        <v>-163880.01</v>
      </c>
      <c r="H52" s="15"/>
      <c r="I52" s="25"/>
      <c r="J52" s="25"/>
      <c r="K52" s="15"/>
      <c r="N52" s="117"/>
      <c r="O52" s="169"/>
    </row>
    <row r="53" spans="3:15" ht="12.75">
      <c r="C53" s="15"/>
      <c r="D53" s="15"/>
      <c r="E53" s="21">
        <v>44362</v>
      </c>
      <c r="F53" s="24"/>
      <c r="G53" s="24">
        <v>25713.99</v>
      </c>
      <c r="H53" s="15"/>
      <c r="I53" s="25"/>
      <c r="J53" s="25"/>
      <c r="K53" s="15"/>
      <c r="N53" s="117"/>
      <c r="O53" s="169"/>
    </row>
    <row r="54" spans="3:15" ht="12.75">
      <c r="C54" s="15"/>
      <c r="D54" s="15"/>
      <c r="E54" s="21">
        <v>44400</v>
      </c>
      <c r="F54" s="24"/>
      <c r="G54" s="24">
        <v>-20111.50</v>
      </c>
      <c r="H54" s="15"/>
      <c r="I54" s="25"/>
      <c r="J54" s="25"/>
      <c r="K54" s="15"/>
      <c r="N54" s="117"/>
      <c r="O54" s="169"/>
    </row>
    <row r="55" spans="3:15" ht="12.75">
      <c r="C55" s="15"/>
      <c r="D55" s="15"/>
      <c r="E55" s="21">
        <v>44407</v>
      </c>
      <c r="F55" s="24"/>
      <c r="G55" s="24">
        <v>-21548.04</v>
      </c>
      <c r="H55" s="15"/>
      <c r="I55" s="25"/>
      <c r="J55" s="25"/>
      <c r="K55" s="15"/>
      <c r="N55" s="117"/>
      <c r="O55" s="169"/>
    </row>
    <row r="56" spans="3:15" ht="12.75">
      <c r="C56" s="15"/>
      <c r="D56" s="15"/>
      <c r="E56" s="21">
        <v>44440</v>
      </c>
      <c r="F56" s="24"/>
      <c r="G56" s="24">
        <v>-10285.59</v>
      </c>
      <c r="H56" s="15"/>
      <c r="I56" s="25"/>
      <c r="J56" s="25"/>
      <c r="K56" s="15"/>
      <c r="N56" s="117"/>
      <c r="O56" s="169"/>
    </row>
    <row r="57" spans="3:15" ht="12.75">
      <c r="C57" s="15"/>
      <c r="D57" s="15"/>
      <c r="E57" s="21">
        <v>44453</v>
      </c>
      <c r="F57" s="24"/>
      <c r="G57" s="24">
        <v>-16979.85</v>
      </c>
      <c r="H57" s="15"/>
      <c r="I57" s="25"/>
      <c r="J57" s="25"/>
      <c r="K57" s="15"/>
      <c r="N57" s="117"/>
      <c r="O57" s="169"/>
    </row>
    <row r="58" spans="3:15" ht="12.75">
      <c r="C58" s="15"/>
      <c r="D58" s="15"/>
      <c r="E58" s="21">
        <v>44473</v>
      </c>
      <c r="F58" s="24"/>
      <c r="G58" s="24">
        <v>-10831.48</v>
      </c>
      <c r="H58" s="15"/>
      <c r="I58" s="25"/>
      <c r="J58" s="25"/>
      <c r="K58" s="15"/>
      <c r="N58" s="117"/>
      <c r="O58" s="169"/>
    </row>
    <row r="59" spans="3:15" ht="12.75">
      <c r="C59" s="15"/>
      <c r="D59" s="15"/>
      <c r="E59" s="21">
        <v>44496</v>
      </c>
      <c r="F59" s="24"/>
      <c r="G59" s="24">
        <v>-12354.21</v>
      </c>
      <c r="H59" s="15"/>
      <c r="I59" s="25"/>
      <c r="J59" s="25"/>
      <c r="K59" s="15"/>
      <c r="N59" s="117"/>
      <c r="O59" s="169"/>
    </row>
    <row r="60" spans="3:15" ht="12.75">
      <c r="C60" s="15"/>
      <c r="D60" s="15"/>
      <c r="E60" s="21">
        <v>44537</v>
      </c>
      <c r="F60" s="24"/>
      <c r="G60" s="24">
        <v>-48928.42</v>
      </c>
      <c r="H60" s="15"/>
      <c r="I60" s="25"/>
      <c r="J60" s="25"/>
      <c r="K60" s="15"/>
      <c r="N60" s="117"/>
      <c r="O60" s="169"/>
    </row>
    <row r="61" spans="3:15" ht="12.75">
      <c r="C61" s="15"/>
      <c r="D61" s="15"/>
      <c r="E61" s="21">
        <v>44550</v>
      </c>
      <c r="F61" s="24"/>
      <c r="G61" s="24">
        <v>-115928.44</v>
      </c>
      <c r="H61" s="15"/>
      <c r="I61" s="25"/>
      <c r="J61" s="25"/>
      <c r="K61" s="15"/>
      <c r="N61" s="117"/>
      <c r="O61" s="169"/>
    </row>
    <row r="62" spans="3:15" ht="12.75">
      <c r="C62" s="15" t="s">
        <v>71</v>
      </c>
      <c r="D62" s="15"/>
      <c r="E62" s="21">
        <v>44396</v>
      </c>
      <c r="F62" s="24"/>
      <c r="G62" s="24">
        <v>5204.69</v>
      </c>
      <c r="H62" s="15"/>
      <c r="I62" s="25"/>
      <c r="J62" s="25"/>
      <c r="K62" s="15"/>
      <c r="N62" s="117"/>
      <c r="O62" s="169"/>
    </row>
    <row r="63" spans="3:15" ht="12.75">
      <c r="C63" s="15"/>
      <c r="D63" s="15"/>
      <c r="E63" s="21">
        <v>44476</v>
      </c>
      <c r="F63" s="24"/>
      <c r="G63" s="24">
        <v>4954.93</v>
      </c>
      <c r="H63" s="15"/>
      <c r="I63" s="25"/>
      <c r="J63" s="25"/>
      <c r="K63" s="15"/>
      <c r="N63" s="117"/>
      <c r="O63" s="169"/>
    </row>
    <row r="64" spans="3:15" ht="12.75">
      <c r="C64" s="15"/>
      <c r="D64" s="15"/>
      <c r="E64" s="21">
        <v>44512</v>
      </c>
      <c r="F64" s="24"/>
      <c r="G64" s="24">
        <v>15882.82</v>
      </c>
      <c r="H64" s="15"/>
      <c r="I64" s="25"/>
      <c r="J64" s="25"/>
      <c r="K64" s="15"/>
      <c r="N64" s="117"/>
      <c r="O64" s="169"/>
    </row>
    <row r="65" spans="3:15" ht="12.75">
      <c r="C65" s="15" t="s">
        <v>72</v>
      </c>
      <c r="D65" s="15"/>
      <c r="E65" s="21">
        <v>44565</v>
      </c>
      <c r="F65" s="24"/>
      <c r="G65" s="24">
        <v>-5717.42</v>
      </c>
      <c r="H65" s="15"/>
      <c r="I65" s="25"/>
      <c r="J65" s="25"/>
      <c r="K65" s="15"/>
      <c r="N65" s="117"/>
      <c r="O65" s="169"/>
    </row>
    <row r="66" spans="3:15" ht="12.75">
      <c r="C66" s="15"/>
      <c r="D66" s="15"/>
      <c r="E66" s="21">
        <v>44602</v>
      </c>
      <c r="F66" s="24"/>
      <c r="G66" s="24">
        <v>-17669.40</v>
      </c>
      <c r="H66" s="15"/>
      <c r="I66" s="25"/>
      <c r="J66" s="25"/>
      <c r="K66" s="15"/>
      <c r="N66" s="117"/>
      <c r="O66" s="169"/>
    </row>
    <row r="67" spans="3:15" ht="12.75">
      <c r="C67" s="15"/>
      <c r="D67" s="15"/>
      <c r="E67" s="21">
        <v>44628</v>
      </c>
      <c r="F67" s="24"/>
      <c r="G67" s="24">
        <v>-13158.66</v>
      </c>
      <c r="H67" s="15"/>
      <c r="I67" s="25"/>
      <c r="J67" s="25"/>
      <c r="K67" s="15"/>
      <c r="N67" s="117"/>
      <c r="O67" s="169"/>
    </row>
    <row r="68" spans="3:15" ht="12.75">
      <c r="C68" s="15"/>
      <c r="D68" s="15"/>
      <c r="E68" s="21">
        <v>44641</v>
      </c>
      <c r="F68" s="24"/>
      <c r="G68" s="24">
        <v>-86192.15</v>
      </c>
      <c r="H68" s="15"/>
      <c r="I68" s="25"/>
      <c r="J68" s="25"/>
      <c r="K68" s="15"/>
      <c r="N68" s="117"/>
      <c r="O68" s="169"/>
    </row>
    <row r="69" spans="3:15" ht="12.75">
      <c r="C69" s="15"/>
      <c r="D69" s="15"/>
      <c r="E69" s="21">
        <v>44645</v>
      </c>
      <c r="F69" s="24"/>
      <c r="G69" s="24">
        <v>-186088.86</v>
      </c>
      <c r="H69" s="15"/>
      <c r="I69" s="25"/>
      <c r="J69" s="25"/>
      <c r="K69" s="15"/>
      <c r="N69" s="117"/>
      <c r="O69" s="169"/>
    </row>
    <row r="70" spans="3:15" ht="12.75">
      <c r="C70" s="15"/>
      <c r="D70" s="15"/>
      <c r="E70" s="21">
        <v>44670</v>
      </c>
      <c r="F70" s="24"/>
      <c r="G70" s="24">
        <v>77659.12</v>
      </c>
      <c r="H70" s="15"/>
      <c r="I70" s="25"/>
      <c r="J70" s="25"/>
      <c r="K70" s="15"/>
      <c r="N70" s="117"/>
      <c r="O70" s="169"/>
    </row>
    <row r="71" spans="3:15" ht="12.75">
      <c r="C71" s="15"/>
      <c r="D71" s="15"/>
      <c r="E71" s="21">
        <v>44694</v>
      </c>
      <c r="F71" s="24"/>
      <c r="G71" s="24">
        <v>-3936.11</v>
      </c>
      <c r="H71" s="15"/>
      <c r="I71" s="25"/>
      <c r="J71" s="25"/>
      <c r="K71" s="15"/>
      <c r="N71" s="117"/>
      <c r="O71" s="169"/>
    </row>
    <row r="72" spans="3:15" ht="12.75">
      <c r="C72" s="15"/>
      <c r="D72" s="15"/>
      <c r="E72" s="21">
        <v>44701</v>
      </c>
      <c r="F72" s="24"/>
      <c r="G72" s="24">
        <v>-10027.02</v>
      </c>
      <c r="H72" s="15"/>
      <c r="I72" s="25"/>
      <c r="J72" s="25"/>
      <c r="K72" s="15"/>
      <c r="N72" s="117"/>
      <c r="O72" s="169"/>
    </row>
    <row r="73" spans="3:15" ht="12.75">
      <c r="C73" s="15"/>
      <c r="D73" s="15"/>
      <c r="E73" s="21">
        <v>44727</v>
      </c>
      <c r="F73" s="24"/>
      <c r="G73" s="24">
        <v>-32207.13</v>
      </c>
      <c r="H73" s="15"/>
      <c r="I73" s="25"/>
      <c r="J73" s="25"/>
      <c r="K73" s="15"/>
      <c r="N73" s="117"/>
      <c r="O73" s="169"/>
    </row>
    <row r="74" spans="3:15" ht="12.75">
      <c r="C74" s="15"/>
      <c r="D74" s="15"/>
      <c r="E74" s="21">
        <v>44750</v>
      </c>
      <c r="F74" s="24"/>
      <c r="G74" s="24">
        <v>-31316.48</v>
      </c>
      <c r="H74" s="15"/>
      <c r="I74" s="25"/>
      <c r="J74" s="25"/>
      <c r="K74" s="15"/>
      <c r="N74" s="117"/>
      <c r="O74" s="169"/>
    </row>
    <row r="75" spans="3:15" ht="12.75">
      <c r="C75" s="15"/>
      <c r="D75" s="15"/>
      <c r="E75" s="21">
        <v>44764</v>
      </c>
      <c r="F75" s="24"/>
      <c r="G75" s="24">
        <v>-4539.45</v>
      </c>
      <c r="H75" s="15"/>
      <c r="I75" s="25"/>
      <c r="J75" s="25"/>
      <c r="K75" s="15"/>
      <c r="N75" s="117"/>
      <c r="O75" s="169"/>
    </row>
    <row r="76" spans="3:15" ht="12.75">
      <c r="C76" s="15"/>
      <c r="D76" s="15"/>
      <c r="E76" s="21">
        <v>44790</v>
      </c>
      <c r="F76" s="24"/>
      <c r="G76" s="24">
        <v>-5343.92</v>
      </c>
      <c r="H76" s="15"/>
      <c r="I76" s="25"/>
      <c r="J76" s="25"/>
      <c r="K76" s="15"/>
      <c r="N76" s="117"/>
      <c r="O76" s="169"/>
    </row>
    <row r="77" spans="3:15" ht="12.75">
      <c r="C77" s="15"/>
      <c r="D77" s="15"/>
      <c r="E77" s="21">
        <v>44797</v>
      </c>
      <c r="F77" s="24"/>
      <c r="G77" s="24">
        <v>-15485.86</v>
      </c>
      <c r="H77" s="15"/>
      <c r="I77" s="25"/>
      <c r="J77" s="25"/>
      <c r="K77" s="15"/>
      <c r="N77" s="117"/>
      <c r="O77" s="169"/>
    </row>
    <row r="78" spans="3:15" ht="12.75">
      <c r="C78" s="15"/>
      <c r="D78" s="15"/>
      <c r="E78" s="21">
        <v>44806</v>
      </c>
      <c r="F78" s="24"/>
      <c r="G78" s="24">
        <v>-13733.29</v>
      </c>
      <c r="H78" s="15"/>
      <c r="I78" s="25"/>
      <c r="J78" s="25"/>
      <c r="K78" s="15"/>
      <c r="N78" s="117"/>
      <c r="O78" s="169"/>
    </row>
    <row r="79" spans="3:15" ht="12.75">
      <c r="C79" s="15"/>
      <c r="D79" s="15"/>
      <c r="E79" s="21">
        <v>44818</v>
      </c>
      <c r="F79" s="24"/>
      <c r="G79" s="24">
        <v>-39677.12</v>
      </c>
      <c r="H79" s="15"/>
      <c r="I79" s="25"/>
      <c r="J79" s="25"/>
      <c r="K79" s="15"/>
      <c r="N79" s="117"/>
      <c r="O79" s="169"/>
    </row>
    <row r="80" spans="3:15" ht="12.75">
      <c r="C80" s="15"/>
      <c r="D80" s="15"/>
      <c r="E80" s="21">
        <v>44833</v>
      </c>
      <c r="F80" s="24"/>
      <c r="G80" s="24">
        <v>-14078.05</v>
      </c>
      <c r="H80" s="15"/>
      <c r="I80" s="25"/>
      <c r="J80" s="25"/>
      <c r="K80" s="15"/>
      <c r="N80" s="117"/>
      <c r="O80" s="169"/>
    </row>
    <row r="81" spans="3:15" ht="12.75">
      <c r="C81" s="15"/>
      <c r="D81" s="15"/>
      <c r="E81" s="21">
        <v>44838</v>
      </c>
      <c r="F81" s="24"/>
      <c r="G81" s="24">
        <v>-30454.57</v>
      </c>
      <c r="H81" s="15"/>
      <c r="I81" s="25"/>
      <c r="J81" s="25"/>
      <c r="K81" s="15"/>
      <c r="N81" s="117"/>
      <c r="O81" s="169"/>
    </row>
    <row r="82" spans="3:15" ht="12.75">
      <c r="C82" s="15"/>
      <c r="D82" s="15"/>
      <c r="E82" s="21">
        <v>44847</v>
      </c>
      <c r="F82" s="24"/>
      <c r="G82" s="24">
        <v>-17382.09</v>
      </c>
      <c r="H82" s="15"/>
      <c r="I82" s="25"/>
      <c r="J82" s="25"/>
      <c r="K82" s="15"/>
      <c r="N82" s="117"/>
      <c r="O82" s="169"/>
    </row>
    <row r="83" spans="3:15" ht="12.75">
      <c r="C83" s="15"/>
      <c r="D83" s="15"/>
      <c r="E83" s="21">
        <v>44858</v>
      </c>
      <c r="F83" s="24"/>
      <c r="G83" s="24">
        <v>-9050.17</v>
      </c>
      <c r="H83" s="15"/>
      <c r="I83" s="25"/>
      <c r="J83" s="25"/>
      <c r="K83" s="15"/>
      <c r="N83" s="117"/>
      <c r="O83" s="169"/>
    </row>
    <row r="84" spans="3:15" ht="12.75">
      <c r="C84" s="15"/>
      <c r="D84" s="15"/>
      <c r="E84" s="21">
        <v>44866</v>
      </c>
      <c r="F84" s="24"/>
      <c r="G84" s="24">
        <v>-5372.65</v>
      </c>
      <c r="H84" s="15"/>
      <c r="I84" s="25"/>
      <c r="J84" s="25"/>
      <c r="K84" s="15"/>
      <c r="N84" s="117"/>
      <c r="O84" s="169"/>
    </row>
    <row r="85" spans="3:15" ht="12.75">
      <c r="C85" s="15"/>
      <c r="D85" s="15"/>
      <c r="E85" s="21">
        <v>44893</v>
      </c>
      <c r="F85" s="24"/>
      <c r="G85" s="24">
        <v>-25685.26</v>
      </c>
      <c r="H85" s="15"/>
      <c r="I85" s="25"/>
      <c r="J85" s="25"/>
      <c r="K85" s="15"/>
      <c r="N85" s="117"/>
      <c r="O85" s="169"/>
    </row>
    <row r="86" spans="3:15" ht="12.75">
      <c r="C86" s="15"/>
      <c r="D86" s="15"/>
      <c r="E86" s="21">
        <v>44902</v>
      </c>
      <c r="F86" s="24"/>
      <c r="G86" s="24">
        <v>-14336.63</v>
      </c>
      <c r="H86" s="15"/>
      <c r="I86" s="25"/>
      <c r="J86" s="25"/>
      <c r="K86" s="15"/>
      <c r="N86" s="117"/>
      <c r="O86" s="169"/>
    </row>
    <row r="87" spans="3:15" ht="12.75">
      <c r="C87" s="15"/>
      <c r="D87" s="15"/>
      <c r="E87" s="21">
        <v>44909</v>
      </c>
      <c r="F87" s="24"/>
      <c r="G87" s="24">
        <v>-55996.17</v>
      </c>
      <c r="H87" s="15"/>
      <c r="I87" s="25"/>
      <c r="J87" s="25"/>
      <c r="K87" s="15"/>
      <c r="N87" s="117"/>
      <c r="O87" s="169"/>
    </row>
    <row r="88" spans="3:15" ht="12.75">
      <c r="C88" s="15" t="s">
        <v>73</v>
      </c>
      <c r="D88" s="15"/>
      <c r="E88" s="21">
        <v>44575</v>
      </c>
      <c r="F88" s="24"/>
      <c r="G88" s="24">
        <v>20090.68</v>
      </c>
      <c r="H88" s="15"/>
      <c r="I88" s="25"/>
      <c r="J88" s="25"/>
      <c r="K88" s="15"/>
      <c r="N88" s="117"/>
      <c r="O88" s="169"/>
    </row>
    <row r="89" spans="3:15" ht="12.75">
      <c r="C89" s="15"/>
      <c r="D89" s="15"/>
      <c r="E89" s="21">
        <v>44601</v>
      </c>
      <c r="F89" s="24"/>
      <c r="G89" s="24">
        <v>15699.90</v>
      </c>
      <c r="H89" s="15"/>
      <c r="I89" s="25"/>
      <c r="J89" s="25"/>
      <c r="K89" s="15"/>
      <c r="N89" s="117"/>
      <c r="O89" s="169"/>
    </row>
    <row r="90" spans="3:15" ht="12.75">
      <c r="C90" s="15"/>
      <c r="D90" s="15"/>
      <c r="E90" s="21">
        <v>44628</v>
      </c>
      <c r="F90" s="24"/>
      <c r="G90" s="24">
        <v>40970.06</v>
      </c>
      <c r="H90" s="15"/>
      <c r="I90" s="25"/>
      <c r="J90" s="25"/>
      <c r="K90" s="15"/>
      <c r="N90" s="117"/>
      <c r="O90" s="169"/>
    </row>
    <row r="91" spans="3:15" ht="12.75">
      <c r="C91" s="15"/>
      <c r="D91" s="15"/>
      <c r="E91" s="21">
        <v>44659</v>
      </c>
      <c r="F91" s="24"/>
      <c r="G91" s="24">
        <v>20791.02</v>
      </c>
      <c r="H91" s="15"/>
      <c r="I91" s="25"/>
      <c r="J91" s="25"/>
      <c r="K91" s="15"/>
      <c r="N91" s="117"/>
      <c r="O91" s="169"/>
    </row>
    <row r="92" spans="3:15" ht="12.75">
      <c r="C92" s="15"/>
      <c r="D92" s="15"/>
      <c r="E92" s="21">
        <v>44692</v>
      </c>
      <c r="F92" s="24"/>
      <c r="G92" s="24">
        <v>17582.41</v>
      </c>
      <c r="H92" s="15"/>
      <c r="I92" s="25"/>
      <c r="J92" s="25"/>
      <c r="K92" s="15"/>
      <c r="N92" s="117"/>
      <c r="O92" s="169"/>
    </row>
    <row r="93" spans="3:15" ht="12.75">
      <c r="C93" s="15"/>
      <c r="D93" s="15"/>
      <c r="E93" s="21">
        <v>44719</v>
      </c>
      <c r="F93" s="24"/>
      <c r="G93" s="24">
        <v>21829.37</v>
      </c>
      <c r="H93" s="15"/>
      <c r="I93" s="25"/>
      <c r="J93" s="25"/>
      <c r="K93" s="15"/>
      <c r="N93" s="117"/>
      <c r="O93" s="169"/>
    </row>
    <row r="94" spans="3:15" ht="12.75">
      <c r="C94" s="15"/>
      <c r="D94" s="15"/>
      <c r="E94" s="21">
        <v>44761</v>
      </c>
      <c r="F94" s="24"/>
      <c r="G94" s="24">
        <v>33935.96</v>
      </c>
      <c r="H94" s="15"/>
      <c r="I94" s="25"/>
      <c r="J94" s="25"/>
      <c r="K94" s="15"/>
      <c r="N94" s="117"/>
      <c r="O94" s="169"/>
    </row>
    <row r="95" spans="3:15" ht="12.75">
      <c r="C95" s="15"/>
      <c r="D95" s="15"/>
      <c r="E95" s="21">
        <v>44776</v>
      </c>
      <c r="F95" s="24"/>
      <c r="G95" s="24">
        <v>29980.31</v>
      </c>
      <c r="H95" s="15"/>
      <c r="I95" s="25"/>
      <c r="J95" s="25"/>
      <c r="K95" s="15"/>
      <c r="N95" s="117"/>
      <c r="O95" s="169"/>
    </row>
    <row r="96" spans="3:15" ht="12.75">
      <c r="C96" s="15"/>
      <c r="D96" s="15"/>
      <c r="E96" s="21">
        <v>44817</v>
      </c>
      <c r="F96" s="24"/>
      <c r="G96" s="24">
        <v>10413.17</v>
      </c>
      <c r="H96" s="15"/>
      <c r="I96" s="25"/>
      <c r="J96" s="25"/>
      <c r="K96" s="15"/>
      <c r="N96" s="117"/>
      <c r="O96" s="169"/>
    </row>
    <row r="97" spans="3:15" ht="12.75">
      <c r="C97" s="15"/>
      <c r="D97" s="15"/>
      <c r="E97" s="21">
        <v>44841</v>
      </c>
      <c r="F97" s="24"/>
      <c r="G97" s="24">
        <v>7569.79</v>
      </c>
      <c r="H97" s="15"/>
      <c r="I97" s="25"/>
      <c r="J97" s="25"/>
      <c r="K97" s="15"/>
      <c r="N97" s="117"/>
      <c r="O97" s="169"/>
    </row>
    <row r="98" spans="3:15" ht="12.75">
      <c r="C98" s="15"/>
      <c r="D98" s="15"/>
      <c r="E98" s="21">
        <v>44872</v>
      </c>
      <c r="F98" s="24"/>
      <c r="G98" s="24">
        <v>5737.35</v>
      </c>
      <c r="H98" s="15"/>
      <c r="I98" s="25"/>
      <c r="J98" s="25"/>
      <c r="K98" s="15"/>
      <c r="N98" s="117"/>
      <c r="O98" s="169"/>
    </row>
    <row r="99" spans="3:15" ht="12.75">
      <c r="C99" s="15"/>
      <c r="D99" s="15"/>
      <c r="E99" s="21">
        <v>44902</v>
      </c>
      <c r="F99" s="24"/>
      <c r="G99" s="24">
        <v>9742.93</v>
      </c>
      <c r="H99" s="15"/>
      <c r="I99" s="25"/>
      <c r="J99" s="25"/>
      <c r="K99" s="15"/>
      <c r="N99" s="117"/>
      <c r="O99" s="169"/>
    </row>
    <row r="100" spans="3:15" ht="12.75">
      <c r="C100" s="15" t="s">
        <v>74</v>
      </c>
      <c r="D100" s="15"/>
      <c r="E100" s="21">
        <v>44960</v>
      </c>
      <c r="F100" s="24"/>
      <c r="G100" s="24">
        <v>-9596.06</v>
      </c>
      <c r="H100" s="15"/>
      <c r="I100" s="25"/>
      <c r="J100" s="25"/>
      <c r="K100" s="15"/>
      <c r="N100" s="117"/>
      <c r="O100" s="169"/>
    </row>
    <row r="101" spans="3:15" ht="12.75">
      <c r="C101" s="15"/>
      <c r="D101" s="15"/>
      <c r="E101" s="21">
        <v>44979</v>
      </c>
      <c r="F101" s="24"/>
      <c r="G101" s="24">
        <v>-11176.25</v>
      </c>
      <c r="H101" s="15"/>
      <c r="I101" s="25"/>
      <c r="J101" s="25"/>
      <c r="K101" s="15"/>
      <c r="N101" s="117"/>
      <c r="O101" s="169"/>
    </row>
    <row r="102" spans="3:15" ht="12.75">
      <c r="C102" s="15"/>
      <c r="D102" s="15"/>
      <c r="E102" s="21">
        <v>45013</v>
      </c>
      <c r="F102" s="24"/>
      <c r="G102" s="24">
        <v>-22984.57</v>
      </c>
      <c r="H102" s="15"/>
      <c r="I102" s="25"/>
      <c r="J102" s="25"/>
      <c r="K102" s="15"/>
      <c r="N102" s="117"/>
      <c r="O102" s="169"/>
    </row>
    <row r="103" spans="3:15" ht="12.75">
      <c r="C103" s="15"/>
      <c r="D103" s="15"/>
      <c r="E103" s="21">
        <v>45022</v>
      </c>
      <c r="F103" s="24"/>
      <c r="G103" s="24">
        <v>-13819.48</v>
      </c>
      <c r="H103" s="15"/>
      <c r="I103" s="25"/>
      <c r="J103" s="25"/>
      <c r="K103" s="15"/>
      <c r="N103" s="117"/>
      <c r="O103" s="169"/>
    </row>
    <row r="104" spans="3:15" ht="12.75">
      <c r="C104" s="15"/>
      <c r="D104" s="15"/>
      <c r="E104" s="21">
        <v>45028</v>
      </c>
      <c r="F104" s="24"/>
      <c r="G104" s="24">
        <v>-4194.69</v>
      </c>
      <c r="H104" s="15"/>
      <c r="I104" s="25"/>
      <c r="J104" s="25"/>
      <c r="K104" s="15"/>
      <c r="N104" s="117"/>
      <c r="O104" s="169"/>
    </row>
    <row r="105" spans="3:15" ht="12.75">
      <c r="C105" s="15"/>
      <c r="D105" s="15"/>
      <c r="E105" s="21">
        <v>45047</v>
      </c>
      <c r="F105" s="24"/>
      <c r="G105" s="24">
        <v>-49876.52</v>
      </c>
      <c r="H105" s="15"/>
      <c r="I105" s="25"/>
      <c r="J105" s="25"/>
      <c r="K105" s="15"/>
      <c r="N105" s="117"/>
      <c r="O105" s="169"/>
    </row>
    <row r="106" spans="3:15" ht="12.75">
      <c r="C106" s="15"/>
      <c r="D106" s="15"/>
      <c r="E106" s="21">
        <v>45061</v>
      </c>
      <c r="F106" s="24"/>
      <c r="G106" s="24">
        <v>-15083.62</v>
      </c>
      <c r="H106" s="15"/>
      <c r="I106" s="25"/>
      <c r="J106" s="25"/>
      <c r="K106" s="15"/>
      <c r="N106" s="117"/>
      <c r="O106" s="169"/>
    </row>
    <row r="107" spans="3:15" ht="12.75">
      <c r="C107" s="15" t="s">
        <v>75</v>
      </c>
      <c r="D107" s="15"/>
      <c r="E107" s="21">
        <v>44939</v>
      </c>
      <c r="F107" s="24"/>
      <c r="G107" s="24">
        <v>8083.49</v>
      </c>
      <c r="H107" s="15"/>
      <c r="I107" s="25"/>
      <c r="J107" s="25"/>
      <c r="K107" s="15"/>
      <c r="N107" s="117"/>
      <c r="O107" s="169"/>
    </row>
    <row r="108" spans="3:15" ht="12.75">
      <c r="C108" s="15"/>
      <c r="D108" s="15"/>
      <c r="E108" s="21">
        <v>44966</v>
      </c>
      <c r="F108" s="24"/>
      <c r="G108" s="24">
        <v>8423.23</v>
      </c>
      <c r="H108" s="15"/>
      <c r="I108" s="25"/>
      <c r="J108" s="25"/>
      <c r="K108" s="15"/>
      <c r="N108" s="117"/>
      <c r="O108" s="169"/>
    </row>
    <row r="109" spans="3:15" ht="12.75">
      <c r="C109" s="15"/>
      <c r="D109" s="15"/>
      <c r="E109" s="21">
        <v>44995</v>
      </c>
      <c r="F109" s="24"/>
      <c r="G109" s="24">
        <v>12010.54</v>
      </c>
      <c r="H109" s="15"/>
      <c r="I109" s="25"/>
      <c r="J109" s="25"/>
      <c r="K109" s="15"/>
      <c r="N109" s="117"/>
      <c r="O109" s="169"/>
    </row>
    <row r="110" spans="3:15" ht="12.75">
      <c r="C110" s="15"/>
      <c r="D110" s="15"/>
      <c r="E110" s="21">
        <v>45027</v>
      </c>
      <c r="F110" s="24"/>
      <c r="G110" s="24">
        <v>17176.38</v>
      </c>
      <c r="H110" s="15"/>
      <c r="I110" s="25"/>
      <c r="J110" s="25"/>
      <c r="K110" s="15"/>
      <c r="N110" s="117"/>
      <c r="O110" s="169"/>
    </row>
    <row r="111" spans="3:15" ht="12.75">
      <c r="C111" s="15"/>
      <c r="D111" s="15"/>
      <c r="E111" s="21">
        <v>45055</v>
      </c>
      <c r="F111" s="24"/>
      <c r="G111" s="24">
        <v>10405.26</v>
      </c>
      <c r="H111" s="15"/>
      <c r="I111" s="25"/>
      <c r="J111" s="25"/>
      <c r="K111" s="15"/>
      <c r="N111" s="117"/>
      <c r="O111" s="169"/>
    </row>
    <row r="112" spans="3:15" ht="12.75">
      <c r="C112" s="15"/>
      <c r="D112" s="15"/>
      <c r="E112" s="21">
        <v>45090</v>
      </c>
      <c r="F112" s="24"/>
      <c r="G112" s="24">
        <v>335778.39</v>
      </c>
      <c r="H112" s="15"/>
      <c r="I112" s="25"/>
      <c r="J112" s="25"/>
      <c r="K112" s="15"/>
      <c r="N112" s="117"/>
      <c r="O112" s="169"/>
    </row>
    <row r="113" spans="3:15" ht="4.5" customHeight="1">
      <c r="C113" s="15"/>
      <c r="D113" s="15"/>
      <c r="E113" s="21"/>
      <c r="F113" s="15"/>
      <c r="G113" s="24"/>
      <c r="H113" s="15"/>
      <c r="I113" s="25"/>
      <c r="N113" s="169"/>
      <c r="O113" s="169"/>
    </row>
    <row r="114" spans="3:15" ht="12.75">
      <c r="C114" s="15" t="s">
        <v>5</v>
      </c>
      <c r="D114" s="15"/>
      <c r="E114" s="21">
        <f>+E8</f>
        <v>45107</v>
      </c>
      <c r="F114" s="15"/>
      <c r="G114" s="46">
        <f>L114/0.97*C22</f>
        <v>2107837.530461439</v>
      </c>
      <c r="H114" s="15"/>
      <c r="I114" s="21"/>
      <c r="L114" s="57">
        <v>7.116433644E9</v>
      </c>
      <c r="N114" s="117"/>
      <c r="O114" s="169"/>
    </row>
    <row r="115" spans="3:10" ht="12.75">
      <c r="C115" s="15"/>
      <c r="D115" s="15"/>
      <c r="E115" s="15"/>
      <c r="F115" s="15"/>
      <c r="G115" s="15"/>
      <c r="H115" s="15"/>
      <c r="J115" s="25"/>
    </row>
    <row r="116" spans="3:11" ht="12.75">
      <c r="C116" s="14" t="s">
        <v>0</v>
      </c>
      <c r="G116" s="29">
        <f>XIRR(G24:G114,E24:E114,0.1)</f>
        <v>0.18790022730827333</v>
      </c>
      <c r="H116" s="15"/>
      <c r="J116" s="24">
        <f>+SUMIF($G$24:$G$113,"&lt;0",$G$24:$G$113)+G53+G70</f>
        <v>-1808148.5999999996</v>
      </c>
      <c r="K116" s="15" t="s">
        <v>14</v>
      </c>
    </row>
    <row r="117" spans="3:11" ht="12.75">
      <c r="C117" s="15"/>
      <c r="D117" s="15"/>
      <c r="E117" s="15"/>
      <c r="F117" s="15"/>
      <c r="G117" s="15"/>
      <c r="H117" s="15"/>
      <c r="J117" s="24">
        <f>+SUMIF($G$24:$G$113,"&gt;0",$G$24:$G$113)-G53-G70</f>
        <v>652262.6799999999</v>
      </c>
      <c r="K117" s="15" t="s">
        <v>15</v>
      </c>
    </row>
    <row r="118" spans="3:8" ht="12.75">
      <c r="C118" s="15"/>
      <c r="D118" s="15"/>
      <c r="E118" s="15"/>
      <c r="F118" s="15"/>
      <c r="G118" s="15"/>
      <c r="H118" s="15"/>
    </row>
    <row r="119" spans="3:11" ht="12.75">
      <c r="C119" s="15"/>
      <c r="D119" s="15"/>
      <c r="E119" s="13"/>
      <c r="F119" s="15"/>
      <c r="G119" s="52"/>
      <c r="H119" s="15"/>
      <c r="K119" s="53"/>
    </row>
    <row r="120" spans="4:11" ht="12.75">
      <c r="D120" s="52"/>
      <c r="E120" s="13"/>
      <c r="F120" s="52"/>
      <c r="G120" s="53"/>
      <c r="H120" s="15"/>
      <c r="K120" s="53"/>
    </row>
    <row r="121" spans="3:11" ht="12.75">
      <c r="C121" s="52"/>
      <c r="D121" s="52"/>
      <c r="E121" s="53"/>
      <c r="F121" s="52"/>
      <c r="G121" s="53"/>
      <c r="H121" s="15"/>
      <c r="K121" s="53"/>
    </row>
    <row r="122" spans="3:11" ht="12.75">
      <c r="C122" s="52"/>
      <c r="D122" s="52"/>
      <c r="E122" s="132"/>
      <c r="F122" s="132"/>
      <c r="G122" s="132"/>
      <c r="H122" s="14"/>
      <c r="K122" s="53"/>
    </row>
    <row r="123" spans="3:11" ht="12.75">
      <c r="C123" s="52"/>
      <c r="D123" s="52"/>
      <c r="E123" s="53"/>
      <c r="F123" s="53"/>
      <c r="G123" s="53"/>
      <c r="H123" s="14"/>
      <c r="K123" s="53"/>
    </row>
    <row r="124" spans="3:11" ht="12.75">
      <c r="C124" s="52"/>
      <c r="D124" s="52"/>
      <c r="E124" s="52"/>
      <c r="F124" s="52"/>
      <c r="G124" s="52"/>
      <c r="H124" s="14"/>
      <c r="K124" s="35"/>
    </row>
    <row r="125" spans="3:8" ht="12.75">
      <c r="C125" s="170"/>
      <c r="D125" s="170"/>
      <c r="E125" s="171"/>
      <c r="F125" s="54"/>
      <c r="G125" s="58"/>
      <c r="H125" s="14"/>
    </row>
    <row r="126" spans="3:11" ht="12.75">
      <c r="C126" s="170"/>
      <c r="D126" s="170"/>
      <c r="E126" s="70"/>
      <c r="F126" s="54"/>
      <c r="G126" s="70"/>
      <c r="H126" s="14"/>
      <c r="K126" s="35"/>
    </row>
    <row r="127" spans="3:8" ht="12.75">
      <c r="C127" s="170"/>
      <c r="D127" s="170"/>
      <c r="E127" s="70"/>
      <c r="F127" s="54"/>
      <c r="G127" s="70"/>
      <c r="H127" s="14"/>
    </row>
    <row r="128" spans="3:8" ht="12.75">
      <c r="C128" s="172"/>
      <c r="D128" s="170"/>
      <c r="E128" s="70"/>
      <c r="F128" s="54"/>
      <c r="G128" s="70"/>
      <c r="H128" s="14"/>
    </row>
    <row r="129" spans="3:8" ht="12.75">
      <c r="C129" s="172"/>
      <c r="D129" s="170"/>
      <c r="E129" s="70"/>
      <c r="F129" s="54"/>
      <c r="G129" s="70"/>
      <c r="H129" s="14"/>
    </row>
    <row r="130" spans="3:8" ht="12.75">
      <c r="C130" s="173"/>
      <c r="D130" s="170"/>
      <c r="E130" s="70"/>
      <c r="F130" s="54"/>
      <c r="G130" s="70"/>
      <c r="H130" s="14"/>
    </row>
    <row r="131" spans="3:8" ht="12.75">
      <c r="C131" s="170"/>
      <c r="D131" s="170"/>
      <c r="E131" s="70"/>
      <c r="F131" s="54"/>
      <c r="G131" s="70"/>
      <c r="H131" s="14"/>
    </row>
    <row r="132" spans="3:8" ht="12.75">
      <c r="C132" s="170"/>
      <c r="D132" s="170"/>
      <c r="E132" s="70"/>
      <c r="F132" s="54"/>
      <c r="G132" s="70"/>
      <c r="H132" s="14"/>
    </row>
    <row r="133" spans="3:8" ht="12.75">
      <c r="C133" s="170"/>
      <c r="D133" s="170"/>
      <c r="E133" s="70"/>
      <c r="F133" s="54"/>
      <c r="G133" s="70"/>
      <c r="H133" s="14"/>
    </row>
    <row r="134" spans="3:8" ht="12.75">
      <c r="C134" s="170"/>
      <c r="D134" s="170"/>
      <c r="E134" s="70"/>
      <c r="F134" s="54"/>
      <c r="G134" s="70"/>
      <c r="H134" s="14"/>
    </row>
    <row r="135" spans="3:8" ht="12.75">
      <c r="C135" s="170"/>
      <c r="D135" s="170"/>
      <c r="E135" s="70"/>
      <c r="F135" s="54"/>
      <c r="G135" s="70"/>
      <c r="H135" s="14"/>
    </row>
    <row r="136" spans="3:8" ht="12.75">
      <c r="C136" s="170"/>
      <c r="D136" s="170"/>
      <c r="E136" s="70"/>
      <c r="F136" s="54"/>
      <c r="G136" s="70"/>
      <c r="H136" s="14"/>
    </row>
    <row r="137" spans="3:8" ht="5.1" customHeight="1">
      <c r="C137" s="14"/>
      <c r="D137" s="14"/>
      <c r="E137" s="120"/>
      <c r="F137" s="33"/>
      <c r="G137" s="120"/>
      <c r="H137" s="14"/>
    </row>
    <row r="138" spans="3:8" ht="12.75">
      <c r="C138" s="14"/>
      <c r="D138" s="14"/>
      <c r="E138" s="121"/>
      <c r="F138" s="37"/>
      <c r="G138" s="121"/>
      <c r="H138" s="14"/>
    </row>
    <row r="139" spans="3:8" ht="12.75">
      <c r="C139" s="15"/>
      <c r="D139" s="15"/>
      <c r="E139" s="122"/>
      <c r="F139" s="123"/>
      <c r="G139" s="122"/>
      <c r="H139" s="15"/>
    </row>
    <row r="140" spans="3:8" ht="12.75">
      <c r="C140" s="15"/>
      <c r="D140" s="15"/>
      <c r="E140" s="122"/>
      <c r="F140" s="123"/>
      <c r="G140" s="122"/>
      <c r="H140" s="15"/>
    </row>
    <row r="141" spans="3:8" ht="12.75">
      <c r="C141" s="15"/>
      <c r="D141" s="15"/>
      <c r="E141" s="122"/>
      <c r="F141" s="123"/>
      <c r="G141" s="122"/>
      <c r="H141" s="15"/>
    </row>
    <row r="142" spans="3:8" ht="12.75">
      <c r="C142" s="15"/>
      <c r="D142" s="15"/>
      <c r="E142" s="124"/>
      <c r="F142" s="124"/>
      <c r="G142" s="124"/>
      <c r="H142" s="15"/>
    </row>
    <row r="143" spans="3:8" ht="12.75">
      <c r="C143" s="15"/>
      <c r="D143" s="15"/>
      <c r="E143" s="15"/>
      <c r="F143" s="15"/>
      <c r="G143" s="15"/>
      <c r="H143" s="15"/>
    </row>
    <row r="144" spans="3:8" ht="12.75">
      <c r="C144" s="15"/>
      <c r="D144" s="15"/>
      <c r="E144" s="15"/>
      <c r="F144" s="15"/>
      <c r="G144" s="15"/>
      <c r="H144" s="15"/>
    </row>
    <row r="145" spans="3:8" ht="12.75">
      <c r="C145" s="15"/>
      <c r="D145" s="15"/>
      <c r="E145" s="15"/>
      <c r="F145" s="15"/>
      <c r="G145" s="15"/>
      <c r="H145" s="15"/>
    </row>
    <row r="146" spans="3:8" ht="12.75">
      <c r="C146" s="15"/>
      <c r="D146" s="15"/>
      <c r="E146" s="15"/>
      <c r="F146" s="15"/>
      <c r="G146" s="15"/>
      <c r="H146" s="15"/>
    </row>
    <row r="147" spans="3:8" ht="12.75">
      <c r="C147" s="15"/>
      <c r="D147" s="15"/>
      <c r="E147" s="15"/>
      <c r="F147" s="15"/>
      <c r="G147" s="15"/>
      <c r="H147" s="15"/>
    </row>
    <row r="148" spans="3:8" ht="12.75">
      <c r="C148" s="15"/>
      <c r="D148" s="15"/>
      <c r="E148" s="15"/>
      <c r="F148" s="15"/>
      <c r="G148" s="15"/>
      <c r="H148" s="15"/>
    </row>
    <row r="149" spans="3:8" ht="12.75">
      <c r="C149" s="15"/>
      <c r="D149" s="15"/>
      <c r="E149" s="15"/>
      <c r="F149" s="15"/>
      <c r="G149" s="15"/>
      <c r="H149" s="15"/>
    </row>
    <row r="150" spans="3:8" ht="12.75">
      <c r="C150" s="15"/>
      <c r="D150" s="15"/>
      <c r="E150" s="15"/>
      <c r="F150" s="15"/>
      <c r="G150" s="15"/>
      <c r="H150" s="15"/>
    </row>
    <row r="151" spans="3:8" ht="12.75">
      <c r="C151" s="15"/>
      <c r="D151" s="15"/>
      <c r="E151" s="15"/>
      <c r="F151" s="15"/>
      <c r="G151" s="15"/>
      <c r="H151" s="15"/>
    </row>
    <row r="152" spans="3:8" ht="12.75">
      <c r="C152" s="15"/>
      <c r="D152" s="15"/>
      <c r="E152" s="15"/>
      <c r="F152" s="15"/>
      <c r="G152" s="15"/>
      <c r="H152" s="15"/>
    </row>
  </sheetData>
  <mergeCells count="1">
    <mergeCell ref="E122:G12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B6A42D-8C13-4F15-A6E8-5245785EFA11}">
  <sheetPr>
    <pageSetUpPr fitToPage="1"/>
  </sheetPr>
  <dimension ref="B4:L152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f>'Fund XI'!E8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12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9" ht="12.75">
      <c r="C13" s="163"/>
      <c r="D13" s="163"/>
      <c r="E13" s="167"/>
      <c r="F13" s="163"/>
      <c r="G13" s="57"/>
      <c r="H13" s="8"/>
      <c r="I13" s="12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G116</f>
        <v>0.16441736817359925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-(G114+J117)/J116</f>
        <v>1.4463268374410634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55"/>
    </row>
    <row r="22" spans="3:12" ht="12.75">
      <c r="C22" s="22">
        <v>0.027350044</v>
      </c>
      <c r="D22" s="15"/>
      <c r="E22" s="15"/>
      <c r="F22" s="15"/>
      <c r="G22" s="23"/>
      <c r="H22" s="15"/>
      <c r="I22" s="15"/>
      <c r="J22" s="115"/>
      <c r="K22" s="116"/>
      <c r="L22" s="57"/>
    </row>
    <row r="23" spans="3:12" ht="12.75">
      <c r="C23" s="15"/>
      <c r="D23" s="15"/>
      <c r="E23" s="21"/>
      <c r="F23" s="24"/>
      <c r="G23" s="24"/>
      <c r="H23" s="15"/>
      <c r="I23" s="25"/>
      <c r="J23" s="115"/>
      <c r="K23" s="116"/>
      <c r="L23" s="57"/>
    </row>
    <row r="24" spans="3:12" ht="12.75">
      <c r="C24" s="15" t="s">
        <v>79</v>
      </c>
      <c r="D24" s="15"/>
      <c r="E24" s="21">
        <v>42933</v>
      </c>
      <c r="F24" s="24"/>
      <c r="G24" s="24">
        <v>-422500</v>
      </c>
      <c r="H24" s="15"/>
      <c r="I24" s="25"/>
      <c r="J24" s="115"/>
      <c r="K24" s="116"/>
      <c r="L24" s="57"/>
    </row>
    <row r="25" spans="3:12" ht="12.75">
      <c r="C25" s="15"/>
      <c r="D25" s="15"/>
      <c r="E25" s="21">
        <v>43010</v>
      </c>
      <c r="F25" s="24"/>
      <c r="G25" s="24">
        <v>-102500</v>
      </c>
      <c r="H25" s="15"/>
      <c r="I25" s="25"/>
      <c r="J25" s="115"/>
      <c r="K25" s="116"/>
      <c r="L25" s="57"/>
    </row>
    <row r="26" spans="3:12" ht="12.75">
      <c r="C26" s="15"/>
      <c r="D26" s="15"/>
      <c r="E26" s="21">
        <v>43052</v>
      </c>
      <c r="F26" s="24"/>
      <c r="G26" s="24">
        <v>-45000</v>
      </c>
      <c r="H26" s="15"/>
      <c r="I26" s="25"/>
      <c r="J26" s="115"/>
      <c r="K26" s="116"/>
      <c r="L26" s="169"/>
    </row>
    <row r="27" spans="3:12" ht="12.75">
      <c r="C27" s="15"/>
      <c r="D27" s="15"/>
      <c r="E27" s="21">
        <v>43087</v>
      </c>
      <c r="F27" s="24"/>
      <c r="G27" s="24">
        <v>-197947.88</v>
      </c>
      <c r="H27" s="15"/>
      <c r="I27" s="25"/>
      <c r="J27" s="115"/>
      <c r="K27" s="169"/>
      <c r="L27" s="169"/>
    </row>
    <row r="28" spans="3:12" ht="12.75">
      <c r="C28" s="15"/>
      <c r="D28" s="15"/>
      <c r="E28" s="21">
        <v>43096</v>
      </c>
      <c r="F28" s="24"/>
      <c r="G28" s="24">
        <v>-121387.29</v>
      </c>
      <c r="H28" s="15"/>
      <c r="I28" s="25"/>
      <c r="J28" s="115"/>
      <c r="K28" s="116"/>
      <c r="L28" s="169"/>
    </row>
    <row r="29" spans="3:11" ht="12.75">
      <c r="C29" s="15" t="s">
        <v>81</v>
      </c>
      <c r="D29" s="15"/>
      <c r="E29" s="21">
        <v>43182</v>
      </c>
      <c r="F29" s="24"/>
      <c r="G29" s="24">
        <v>-878082.53</v>
      </c>
      <c r="H29" s="15"/>
      <c r="I29" s="25"/>
      <c r="J29" s="25"/>
      <c r="K29" s="15"/>
    </row>
    <row r="30" spans="3:11" ht="12.75">
      <c r="C30" s="15"/>
      <c r="D30" s="15"/>
      <c r="E30" s="21">
        <v>43276</v>
      </c>
      <c r="F30" s="24"/>
      <c r="G30" s="24">
        <v>-311728.27</v>
      </c>
      <c r="H30" s="15"/>
      <c r="I30" s="25"/>
      <c r="J30" s="25"/>
      <c r="K30" s="15"/>
    </row>
    <row r="31" spans="3:11" ht="12.75">
      <c r="C31" s="15"/>
      <c r="D31" s="15"/>
      <c r="E31" s="21">
        <v>43363</v>
      </c>
      <c r="F31" s="24"/>
      <c r="G31" s="24">
        <v>-232359.67</v>
      </c>
      <c r="H31" s="15"/>
      <c r="I31" s="25"/>
      <c r="J31" s="25"/>
      <c r="K31" s="15"/>
    </row>
    <row r="32" spans="3:11" ht="12.75">
      <c r="C32" s="15"/>
      <c r="D32" s="15"/>
      <c r="E32" s="21">
        <v>43398</v>
      </c>
      <c r="F32" s="24"/>
      <c r="G32" s="24">
        <v>-203628.95</v>
      </c>
      <c r="H32" s="15"/>
      <c r="I32" s="25"/>
      <c r="J32" s="25"/>
      <c r="K32" s="15"/>
    </row>
    <row r="33" spans="3:11" ht="12.75">
      <c r="C33" s="15"/>
      <c r="D33" s="15"/>
      <c r="E33" s="21">
        <v>43433</v>
      </c>
      <c r="F33" s="24"/>
      <c r="G33" s="24">
        <v>-165201.61</v>
      </c>
      <c r="H33" s="15"/>
      <c r="I33" s="25"/>
      <c r="J33" s="25"/>
      <c r="K33" s="15"/>
    </row>
    <row r="34" spans="3:11" ht="12.75">
      <c r="C34" s="15" t="s">
        <v>83</v>
      </c>
      <c r="D34" s="15"/>
      <c r="E34" s="21">
        <v>43468</v>
      </c>
      <c r="F34" s="24"/>
      <c r="G34" s="24">
        <v>-280483.64</v>
      </c>
      <c r="H34" s="15"/>
      <c r="I34" s="25"/>
      <c r="J34" s="25"/>
      <c r="K34" s="15"/>
    </row>
    <row r="35" spans="3:11" ht="12.75">
      <c r="C35" s="15"/>
      <c r="D35" s="15"/>
      <c r="E35" s="21">
        <v>43495</v>
      </c>
      <c r="F35" s="24"/>
      <c r="G35" s="24">
        <v>-462205.41</v>
      </c>
      <c r="H35" s="15"/>
      <c r="I35" s="25"/>
      <c r="J35" s="25"/>
      <c r="K35" s="15"/>
    </row>
    <row r="36" spans="3:11" ht="12.75">
      <c r="C36" s="15"/>
      <c r="D36" s="15"/>
      <c r="E36" s="21">
        <v>43510</v>
      </c>
      <c r="F36" s="24"/>
      <c r="G36" s="24">
        <v>-185672.25</v>
      </c>
      <c r="H36" s="15"/>
      <c r="I36" s="25"/>
      <c r="J36" s="25"/>
      <c r="K36" s="15"/>
    </row>
    <row r="37" spans="3:11" ht="12.75">
      <c r="C37" s="15"/>
      <c r="D37" s="15"/>
      <c r="E37" s="21">
        <v>43559</v>
      </c>
      <c r="F37" s="24"/>
      <c r="G37" s="24">
        <v>-257499.03</v>
      </c>
      <c r="H37" s="15"/>
      <c r="I37" s="25"/>
      <c r="J37" s="25"/>
      <c r="K37" s="15"/>
    </row>
    <row r="38" spans="3:11" ht="12.75">
      <c r="C38" s="15"/>
      <c r="D38" s="15"/>
      <c r="E38" s="21">
        <v>43593</v>
      </c>
      <c r="F38" s="24"/>
      <c r="G38" s="24">
        <v>-256780.77</v>
      </c>
      <c r="H38" s="15"/>
      <c r="I38" s="25"/>
      <c r="J38" s="25"/>
      <c r="K38" s="15"/>
    </row>
    <row r="39" spans="3:11" ht="12.75">
      <c r="C39" s="15"/>
      <c r="D39" s="15"/>
      <c r="E39" s="21">
        <v>43642</v>
      </c>
      <c r="F39" s="24"/>
      <c r="G39" s="24">
        <v>-410130.99</v>
      </c>
      <c r="H39" s="15"/>
      <c r="I39" s="25"/>
      <c r="J39" s="25"/>
      <c r="K39" s="15"/>
    </row>
    <row r="40" spans="3:11" ht="12.75">
      <c r="C40" s="15"/>
      <c r="D40" s="15"/>
      <c r="E40" s="21">
        <v>43656</v>
      </c>
      <c r="F40" s="24"/>
      <c r="G40" s="24">
        <v>-304545.62</v>
      </c>
      <c r="H40" s="15"/>
      <c r="I40" s="25"/>
      <c r="J40" s="25"/>
      <c r="K40" s="15"/>
    </row>
    <row r="41" spans="3:11" ht="12.75">
      <c r="C41" s="15"/>
      <c r="D41" s="15"/>
      <c r="E41" s="21">
        <v>43684</v>
      </c>
      <c r="F41" s="24"/>
      <c r="G41" s="24">
        <v>-265759.16</v>
      </c>
      <c r="H41" s="15"/>
      <c r="I41" s="25"/>
      <c r="J41" s="25"/>
      <c r="K41" s="15"/>
    </row>
    <row r="42" spans="3:11" ht="12.75">
      <c r="C42" s="15"/>
      <c r="D42" s="15"/>
      <c r="E42" s="21">
        <v>43768</v>
      </c>
      <c r="F42" s="24"/>
      <c r="G42" s="24">
        <v>-262886.05</v>
      </c>
      <c r="H42" s="15"/>
      <c r="I42" s="25"/>
      <c r="J42" s="25"/>
      <c r="K42" s="15"/>
    </row>
    <row r="43" spans="3:11" ht="12.75">
      <c r="C43" s="15"/>
      <c r="D43" s="15"/>
      <c r="E43" s="21">
        <v>43817</v>
      </c>
      <c r="F43" s="24"/>
      <c r="G43" s="24">
        <v>-2021205.94</v>
      </c>
      <c r="H43" s="15"/>
      <c r="I43" s="25"/>
      <c r="J43" s="25"/>
      <c r="K43" s="15"/>
    </row>
    <row r="44" spans="3:11" ht="12.75">
      <c r="C44" s="15" t="s">
        <v>16</v>
      </c>
      <c r="D44" s="15"/>
      <c r="E44" s="21">
        <v>44006</v>
      </c>
      <c r="F44" s="24"/>
      <c r="G44" s="24">
        <v>-149758.87</v>
      </c>
      <c r="H44" s="15"/>
      <c r="I44" s="25"/>
      <c r="J44" s="25"/>
      <c r="K44" s="15"/>
    </row>
    <row r="45" spans="3:11" ht="12.75">
      <c r="C45" s="15"/>
      <c r="D45" s="15"/>
      <c r="E45" s="21">
        <v>44026</v>
      </c>
      <c r="F45" s="24"/>
      <c r="G45" s="24">
        <v>-370267.11</v>
      </c>
      <c r="H45" s="15"/>
      <c r="I45" s="25"/>
      <c r="J45" s="25"/>
      <c r="K45" s="15"/>
    </row>
    <row r="46" spans="3:11" ht="12.75">
      <c r="C46" s="15"/>
      <c r="D46" s="15"/>
      <c r="E46" s="21">
        <v>44105</v>
      </c>
      <c r="F46" s="24"/>
      <c r="G46" s="24">
        <v>-127133.42</v>
      </c>
      <c r="H46" s="15"/>
      <c r="I46" s="25"/>
      <c r="J46" s="25"/>
      <c r="K46" s="15"/>
    </row>
    <row r="47" spans="3:11" ht="12.75">
      <c r="C47" s="15"/>
      <c r="D47" s="15"/>
      <c r="E47" s="21">
        <v>44182</v>
      </c>
      <c r="F47" s="24"/>
      <c r="G47" s="24">
        <v>-515357.25</v>
      </c>
      <c r="H47" s="15"/>
      <c r="I47" s="25"/>
      <c r="J47" s="25"/>
      <c r="K47" s="15"/>
    </row>
    <row r="48" spans="3:11" ht="12.75">
      <c r="C48" s="15"/>
      <c r="D48" s="15"/>
      <c r="E48" s="21">
        <v>44188</v>
      </c>
      <c r="F48" s="24"/>
      <c r="G48" s="24">
        <v>-119950.73</v>
      </c>
      <c r="H48" s="15"/>
      <c r="I48" s="25"/>
      <c r="J48" s="25"/>
      <c r="K48" s="15"/>
    </row>
    <row r="49" spans="3:11" ht="12.75">
      <c r="C49" s="15" t="s">
        <v>41</v>
      </c>
      <c r="D49" s="15"/>
      <c r="E49" s="21">
        <v>44246</v>
      </c>
      <c r="F49" s="24"/>
      <c r="G49" s="24">
        <v>-110613.25</v>
      </c>
      <c r="H49" s="15"/>
      <c r="I49" s="25"/>
      <c r="J49" s="25"/>
      <c r="K49" s="15"/>
    </row>
    <row r="50" spans="3:11" ht="12.75">
      <c r="C50" s="15"/>
      <c r="D50" s="15"/>
      <c r="E50" s="21">
        <v>44250</v>
      </c>
      <c r="F50" s="24"/>
      <c r="G50" s="24">
        <v>-116718.53</v>
      </c>
      <c r="H50" s="15"/>
      <c r="I50" s="25"/>
      <c r="J50" s="25"/>
      <c r="K50" s="15"/>
    </row>
    <row r="51" spans="3:11" ht="12.75">
      <c r="C51" s="15"/>
      <c r="D51" s="15"/>
      <c r="E51" s="21">
        <v>44274</v>
      </c>
      <c r="F51" s="24"/>
      <c r="G51" s="24">
        <v>-183876.57</v>
      </c>
      <c r="H51" s="15"/>
      <c r="I51" s="25"/>
      <c r="J51" s="25"/>
      <c r="K51" s="15"/>
    </row>
    <row r="52" spans="3:11" ht="12.75">
      <c r="C52" s="15"/>
      <c r="D52" s="15"/>
      <c r="E52" s="21">
        <v>44305</v>
      </c>
      <c r="F52" s="24"/>
      <c r="G52" s="24">
        <v>-2048500.12</v>
      </c>
      <c r="H52" s="15"/>
      <c r="I52" s="25"/>
      <c r="J52" s="25"/>
      <c r="K52" s="15"/>
    </row>
    <row r="53" spans="3:11" ht="12.75">
      <c r="C53" s="15"/>
      <c r="D53" s="15"/>
      <c r="E53" s="21">
        <v>44362</v>
      </c>
      <c r="F53" s="24"/>
      <c r="G53" s="24">
        <v>321424.89</v>
      </c>
      <c r="H53" s="15"/>
      <c r="I53" s="25"/>
      <c r="J53" s="25"/>
      <c r="K53" s="15"/>
    </row>
    <row r="54" spans="3:11" ht="12.75">
      <c r="C54" s="15"/>
      <c r="D54" s="15"/>
      <c r="E54" s="21">
        <v>44400</v>
      </c>
      <c r="F54" s="24"/>
      <c r="G54" s="24">
        <v>-251393.78</v>
      </c>
      <c r="H54" s="15"/>
      <c r="I54" s="25"/>
      <c r="J54" s="25"/>
      <c r="K54" s="15"/>
    </row>
    <row r="55" spans="3:11" ht="12.75">
      <c r="C55" s="15"/>
      <c r="D55" s="15"/>
      <c r="E55" s="21">
        <v>44407</v>
      </c>
      <c r="F55" s="24"/>
      <c r="G55" s="24">
        <v>-269350.47</v>
      </c>
      <c r="H55" s="15"/>
      <c r="I55" s="25"/>
      <c r="J55" s="25"/>
      <c r="K55" s="15"/>
    </row>
    <row r="56" spans="3:11" ht="12.75">
      <c r="C56" s="15"/>
      <c r="D56" s="15"/>
      <c r="E56" s="21">
        <v>44440</v>
      </c>
      <c r="F56" s="24"/>
      <c r="G56" s="24">
        <v>-128569.95</v>
      </c>
      <c r="H56" s="15"/>
      <c r="I56" s="25"/>
      <c r="J56" s="25"/>
      <c r="K56" s="15"/>
    </row>
    <row r="57" spans="3:11" ht="12.75">
      <c r="C57" s="15"/>
      <c r="D57" s="15"/>
      <c r="E57" s="21">
        <v>44453</v>
      </c>
      <c r="F57" s="24"/>
      <c r="G57" s="24">
        <v>-212248.17</v>
      </c>
      <c r="H57" s="15"/>
      <c r="I57" s="25"/>
      <c r="J57" s="25"/>
      <c r="K57" s="15"/>
    </row>
    <row r="58" spans="3:11" ht="12.75">
      <c r="C58" s="15"/>
      <c r="D58" s="15"/>
      <c r="E58" s="21">
        <v>44473</v>
      </c>
      <c r="F58" s="24"/>
      <c r="G58" s="24">
        <v>-135393.50</v>
      </c>
      <c r="H58" s="15"/>
      <c r="I58" s="25"/>
      <c r="J58" s="25"/>
      <c r="K58" s="15"/>
    </row>
    <row r="59" spans="3:11" ht="12.75">
      <c r="C59" s="15"/>
      <c r="D59" s="15"/>
      <c r="E59" s="21">
        <v>44496</v>
      </c>
      <c r="F59" s="24"/>
      <c r="G59" s="24">
        <v>-154427.59</v>
      </c>
      <c r="H59" s="15"/>
      <c r="I59" s="25"/>
      <c r="J59" s="25"/>
      <c r="K59" s="15"/>
    </row>
    <row r="60" spans="3:11" ht="12.75">
      <c r="C60" s="15"/>
      <c r="D60" s="15"/>
      <c r="E60" s="21">
        <v>44537</v>
      </c>
      <c r="F60" s="24"/>
      <c r="G60" s="24">
        <v>-611605.14</v>
      </c>
      <c r="H60" s="15"/>
      <c r="I60" s="25"/>
      <c r="J60" s="25"/>
      <c r="K60" s="15"/>
    </row>
    <row r="61" spans="3:11" ht="12.75">
      <c r="C61" s="15"/>
      <c r="D61" s="15"/>
      <c r="E61" s="21">
        <v>44550</v>
      </c>
      <c r="F61" s="24"/>
      <c r="G61" s="24">
        <v>-1449105.54</v>
      </c>
      <c r="H61" s="15"/>
      <c r="I61" s="25"/>
      <c r="J61" s="25"/>
      <c r="K61" s="15"/>
    </row>
    <row r="62" spans="3:11" ht="12.75">
      <c r="C62" s="15" t="s">
        <v>71</v>
      </c>
      <c r="D62" s="15"/>
      <c r="E62" s="21">
        <v>44396</v>
      </c>
      <c r="F62" s="24"/>
      <c r="G62" s="24">
        <v>58254.94</v>
      </c>
      <c r="H62" s="15"/>
      <c r="I62" s="25"/>
      <c r="J62" s="25"/>
      <c r="K62" s="15"/>
    </row>
    <row r="63" spans="3:11" ht="12.75">
      <c r="C63" s="15"/>
      <c r="D63" s="15"/>
      <c r="E63" s="21">
        <v>44476</v>
      </c>
      <c r="F63" s="24"/>
      <c r="G63" s="24">
        <v>53658.19</v>
      </c>
      <c r="H63" s="15"/>
      <c r="I63" s="25"/>
      <c r="J63" s="25"/>
      <c r="K63" s="15"/>
    </row>
    <row r="64" spans="3:11" ht="12.75">
      <c r="C64" s="15"/>
      <c r="D64" s="15"/>
      <c r="E64" s="21">
        <v>44512</v>
      </c>
      <c r="F64" s="24"/>
      <c r="G64" s="24">
        <v>198424.12</v>
      </c>
      <c r="H64" s="15"/>
      <c r="I64" s="25"/>
      <c r="J64" s="25"/>
      <c r="K64" s="15"/>
    </row>
    <row r="65" spans="3:11" ht="12.75">
      <c r="C65" s="15" t="s">
        <v>72</v>
      </c>
      <c r="D65" s="15"/>
      <c r="E65" s="21">
        <v>44565</v>
      </c>
      <c r="F65" s="24"/>
      <c r="G65" s="24">
        <v>-71467.65</v>
      </c>
      <c r="H65" s="15"/>
      <c r="I65" s="25"/>
      <c r="J65" s="25"/>
      <c r="K65" s="15"/>
    </row>
    <row r="66" spans="3:11" ht="12.75">
      <c r="C66" s="15"/>
      <c r="D66" s="15"/>
      <c r="E66" s="21">
        <v>44602</v>
      </c>
      <c r="F66" s="24"/>
      <c r="G66" s="24">
        <v>-220867.36</v>
      </c>
      <c r="H66" s="15"/>
      <c r="I66" s="25"/>
      <c r="J66" s="25"/>
      <c r="K66" s="15"/>
    </row>
    <row r="67" spans="3:11" ht="12.75">
      <c r="C67" s="15"/>
      <c r="D67" s="15"/>
      <c r="E67" s="21">
        <v>44628</v>
      </c>
      <c r="F67" s="24"/>
      <c r="G67" s="24">
        <v>-164483.36</v>
      </c>
      <c r="H67" s="15"/>
      <c r="I67" s="25"/>
      <c r="J67" s="25"/>
      <c r="K67" s="15"/>
    </row>
    <row r="68" spans="3:11" ht="12.75">
      <c r="C68" s="15"/>
      <c r="D68" s="15"/>
      <c r="E68" s="21">
        <v>44641</v>
      </c>
      <c r="F68" s="24"/>
      <c r="G68" s="24">
        <v>-1077401.87</v>
      </c>
      <c r="H68" s="15"/>
      <c r="I68" s="25"/>
      <c r="J68" s="25"/>
      <c r="K68" s="15"/>
    </row>
    <row r="69" spans="3:11" ht="12.75">
      <c r="C69" s="15"/>
      <c r="D69" s="15"/>
      <c r="E69" s="21">
        <v>44645</v>
      </c>
      <c r="F69" s="24"/>
      <c r="G69" s="24">
        <v>-2326110.68</v>
      </c>
      <c r="H69" s="15"/>
      <c r="I69" s="25"/>
      <c r="J69" s="25"/>
      <c r="K69" s="15"/>
    </row>
    <row r="70" spans="3:11" ht="12.75">
      <c r="C70" s="15"/>
      <c r="D70" s="15"/>
      <c r="E70" s="21">
        <v>44670</v>
      </c>
      <c r="F70" s="24"/>
      <c r="G70" s="24">
        <v>970739.10</v>
      </c>
      <c r="H70" s="15"/>
      <c r="I70" s="25"/>
      <c r="J70" s="25"/>
      <c r="K70" s="15"/>
    </row>
    <row r="71" spans="3:11" ht="12.75">
      <c r="C71" s="15"/>
      <c r="D71" s="15"/>
      <c r="E71" s="21">
        <v>44694</v>
      </c>
      <c r="F71" s="24"/>
      <c r="G71" s="24">
        <v>-49201.35</v>
      </c>
      <c r="H71" s="15"/>
      <c r="I71" s="25"/>
      <c r="J71" s="25"/>
      <c r="K71" s="15"/>
    </row>
    <row r="72" spans="3:11" ht="12.75">
      <c r="C72" s="15"/>
      <c r="D72" s="15"/>
      <c r="E72" s="21">
        <v>44701</v>
      </c>
      <c r="F72" s="24"/>
      <c r="G72" s="24">
        <v>-125337.73</v>
      </c>
      <c r="H72" s="15"/>
      <c r="I72" s="25"/>
      <c r="J72" s="25"/>
      <c r="K72" s="15"/>
    </row>
    <row r="73" spans="3:11" ht="12.75">
      <c r="C73" s="15"/>
      <c r="D73" s="15"/>
      <c r="E73" s="21">
        <v>44727</v>
      </c>
      <c r="F73" s="24"/>
      <c r="G73" s="24">
        <v>-402589.17</v>
      </c>
      <c r="H73" s="15"/>
      <c r="I73" s="25"/>
      <c r="J73" s="25"/>
      <c r="K73" s="15"/>
    </row>
    <row r="74" spans="3:11" ht="12.75">
      <c r="C74" s="15"/>
      <c r="D74" s="15"/>
      <c r="E74" s="21">
        <v>44750</v>
      </c>
      <c r="F74" s="24"/>
      <c r="G74" s="24">
        <v>-391456.02</v>
      </c>
      <c r="H74" s="15"/>
      <c r="I74" s="25"/>
      <c r="J74" s="25"/>
      <c r="K74" s="15"/>
    </row>
    <row r="75" spans="3:11" ht="12.75">
      <c r="C75" s="15"/>
      <c r="D75" s="15"/>
      <c r="E75" s="21">
        <v>44764</v>
      </c>
      <c r="F75" s="24"/>
      <c r="G75" s="24">
        <v>-56743.17</v>
      </c>
      <c r="H75" s="15"/>
      <c r="I75" s="25"/>
      <c r="J75" s="25"/>
      <c r="K75" s="15"/>
    </row>
    <row r="76" spans="3:11" ht="12.75">
      <c r="C76" s="15"/>
      <c r="D76" s="15"/>
      <c r="E76" s="21">
        <v>44790</v>
      </c>
      <c r="F76" s="24"/>
      <c r="G76" s="24">
        <v>-66798.92</v>
      </c>
      <c r="H76" s="15"/>
      <c r="I76" s="25"/>
      <c r="J76" s="25"/>
      <c r="K76" s="15"/>
    </row>
    <row r="77" spans="3:11" ht="12.75">
      <c r="C77" s="15"/>
      <c r="D77" s="15"/>
      <c r="E77" s="21">
        <v>44797</v>
      </c>
      <c r="F77" s="24"/>
      <c r="G77" s="24">
        <v>-193573.22</v>
      </c>
      <c r="H77" s="15"/>
      <c r="I77" s="25"/>
      <c r="J77" s="25"/>
      <c r="K77" s="15"/>
    </row>
    <row r="78" spans="3:11" ht="12.75">
      <c r="C78" s="15"/>
      <c r="D78" s="15"/>
      <c r="E78" s="21">
        <v>44806</v>
      </c>
      <c r="F78" s="24"/>
      <c r="G78" s="24">
        <v>-171666.04</v>
      </c>
      <c r="H78" s="15"/>
      <c r="I78" s="25"/>
      <c r="J78" s="25"/>
      <c r="K78" s="15"/>
    </row>
    <row r="79" spans="3:11" ht="12.75">
      <c r="C79" s="15"/>
      <c r="D79" s="15"/>
      <c r="E79" s="21">
        <v>44818</v>
      </c>
      <c r="F79" s="24"/>
      <c r="G79" s="24">
        <v>-495963.99</v>
      </c>
      <c r="H79" s="15"/>
      <c r="I79" s="25"/>
      <c r="J79" s="25"/>
      <c r="K79" s="15"/>
    </row>
    <row r="80" spans="3:11" ht="12.75">
      <c r="C80" s="15"/>
      <c r="D80" s="15"/>
      <c r="E80" s="21">
        <v>44833</v>
      </c>
      <c r="F80" s="24"/>
      <c r="G80" s="24">
        <v>-175975.64</v>
      </c>
      <c r="H80" s="15"/>
      <c r="I80" s="25"/>
      <c r="J80" s="25"/>
      <c r="K80" s="15"/>
    </row>
    <row r="81" spans="3:11" ht="12.75">
      <c r="C81" s="15"/>
      <c r="D81" s="15"/>
      <c r="E81" s="21">
        <v>44838</v>
      </c>
      <c r="F81" s="24"/>
      <c r="G81" s="24">
        <v>-380682</v>
      </c>
      <c r="H81" s="15"/>
      <c r="I81" s="25"/>
      <c r="J81" s="25"/>
      <c r="K81" s="15"/>
    </row>
    <row r="82" spans="3:11" ht="12.75">
      <c r="C82" s="15"/>
      <c r="D82" s="15"/>
      <c r="E82" s="21">
        <v>44847</v>
      </c>
      <c r="F82" s="24"/>
      <c r="G82" s="24">
        <v>-217276.05</v>
      </c>
      <c r="H82" s="15"/>
      <c r="I82" s="25"/>
      <c r="J82" s="25"/>
      <c r="K82" s="15"/>
    </row>
    <row r="83" spans="3:11" ht="12.75">
      <c r="C83" s="15"/>
      <c r="D83" s="15"/>
      <c r="E83" s="21">
        <v>44858</v>
      </c>
      <c r="F83" s="24"/>
      <c r="G83" s="24">
        <v>-113127.21</v>
      </c>
      <c r="H83" s="15"/>
      <c r="I83" s="25"/>
      <c r="J83" s="25"/>
      <c r="K83" s="15"/>
    </row>
    <row r="84" spans="3:11" ht="12.75">
      <c r="C84" s="15"/>
      <c r="D84" s="15"/>
      <c r="E84" s="21">
        <v>44866</v>
      </c>
      <c r="F84" s="24"/>
      <c r="G84" s="24">
        <v>-67158.05</v>
      </c>
      <c r="H84" s="15"/>
      <c r="I84" s="25"/>
      <c r="J84" s="25"/>
      <c r="K84" s="15"/>
    </row>
    <row r="85" spans="3:11" ht="12.75">
      <c r="C85" s="15"/>
      <c r="D85" s="15"/>
      <c r="E85" s="21">
        <v>44893</v>
      </c>
      <c r="F85" s="24"/>
      <c r="G85" s="24">
        <v>-321065.76</v>
      </c>
      <c r="H85" s="15"/>
      <c r="I85" s="25"/>
      <c r="J85" s="25"/>
      <c r="K85" s="15"/>
    </row>
    <row r="86" spans="3:11" ht="12.75">
      <c r="C86" s="15"/>
      <c r="D86" s="15"/>
      <c r="E86" s="21">
        <v>44902</v>
      </c>
      <c r="F86" s="24"/>
      <c r="G86" s="24">
        <v>-179207.84</v>
      </c>
      <c r="H86" s="15"/>
      <c r="I86" s="25"/>
      <c r="J86" s="25"/>
      <c r="K86" s="15"/>
    </row>
    <row r="87" spans="3:11" ht="12.75">
      <c r="C87" s="15"/>
      <c r="D87" s="15"/>
      <c r="E87" s="21">
        <v>44909</v>
      </c>
      <c r="F87" s="24"/>
      <c r="G87" s="24">
        <v>-699952.10</v>
      </c>
      <c r="H87" s="15"/>
      <c r="I87" s="25"/>
      <c r="J87" s="25"/>
      <c r="K87" s="15"/>
    </row>
    <row r="88" spans="3:11" ht="12.75">
      <c r="C88" s="15" t="s">
        <v>73</v>
      </c>
      <c r="D88" s="15"/>
      <c r="E88" s="21">
        <v>44575</v>
      </c>
      <c r="F88" s="24"/>
      <c r="G88" s="24">
        <v>251133.34</v>
      </c>
      <c r="H88" s="15"/>
      <c r="I88" s="25"/>
      <c r="J88" s="25"/>
      <c r="K88" s="15"/>
    </row>
    <row r="89" spans="3:11" ht="12.75">
      <c r="C89" s="15"/>
      <c r="D89" s="15"/>
      <c r="E89" s="21">
        <v>44601</v>
      </c>
      <c r="F89" s="24"/>
      <c r="G89" s="24">
        <v>195115.32</v>
      </c>
      <c r="H89" s="15"/>
      <c r="I89" s="25"/>
      <c r="J89" s="25"/>
      <c r="K89" s="15"/>
    </row>
    <row r="90" spans="3:11" ht="12.75">
      <c r="C90" s="15"/>
      <c r="D90" s="15"/>
      <c r="E90" s="21">
        <v>44628</v>
      </c>
      <c r="F90" s="24"/>
      <c r="G90" s="24">
        <v>512125.65</v>
      </c>
      <c r="H90" s="15"/>
      <c r="I90" s="25"/>
      <c r="J90" s="25"/>
      <c r="K90" s="15"/>
    </row>
    <row r="91" spans="3:11" ht="12.75">
      <c r="C91" s="15"/>
      <c r="D91" s="15"/>
      <c r="E91" s="21">
        <v>44659</v>
      </c>
      <c r="F91" s="24"/>
      <c r="G91" s="24">
        <v>259887.72</v>
      </c>
      <c r="H91" s="15"/>
      <c r="I91" s="25"/>
      <c r="J91" s="25"/>
      <c r="K91" s="15"/>
    </row>
    <row r="92" spans="3:11" ht="12.75">
      <c r="C92" s="15"/>
      <c r="D92" s="15"/>
      <c r="E92" s="21">
        <v>44692</v>
      </c>
      <c r="F92" s="24"/>
      <c r="G92" s="24">
        <v>219484.73</v>
      </c>
      <c r="H92" s="15"/>
      <c r="I92" s="25"/>
      <c r="J92" s="25"/>
      <c r="K92" s="15"/>
    </row>
    <row r="93" spans="3:11" ht="12.75">
      <c r="C93" s="15"/>
      <c r="D93" s="15"/>
      <c r="E93" s="21">
        <v>44719</v>
      </c>
      <c r="F93" s="24"/>
      <c r="G93" s="24">
        <v>271197.35</v>
      </c>
      <c r="H93" s="15"/>
      <c r="I93" s="25"/>
      <c r="J93" s="25"/>
      <c r="K93" s="15"/>
    </row>
    <row r="94" spans="3:11" ht="12.75">
      <c r="C94" s="15"/>
      <c r="D94" s="15"/>
      <c r="E94" s="21">
        <v>44761</v>
      </c>
      <c r="F94" s="24"/>
      <c r="G94" s="24">
        <v>424199.43</v>
      </c>
      <c r="H94" s="15"/>
      <c r="I94" s="25"/>
      <c r="J94" s="25"/>
      <c r="K94" s="15"/>
    </row>
    <row r="95" spans="3:11" ht="12.75">
      <c r="C95" s="15"/>
      <c r="D95" s="15"/>
      <c r="E95" s="21">
        <v>44776</v>
      </c>
      <c r="F95" s="24"/>
      <c r="G95" s="24">
        <v>373876.58</v>
      </c>
      <c r="H95" s="15"/>
      <c r="I95" s="25"/>
      <c r="J95" s="25"/>
      <c r="K95" s="15"/>
    </row>
    <row r="96" spans="3:11" ht="12.75">
      <c r="C96" s="15"/>
      <c r="D96" s="15"/>
      <c r="E96" s="21">
        <v>44817</v>
      </c>
      <c r="F96" s="24"/>
      <c r="G96" s="24">
        <v>129981.04</v>
      </c>
      <c r="H96" s="15"/>
      <c r="I96" s="25"/>
      <c r="J96" s="25"/>
      <c r="K96" s="15"/>
    </row>
    <row r="97" spans="3:11" ht="12.75">
      <c r="C97" s="15"/>
      <c r="D97" s="15"/>
      <c r="E97" s="21">
        <v>44841</v>
      </c>
      <c r="F97" s="24"/>
      <c r="G97" s="24">
        <v>94622.35</v>
      </c>
      <c r="H97" s="15"/>
      <c r="I97" s="25"/>
      <c r="J97" s="25"/>
      <c r="K97" s="15"/>
    </row>
    <row r="98" spans="3:11" ht="12.75">
      <c r="C98" s="15"/>
      <c r="D98" s="15"/>
      <c r="E98" s="21">
        <v>44872</v>
      </c>
      <c r="F98" s="24"/>
      <c r="G98" s="24">
        <v>71716.91</v>
      </c>
      <c r="H98" s="15"/>
      <c r="I98" s="25"/>
      <c r="J98" s="25"/>
      <c r="K98" s="15"/>
    </row>
    <row r="99" spans="3:11" ht="12.75">
      <c r="C99" s="15"/>
      <c r="D99" s="15"/>
      <c r="E99" s="21">
        <v>44902</v>
      </c>
      <c r="F99" s="24"/>
      <c r="G99" s="24">
        <v>120626.61</v>
      </c>
      <c r="H99" s="15"/>
      <c r="I99" s="25"/>
      <c r="J99" s="25"/>
      <c r="K99" s="15"/>
    </row>
    <row r="100" spans="3:11" ht="12.75">
      <c r="C100" s="15" t="s">
        <v>74</v>
      </c>
      <c r="D100" s="15"/>
      <c r="E100" s="21">
        <v>44960</v>
      </c>
      <c r="F100" s="24"/>
      <c r="G100" s="24">
        <v>-119950.76</v>
      </c>
      <c r="H100" s="15"/>
      <c r="I100" s="25"/>
      <c r="J100" s="25"/>
      <c r="K100" s="15"/>
    </row>
    <row r="101" spans="3:11" ht="12.75">
      <c r="C101" s="15"/>
      <c r="D101" s="15"/>
      <c r="E101" s="21">
        <v>44979</v>
      </c>
      <c r="F101" s="24"/>
      <c r="G101" s="24">
        <v>-139703.11</v>
      </c>
      <c r="H101" s="15"/>
      <c r="I101" s="25"/>
      <c r="J101" s="25"/>
      <c r="K101" s="15"/>
    </row>
    <row r="102" spans="3:11" ht="12.75">
      <c r="C102" s="15"/>
      <c r="D102" s="15"/>
      <c r="E102" s="21">
        <v>45013</v>
      </c>
      <c r="F102" s="24"/>
      <c r="G102" s="24">
        <v>-287307.18</v>
      </c>
      <c r="H102" s="15"/>
      <c r="I102" s="25"/>
      <c r="J102" s="25"/>
      <c r="K102" s="15"/>
    </row>
    <row r="103" spans="3:11" ht="12.75">
      <c r="C103" s="15"/>
      <c r="D103" s="15"/>
      <c r="E103" s="21">
        <v>45022</v>
      </c>
      <c r="F103" s="24"/>
      <c r="G103" s="24">
        <v>-172743.44</v>
      </c>
      <c r="H103" s="15"/>
      <c r="I103" s="25"/>
      <c r="J103" s="25"/>
      <c r="K103" s="15"/>
    </row>
    <row r="104" spans="3:11" ht="12.75">
      <c r="C104" s="15"/>
      <c r="D104" s="15"/>
      <c r="E104" s="21">
        <v>45028</v>
      </c>
      <c r="F104" s="24"/>
      <c r="G104" s="24">
        <v>-52433.55</v>
      </c>
      <c r="H104" s="15"/>
      <c r="I104" s="25"/>
      <c r="J104" s="25"/>
      <c r="K104" s="15"/>
    </row>
    <row r="105" spans="3:11" ht="12.75">
      <c r="C105" s="15"/>
      <c r="D105" s="15"/>
      <c r="E105" s="21">
        <v>45047</v>
      </c>
      <c r="F105" s="24"/>
      <c r="G105" s="24">
        <v>-623456.56</v>
      </c>
      <c r="H105" s="15"/>
      <c r="I105" s="25"/>
      <c r="J105" s="25"/>
      <c r="K105" s="15"/>
    </row>
    <row r="106" spans="3:11" ht="12.75">
      <c r="C106" s="15"/>
      <c r="D106" s="15"/>
      <c r="E106" s="21">
        <v>45061</v>
      </c>
      <c r="F106" s="24"/>
      <c r="G106" s="24">
        <v>-188545.35</v>
      </c>
      <c r="H106" s="15"/>
      <c r="I106" s="25"/>
      <c r="J106" s="25"/>
      <c r="K106" s="15"/>
    </row>
    <row r="107" spans="3:11" ht="12.75">
      <c r="C107" s="15" t="s">
        <v>75</v>
      </c>
      <c r="D107" s="15"/>
      <c r="E107" s="21">
        <v>44939</v>
      </c>
      <c r="F107" s="24"/>
      <c r="G107" s="24">
        <v>101043.53</v>
      </c>
      <c r="H107" s="15"/>
      <c r="I107" s="25"/>
      <c r="J107" s="25"/>
      <c r="K107" s="15"/>
    </row>
    <row r="108" spans="3:11" ht="12.75">
      <c r="C108" s="15"/>
      <c r="D108" s="15"/>
      <c r="E108" s="21">
        <v>44966</v>
      </c>
      <c r="F108" s="24"/>
      <c r="G108" s="24">
        <v>105290.37</v>
      </c>
      <c r="H108" s="15"/>
      <c r="I108" s="25"/>
      <c r="J108" s="25"/>
      <c r="K108" s="15"/>
    </row>
    <row r="109" spans="3:11" ht="12.75">
      <c r="C109" s="15"/>
      <c r="D109" s="15"/>
      <c r="E109" s="21">
        <v>44995</v>
      </c>
      <c r="F109" s="24"/>
      <c r="G109" s="24">
        <v>150131.69</v>
      </c>
      <c r="H109" s="15"/>
      <c r="I109" s="25"/>
      <c r="J109" s="25"/>
      <c r="K109" s="15"/>
    </row>
    <row r="110" spans="3:11" ht="12.75">
      <c r="C110" s="15"/>
      <c r="D110" s="15"/>
      <c r="E110" s="21">
        <v>45027</v>
      </c>
      <c r="F110" s="24"/>
      <c r="G110" s="24">
        <v>206979.39</v>
      </c>
      <c r="H110" s="15"/>
      <c r="I110" s="25"/>
      <c r="J110" s="25"/>
      <c r="K110" s="15"/>
    </row>
    <row r="111" spans="3:11" ht="12.75">
      <c r="C111" s="15"/>
      <c r="D111" s="15"/>
      <c r="E111" s="21">
        <v>45055</v>
      </c>
      <c r="F111" s="24"/>
      <c r="G111" s="24">
        <v>130065.72</v>
      </c>
      <c r="H111" s="15"/>
      <c r="I111" s="25"/>
      <c r="J111" s="25"/>
      <c r="K111" s="15"/>
    </row>
    <row r="112" spans="3:11" ht="12.75">
      <c r="C112" s="15"/>
      <c r="D112" s="15"/>
      <c r="E112" s="21">
        <v>45090</v>
      </c>
      <c r="F112" s="24"/>
      <c r="G112" s="24">
        <v>4187884.91</v>
      </c>
      <c r="H112" s="15"/>
      <c r="I112" s="25"/>
      <c r="J112" s="25"/>
      <c r="K112" s="15"/>
    </row>
    <row r="113" spans="3:9" ht="5.25" customHeight="1">
      <c r="C113" s="15"/>
      <c r="D113" s="15"/>
      <c r="E113" s="21"/>
      <c r="F113" s="15"/>
      <c r="G113" s="24"/>
      <c r="H113" s="15"/>
      <c r="I113" s="25"/>
    </row>
    <row r="114" spans="3:12" ht="12.75">
      <c r="C114" s="15" t="s">
        <v>5</v>
      </c>
      <c r="D114" s="15"/>
      <c r="E114" s="21">
        <f>+E8</f>
        <v>45107</v>
      </c>
      <c r="F114" s="15"/>
      <c r="G114" s="46">
        <f>L114*C22</f>
        <v>2.4573971293580435E7</v>
      </c>
      <c r="H114" s="15"/>
      <c r="I114" s="21"/>
      <c r="L114" s="57">
        <v>8.98498419E8</v>
      </c>
    </row>
    <row r="115" spans="3:10" ht="12.75">
      <c r="C115" s="15"/>
      <c r="D115" s="15"/>
      <c r="E115" s="15"/>
      <c r="F115" s="15"/>
      <c r="G115" s="15"/>
      <c r="H115" s="15"/>
      <c r="J115" s="25"/>
    </row>
    <row r="116" spans="3:11" ht="12.75">
      <c r="C116" s="14" t="s">
        <v>0</v>
      </c>
      <c r="G116" s="29">
        <f>+XIRR(G24:G114,E24:E114,0.1)</f>
        <v>0.16441736817359925</v>
      </c>
      <c r="H116" s="15"/>
      <c r="J116" s="24">
        <f>+SUMIF($G$24:$G$113,"&lt;0",$G$24:$G$113)+G53+G70</f>
        <v>-2.260185619000001E7</v>
      </c>
      <c r="K116" s="15" t="s">
        <v>14</v>
      </c>
    </row>
    <row r="117" spans="3:11" ht="12.75">
      <c r="C117" s="15"/>
      <c r="D117" s="15"/>
      <c r="E117" s="15"/>
      <c r="F117" s="15"/>
      <c r="G117" s="15"/>
      <c r="H117" s="15"/>
      <c r="J117" s="24">
        <f>+SUMIF($G$24:$G$113,"&gt;0",$G$24:$G$113)-G53-G70</f>
        <v>8115699.890000001</v>
      </c>
      <c r="K117" s="15" t="s">
        <v>15</v>
      </c>
    </row>
    <row r="118" spans="3:8" ht="12.75">
      <c r="C118" s="15"/>
      <c r="D118" s="15"/>
      <c r="E118" s="15"/>
      <c r="F118" s="15"/>
      <c r="G118" s="25"/>
      <c r="H118" s="15"/>
    </row>
    <row r="119" spans="3:11" ht="12.75">
      <c r="C119" s="15"/>
      <c r="D119" s="15"/>
      <c r="E119" s="53"/>
      <c r="F119" s="15"/>
      <c r="G119" s="53"/>
      <c r="H119" s="15"/>
      <c r="K119" s="53"/>
    </row>
    <row r="120" spans="3:11" ht="12.75">
      <c r="C120" s="52"/>
      <c r="D120" s="52"/>
      <c r="E120" s="53"/>
      <c r="F120" s="52"/>
      <c r="G120" s="53"/>
      <c r="H120" s="15"/>
      <c r="K120" s="53"/>
    </row>
    <row r="121" spans="3:11" ht="12.75">
      <c r="C121" s="52"/>
      <c r="D121" s="52"/>
      <c r="E121" s="53"/>
      <c r="F121" s="52"/>
      <c r="G121" s="53"/>
      <c r="H121" s="15"/>
      <c r="K121" s="53"/>
    </row>
    <row r="122" spans="3:11" ht="12.75">
      <c r="C122" s="52"/>
      <c r="D122" s="132"/>
      <c r="E122" s="132"/>
      <c r="F122" s="132"/>
      <c r="G122" s="132"/>
      <c r="H122" s="14"/>
      <c r="K122" s="53"/>
    </row>
    <row r="123" spans="3:11" ht="12.75">
      <c r="C123" s="52"/>
      <c r="D123" s="52"/>
      <c r="E123" s="53"/>
      <c r="F123" s="53"/>
      <c r="G123" s="53"/>
      <c r="H123" s="14"/>
      <c r="K123" s="53"/>
    </row>
    <row r="124" spans="3:11" ht="12.75">
      <c r="C124" s="52"/>
      <c r="D124" s="52"/>
      <c r="E124" s="52"/>
      <c r="F124" s="52"/>
      <c r="G124" s="52"/>
      <c r="H124" s="14"/>
      <c r="K124" s="35"/>
    </row>
    <row r="125" spans="3:8" ht="12.75">
      <c r="C125" s="170"/>
      <c r="D125" s="170"/>
      <c r="E125" s="171"/>
      <c r="F125" s="54"/>
      <c r="G125" s="58"/>
      <c r="H125" s="14"/>
    </row>
    <row r="126" spans="3:11" ht="12.75">
      <c r="C126" s="170"/>
      <c r="D126" s="170"/>
      <c r="E126" s="70"/>
      <c r="F126" s="54"/>
      <c r="G126" s="70"/>
      <c r="H126" s="14"/>
      <c r="K126" s="35"/>
    </row>
    <row r="127" spans="3:8" ht="12.75">
      <c r="C127" s="170"/>
      <c r="D127" s="170"/>
      <c r="E127" s="70"/>
      <c r="F127" s="54"/>
      <c r="G127" s="70"/>
      <c r="H127" s="14"/>
    </row>
    <row r="128" spans="3:8" ht="12.75">
      <c r="C128" s="172"/>
      <c r="D128" s="170"/>
      <c r="E128" s="70"/>
      <c r="F128" s="54"/>
      <c r="G128" s="70"/>
      <c r="H128" s="14"/>
    </row>
    <row r="129" spans="3:8" ht="12.75">
      <c r="C129" s="172"/>
      <c r="D129" s="170"/>
      <c r="E129" s="70"/>
      <c r="F129" s="54"/>
      <c r="G129" s="70"/>
      <c r="H129" s="14"/>
    </row>
    <row r="130" spans="3:8" ht="12.75">
      <c r="C130" s="173"/>
      <c r="D130" s="170"/>
      <c r="E130" s="70"/>
      <c r="F130" s="54"/>
      <c r="G130" s="70"/>
      <c r="H130" s="14"/>
    </row>
    <row r="131" spans="3:8" ht="12.75">
      <c r="C131" s="170"/>
      <c r="D131" s="170"/>
      <c r="E131" s="70"/>
      <c r="F131" s="54"/>
      <c r="G131" s="70"/>
      <c r="H131" s="14"/>
    </row>
    <row r="132" spans="3:8" ht="12.75">
      <c r="C132" s="170"/>
      <c r="D132" s="170"/>
      <c r="E132" s="70"/>
      <c r="F132" s="54"/>
      <c r="G132" s="70"/>
      <c r="H132" s="14"/>
    </row>
    <row r="133" spans="3:8" ht="12.75">
      <c r="C133" s="170"/>
      <c r="D133" s="170"/>
      <c r="E133" s="70"/>
      <c r="F133" s="54"/>
      <c r="G133" s="70"/>
      <c r="H133" s="14"/>
    </row>
    <row r="134" spans="3:8" ht="12.75">
      <c r="C134" s="170"/>
      <c r="D134" s="170"/>
      <c r="E134" s="70"/>
      <c r="F134" s="54"/>
      <c r="G134" s="70"/>
      <c r="H134" s="14"/>
    </row>
    <row r="135" spans="3:8" ht="12.75">
      <c r="C135" s="170"/>
      <c r="D135" s="170"/>
      <c r="E135" s="70"/>
      <c r="F135" s="54"/>
      <c r="G135" s="70"/>
      <c r="H135" s="14"/>
    </row>
    <row r="136" spans="3:8" ht="12.75">
      <c r="C136" s="170"/>
      <c r="D136" s="170"/>
      <c r="E136" s="70"/>
      <c r="F136" s="54"/>
      <c r="G136" s="70"/>
      <c r="H136" s="14"/>
    </row>
    <row r="137" spans="3:8" ht="5.1" customHeight="1">
      <c r="C137" s="14"/>
      <c r="D137" s="14"/>
      <c r="E137" s="120"/>
      <c r="F137" s="33"/>
      <c r="G137" s="120"/>
      <c r="H137" s="14"/>
    </row>
    <row r="138" spans="3:8" ht="12.75">
      <c r="C138" s="14"/>
      <c r="D138" s="14"/>
      <c r="E138" s="121"/>
      <c r="F138" s="37"/>
      <c r="G138" s="121"/>
      <c r="H138" s="14"/>
    </row>
    <row r="139" spans="3:8" ht="12.75">
      <c r="C139" s="15"/>
      <c r="D139" s="15"/>
      <c r="E139" s="122"/>
      <c r="F139" s="123"/>
      <c r="G139" s="122"/>
      <c r="H139" s="15"/>
    </row>
    <row r="140" spans="3:8" ht="12.75">
      <c r="C140" s="15"/>
      <c r="D140" s="15"/>
      <c r="E140" s="122"/>
      <c r="F140" s="123"/>
      <c r="G140" s="122"/>
      <c r="H140" s="15"/>
    </row>
    <row r="141" spans="3:8" ht="12.75">
      <c r="C141" s="15"/>
      <c r="D141" s="15"/>
      <c r="E141" s="122"/>
      <c r="F141" s="123"/>
      <c r="G141" s="122"/>
      <c r="H141" s="15"/>
    </row>
    <row r="142" spans="3:8" ht="12.75">
      <c r="C142" s="15"/>
      <c r="D142" s="15"/>
      <c r="E142" s="124"/>
      <c r="F142" s="124"/>
      <c r="G142" s="124"/>
      <c r="H142" s="15"/>
    </row>
    <row r="143" spans="3:8" ht="12.75">
      <c r="C143" s="15"/>
      <c r="D143" s="15"/>
      <c r="E143" s="15"/>
      <c r="F143" s="15"/>
      <c r="G143" s="15"/>
      <c r="H143" s="15"/>
    </row>
    <row r="144" spans="3:8" ht="12.75">
      <c r="C144" s="15"/>
      <c r="D144" s="15"/>
      <c r="E144" s="15"/>
      <c r="F144" s="15"/>
      <c r="G144" s="15"/>
      <c r="H144" s="15"/>
    </row>
    <row r="145" spans="3:8" ht="12.75">
      <c r="C145" s="15"/>
      <c r="D145" s="15"/>
      <c r="E145" s="15"/>
      <c r="F145" s="15"/>
      <c r="G145" s="15"/>
      <c r="H145" s="15"/>
    </row>
    <row r="146" spans="3:8" ht="12.75">
      <c r="C146" s="15"/>
      <c r="D146" s="15"/>
      <c r="E146" s="15"/>
      <c r="F146" s="15"/>
      <c r="G146" s="15"/>
      <c r="H146" s="15"/>
    </row>
    <row r="147" spans="3:8" ht="12.75">
      <c r="C147" s="15"/>
      <c r="D147" s="15"/>
      <c r="E147" s="15"/>
      <c r="F147" s="15"/>
      <c r="G147" s="15"/>
      <c r="H147" s="15"/>
    </row>
    <row r="148" spans="3:8" ht="12.75">
      <c r="C148" s="15"/>
      <c r="D148" s="15"/>
      <c r="E148" s="15"/>
      <c r="F148" s="15"/>
      <c r="G148" s="15"/>
      <c r="H148" s="15"/>
    </row>
    <row r="149" spans="3:8" ht="12.75">
      <c r="C149" s="15"/>
      <c r="D149" s="15"/>
      <c r="E149" s="15"/>
      <c r="F149" s="15"/>
      <c r="G149" s="15"/>
      <c r="H149" s="15"/>
    </row>
    <row r="150" spans="3:8" ht="12.75">
      <c r="C150" s="15"/>
      <c r="D150" s="15"/>
      <c r="E150" s="15"/>
      <c r="F150" s="15"/>
      <c r="G150" s="15"/>
      <c r="H150" s="15"/>
    </row>
    <row r="151" spans="3:8" ht="12.75">
      <c r="C151" s="15"/>
      <c r="D151" s="15"/>
      <c r="E151" s="15"/>
      <c r="F151" s="15"/>
      <c r="G151" s="15"/>
      <c r="H151" s="15"/>
    </row>
    <row r="152" spans="3:8" ht="12.75">
      <c r="C152" s="15"/>
      <c r="D152" s="15"/>
      <c r="E152" s="15"/>
      <c r="F152" s="15"/>
      <c r="G152" s="15"/>
      <c r="H152" s="15"/>
    </row>
  </sheetData>
  <mergeCells count="1">
    <mergeCell ref="D122:G12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F1AD4F7-D7D7-4037-B270-45907FDA82B2}">
  <sheetPr>
    <pageSetUpPr fitToPage="1"/>
  </sheetPr>
  <dimension ref="B4:L152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f>'Fund XI'!E8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12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9" ht="12.75">
      <c r="C13" s="163"/>
      <c r="D13" s="163"/>
      <c r="E13" s="167"/>
      <c r="F13" s="163"/>
      <c r="G13" s="57"/>
      <c r="H13" s="8"/>
      <c r="I13" s="12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G116</f>
        <v>0.18758236765861508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-(G114+J117)/J116</f>
        <v>1.5256428750238882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55"/>
    </row>
    <row r="22" spans="3:12" ht="12.75">
      <c r="C22" s="22">
        <v>0.012144909</v>
      </c>
      <c r="D22" s="15"/>
      <c r="E22" s="15"/>
      <c r="F22" s="15"/>
      <c r="G22" s="23"/>
      <c r="H22" s="15"/>
      <c r="I22" s="15"/>
      <c r="J22" s="115"/>
      <c r="K22" s="116"/>
      <c r="L22" s="57"/>
    </row>
    <row r="23" spans="3:12" ht="12.75">
      <c r="C23" s="15"/>
      <c r="D23" s="15"/>
      <c r="E23" s="21"/>
      <c r="F23" s="24"/>
      <c r="G23" s="24"/>
      <c r="H23" s="15"/>
      <c r="I23" s="25"/>
      <c r="J23" s="115"/>
      <c r="K23" s="116"/>
      <c r="L23" s="57"/>
    </row>
    <row r="24" spans="3:12" ht="12.75">
      <c r="C24" s="15" t="s">
        <v>79</v>
      </c>
      <c r="D24" s="15"/>
      <c r="E24" s="21">
        <v>42933</v>
      </c>
      <c r="F24" s="24"/>
      <c r="G24" s="24">
        <v>-118300</v>
      </c>
      <c r="H24" s="15"/>
      <c r="I24" s="25"/>
      <c r="J24" s="115"/>
      <c r="K24" s="116"/>
      <c r="L24" s="57"/>
    </row>
    <row r="25" spans="3:12" ht="12.75">
      <c r="C25" s="15"/>
      <c r="D25" s="15"/>
      <c r="E25" s="21">
        <v>43010</v>
      </c>
      <c r="F25" s="24"/>
      <c r="G25" s="24">
        <v>-28700</v>
      </c>
      <c r="H25" s="15"/>
      <c r="I25" s="25"/>
      <c r="J25" s="115"/>
      <c r="K25" s="116"/>
      <c r="L25" s="57"/>
    </row>
    <row r="26" spans="3:12" ht="12.75">
      <c r="C26" s="15"/>
      <c r="D26" s="15"/>
      <c r="E26" s="21">
        <v>43052</v>
      </c>
      <c r="F26" s="24"/>
      <c r="G26" s="24">
        <v>-12600</v>
      </c>
      <c r="H26" s="15"/>
      <c r="I26" s="25"/>
      <c r="J26" s="115"/>
      <c r="K26" s="116"/>
      <c r="L26" s="169"/>
    </row>
    <row r="27" spans="3:12" ht="12.75">
      <c r="C27" s="15"/>
      <c r="D27" s="15"/>
      <c r="E27" s="21">
        <v>43087</v>
      </c>
      <c r="F27" s="24"/>
      <c r="G27" s="24">
        <v>-55425.40</v>
      </c>
      <c r="H27" s="15"/>
      <c r="I27" s="25"/>
      <c r="J27" s="115"/>
      <c r="K27" s="169"/>
      <c r="L27" s="169"/>
    </row>
    <row r="28" spans="3:12" ht="12.75">
      <c r="C28" s="15"/>
      <c r="D28" s="15"/>
      <c r="E28" s="21">
        <v>43096</v>
      </c>
      <c r="F28" s="24"/>
      <c r="G28" s="24">
        <v>-33988.44</v>
      </c>
      <c r="H28" s="15"/>
      <c r="I28" s="25"/>
      <c r="J28" s="115"/>
      <c r="K28" s="116"/>
      <c r="L28" s="169"/>
    </row>
    <row r="29" spans="3:11" ht="12.75">
      <c r="C29" s="15" t="s">
        <v>81</v>
      </c>
      <c r="D29" s="15"/>
      <c r="E29" s="21">
        <v>43182</v>
      </c>
      <c r="F29" s="24"/>
      <c r="G29" s="24">
        <v>-245863.11</v>
      </c>
      <c r="H29" s="15"/>
      <c r="I29" s="25"/>
      <c r="J29" s="25"/>
      <c r="K29" s="15"/>
    </row>
    <row r="30" spans="3:11" ht="12.75">
      <c r="C30" s="15"/>
      <c r="D30" s="15"/>
      <c r="E30" s="21">
        <v>43276</v>
      </c>
      <c r="F30" s="24"/>
      <c r="G30" s="24">
        <v>-87283.92</v>
      </c>
      <c r="H30" s="15"/>
      <c r="I30" s="25"/>
      <c r="J30" s="25"/>
      <c r="K30" s="15"/>
    </row>
    <row r="31" spans="3:11" ht="12.75">
      <c r="C31" s="15"/>
      <c r="D31" s="15"/>
      <c r="E31" s="21">
        <v>43363</v>
      </c>
      <c r="F31" s="24"/>
      <c r="G31" s="24">
        <v>-65060.71</v>
      </c>
      <c r="H31" s="15"/>
      <c r="I31" s="25"/>
      <c r="J31" s="25"/>
      <c r="K31" s="15"/>
    </row>
    <row r="32" spans="3:11" ht="12.75">
      <c r="C32" s="15"/>
      <c r="D32" s="15"/>
      <c r="E32" s="21">
        <v>43398</v>
      </c>
      <c r="F32" s="24"/>
      <c r="G32" s="24">
        <v>-57016.11</v>
      </c>
      <c r="H32" s="15"/>
      <c r="I32" s="25"/>
      <c r="J32" s="25"/>
      <c r="K32" s="15"/>
    </row>
    <row r="33" spans="3:11" ht="12.75">
      <c r="C33" s="15"/>
      <c r="D33" s="15"/>
      <c r="E33" s="21">
        <v>43433</v>
      </c>
      <c r="F33" s="24"/>
      <c r="G33" s="24">
        <v>-46256.45</v>
      </c>
      <c r="H33" s="15"/>
      <c r="I33" s="25"/>
      <c r="J33" s="25"/>
      <c r="K33" s="15"/>
    </row>
    <row r="34" spans="3:11" ht="12.75">
      <c r="C34" s="15" t="s">
        <v>83</v>
      </c>
      <c r="D34" s="15"/>
      <c r="E34" s="21">
        <v>43468</v>
      </c>
      <c r="F34" s="24"/>
      <c r="G34" s="24">
        <v>-78535.4</v>
      </c>
      <c r="H34" s="15"/>
      <c r="I34" s="25"/>
      <c r="J34" s="25"/>
      <c r="K34" s="15"/>
    </row>
    <row r="35" spans="3:11" ht="12.75">
      <c r="C35" s="15"/>
      <c r="D35" s="15"/>
      <c r="E35" s="21">
        <v>43495</v>
      </c>
      <c r="F35" s="24"/>
      <c r="G35" s="24">
        <v>-129417.52</v>
      </c>
      <c r="H35" s="15"/>
      <c r="I35" s="25"/>
      <c r="J35" s="25"/>
      <c r="K35" s="15"/>
    </row>
    <row r="36" spans="3:11" ht="12.75">
      <c r="C36" s="15"/>
      <c r="D36" s="15"/>
      <c r="E36" s="21">
        <v>43510</v>
      </c>
      <c r="F36" s="24"/>
      <c r="G36" s="24">
        <v>-51988.23</v>
      </c>
      <c r="H36" s="15"/>
      <c r="I36" s="25"/>
      <c r="J36" s="25"/>
      <c r="K36" s="15"/>
    </row>
    <row r="37" spans="3:11" ht="12.75">
      <c r="C37" s="15"/>
      <c r="D37" s="15"/>
      <c r="E37" s="21">
        <v>43559</v>
      </c>
      <c r="F37" s="24"/>
      <c r="G37" s="24">
        <v>-72099.73</v>
      </c>
      <c r="H37" s="15"/>
      <c r="I37" s="25"/>
      <c r="J37" s="25"/>
      <c r="K37" s="15"/>
    </row>
    <row r="38" spans="3:11" ht="12.75">
      <c r="C38" s="15"/>
      <c r="D38" s="15"/>
      <c r="E38" s="21">
        <v>43593</v>
      </c>
      <c r="F38" s="24"/>
      <c r="G38" s="24">
        <v>-71898.61</v>
      </c>
      <c r="H38" s="15"/>
      <c r="I38" s="25"/>
      <c r="J38" s="25"/>
      <c r="K38" s="15"/>
    </row>
    <row r="39" spans="3:11" ht="12.75">
      <c r="C39" s="15"/>
      <c r="D39" s="15"/>
      <c r="E39" s="21">
        <v>43642</v>
      </c>
      <c r="F39" s="24"/>
      <c r="G39" s="24">
        <v>-114836.68</v>
      </c>
      <c r="H39" s="15"/>
      <c r="I39" s="25"/>
      <c r="J39" s="25"/>
      <c r="K39" s="15"/>
    </row>
    <row r="40" spans="3:11" ht="12.75">
      <c r="C40" s="15"/>
      <c r="D40" s="15"/>
      <c r="E40" s="21">
        <v>43656</v>
      </c>
      <c r="F40" s="24"/>
      <c r="G40" s="24">
        <v>-85272.77</v>
      </c>
      <c r="H40" s="15"/>
      <c r="I40" s="25"/>
      <c r="J40" s="25"/>
      <c r="K40" s="15"/>
    </row>
    <row r="41" spans="3:11" ht="12.75">
      <c r="C41" s="15"/>
      <c r="D41" s="15"/>
      <c r="E41" s="21">
        <v>43684</v>
      </c>
      <c r="F41" s="24"/>
      <c r="G41" s="24">
        <v>-74412.54</v>
      </c>
      <c r="H41" s="15"/>
      <c r="I41" s="25"/>
      <c r="J41" s="25"/>
      <c r="K41" s="15"/>
    </row>
    <row r="42" spans="3:11" ht="12.75">
      <c r="C42" s="15"/>
      <c r="D42" s="15"/>
      <c r="E42" s="21">
        <v>43768</v>
      </c>
      <c r="F42" s="24"/>
      <c r="G42" s="24">
        <v>-73608.09</v>
      </c>
      <c r="H42" s="15"/>
      <c r="I42" s="25"/>
      <c r="J42" s="25"/>
      <c r="K42" s="15"/>
    </row>
    <row r="43" spans="3:11" ht="12.75">
      <c r="C43" s="15"/>
      <c r="D43" s="15"/>
      <c r="E43" s="21">
        <v>43817</v>
      </c>
      <c r="F43" s="24"/>
      <c r="G43" s="24">
        <v>-565937.67</v>
      </c>
      <c r="H43" s="15"/>
      <c r="I43" s="25"/>
      <c r="J43" s="25"/>
      <c r="K43" s="15"/>
    </row>
    <row r="44" spans="3:11" ht="12.75">
      <c r="C44" s="15" t="s">
        <v>16</v>
      </c>
      <c r="D44" s="15"/>
      <c r="E44" s="21">
        <v>44006</v>
      </c>
      <c r="F44" s="24"/>
      <c r="G44" s="24">
        <v>-41932.49</v>
      </c>
      <c r="H44" s="15"/>
      <c r="I44" s="25"/>
      <c r="J44" s="25"/>
      <c r="K44" s="15"/>
    </row>
    <row r="45" spans="3:11" ht="12.75">
      <c r="C45" s="15"/>
      <c r="D45" s="15"/>
      <c r="E45" s="21">
        <v>44026</v>
      </c>
      <c r="F45" s="24"/>
      <c r="G45" s="24">
        <v>-103674.79</v>
      </c>
      <c r="H45" s="15"/>
      <c r="I45" s="25"/>
      <c r="J45" s="25"/>
      <c r="K45" s="15"/>
    </row>
    <row r="46" spans="3:11" ht="12.75">
      <c r="C46" s="15"/>
      <c r="D46" s="15"/>
      <c r="E46" s="21">
        <v>44105</v>
      </c>
      <c r="F46" s="24"/>
      <c r="G46" s="24">
        <v>-35597.36</v>
      </c>
      <c r="H46" s="15"/>
      <c r="I46" s="25"/>
      <c r="J46" s="25"/>
      <c r="K46" s="15"/>
    </row>
    <row r="47" spans="3:11" ht="12.75">
      <c r="C47" s="15"/>
      <c r="D47" s="15"/>
      <c r="E47" s="21">
        <v>44182</v>
      </c>
      <c r="F47" s="24"/>
      <c r="G47" s="24">
        <v>-144300.02</v>
      </c>
      <c r="H47" s="15"/>
      <c r="I47" s="25"/>
      <c r="J47" s="25"/>
      <c r="K47" s="15"/>
    </row>
    <row r="48" spans="3:11" ht="12.75">
      <c r="C48" s="15"/>
      <c r="D48" s="15"/>
      <c r="E48" s="21">
        <v>44188</v>
      </c>
      <c r="F48" s="24"/>
      <c r="G48" s="24">
        <v>-33586.21</v>
      </c>
      <c r="H48" s="15"/>
      <c r="I48" s="25"/>
      <c r="J48" s="25"/>
      <c r="K48" s="15"/>
    </row>
    <row r="49" spans="3:11" ht="12.75">
      <c r="C49" s="15" t="s">
        <v>41</v>
      </c>
      <c r="D49" s="15"/>
      <c r="E49" s="21">
        <v>44246</v>
      </c>
      <c r="F49" s="24"/>
      <c r="G49" s="24">
        <v>-30971.71</v>
      </c>
      <c r="H49" s="15"/>
      <c r="I49" s="25"/>
      <c r="J49" s="25"/>
      <c r="K49" s="15"/>
    </row>
    <row r="50" spans="3:11" ht="12.75">
      <c r="C50" s="15"/>
      <c r="D50" s="15"/>
      <c r="E50" s="21">
        <v>44250</v>
      </c>
      <c r="F50" s="24"/>
      <c r="G50" s="24">
        <v>-32681.18</v>
      </c>
      <c r="H50" s="15"/>
      <c r="I50" s="25"/>
      <c r="J50" s="25"/>
      <c r="K50" s="15"/>
    </row>
    <row r="51" spans="3:11" ht="12.75">
      <c r="C51" s="15"/>
      <c r="D51" s="15"/>
      <c r="E51" s="21">
        <v>44274</v>
      </c>
      <c r="F51" s="24"/>
      <c r="G51" s="24">
        <v>-51485.45</v>
      </c>
      <c r="H51" s="15"/>
      <c r="I51" s="25"/>
      <c r="J51" s="25"/>
      <c r="K51" s="15"/>
    </row>
    <row r="52" spans="3:11" ht="12.75">
      <c r="C52" s="15"/>
      <c r="D52" s="15"/>
      <c r="E52" s="21">
        <v>44305</v>
      </c>
      <c r="F52" s="24"/>
      <c r="G52" s="24">
        <v>-573580.03</v>
      </c>
      <c r="H52" s="15"/>
      <c r="I52" s="25"/>
      <c r="J52" s="25"/>
      <c r="K52" s="15"/>
    </row>
    <row r="53" spans="3:11" ht="12.75">
      <c r="C53" s="15"/>
      <c r="D53" s="15"/>
      <c r="E53" s="21">
        <v>44362</v>
      </c>
      <c r="F53" s="24"/>
      <c r="G53" s="24">
        <v>89998.97</v>
      </c>
      <c r="H53" s="15"/>
      <c r="I53" s="25"/>
      <c r="J53" s="25"/>
      <c r="K53" s="15"/>
    </row>
    <row r="54" spans="3:11" ht="12.75">
      <c r="C54" s="15"/>
      <c r="D54" s="15"/>
      <c r="E54" s="21">
        <v>44400</v>
      </c>
      <c r="F54" s="24"/>
      <c r="G54" s="24">
        <v>-70390.26</v>
      </c>
      <c r="H54" s="15"/>
      <c r="I54" s="25"/>
      <c r="J54" s="25"/>
      <c r="K54" s="15"/>
    </row>
    <row r="55" spans="3:11" ht="12.75">
      <c r="C55" s="15"/>
      <c r="D55" s="15"/>
      <c r="E55" s="21">
        <v>44407</v>
      </c>
      <c r="F55" s="24"/>
      <c r="G55" s="24">
        <v>-75418.13</v>
      </c>
      <c r="H55" s="15"/>
      <c r="I55" s="25"/>
      <c r="J55" s="25"/>
      <c r="K55" s="15"/>
    </row>
    <row r="56" spans="3:11" ht="12.75">
      <c r="C56" s="15"/>
      <c r="D56" s="15"/>
      <c r="E56" s="21">
        <v>44440</v>
      </c>
      <c r="F56" s="24"/>
      <c r="G56" s="24">
        <v>-35999.59</v>
      </c>
      <c r="H56" s="15"/>
      <c r="I56" s="25"/>
      <c r="J56" s="25"/>
      <c r="K56" s="15"/>
    </row>
    <row r="57" spans="3:11" ht="12.75">
      <c r="C57" s="15"/>
      <c r="D57" s="15"/>
      <c r="E57" s="21">
        <v>44453</v>
      </c>
      <c r="F57" s="24"/>
      <c r="G57" s="24">
        <v>-59429.49</v>
      </c>
      <c r="H57" s="15"/>
      <c r="I57" s="25"/>
      <c r="J57" s="25"/>
      <c r="K57" s="15"/>
    </row>
    <row r="58" spans="3:11" ht="12.75">
      <c r="C58" s="15"/>
      <c r="D58" s="15"/>
      <c r="E58" s="21">
        <v>44473</v>
      </c>
      <c r="F58" s="24"/>
      <c r="G58" s="24">
        <v>-37910.19</v>
      </c>
      <c r="H58" s="15"/>
      <c r="I58" s="25"/>
      <c r="J58" s="25"/>
      <c r="K58" s="15"/>
    </row>
    <row r="59" spans="3:11" ht="12.75">
      <c r="C59" s="15"/>
      <c r="D59" s="15"/>
      <c r="E59" s="21">
        <v>44496</v>
      </c>
      <c r="F59" s="24"/>
      <c r="G59" s="24">
        <v>-43239.73</v>
      </c>
      <c r="H59" s="15"/>
      <c r="I59" s="25"/>
      <c r="J59" s="25"/>
      <c r="K59" s="15"/>
    </row>
    <row r="60" spans="3:11" ht="12.75">
      <c r="C60" s="15"/>
      <c r="D60" s="15"/>
      <c r="E60" s="21">
        <v>44537</v>
      </c>
      <c r="F60" s="24"/>
      <c r="G60" s="24">
        <v>-171249.44</v>
      </c>
      <c r="H60" s="15"/>
      <c r="I60" s="25"/>
      <c r="J60" s="25"/>
      <c r="K60" s="15"/>
    </row>
    <row r="61" spans="3:11" ht="12.75">
      <c r="C61" s="15"/>
      <c r="D61" s="15"/>
      <c r="E61" s="21">
        <v>44550</v>
      </c>
      <c r="F61" s="24"/>
      <c r="G61" s="24">
        <v>-405749.55</v>
      </c>
      <c r="H61" s="15"/>
      <c r="I61" s="25"/>
      <c r="J61" s="25"/>
      <c r="K61" s="15"/>
    </row>
    <row r="62" spans="3:11" ht="12.75">
      <c r="C62" s="15" t="s">
        <v>71</v>
      </c>
      <c r="D62" s="15"/>
      <c r="E62" s="21">
        <v>44396</v>
      </c>
      <c r="F62" s="24"/>
      <c r="G62" s="24">
        <v>14478.55</v>
      </c>
      <c r="H62" s="15"/>
      <c r="I62" s="25"/>
      <c r="J62" s="25"/>
      <c r="K62" s="15"/>
    </row>
    <row r="63" spans="3:11" ht="12.75">
      <c r="C63" s="15"/>
      <c r="D63" s="15"/>
      <c r="E63" s="21">
        <v>44476</v>
      </c>
      <c r="F63" s="24"/>
      <c r="G63" s="24">
        <v>17147.06</v>
      </c>
      <c r="H63" s="15"/>
      <c r="I63" s="25"/>
      <c r="J63" s="25"/>
      <c r="K63" s="15"/>
    </row>
    <row r="64" spans="3:11" ht="12.75">
      <c r="C64" s="15"/>
      <c r="D64" s="15"/>
      <c r="E64" s="21">
        <v>44512</v>
      </c>
      <c r="F64" s="24"/>
      <c r="G64" s="24">
        <v>55569.08</v>
      </c>
      <c r="H64" s="15"/>
      <c r="I64" s="25"/>
      <c r="J64" s="25"/>
      <c r="K64" s="15"/>
    </row>
    <row r="65" spans="3:11" ht="12.75">
      <c r="C65" s="15" t="s">
        <v>72</v>
      </c>
      <c r="D65" s="15"/>
      <c r="E65" s="21">
        <v>44565</v>
      </c>
      <c r="F65" s="24"/>
      <c r="G65" s="24">
        <v>-20010.94</v>
      </c>
      <c r="H65" s="15"/>
      <c r="I65" s="25"/>
      <c r="J65" s="25"/>
      <c r="K65" s="15"/>
    </row>
    <row r="66" spans="3:11" ht="12.75">
      <c r="C66" s="15"/>
      <c r="D66" s="15"/>
      <c r="E66" s="21">
        <v>44602</v>
      </c>
      <c r="F66" s="24"/>
      <c r="G66" s="24">
        <v>-61842.87</v>
      </c>
      <c r="H66" s="15"/>
      <c r="I66" s="25"/>
      <c r="J66" s="25"/>
      <c r="K66" s="15"/>
    </row>
    <row r="67" spans="3:11" ht="12.75">
      <c r="C67" s="15"/>
      <c r="D67" s="15"/>
      <c r="E67" s="21">
        <v>44628</v>
      </c>
      <c r="F67" s="24"/>
      <c r="G67" s="24">
        <v>-46055.35</v>
      </c>
      <c r="H67" s="15"/>
      <c r="I67" s="25"/>
      <c r="J67" s="25"/>
      <c r="K67" s="15"/>
    </row>
    <row r="68" spans="3:11" ht="12.75">
      <c r="C68" s="15"/>
      <c r="D68" s="15"/>
      <c r="E68" s="21">
        <v>44641</v>
      </c>
      <c r="F68" s="24"/>
      <c r="G68" s="24">
        <v>-301672.53</v>
      </c>
      <c r="H68" s="15"/>
      <c r="I68" s="25"/>
      <c r="J68" s="25"/>
      <c r="K68" s="15"/>
    </row>
    <row r="69" spans="3:11" ht="12.75">
      <c r="C69" s="15"/>
      <c r="D69" s="15"/>
      <c r="E69" s="21">
        <v>44645</v>
      </c>
      <c r="F69" s="24"/>
      <c r="G69" s="24">
        <v>-651310.98</v>
      </c>
      <c r="H69" s="15"/>
      <c r="I69" s="25"/>
      <c r="J69" s="25"/>
      <c r="K69" s="15"/>
    </row>
    <row r="70" spans="3:11" ht="12.75">
      <c r="C70" s="15"/>
      <c r="D70" s="15"/>
      <c r="E70" s="21">
        <v>44670</v>
      </c>
      <c r="F70" s="24"/>
      <c r="G70" s="24">
        <v>271806.95</v>
      </c>
      <c r="H70" s="15"/>
      <c r="I70" s="25"/>
      <c r="J70" s="25"/>
      <c r="K70" s="15"/>
    </row>
    <row r="71" spans="3:11" ht="12.75">
      <c r="C71" s="15"/>
      <c r="D71" s="15"/>
      <c r="E71" s="21">
        <v>44694</v>
      </c>
      <c r="F71" s="24"/>
      <c r="G71" s="24">
        <v>-13776.38</v>
      </c>
      <c r="H71" s="15"/>
      <c r="I71" s="25"/>
      <c r="J71" s="25"/>
      <c r="K71" s="15"/>
    </row>
    <row r="72" spans="3:11" ht="12.75">
      <c r="C72" s="15"/>
      <c r="D72" s="15"/>
      <c r="E72" s="21">
        <v>44701</v>
      </c>
      <c r="F72" s="24"/>
      <c r="G72" s="24">
        <v>-35094.57</v>
      </c>
      <c r="H72" s="15"/>
      <c r="I72" s="25"/>
      <c r="J72" s="25"/>
      <c r="K72" s="15"/>
    </row>
    <row r="73" spans="3:11" ht="12.75">
      <c r="C73" s="15"/>
      <c r="D73" s="15"/>
      <c r="E73" s="21">
        <v>44727</v>
      </c>
      <c r="F73" s="24"/>
      <c r="G73" s="24">
        <v>-112724.96</v>
      </c>
      <c r="H73" s="15"/>
      <c r="I73" s="25"/>
      <c r="J73" s="25"/>
      <c r="K73" s="15"/>
    </row>
    <row r="74" spans="3:11" ht="12.75">
      <c r="C74" s="15"/>
      <c r="D74" s="15"/>
      <c r="E74" s="21">
        <v>44750</v>
      </c>
      <c r="F74" s="24"/>
      <c r="G74" s="24">
        <v>-109607.68</v>
      </c>
      <c r="H74" s="15"/>
      <c r="I74" s="25"/>
      <c r="J74" s="25"/>
      <c r="K74" s="15"/>
    </row>
    <row r="75" spans="3:11" ht="12.75">
      <c r="C75" s="15"/>
      <c r="D75" s="15"/>
      <c r="E75" s="21">
        <v>44764</v>
      </c>
      <c r="F75" s="24"/>
      <c r="G75" s="24">
        <v>-15888.08</v>
      </c>
      <c r="H75" s="15"/>
      <c r="I75" s="25"/>
      <c r="J75" s="25"/>
      <c r="K75" s="15"/>
    </row>
    <row r="76" spans="3:11" ht="12.75">
      <c r="C76" s="15"/>
      <c r="D76" s="15"/>
      <c r="E76" s="21">
        <v>44790</v>
      </c>
      <c r="F76" s="24"/>
      <c r="G76" s="24">
        <v>-18703.69</v>
      </c>
      <c r="H76" s="15"/>
      <c r="I76" s="25"/>
      <c r="J76" s="25"/>
      <c r="K76" s="15"/>
    </row>
    <row r="77" spans="3:11" ht="12.75">
      <c r="C77" s="15"/>
      <c r="D77" s="15"/>
      <c r="E77" s="21">
        <v>44797</v>
      </c>
      <c r="F77" s="24"/>
      <c r="G77" s="24">
        <v>-54200.49</v>
      </c>
      <c r="H77" s="15"/>
      <c r="I77" s="25"/>
      <c r="J77" s="25"/>
      <c r="K77" s="15"/>
    </row>
    <row r="78" spans="3:11" ht="12.75">
      <c r="C78" s="15"/>
      <c r="D78" s="15"/>
      <c r="E78" s="21">
        <v>44806</v>
      </c>
      <c r="F78" s="24"/>
      <c r="G78" s="24">
        <v>-48066.50</v>
      </c>
      <c r="H78" s="15"/>
      <c r="I78" s="25"/>
      <c r="J78" s="25"/>
      <c r="K78" s="15"/>
    </row>
    <row r="79" spans="3:11" ht="12.75">
      <c r="C79" s="15"/>
      <c r="D79" s="15"/>
      <c r="E79" s="21">
        <v>44818</v>
      </c>
      <c r="F79" s="24"/>
      <c r="G79" s="24">
        <v>-138869.93</v>
      </c>
      <c r="H79" s="15"/>
      <c r="I79" s="25"/>
      <c r="J79" s="25"/>
      <c r="K79" s="15"/>
    </row>
    <row r="80" spans="3:11" ht="12.75">
      <c r="C80" s="15"/>
      <c r="D80" s="15"/>
      <c r="E80" s="21">
        <v>44833</v>
      </c>
      <c r="F80" s="24"/>
      <c r="G80" s="24">
        <v>-49273.18</v>
      </c>
      <c r="H80" s="15"/>
      <c r="I80" s="25"/>
      <c r="J80" s="25"/>
      <c r="K80" s="15"/>
    </row>
    <row r="81" spans="3:11" ht="12.75">
      <c r="C81" s="15"/>
      <c r="D81" s="15"/>
      <c r="E81" s="21">
        <v>44838</v>
      </c>
      <c r="F81" s="24"/>
      <c r="G81" s="24">
        <v>-106590.96</v>
      </c>
      <c r="H81" s="15"/>
      <c r="I81" s="25"/>
      <c r="J81" s="25"/>
      <c r="K81" s="15"/>
    </row>
    <row r="82" spans="3:11" ht="12.75">
      <c r="C82" s="15"/>
      <c r="D82" s="15"/>
      <c r="E82" s="21">
        <v>44847</v>
      </c>
      <c r="F82" s="24"/>
      <c r="G82" s="24">
        <v>-60837.30</v>
      </c>
      <c r="H82" s="15"/>
      <c r="I82" s="25"/>
      <c r="J82" s="25"/>
      <c r="K82" s="15"/>
    </row>
    <row r="83" spans="3:11" ht="12.75">
      <c r="C83" s="15"/>
      <c r="D83" s="15"/>
      <c r="E83" s="21">
        <v>44858</v>
      </c>
      <c r="F83" s="24"/>
      <c r="G83" s="24">
        <v>-31675.62</v>
      </c>
      <c r="H83" s="15"/>
      <c r="I83" s="25"/>
      <c r="J83" s="25"/>
      <c r="K83" s="15"/>
    </row>
    <row r="84" spans="3:11" ht="12.75">
      <c r="C84" s="15"/>
      <c r="D84" s="15"/>
      <c r="E84" s="21">
        <v>44866</v>
      </c>
      <c r="F84" s="24"/>
      <c r="G84" s="24">
        <v>-18804.25</v>
      </c>
      <c r="H84" s="15"/>
      <c r="I84" s="25"/>
      <c r="J84" s="25"/>
      <c r="K84" s="15"/>
    </row>
    <row r="85" spans="3:11" ht="12.75">
      <c r="C85" s="15"/>
      <c r="D85" s="15"/>
      <c r="E85" s="21">
        <v>44893</v>
      </c>
      <c r="F85" s="24"/>
      <c r="G85" s="24">
        <v>-89898.41</v>
      </c>
      <c r="H85" s="15"/>
      <c r="I85" s="25"/>
      <c r="J85" s="25"/>
      <c r="K85" s="15"/>
    </row>
    <row r="86" spans="3:11" ht="12.75">
      <c r="C86" s="15"/>
      <c r="D86" s="15"/>
      <c r="E86" s="21">
        <v>44902</v>
      </c>
      <c r="F86" s="24"/>
      <c r="G86" s="24">
        <v>-50178.20</v>
      </c>
      <c r="H86" s="15"/>
      <c r="I86" s="25"/>
      <c r="J86" s="25"/>
      <c r="K86" s="15"/>
    </row>
    <row r="87" spans="3:11" ht="12.75">
      <c r="C87" s="15"/>
      <c r="D87" s="15"/>
      <c r="E87" s="21">
        <v>44909</v>
      </c>
      <c r="F87" s="24"/>
      <c r="G87" s="24">
        <v>-195986.58</v>
      </c>
      <c r="H87" s="15"/>
      <c r="I87" s="25"/>
      <c r="J87" s="25"/>
      <c r="K87" s="15"/>
    </row>
    <row r="88" spans="3:11" ht="12.75">
      <c r="C88" s="15" t="s">
        <v>73</v>
      </c>
      <c r="D88" s="15"/>
      <c r="E88" s="21">
        <v>44575</v>
      </c>
      <c r="F88" s="24"/>
      <c r="G88" s="24">
        <v>70317.36</v>
      </c>
      <c r="H88" s="15"/>
      <c r="I88" s="25"/>
      <c r="J88" s="25"/>
      <c r="K88" s="15"/>
    </row>
    <row r="89" spans="3:11" ht="12.75">
      <c r="C89" s="15"/>
      <c r="D89" s="15"/>
      <c r="E89" s="21">
        <v>44601</v>
      </c>
      <c r="F89" s="24"/>
      <c r="G89" s="24">
        <v>54777.98</v>
      </c>
      <c r="H89" s="15"/>
      <c r="I89" s="25"/>
      <c r="J89" s="25"/>
      <c r="K89" s="15"/>
    </row>
    <row r="90" spans="3:11" ht="12.75">
      <c r="C90" s="15"/>
      <c r="D90" s="15"/>
      <c r="E90" s="21">
        <v>44628</v>
      </c>
      <c r="F90" s="24"/>
      <c r="G90" s="24">
        <v>143395.19</v>
      </c>
      <c r="H90" s="15"/>
      <c r="I90" s="25"/>
      <c r="J90" s="25"/>
      <c r="K90" s="15"/>
    </row>
    <row r="91" spans="3:11" ht="12.75">
      <c r="C91" s="15"/>
      <c r="D91" s="15"/>
      <c r="E91" s="21">
        <v>44659</v>
      </c>
      <c r="F91" s="24"/>
      <c r="G91" s="24">
        <v>72768.56</v>
      </c>
      <c r="H91" s="15"/>
      <c r="I91" s="25"/>
      <c r="J91" s="25"/>
      <c r="K91" s="15"/>
    </row>
    <row r="92" spans="3:11" ht="12.75">
      <c r="C92" s="15"/>
      <c r="D92" s="15"/>
      <c r="E92" s="21">
        <v>44692</v>
      </c>
      <c r="F92" s="24"/>
      <c r="G92" s="24">
        <v>61434.59</v>
      </c>
      <c r="H92" s="15"/>
      <c r="I92" s="25"/>
      <c r="J92" s="25"/>
      <c r="K92" s="15"/>
    </row>
    <row r="93" spans="3:11" ht="12.75">
      <c r="C93" s="15"/>
      <c r="D93" s="15"/>
      <c r="E93" s="21">
        <v>44719</v>
      </c>
      <c r="F93" s="24"/>
      <c r="G93" s="24">
        <v>76039.47</v>
      </c>
      <c r="H93" s="15"/>
      <c r="I93" s="25"/>
      <c r="J93" s="25"/>
      <c r="K93" s="15"/>
    </row>
    <row r="94" spans="3:11" ht="12.75">
      <c r="C94" s="15"/>
      <c r="D94" s="15"/>
      <c r="E94" s="21">
        <v>44761</v>
      </c>
      <c r="F94" s="24"/>
      <c r="G94" s="24">
        <v>118775.84</v>
      </c>
      <c r="H94" s="15"/>
      <c r="I94" s="25"/>
      <c r="J94" s="25"/>
      <c r="K94" s="15"/>
    </row>
    <row r="95" spans="3:11" ht="12.75">
      <c r="C95" s="15"/>
      <c r="D95" s="15"/>
      <c r="E95" s="21">
        <v>44776</v>
      </c>
      <c r="F95" s="24"/>
      <c r="G95" s="24">
        <v>104734.96</v>
      </c>
      <c r="H95" s="15"/>
      <c r="I95" s="25"/>
      <c r="J95" s="25"/>
      <c r="K95" s="15"/>
    </row>
    <row r="96" spans="3:11" ht="12.75">
      <c r="C96" s="15"/>
      <c r="D96" s="15"/>
      <c r="E96" s="21">
        <v>44817</v>
      </c>
      <c r="F96" s="24"/>
      <c r="G96" s="24">
        <v>36369.32</v>
      </c>
      <c r="H96" s="15"/>
      <c r="I96" s="25"/>
      <c r="J96" s="25"/>
      <c r="K96" s="15"/>
    </row>
    <row r="97" spans="3:11" ht="12.75">
      <c r="C97" s="15"/>
      <c r="D97" s="15"/>
      <c r="E97" s="21">
        <v>44841</v>
      </c>
      <c r="F97" s="24"/>
      <c r="G97" s="24">
        <v>26494.26</v>
      </c>
      <c r="H97" s="15"/>
      <c r="I97" s="25"/>
      <c r="J97" s="25"/>
      <c r="K97" s="15"/>
    </row>
    <row r="98" spans="3:11" ht="12.75">
      <c r="C98" s="15"/>
      <c r="D98" s="15"/>
      <c r="E98" s="21">
        <v>44872</v>
      </c>
      <c r="F98" s="24"/>
      <c r="G98" s="24">
        <v>20080.73</v>
      </c>
      <c r="H98" s="15"/>
      <c r="I98" s="25"/>
      <c r="J98" s="25"/>
      <c r="K98" s="15"/>
    </row>
    <row r="99" spans="3:11" ht="12.75">
      <c r="C99" s="15"/>
      <c r="D99" s="15"/>
      <c r="E99" s="21">
        <v>44902</v>
      </c>
      <c r="F99" s="24"/>
      <c r="G99" s="24">
        <v>33882.87</v>
      </c>
      <c r="H99" s="15"/>
      <c r="I99" s="25"/>
      <c r="J99" s="25"/>
      <c r="K99" s="15"/>
    </row>
    <row r="100" spans="3:11" ht="12.75">
      <c r="C100" s="15" t="s">
        <v>74</v>
      </c>
      <c r="D100" s="15"/>
      <c r="E100" s="21">
        <v>44960</v>
      </c>
      <c r="F100" s="24"/>
      <c r="G100" s="24">
        <v>-33586.21</v>
      </c>
      <c r="H100" s="15"/>
      <c r="I100" s="25"/>
      <c r="J100" s="25"/>
      <c r="K100" s="15"/>
    </row>
    <row r="101" spans="3:11" ht="12.75">
      <c r="C101" s="15"/>
      <c r="D101" s="15"/>
      <c r="E101" s="21">
        <v>44979</v>
      </c>
      <c r="F101" s="24"/>
      <c r="G101" s="24">
        <v>-39116.87</v>
      </c>
      <c r="H101" s="15"/>
      <c r="I101" s="25"/>
      <c r="J101" s="25"/>
      <c r="K101" s="15"/>
    </row>
    <row r="102" spans="3:11" ht="12.75">
      <c r="C102" s="15"/>
      <c r="D102" s="15"/>
      <c r="E102" s="21">
        <v>45013</v>
      </c>
      <c r="F102" s="24"/>
      <c r="G102" s="24">
        <v>-80446.01</v>
      </c>
      <c r="H102" s="15"/>
      <c r="I102" s="25"/>
      <c r="J102" s="25"/>
      <c r="K102" s="15"/>
    </row>
    <row r="103" spans="3:11" ht="12.75">
      <c r="C103" s="15"/>
      <c r="D103" s="15"/>
      <c r="E103" s="21">
        <v>45022</v>
      </c>
      <c r="F103" s="24"/>
      <c r="G103" s="24">
        <v>-48368.16</v>
      </c>
      <c r="H103" s="15"/>
      <c r="I103" s="25"/>
      <c r="J103" s="25"/>
      <c r="K103" s="15"/>
    </row>
    <row r="104" spans="3:11" ht="12.75">
      <c r="C104" s="15"/>
      <c r="D104" s="15"/>
      <c r="E104" s="21">
        <v>45028</v>
      </c>
      <c r="F104" s="24"/>
      <c r="G104" s="24">
        <v>-14681.39</v>
      </c>
      <c r="H104" s="15"/>
      <c r="I104" s="25"/>
      <c r="J104" s="25"/>
      <c r="K104" s="15"/>
    </row>
    <row r="105" spans="3:11" ht="12.75">
      <c r="C105" s="15"/>
      <c r="D105" s="15"/>
      <c r="E105" s="21">
        <v>45047</v>
      </c>
      <c r="F105" s="24"/>
      <c r="G105" s="24">
        <v>-174567.84</v>
      </c>
      <c r="H105" s="15"/>
      <c r="I105" s="25"/>
      <c r="J105" s="25"/>
      <c r="K105" s="15"/>
    </row>
    <row r="106" spans="3:11" ht="12.75">
      <c r="C106" s="15"/>
      <c r="D106" s="15"/>
      <c r="E106" s="21">
        <v>45061</v>
      </c>
      <c r="F106" s="24"/>
      <c r="G106" s="24">
        <v>-52792.69</v>
      </c>
      <c r="H106" s="15"/>
      <c r="I106" s="25"/>
      <c r="J106" s="25"/>
      <c r="K106" s="15"/>
    </row>
    <row r="107" spans="3:11" ht="12.75">
      <c r="C107" s="15" t="s">
        <v>75</v>
      </c>
      <c r="D107" s="15"/>
      <c r="E107" s="21">
        <v>44939</v>
      </c>
      <c r="F107" s="24"/>
      <c r="G107" s="24">
        <v>28292.19</v>
      </c>
      <c r="H107" s="15"/>
      <c r="I107" s="25"/>
      <c r="J107" s="25"/>
      <c r="K107" s="15"/>
    </row>
    <row r="108" spans="3:11" ht="12.75">
      <c r="C108" s="15"/>
      <c r="D108" s="15"/>
      <c r="E108" s="21">
        <v>44966</v>
      </c>
      <c r="F108" s="24"/>
      <c r="G108" s="24">
        <v>29481.31</v>
      </c>
      <c r="H108" s="15"/>
      <c r="I108" s="25"/>
      <c r="J108" s="25"/>
      <c r="K108" s="15"/>
    </row>
    <row r="109" spans="3:11" ht="12.75">
      <c r="C109" s="15"/>
      <c r="D109" s="15"/>
      <c r="E109" s="21">
        <v>44995</v>
      </c>
      <c r="F109" s="24"/>
      <c r="G109" s="24">
        <v>42036.88</v>
      </c>
      <c r="H109" s="15"/>
      <c r="I109" s="25"/>
      <c r="J109" s="25"/>
      <c r="K109" s="15"/>
    </row>
    <row r="110" spans="3:11" ht="12.75">
      <c r="C110" s="15"/>
      <c r="D110" s="15"/>
      <c r="E110" s="21">
        <v>45027</v>
      </c>
      <c r="F110" s="24"/>
      <c r="G110" s="24">
        <v>60117.34</v>
      </c>
      <c r="H110" s="15"/>
      <c r="I110" s="25"/>
      <c r="J110" s="25"/>
      <c r="K110" s="15"/>
    </row>
    <row r="111" spans="3:11" ht="12.75">
      <c r="C111" s="15"/>
      <c r="D111" s="15"/>
      <c r="E111" s="21">
        <v>45055</v>
      </c>
      <c r="F111" s="24"/>
      <c r="G111" s="24">
        <v>36418.40</v>
      </c>
      <c r="H111" s="15"/>
      <c r="I111" s="25"/>
      <c r="J111" s="25"/>
      <c r="K111" s="15"/>
    </row>
    <row r="112" spans="3:11" ht="12.75">
      <c r="C112" s="15"/>
      <c r="D112" s="15"/>
      <c r="E112" s="21">
        <v>45090</v>
      </c>
      <c r="F112" s="24"/>
      <c r="G112" s="24">
        <v>1174373.9</v>
      </c>
      <c r="H112" s="15"/>
      <c r="I112" s="25"/>
      <c r="J112" s="25"/>
      <c r="K112" s="15"/>
    </row>
    <row r="113" spans="3:9" ht="4.5" customHeight="1">
      <c r="C113" s="15"/>
      <c r="D113" s="15"/>
      <c r="E113" s="21"/>
      <c r="F113" s="15"/>
      <c r="G113" s="24"/>
      <c r="H113" s="15"/>
      <c r="I113" s="25"/>
    </row>
    <row r="114" spans="3:12" ht="12.75">
      <c r="C114" s="15" t="s">
        <v>5</v>
      </c>
      <c r="D114" s="15"/>
      <c r="E114" s="21">
        <f>+E8</f>
        <v>45107</v>
      </c>
      <c r="F114" s="15"/>
      <c r="G114" s="46">
        <f>L114*C22</f>
        <v>7378075.149753315</v>
      </c>
      <c r="H114" s="15"/>
      <c r="I114" s="21"/>
      <c r="L114" s="57">
        <v>6.07503535E8</v>
      </c>
    </row>
    <row r="115" spans="3:10" ht="12.75">
      <c r="C115" s="15"/>
      <c r="D115" s="15"/>
      <c r="E115" s="15"/>
      <c r="F115" s="15"/>
      <c r="G115" s="15"/>
      <c r="H115" s="15"/>
      <c r="J115" s="25"/>
    </row>
    <row r="116" spans="3:11" ht="12.75">
      <c r="C116" s="14" t="s">
        <v>0</v>
      </c>
      <c r="G116" s="29">
        <f>+XIRR(G24:G114,E24:E114,0.1)</f>
        <v>0.18758236765861508</v>
      </c>
      <c r="H116" s="15"/>
      <c r="J116" s="24">
        <f>+SUMIF($G$24:$G$113,"&lt;0",$G$24:$G$113)+G53+G70</f>
        <v>-6328519.7</v>
      </c>
      <c r="K116" s="15" t="s">
        <v>14</v>
      </c>
    </row>
    <row r="117" spans="3:11" ht="12.75">
      <c r="C117" s="15"/>
      <c r="D117" s="15"/>
      <c r="E117" s="15"/>
      <c r="F117" s="15"/>
      <c r="G117" s="15"/>
      <c r="H117" s="15"/>
      <c r="J117" s="24">
        <f>+SUMIF($G$24:$G$113,"&gt;0",$G$24:$G$113)-G53-G70</f>
        <v>2276985.8399999994</v>
      </c>
      <c r="K117" s="15" t="s">
        <v>15</v>
      </c>
    </row>
    <row r="118" spans="3:8" ht="12.75">
      <c r="C118" s="15"/>
      <c r="D118" s="15"/>
      <c r="E118" s="15"/>
      <c r="F118" s="15"/>
      <c r="G118" s="25"/>
      <c r="H118" s="15"/>
    </row>
    <row r="119" spans="3:11" ht="12.75">
      <c r="C119" s="15"/>
      <c r="D119" s="15"/>
      <c r="E119" s="53"/>
      <c r="F119" s="15"/>
      <c r="G119" s="53"/>
      <c r="H119" s="15"/>
      <c r="K119" s="53"/>
    </row>
    <row r="120" spans="3:11" ht="12.75">
      <c r="C120" s="52"/>
      <c r="D120" s="52"/>
      <c r="E120" s="53"/>
      <c r="F120" s="52"/>
      <c r="G120" s="53"/>
      <c r="H120" s="15"/>
      <c r="K120" s="53"/>
    </row>
    <row r="121" spans="3:11" ht="12.75">
      <c r="C121" s="52"/>
      <c r="D121" s="52"/>
      <c r="E121" s="53"/>
      <c r="F121" s="52"/>
      <c r="G121" s="53"/>
      <c r="H121" s="15"/>
      <c r="K121" s="53"/>
    </row>
    <row r="122" spans="3:11" ht="12.75">
      <c r="C122" s="52"/>
      <c r="D122" s="52"/>
      <c r="E122" s="132"/>
      <c r="F122" s="132"/>
      <c r="G122" s="132"/>
      <c r="H122" s="14"/>
      <c r="K122" s="53"/>
    </row>
    <row r="123" spans="3:11" ht="12.75">
      <c r="C123" s="52"/>
      <c r="D123" s="52"/>
      <c r="E123" s="53"/>
      <c r="F123" s="53"/>
      <c r="G123" s="53"/>
      <c r="H123" s="14"/>
      <c r="K123" s="53"/>
    </row>
    <row r="124" spans="3:11" ht="12.75">
      <c r="C124" s="52"/>
      <c r="D124" s="52"/>
      <c r="E124" s="52"/>
      <c r="F124" s="52"/>
      <c r="G124" s="52"/>
      <c r="H124" s="14"/>
      <c r="K124" s="35"/>
    </row>
    <row r="125" spans="3:8" ht="12.75">
      <c r="C125" s="170"/>
      <c r="D125" s="170"/>
      <c r="E125" s="171"/>
      <c r="F125" s="54"/>
      <c r="G125" s="58"/>
      <c r="H125" s="14"/>
    </row>
    <row r="126" spans="3:11" ht="12.75">
      <c r="C126" s="170"/>
      <c r="D126" s="170"/>
      <c r="E126" s="70"/>
      <c r="F126" s="54"/>
      <c r="G126" s="70"/>
      <c r="H126" s="14"/>
      <c r="K126" s="35"/>
    </row>
    <row r="127" spans="3:8" ht="12.75">
      <c r="C127" s="170"/>
      <c r="D127" s="170"/>
      <c r="E127" s="70"/>
      <c r="F127" s="54"/>
      <c r="G127" s="70"/>
      <c r="H127" s="14"/>
    </row>
    <row r="128" spans="3:8" ht="12.75">
      <c r="C128" s="172"/>
      <c r="D128" s="170"/>
      <c r="E128" s="70"/>
      <c r="F128" s="54"/>
      <c r="G128" s="70"/>
      <c r="H128" s="14"/>
    </row>
    <row r="129" spans="3:8" ht="12.75">
      <c r="C129" s="172"/>
      <c r="D129" s="170"/>
      <c r="E129" s="70"/>
      <c r="F129" s="54"/>
      <c r="G129" s="70"/>
      <c r="H129" s="14"/>
    </row>
    <row r="130" spans="3:8" ht="12.75">
      <c r="C130" s="173"/>
      <c r="D130" s="170"/>
      <c r="E130" s="70"/>
      <c r="F130" s="54"/>
      <c r="G130" s="70"/>
      <c r="H130" s="14"/>
    </row>
    <row r="131" spans="3:8" ht="12.75">
      <c r="C131" s="170"/>
      <c r="D131" s="170"/>
      <c r="E131" s="70"/>
      <c r="F131" s="54"/>
      <c r="G131" s="70"/>
      <c r="H131" s="14"/>
    </row>
    <row r="132" spans="3:8" ht="12.75">
      <c r="C132" s="170"/>
      <c r="D132" s="170"/>
      <c r="E132" s="70"/>
      <c r="F132" s="54"/>
      <c r="G132" s="70"/>
      <c r="H132" s="14"/>
    </row>
    <row r="133" spans="3:8" ht="12.75">
      <c r="C133" s="170"/>
      <c r="D133" s="170"/>
      <c r="E133" s="70"/>
      <c r="F133" s="54"/>
      <c r="G133" s="70"/>
      <c r="H133" s="14"/>
    </row>
    <row r="134" spans="3:8" ht="12.75">
      <c r="C134" s="170"/>
      <c r="D134" s="170"/>
      <c r="E134" s="70"/>
      <c r="F134" s="54"/>
      <c r="G134" s="70"/>
      <c r="H134" s="14"/>
    </row>
    <row r="135" spans="3:8" ht="12.75">
      <c r="C135" s="170"/>
      <c r="D135" s="170"/>
      <c r="E135" s="70"/>
      <c r="F135" s="54"/>
      <c r="G135" s="70"/>
      <c r="H135" s="14"/>
    </row>
    <row r="136" spans="3:8" ht="12.75">
      <c r="C136" s="170"/>
      <c r="D136" s="170"/>
      <c r="E136" s="70"/>
      <c r="F136" s="54"/>
      <c r="G136" s="70"/>
      <c r="H136" s="14"/>
    </row>
    <row r="137" spans="3:8" ht="5.1" customHeight="1">
      <c r="C137" s="14"/>
      <c r="D137" s="14"/>
      <c r="E137" s="120"/>
      <c r="F137" s="33"/>
      <c r="G137" s="120"/>
      <c r="H137" s="14"/>
    </row>
    <row r="138" spans="3:8" ht="12.75">
      <c r="C138" s="14"/>
      <c r="D138" s="14"/>
      <c r="E138" s="121"/>
      <c r="F138" s="37"/>
      <c r="G138" s="121"/>
      <c r="H138" s="14"/>
    </row>
    <row r="139" spans="3:8" ht="12.75">
      <c r="C139" s="15"/>
      <c r="D139" s="15"/>
      <c r="E139" s="122"/>
      <c r="F139" s="123"/>
      <c r="G139" s="122"/>
      <c r="H139" s="15"/>
    </row>
    <row r="140" spans="3:8" ht="12.75">
      <c r="C140" s="15"/>
      <c r="D140" s="15"/>
      <c r="E140" s="122"/>
      <c r="F140" s="123"/>
      <c r="G140" s="122"/>
      <c r="H140" s="15"/>
    </row>
    <row r="141" spans="3:8" ht="12.75">
      <c r="C141" s="15"/>
      <c r="D141" s="15"/>
      <c r="E141" s="122"/>
      <c r="F141" s="123"/>
      <c r="G141" s="122"/>
      <c r="H141" s="15"/>
    </row>
    <row r="142" spans="3:8" ht="12.75">
      <c r="C142" s="15"/>
      <c r="D142" s="15"/>
      <c r="E142" s="124"/>
      <c r="F142" s="124"/>
      <c r="G142" s="124"/>
      <c r="H142" s="15"/>
    </row>
    <row r="143" spans="3:8" ht="12.75">
      <c r="C143" s="15"/>
      <c r="D143" s="15"/>
      <c r="E143" s="15"/>
      <c r="F143" s="15"/>
      <c r="G143" s="15"/>
      <c r="H143" s="15"/>
    </row>
    <row r="144" spans="3:8" ht="12.75">
      <c r="C144" s="15"/>
      <c r="D144" s="15"/>
      <c r="E144" s="15"/>
      <c r="F144" s="15"/>
      <c r="G144" s="15"/>
      <c r="H144" s="15"/>
    </row>
    <row r="145" spans="3:8" ht="12.75">
      <c r="C145" s="15"/>
      <c r="D145" s="15"/>
      <c r="E145" s="15"/>
      <c r="F145" s="15"/>
      <c r="G145" s="15"/>
      <c r="H145" s="15"/>
    </row>
    <row r="146" spans="3:8" ht="12.75">
      <c r="C146" s="15"/>
      <c r="D146" s="15"/>
      <c r="E146" s="15"/>
      <c r="F146" s="15"/>
      <c r="G146" s="15"/>
      <c r="H146" s="15"/>
    </row>
    <row r="147" spans="3:8" ht="12.75">
      <c r="C147" s="15"/>
      <c r="D147" s="15"/>
      <c r="E147" s="15"/>
      <c r="F147" s="15"/>
      <c r="G147" s="15"/>
      <c r="H147" s="15"/>
    </row>
    <row r="148" spans="3:8" ht="12.75">
      <c r="C148" s="15"/>
      <c r="D148" s="15"/>
      <c r="E148" s="15"/>
      <c r="F148" s="15"/>
      <c r="G148" s="15"/>
      <c r="H148" s="15"/>
    </row>
    <row r="149" spans="3:8" ht="12.75">
      <c r="C149" s="15"/>
      <c r="D149" s="15"/>
      <c r="E149" s="15"/>
      <c r="F149" s="15"/>
      <c r="G149" s="15"/>
      <c r="H149" s="15"/>
    </row>
    <row r="150" spans="3:8" ht="12.75">
      <c r="C150" s="15"/>
      <c r="D150" s="15"/>
      <c r="E150" s="15"/>
      <c r="F150" s="15"/>
      <c r="G150" s="15"/>
      <c r="H150" s="15"/>
    </row>
    <row r="151" spans="3:8" ht="12.75">
      <c r="C151" s="15"/>
      <c r="D151" s="15"/>
      <c r="E151" s="15"/>
      <c r="F151" s="15"/>
      <c r="G151" s="15"/>
      <c r="H151" s="15"/>
    </row>
    <row r="152" spans="3:8" ht="12.75">
      <c r="C152" s="15"/>
      <c r="D152" s="15"/>
      <c r="E152" s="15"/>
      <c r="F152" s="15"/>
      <c r="G152" s="15"/>
      <c r="H152" s="15"/>
    </row>
  </sheetData>
  <mergeCells count="1">
    <mergeCell ref="E122:G12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F449C7-CD65-4D22-9BF8-05CDD33AC85F}">
  <dimension ref="B4:Q89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45107</v>
      </c>
      <c r="F8" s="32"/>
      <c r="G8" s="6"/>
      <c r="H8" s="6"/>
      <c r="I8" s="55"/>
    </row>
    <row r="9" spans="3:13" ht="15.75">
      <c r="C9" s="5"/>
      <c r="D9" s="5"/>
      <c r="E9" s="5"/>
      <c r="F9" s="5"/>
      <c r="G9" s="55"/>
      <c r="I9" s="110"/>
      <c r="J9" s="55"/>
      <c r="M9" s="35"/>
    </row>
    <row r="10" spans="3:15" ht="12.75">
      <c r="C10" s="18"/>
      <c r="D10" s="18"/>
      <c r="E10" s="10"/>
      <c r="F10" s="18"/>
      <c r="G10" s="57"/>
      <c r="H10" s="7"/>
      <c r="I10" s="27"/>
      <c r="J10" s="57"/>
      <c r="O10" s="16"/>
    </row>
    <row r="11" spans="3:9" ht="12.75">
      <c r="C11" s="18"/>
      <c r="D11" s="18"/>
      <c r="E11" s="10"/>
      <c r="F11" s="18"/>
      <c r="G11" s="10"/>
      <c r="H11" s="7"/>
      <c r="I11" s="27"/>
    </row>
    <row r="12" spans="3:9" ht="15.75">
      <c r="C12" s="26"/>
      <c r="D12" s="26"/>
      <c r="E12" s="11"/>
      <c r="F12" s="26"/>
      <c r="G12" s="11"/>
      <c r="H12" s="5"/>
      <c r="I12" s="27"/>
    </row>
    <row r="13" spans="3:15" ht="12.75">
      <c r="C13" s="18"/>
      <c r="D13" s="18"/>
      <c r="E13" s="28"/>
      <c r="F13" s="18"/>
      <c r="G13" s="57"/>
      <c r="H13" s="8"/>
      <c r="I13" s="27"/>
      <c r="J13" s="56"/>
      <c r="O13" s="16"/>
    </row>
    <row r="14" spans="3:9" ht="12.75">
      <c r="C14" s="18"/>
      <c r="D14" s="18"/>
      <c r="E14" s="111"/>
      <c r="F14" s="18"/>
      <c r="G14" s="57"/>
      <c r="H14" s="9"/>
      <c r="I14" s="27"/>
    </row>
    <row r="15" spans="3:9" ht="12.75">
      <c r="C15" s="18"/>
      <c r="D15" s="18"/>
      <c r="E15" s="10"/>
      <c r="F15" s="18"/>
      <c r="G15" s="10"/>
      <c r="H15" s="7"/>
      <c r="I15" s="27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G71</f>
        <v>0.25984918475151064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-(G69+I70)/I69</f>
        <v>1.3753156768340478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/>
      <c r="L20" s="41"/>
      <c r="M20" s="42"/>
      <c r="N20" s="39"/>
    </row>
    <row r="21" spans="3:15" ht="15.75">
      <c r="C21" s="19" t="s">
        <v>95</v>
      </c>
      <c r="D21" s="20"/>
      <c r="E21" s="20"/>
      <c r="F21" s="20"/>
      <c r="I21" s="21"/>
      <c r="J21" s="46"/>
      <c r="K21" s="15"/>
      <c r="L21" s="41"/>
      <c r="M21" s="42"/>
      <c r="N21" s="43"/>
      <c r="O21" s="45"/>
    </row>
    <row r="22" spans="3:15" ht="12.75">
      <c r="C22" s="22">
        <v>1</v>
      </c>
      <c r="D22" s="15"/>
      <c r="E22" s="15"/>
      <c r="F22" s="15"/>
      <c r="G22" s="23"/>
      <c r="H22" s="15"/>
      <c r="I22" s="15"/>
      <c r="J22" s="46"/>
      <c r="K22" s="15"/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46"/>
      <c r="K23" s="15"/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f>-8355693.57*193814409.75/213814409.75</f>
        <v>-7574109.804923568</v>
      </c>
      <c r="H24" s="15"/>
      <c r="I24" s="25"/>
      <c r="J24" s="46"/>
      <c r="K24" s="15"/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f>-8946403.4*193814409.75/213814409.75</f>
        <v>-8109565.189660437</v>
      </c>
      <c r="H25" s="15"/>
      <c r="I25" s="25"/>
      <c r="J25" s="46"/>
      <c r="K25" s="15"/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f>-8101403.91*193814409.75/213814409.75-1912477.07</f>
        <v>-9256083.231992982</v>
      </c>
      <c r="H26" s="15"/>
      <c r="I26" s="25"/>
      <c r="J26" s="46"/>
      <c r="K26" s="15"/>
      <c r="L26" s="41"/>
      <c r="M26" s="42"/>
      <c r="N26" s="39"/>
      <c r="O26" s="25"/>
      <c r="P26" s="45"/>
    </row>
    <row r="27" spans="3:16" ht="12.75">
      <c r="C27" s="15"/>
      <c r="D27" s="15"/>
      <c r="E27" s="21">
        <v>44117</v>
      </c>
      <c r="F27" s="24"/>
      <c r="G27" s="24">
        <f>-10183965.83*193814409.75/213814409.75</f>
        <v>-9231367.186914392</v>
      </c>
      <c r="H27" s="15"/>
      <c r="I27" s="25"/>
      <c r="J27" s="46"/>
      <c r="K27" s="15"/>
      <c r="L27" s="41"/>
      <c r="M27" s="42"/>
      <c r="N27" s="39"/>
      <c r="O27" s="25"/>
      <c r="P27" s="45"/>
    </row>
    <row r="28" spans="3:16" ht="12.75">
      <c r="C28" s="15"/>
      <c r="D28" s="15"/>
      <c r="E28" s="21">
        <v>44141</v>
      </c>
      <c r="F28" s="24"/>
      <c r="G28" s="24">
        <f>-9094491.06*193814409.75/213814409.75</f>
        <v>-8243800.86838629</v>
      </c>
      <c r="H28" s="15"/>
      <c r="I28" s="25"/>
      <c r="J28" s="46"/>
      <c r="K28" s="15"/>
      <c r="L28" s="41"/>
      <c r="M28" s="42"/>
      <c r="N28" s="39"/>
      <c r="O28" s="25"/>
      <c r="P28" s="45"/>
    </row>
    <row r="29" spans="3:16" ht="12.75">
      <c r="C29" s="15"/>
      <c r="D29" s="15"/>
      <c r="E29" s="21">
        <v>44148</v>
      </c>
      <c r="F29" s="24"/>
      <c r="G29" s="24">
        <f>-4743875.63*193814409.75/213814409.75</f>
        <v>-4300137.938462117</v>
      </c>
      <c r="H29" s="15"/>
      <c r="I29" s="25"/>
      <c r="J29" s="46"/>
      <c r="K29" s="15"/>
      <c r="L29" s="41"/>
      <c r="M29" s="42"/>
      <c r="N29" s="39"/>
      <c r="O29" s="25"/>
      <c r="P29" s="45"/>
    </row>
    <row r="30" spans="3:15" ht="12.75">
      <c r="C30" s="15"/>
      <c r="D30" s="15"/>
      <c r="E30" s="21">
        <v>44187</v>
      </c>
      <c r="F30" s="24"/>
      <c r="G30" s="24">
        <f>-4000309.07*193814409.75/213814409.75-294804.35</f>
        <v>-3920928.24934875</v>
      </c>
      <c r="H30" s="15"/>
      <c r="I30" s="25"/>
      <c r="J30" s="46"/>
      <c r="K30" s="15"/>
      <c r="L30" s="41"/>
      <c r="M30" s="42"/>
      <c r="N30" s="39"/>
      <c r="O30" s="25"/>
    </row>
    <row r="31" spans="3:16" ht="12.75">
      <c r="C31" s="15" t="s">
        <v>41</v>
      </c>
      <c r="D31" s="15"/>
      <c r="E31" s="21">
        <v>44203</v>
      </c>
      <c r="F31" s="24"/>
      <c r="G31" s="24">
        <f>-17965219.19*193814409.75/213814409.75-492157.19</f>
        <v>-1.6776926572056223E7</v>
      </c>
      <c r="H31" s="15"/>
      <c r="I31" s="25"/>
      <c r="J31" s="46"/>
      <c r="K31" s="15"/>
      <c r="L31" s="41"/>
      <c r="M31" s="42"/>
      <c r="N31" s="39"/>
      <c r="P31" s="45"/>
    </row>
    <row r="32" spans="3:16" ht="12.75">
      <c r="C32" s="15"/>
      <c r="D32" s="15"/>
      <c r="E32" s="21">
        <v>44217</v>
      </c>
      <c r="F32" s="24"/>
      <c r="G32" s="24">
        <f>-2420477.32*193814409.75/213814409.75</f>
        <v>-2194068.134311335</v>
      </c>
      <c r="H32" s="15"/>
      <c r="I32" s="25"/>
      <c r="J32" s="46"/>
      <c r="K32" s="15"/>
      <c r="L32" s="41"/>
      <c r="M32" s="42"/>
      <c r="N32" s="39"/>
      <c r="P32" s="45"/>
    </row>
    <row r="33" spans="3:14" ht="12.75">
      <c r="C33" s="15"/>
      <c r="D33" s="15"/>
      <c r="E33" s="21">
        <v>44250</v>
      </c>
      <c r="F33" s="24"/>
      <c r="G33" s="24">
        <f>8743624.8*193814409.75/213814409.75</f>
        <v>7925754.310333436</v>
      </c>
      <c r="H33" s="15"/>
      <c r="I33" s="25"/>
      <c r="J33" s="25"/>
      <c r="K33" s="15"/>
      <c r="L33" s="39"/>
      <c r="M33" s="39"/>
      <c r="N33" s="39"/>
    </row>
    <row r="34" spans="3:15" ht="12.75">
      <c r="C34" s="15"/>
      <c r="D34" s="15"/>
      <c r="E34" s="21">
        <v>44265</v>
      </c>
      <c r="F34" s="24"/>
      <c r="G34" s="24">
        <f>-5278462.5*193814409.75/213814409.75-155480.19</f>
        <v>-4940200.242409889</v>
      </c>
      <c r="H34" s="15"/>
      <c r="I34" s="25"/>
      <c r="J34" s="25"/>
      <c r="K34" s="15"/>
      <c r="L34" s="39"/>
      <c r="M34" s="39"/>
      <c r="N34" s="39"/>
      <c r="O34" s="45"/>
    </row>
    <row r="35" spans="3:14" ht="12.75">
      <c r="C35" s="15"/>
      <c r="D35" s="15"/>
      <c r="E35" s="21">
        <v>44291</v>
      </c>
      <c r="F35" s="24"/>
      <c r="G35" s="24">
        <f>-12658173.89*193814409.75/213814409.75-268874.97</f>
        <v>-1.174301510803722E7</v>
      </c>
      <c r="H35" s="15"/>
      <c r="I35" s="25"/>
      <c r="J35" s="25"/>
      <c r="K35" s="15"/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f>-28503534.36*193814409.75/213814409.75-795428.94</f>
        <v>-2.6632769342976484E7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f>29772852.87*193814409.75/213814409.75</f>
        <v>2.6987928046194952E7</v>
      </c>
      <c r="H37" s="15"/>
      <c r="I37" s="25"/>
      <c r="J37" s="98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f>-13567083.21*193814409.75/213814409.75-457505.62</f>
        <v>-1.275553654995366E7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24">
        <f>16251618.18*193814409.75/213814409.75</f>
        <v>1.473145700854275E7</v>
      </c>
      <c r="H39" s="15"/>
      <c r="I39" s="25"/>
      <c r="J39" s="25"/>
      <c r="K39" s="15"/>
      <c r="L39" s="39"/>
      <c r="M39" s="39"/>
      <c r="N39" s="39"/>
    </row>
    <row r="40" spans="3:14" ht="12.75">
      <c r="C40" s="15"/>
      <c r="D40" s="15"/>
      <c r="E40" s="21">
        <v>44361</v>
      </c>
      <c r="F40" s="24"/>
      <c r="G40" s="24">
        <f>416746.8*193814409.75/213814409.75+67984.53</f>
        <v>445749.2239307901</v>
      </c>
      <c r="H40" s="15"/>
      <c r="I40" s="25"/>
      <c r="J40" s="97"/>
      <c r="K40" s="15"/>
      <c r="L40" s="39"/>
      <c r="M40" s="39"/>
      <c r="N40" s="39"/>
    </row>
    <row r="41" spans="3:14" ht="12.75">
      <c r="C41" s="15"/>
      <c r="D41" s="15"/>
      <c r="E41" s="21">
        <v>44375</v>
      </c>
      <c r="F41" s="24"/>
      <c r="G41" s="24">
        <v>-6218476.1</v>
      </c>
      <c r="H41" s="15"/>
      <c r="I41" s="25"/>
      <c r="J41" s="98"/>
      <c r="K41" s="15"/>
      <c r="L41" s="39"/>
      <c r="M41" s="39"/>
      <c r="N41" s="39"/>
    </row>
    <row r="42" spans="3:14" ht="12.75">
      <c r="C42" s="15"/>
      <c r="D42" s="15"/>
      <c r="E42" s="21">
        <v>44405</v>
      </c>
      <c r="F42" s="24"/>
      <c r="G42" s="24">
        <v>-3521085.97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44468</v>
      </c>
      <c r="F43" s="24"/>
      <c r="G43" s="24">
        <v>-1653652.87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44475</v>
      </c>
      <c r="F44" s="24"/>
      <c r="G44" s="24">
        <v>-4024098.30</v>
      </c>
      <c r="H44" s="15"/>
      <c r="I44" s="25"/>
      <c r="J44" s="25"/>
      <c r="K44" s="15"/>
      <c r="L44" s="39"/>
      <c r="M44" s="39"/>
      <c r="N44" s="39"/>
    </row>
    <row r="45" spans="3:14" ht="12.75">
      <c r="C45" s="15"/>
      <c r="D45" s="15"/>
      <c r="E45" s="21">
        <v>44483</v>
      </c>
      <c r="F45" s="24"/>
      <c r="G45" s="24">
        <v>-4703164.88</v>
      </c>
      <c r="H45" s="15"/>
      <c r="I45" s="25"/>
      <c r="J45" s="25"/>
      <c r="K45" s="15"/>
      <c r="L45" s="39"/>
      <c r="M45" s="39"/>
      <c r="N45" s="39"/>
    </row>
    <row r="46" spans="3:14" ht="12.75">
      <c r="C46" s="15"/>
      <c r="D46" s="15"/>
      <c r="E46" s="21">
        <v>44505</v>
      </c>
      <c r="F46" s="24"/>
      <c r="G46" s="24">
        <v>-4225303.20</v>
      </c>
      <c r="H46" s="15"/>
      <c r="I46" s="25"/>
      <c r="J46" s="25"/>
      <c r="K46" s="15"/>
      <c r="L46" s="39"/>
      <c r="M46" s="39"/>
      <c r="N46" s="39"/>
    </row>
    <row r="47" spans="3:14" ht="12.75">
      <c r="C47" s="15"/>
      <c r="D47" s="15"/>
      <c r="E47" s="21">
        <v>44551</v>
      </c>
      <c r="F47" s="24"/>
      <c r="G47" s="24">
        <v>-2584225.62</v>
      </c>
      <c r="H47" s="15"/>
      <c r="I47" s="25"/>
      <c r="J47" s="25"/>
      <c r="K47" s="15"/>
      <c r="L47" s="39"/>
      <c r="M47" s="39"/>
      <c r="N47" s="39"/>
    </row>
    <row r="48" spans="3:14" ht="12.75">
      <c r="C48" s="15" t="s">
        <v>71</v>
      </c>
      <c r="D48" s="15"/>
      <c r="E48" s="21">
        <v>44558</v>
      </c>
      <c r="F48" s="24"/>
      <c r="G48" s="24">
        <v>4.111236031E7</v>
      </c>
      <c r="H48" s="15"/>
      <c r="I48" s="25"/>
      <c r="J48" s="25"/>
      <c r="K48" s="15"/>
      <c r="L48" s="39"/>
      <c r="M48" s="39"/>
      <c r="N48" s="39"/>
    </row>
    <row r="49" spans="3:14" ht="12.75">
      <c r="C49" s="15" t="s">
        <v>72</v>
      </c>
      <c r="D49" s="15"/>
      <c r="E49" s="21">
        <v>44599</v>
      </c>
      <c r="F49" s="24"/>
      <c r="G49" s="24">
        <v>-1735392.37</v>
      </c>
      <c r="H49" s="15"/>
      <c r="I49" s="25"/>
      <c r="J49" s="25"/>
      <c r="K49" s="15"/>
      <c r="L49" s="39"/>
      <c r="M49" s="39"/>
      <c r="N49" s="39"/>
    </row>
    <row r="50" spans="3:14" ht="12.75">
      <c r="C50" s="15"/>
      <c r="D50" s="15"/>
      <c r="E50" s="21">
        <v>44635</v>
      </c>
      <c r="F50" s="24"/>
      <c r="G50" s="24">
        <v>-5023835.19</v>
      </c>
      <c r="H50" s="15"/>
      <c r="I50" s="25"/>
      <c r="J50" s="25"/>
      <c r="K50" s="15"/>
      <c r="L50" s="39"/>
      <c r="M50" s="39"/>
      <c r="N50" s="39"/>
    </row>
    <row r="51" spans="3:14" ht="12.75">
      <c r="C51" s="15"/>
      <c r="D51" s="15"/>
      <c r="E51" s="21">
        <v>44676</v>
      </c>
      <c r="F51" s="24"/>
      <c r="G51" s="24">
        <v>-2842019.40</v>
      </c>
      <c r="H51" s="15"/>
      <c r="I51" s="25"/>
      <c r="J51" s="25"/>
      <c r="K51" s="15"/>
      <c r="L51" s="39"/>
      <c r="M51" s="39"/>
      <c r="N51" s="39"/>
    </row>
    <row r="52" spans="3:14" ht="12.75">
      <c r="C52" s="15"/>
      <c r="D52" s="15"/>
      <c r="E52" s="21">
        <v>44686</v>
      </c>
      <c r="F52" s="24"/>
      <c r="G52" s="24">
        <v>-6312804.13</v>
      </c>
      <c r="H52" s="15"/>
      <c r="I52" s="25"/>
      <c r="J52" s="25"/>
      <c r="K52" s="15"/>
      <c r="L52" s="39"/>
      <c r="M52" s="39"/>
      <c r="N52" s="39"/>
    </row>
    <row r="53" spans="3:14" ht="12.75">
      <c r="C53" s="15"/>
      <c r="D53" s="15"/>
      <c r="E53" s="21">
        <v>44701</v>
      </c>
      <c r="F53" s="24"/>
      <c r="G53" s="24">
        <v>-6438557.24</v>
      </c>
      <c r="H53" s="15"/>
      <c r="I53" s="25"/>
      <c r="J53" s="25"/>
      <c r="K53" s="15"/>
      <c r="L53" s="39"/>
      <c r="M53" s="39"/>
      <c r="N53" s="39"/>
    </row>
    <row r="54" spans="3:14" ht="12.75">
      <c r="C54" s="15"/>
      <c r="D54" s="15"/>
      <c r="E54" s="21">
        <v>44728</v>
      </c>
      <c r="F54" s="24"/>
      <c r="G54" s="24">
        <v>-3414195.91</v>
      </c>
      <c r="H54" s="15"/>
      <c r="I54" s="25"/>
      <c r="J54" s="25"/>
      <c r="K54" s="15"/>
      <c r="L54" s="39"/>
      <c r="M54" s="39"/>
      <c r="N54" s="39"/>
    </row>
    <row r="55" spans="3:14" ht="12.75">
      <c r="C55" s="15"/>
      <c r="D55" s="15"/>
      <c r="E55" s="21">
        <v>44781</v>
      </c>
      <c r="F55" s="24"/>
      <c r="G55" s="24">
        <v>-8173949.63</v>
      </c>
      <c r="H55" s="15"/>
      <c r="I55" s="25"/>
      <c r="J55" s="25"/>
      <c r="K55" s="15"/>
      <c r="L55" s="39"/>
      <c r="M55" s="39"/>
      <c r="N55" s="39"/>
    </row>
    <row r="56" spans="3:14" ht="12.75">
      <c r="C56" s="15"/>
      <c r="D56" s="15"/>
      <c r="E56" s="21">
        <v>44817</v>
      </c>
      <c r="F56" s="24"/>
      <c r="G56" s="24">
        <v>-1.177166708E7</v>
      </c>
      <c r="H56" s="15"/>
      <c r="I56" s="25"/>
      <c r="J56" s="25"/>
      <c r="K56" s="15"/>
      <c r="L56" s="39"/>
      <c r="M56" s="39"/>
      <c r="N56" s="39"/>
    </row>
    <row r="57" spans="3:14" ht="12.75">
      <c r="C57" s="15"/>
      <c r="D57" s="15"/>
      <c r="E57" s="21">
        <v>44852</v>
      </c>
      <c r="F57" s="24"/>
      <c r="G57" s="24">
        <v>-2791718.17</v>
      </c>
      <c r="H57" s="15"/>
      <c r="I57" s="25"/>
      <c r="J57" s="25"/>
      <c r="K57" s="15"/>
      <c r="L57" s="39"/>
      <c r="M57" s="39"/>
      <c r="N57" s="39"/>
    </row>
    <row r="58" spans="3:14" ht="12.75">
      <c r="C58" s="15"/>
      <c r="D58" s="15"/>
      <c r="E58" s="21">
        <v>44859</v>
      </c>
      <c r="F58" s="24"/>
      <c r="G58" s="24">
        <v>-1.453705506E7</v>
      </c>
      <c r="H58" s="15"/>
      <c r="I58" s="25"/>
      <c r="J58" s="25"/>
      <c r="K58" s="15"/>
      <c r="L58" s="39"/>
      <c r="M58" s="39"/>
      <c r="N58" s="39"/>
    </row>
    <row r="59" spans="3:14" ht="12.75">
      <c r="C59" s="15"/>
      <c r="D59" s="15"/>
      <c r="E59" s="21">
        <v>44902</v>
      </c>
      <c r="F59" s="24"/>
      <c r="G59" s="24">
        <v>-5860093.13</v>
      </c>
      <c r="H59" s="15"/>
      <c r="I59" s="25"/>
      <c r="J59" s="25"/>
      <c r="K59" s="15"/>
      <c r="L59" s="39"/>
      <c r="M59" s="39"/>
      <c r="N59" s="39"/>
    </row>
    <row r="60" spans="3:14" ht="12.75">
      <c r="C60" s="15" t="s">
        <v>73</v>
      </c>
      <c r="D60" s="15"/>
      <c r="E60" s="21">
        <v>44861</v>
      </c>
      <c r="F60" s="24"/>
      <c r="G60" s="24">
        <v>4795541.16</v>
      </c>
      <c r="H60" s="15"/>
      <c r="I60" s="25"/>
      <c r="J60" s="25"/>
      <c r="K60" s="15"/>
      <c r="L60" s="39"/>
      <c r="M60" s="39"/>
      <c r="N60" s="39"/>
    </row>
    <row r="61" spans="3:14" ht="12.75">
      <c r="C61" s="15"/>
      <c r="D61" s="15"/>
      <c r="E61" s="21">
        <v>44917</v>
      </c>
      <c r="F61" s="24"/>
      <c r="G61" s="24">
        <v>8.072480342E7</v>
      </c>
      <c r="H61" s="15"/>
      <c r="I61" s="25"/>
      <c r="J61" s="25"/>
      <c r="K61" s="15"/>
      <c r="L61" s="39"/>
      <c r="M61" s="39"/>
      <c r="N61" s="39"/>
    </row>
    <row r="62" spans="3:14" ht="12.75">
      <c r="C62" s="15" t="s">
        <v>74</v>
      </c>
      <c r="D62" s="15"/>
      <c r="E62" s="21">
        <v>44932</v>
      </c>
      <c r="F62" s="24"/>
      <c r="G62" s="24">
        <v>-7772124.59</v>
      </c>
      <c r="H62" s="15"/>
      <c r="I62" s="25"/>
      <c r="J62" s="25"/>
      <c r="K62" s="15"/>
      <c r="L62" s="39"/>
      <c r="M62" s="39"/>
      <c r="N62" s="39"/>
    </row>
    <row r="63" spans="3:14" ht="12.75">
      <c r="C63" s="15"/>
      <c r="D63" s="15"/>
      <c r="E63" s="21">
        <v>44984</v>
      </c>
      <c r="F63" s="24"/>
      <c r="G63" s="24">
        <v>-915285.33</v>
      </c>
      <c r="H63" s="15"/>
      <c r="I63" s="25"/>
      <c r="J63" s="25"/>
      <c r="K63" s="15"/>
      <c r="L63" s="39"/>
      <c r="M63" s="39"/>
      <c r="N63" s="39"/>
    </row>
    <row r="64" spans="3:14" ht="12.75">
      <c r="C64" s="15"/>
      <c r="D64" s="15"/>
      <c r="E64" s="21">
        <v>45049</v>
      </c>
      <c r="F64" s="24"/>
      <c r="G64" s="24">
        <v>-1796240.08</v>
      </c>
      <c r="H64" s="15"/>
      <c r="I64" s="25"/>
      <c r="J64" s="25"/>
      <c r="K64" s="15"/>
      <c r="L64" s="39"/>
      <c r="M64" s="39"/>
      <c r="N64" s="39"/>
    </row>
    <row r="65" spans="3:14" ht="12.75">
      <c r="C65" s="15"/>
      <c r="D65" s="15"/>
      <c r="E65" s="21">
        <v>45089</v>
      </c>
      <c r="F65" s="24"/>
      <c r="G65" s="24">
        <v>-2400061.68</v>
      </c>
      <c r="H65" s="15"/>
      <c r="I65" s="25"/>
      <c r="J65" s="25"/>
      <c r="K65" s="15"/>
      <c r="L65" s="39"/>
      <c r="M65" s="39"/>
      <c r="N65" s="39"/>
    </row>
    <row r="66" spans="3:14" ht="12.75">
      <c r="C66" s="15" t="s">
        <v>75</v>
      </c>
      <c r="D66" s="15"/>
      <c r="E66" s="21">
        <v>44980</v>
      </c>
      <c r="F66" s="24"/>
      <c r="G66" s="24">
        <v>1627036.49</v>
      </c>
      <c r="H66" s="15"/>
      <c r="I66" s="25"/>
      <c r="J66" s="25"/>
      <c r="K66" s="15"/>
      <c r="L66" s="39"/>
      <c r="M66" s="39"/>
      <c r="N66" s="39"/>
    </row>
    <row r="67" spans="3:14" ht="12.75">
      <c r="C67" s="15"/>
      <c r="D67" s="15"/>
      <c r="E67" s="21">
        <v>45042</v>
      </c>
      <c r="F67" s="24"/>
      <c r="G67" s="24">
        <v>3481451.18</v>
      </c>
      <c r="H67" s="15"/>
      <c r="I67" s="25"/>
      <c r="J67" s="25"/>
      <c r="K67" s="15"/>
      <c r="L67" s="39"/>
      <c r="M67" s="39"/>
      <c r="N67" s="39"/>
    </row>
    <row r="68" spans="3:15" ht="4.5" customHeight="1">
      <c r="C68" s="15"/>
      <c r="D68" s="15"/>
      <c r="E68" s="21"/>
      <c r="F68" s="15"/>
      <c r="G68" s="24"/>
      <c r="H68" s="15"/>
      <c r="I68" s="25"/>
      <c r="J68" s="25"/>
      <c r="O68" s="31"/>
    </row>
    <row r="69" spans="3:13" ht="12.75">
      <c r="C69" s="15" t="s">
        <v>5</v>
      </c>
      <c r="D69" s="15"/>
      <c r="E69" s="21">
        <v>45107</v>
      </c>
      <c r="F69" s="15"/>
      <c r="G69" s="46">
        <v>1.2173309793E8</v>
      </c>
      <c r="H69" s="15"/>
      <c r="I69" s="24">
        <f>+SUMIF($G$24:$G$68,"&lt;0",$G$24:$G$68)+G33+G37+G39+G40</f>
        <v>-1.843026257604315E8</v>
      </c>
      <c r="J69" s="15" t="s">
        <v>14</v>
      </c>
      <c r="M69" s="31"/>
    </row>
    <row r="70" spans="3:15" ht="12.75">
      <c r="C70" s="15"/>
      <c r="D70" s="15"/>
      <c r="E70" s="15"/>
      <c r="F70" s="15"/>
      <c r="G70" s="15"/>
      <c r="H70" s="15"/>
      <c r="I70" s="24">
        <f>+SUMIF($G$24:$G$68,"&gt;0",$G$24:$G$68)-G33-G37-G39-G40</f>
        <v>1.3174119256000005E8</v>
      </c>
      <c r="J70" s="15" t="s">
        <v>15</v>
      </c>
      <c r="M70" s="31"/>
      <c r="O70" s="45"/>
    </row>
    <row r="71" spans="3:13" ht="12.75">
      <c r="C71" s="14" t="s">
        <v>0</v>
      </c>
      <c r="G71" s="29">
        <f>+XIRR(G24:G69,E24:E69,0.1)</f>
        <v>0.25984918475151064</v>
      </c>
      <c r="H71" s="15"/>
      <c r="M71" s="35"/>
    </row>
    <row r="72" spans="3:15" ht="12.75">
      <c r="C72" s="15"/>
      <c r="D72" s="15"/>
      <c r="E72" s="15"/>
      <c r="F72" s="15"/>
      <c r="G72" s="115"/>
      <c r="H72" s="116"/>
      <c r="I72" s="117"/>
      <c r="O72" s="45"/>
    </row>
    <row r="73" spans="3:13" ht="12.75">
      <c r="C73" s="15"/>
      <c r="D73" s="15"/>
      <c r="E73" s="15"/>
      <c r="F73" s="15"/>
      <c r="G73" s="116"/>
      <c r="H73" s="116"/>
      <c r="I73" s="117"/>
      <c r="M73" s="35"/>
    </row>
    <row r="74" spans="3:15" ht="12.75">
      <c r="C74" s="52"/>
      <c r="D74" s="52"/>
      <c r="E74" s="53"/>
      <c r="F74" s="52"/>
      <c r="G74" s="53"/>
      <c r="H74" s="15"/>
      <c r="I74" s="35"/>
      <c r="M74" s="35"/>
      <c r="O74" s="45"/>
    </row>
    <row r="75" spans="3:15" ht="12.75">
      <c r="C75" s="52"/>
      <c r="D75" s="52"/>
      <c r="E75" s="53"/>
      <c r="F75" s="52"/>
      <c r="G75" s="53"/>
      <c r="H75" s="15"/>
      <c r="M75" s="35"/>
      <c r="O75" s="45"/>
    </row>
    <row r="76" spans="3:15" ht="12.75">
      <c r="C76" s="52"/>
      <c r="D76" s="52"/>
      <c r="E76" s="53"/>
      <c r="F76" s="52"/>
      <c r="G76" s="53"/>
      <c r="H76" s="15"/>
      <c r="M76" s="35"/>
      <c r="O76" s="45"/>
    </row>
    <row r="77" spans="3:8" ht="12.75">
      <c r="C77" s="52"/>
      <c r="D77" s="52"/>
      <c r="E77" s="53"/>
      <c r="F77" s="52"/>
      <c r="G77" s="53"/>
      <c r="H77" s="14"/>
    </row>
    <row r="78" spans="3:8" ht="12.75">
      <c r="C78" s="52"/>
      <c r="D78" s="52"/>
      <c r="E78" s="53"/>
      <c r="F78" s="53"/>
      <c r="G78" s="53"/>
      <c r="H78" s="14"/>
    </row>
    <row r="79" spans="3:17" ht="12.75">
      <c r="C79" s="52"/>
      <c r="D79" s="52"/>
      <c r="E79" s="52"/>
      <c r="F79" s="52"/>
      <c r="G79" s="52"/>
      <c r="H79" s="14"/>
      <c r="O79" s="45"/>
      <c r="Q79" s="38"/>
    </row>
    <row r="80" spans="3:17" ht="12.75">
      <c r="C80" s="52"/>
      <c r="D80" s="52"/>
      <c r="E80" s="58"/>
      <c r="F80" s="70"/>
      <c r="G80" s="58"/>
      <c r="H80" s="14"/>
      <c r="O80" s="45"/>
      <c r="Q80" s="38"/>
    </row>
    <row r="81" spans="3:17" ht="12.75">
      <c r="C81" s="52"/>
      <c r="D81" s="52"/>
      <c r="E81" s="70"/>
      <c r="F81" s="70"/>
      <c r="G81" s="70"/>
      <c r="H81" s="14"/>
      <c r="Q81" s="38"/>
    </row>
    <row r="82" spans="3:17" ht="12.75">
      <c r="C82" s="52"/>
      <c r="D82" s="52"/>
      <c r="E82" s="70"/>
      <c r="F82" s="70"/>
      <c r="G82" s="70"/>
      <c r="H82" s="14"/>
      <c r="Q82" s="38"/>
    </row>
    <row r="83" spans="3:17" ht="12.75">
      <c r="C83" s="104"/>
      <c r="D83" s="52"/>
      <c r="E83" s="70"/>
      <c r="F83" s="70"/>
      <c r="G83" s="70"/>
      <c r="H83" s="14"/>
      <c r="Q83" s="38"/>
    </row>
    <row r="84" spans="3:17" ht="12.75">
      <c r="C84" s="104"/>
      <c r="D84" s="52"/>
      <c r="E84" s="70"/>
      <c r="F84" s="70"/>
      <c r="G84" s="70"/>
      <c r="H84" s="14"/>
      <c r="Q84" s="38"/>
    </row>
    <row r="85" spans="3:17" ht="12.75">
      <c r="C85" s="105"/>
      <c r="D85" s="52"/>
      <c r="E85" s="70"/>
      <c r="F85" s="70"/>
      <c r="G85" s="70"/>
      <c r="H85" s="14"/>
      <c r="Q85" s="38"/>
    </row>
    <row r="86" spans="3:17" ht="12.75">
      <c r="C86" s="52"/>
      <c r="D86" s="52"/>
      <c r="E86" s="70"/>
      <c r="F86" s="70"/>
      <c r="G86" s="70"/>
      <c r="H86" s="14"/>
      <c r="Q86" s="38"/>
    </row>
    <row r="87" spans="3:8" ht="12.75">
      <c r="C87" s="52"/>
      <c r="D87" s="52"/>
      <c r="E87" s="70"/>
      <c r="F87" s="70"/>
      <c r="G87" s="70"/>
      <c r="H87" s="14"/>
    </row>
    <row r="88" spans="3:8" ht="5.1" customHeight="1">
      <c r="C88" s="36"/>
      <c r="D88" s="14"/>
      <c r="E88" s="33"/>
      <c r="F88" s="33"/>
      <c r="G88" s="33"/>
      <c r="H88" s="14"/>
    </row>
    <row r="89" spans="3:8" ht="12.75">
      <c r="C89" s="36"/>
      <c r="D89" s="14"/>
      <c r="E89" s="37"/>
      <c r="F89" s="37"/>
      <c r="G89" s="37"/>
      <c r="H89" s="14"/>
    </row>
  </sheetData>
  <pageMargins left="0.7" right="0.7" top="0.75" bottom="0.75" header="0.3" footer="0.3"/>
  <pageSetup orientation="portrait" paperSize="1" r:id="rId4"/>
  <headerFooter>
    <oddHeader>&amp;C&amp;G</oddHeader>
    <oddFooter>&amp;C&amp;G</oddFooter>
  </headerFooter>
  <legacy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23B3B0-6A54-4952-AD61-C8E1C9D82DA5}">
  <sheetPr>
    <pageSetUpPr fitToPage="1"/>
  </sheetPr>
  <dimension ref="B4:O132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15" ht="12.75">
      <c r="C10" s="163"/>
      <c r="D10" s="163"/>
      <c r="E10" s="164"/>
      <c r="F10" s="163"/>
      <c r="G10" s="57"/>
      <c r="H10" s="7"/>
      <c r="I10" s="12"/>
      <c r="O10" s="16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15" ht="12.75">
      <c r="C13" s="163"/>
      <c r="D13" s="163"/>
      <c r="E13" s="167"/>
      <c r="F13" s="163"/>
      <c r="G13" s="57"/>
      <c r="H13" s="8"/>
      <c r="I13" s="12"/>
      <c r="O13" s="16"/>
    </row>
    <row r="14" spans="3:15" ht="12.75">
      <c r="C14" s="163"/>
      <c r="D14" s="163"/>
      <c r="E14" s="168"/>
      <c r="F14" s="163"/>
      <c r="G14" s="57"/>
      <c r="H14" s="9"/>
      <c r="I14" s="12"/>
      <c r="O14" s="16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12"/>
    </row>
    <row r="18" spans="3:9" ht="12.75" customHeight="1">
      <c r="C18" s="18" t="s">
        <v>8</v>
      </c>
      <c r="D18" s="18"/>
      <c r="E18" s="8">
        <f>G98</f>
        <v>0.2597451031208038</v>
      </c>
      <c r="F18" s="18"/>
      <c r="G18" s="28"/>
      <c r="H18" s="8"/>
      <c r="I18" s="12"/>
    </row>
    <row r="19" spans="3:8" ht="12.75">
      <c r="C19" s="18" t="s">
        <v>10</v>
      </c>
      <c r="D19" s="18"/>
      <c r="E19" s="34">
        <f>-(G96+J99)/(J98)</f>
        <v>1.6236626673117072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22">
        <v>0.0056</v>
      </c>
      <c r="D22" s="15"/>
      <c r="E22" s="15"/>
      <c r="F22" s="15"/>
      <c r="G22" s="23"/>
      <c r="H22" s="15"/>
      <c r="I22" s="15"/>
      <c r="J22" s="15"/>
    </row>
    <row r="23" spans="3:10" ht="12.75">
      <c r="C23" s="15" t="s">
        <v>88</v>
      </c>
      <c r="D23" s="15"/>
      <c r="E23" s="21">
        <v>41089</v>
      </c>
      <c r="F23" s="24"/>
      <c r="G23" s="130">
        <v>-75000</v>
      </c>
      <c r="H23" s="15"/>
      <c r="I23" s="25"/>
      <c r="J23" s="25"/>
    </row>
    <row r="24" spans="3:10" ht="12.75">
      <c r="C24" s="15"/>
      <c r="D24" s="15"/>
      <c r="E24" s="21">
        <v>41166</v>
      </c>
      <c r="F24" s="24"/>
      <c r="G24" s="130">
        <v>-94080</v>
      </c>
      <c r="H24" s="15"/>
      <c r="I24" s="25"/>
      <c r="J24" s="25"/>
    </row>
    <row r="25" spans="3:10" ht="12.75">
      <c r="C25" s="15"/>
      <c r="D25" s="15"/>
      <c r="E25" s="21">
        <v>41270</v>
      </c>
      <c r="F25" s="24"/>
      <c r="G25" s="130">
        <v>-273280</v>
      </c>
      <c r="H25" s="15"/>
      <c r="I25" s="25"/>
      <c r="J25" s="25"/>
    </row>
    <row r="26" spans="3:10" ht="12.75">
      <c r="C26" s="15" t="s">
        <v>90</v>
      </c>
      <c r="D26" s="15"/>
      <c r="E26" s="21">
        <v>41311</v>
      </c>
      <c r="F26" s="24"/>
      <c r="G26" s="130">
        <v>-97440</v>
      </c>
      <c r="H26" s="15"/>
      <c r="I26" s="25"/>
      <c r="J26" s="25"/>
    </row>
    <row r="27" spans="3:10" ht="12.75">
      <c r="C27" s="15"/>
      <c r="D27" s="15"/>
      <c r="E27" s="21">
        <v>41341</v>
      </c>
      <c r="F27" s="24"/>
      <c r="G27" s="130">
        <v>-140000</v>
      </c>
      <c r="H27" s="15"/>
      <c r="I27" s="25"/>
      <c r="J27" s="25"/>
    </row>
    <row r="28" spans="3:10" ht="12.75">
      <c r="C28" s="15"/>
      <c r="D28" s="15"/>
      <c r="E28" s="21">
        <v>41361</v>
      </c>
      <c r="F28" s="24"/>
      <c r="G28" s="130">
        <v>-62720</v>
      </c>
      <c r="H28" s="15"/>
      <c r="I28" s="25"/>
      <c r="J28" s="25"/>
    </row>
    <row r="29" spans="3:10" ht="12.75">
      <c r="C29" s="15"/>
      <c r="D29" s="15"/>
      <c r="E29" s="21">
        <v>41387</v>
      </c>
      <c r="F29" s="24"/>
      <c r="G29" s="130">
        <v>-136640</v>
      </c>
      <c r="H29" s="15"/>
      <c r="I29" s="25"/>
      <c r="J29" s="25"/>
    </row>
    <row r="30" spans="3:10" ht="12.75">
      <c r="C30" s="15"/>
      <c r="D30" s="15"/>
      <c r="E30" s="21">
        <v>41408</v>
      </c>
      <c r="F30" s="24"/>
      <c r="G30" s="130">
        <v>-58800</v>
      </c>
      <c r="H30" s="15"/>
      <c r="I30" s="25"/>
      <c r="J30" s="25"/>
    </row>
    <row r="31" spans="3:10" ht="12.75">
      <c r="C31" s="15"/>
      <c r="D31" s="15"/>
      <c r="E31" s="21">
        <v>41439</v>
      </c>
      <c r="F31" s="24"/>
      <c r="G31" s="130">
        <v>-136080</v>
      </c>
      <c r="H31" s="15"/>
      <c r="I31" s="25"/>
      <c r="J31" s="25"/>
    </row>
    <row r="32" spans="3:9" ht="12.75">
      <c r="C32" s="15"/>
      <c r="D32" s="15"/>
      <c r="E32" s="21">
        <v>41479</v>
      </c>
      <c r="F32" s="24"/>
      <c r="G32" s="130">
        <v>-150640</v>
      </c>
      <c r="H32" s="15"/>
      <c r="I32" s="25"/>
    </row>
    <row r="33" spans="3:9" ht="12.75">
      <c r="C33" s="15"/>
      <c r="D33" s="15"/>
      <c r="E33" s="21">
        <v>41515</v>
      </c>
      <c r="F33" s="24"/>
      <c r="G33" s="130">
        <v>-94640</v>
      </c>
      <c r="H33" s="15"/>
      <c r="I33" s="25"/>
    </row>
    <row r="34" spans="3:9" ht="12.75">
      <c r="C34" s="15"/>
      <c r="D34" s="15"/>
      <c r="E34" s="21">
        <v>41543</v>
      </c>
      <c r="F34" s="24"/>
      <c r="G34" s="130">
        <v>-352800</v>
      </c>
      <c r="H34" s="15"/>
      <c r="I34" s="25"/>
    </row>
    <row r="35" spans="3:9" ht="12.75">
      <c r="C35" s="15"/>
      <c r="D35" s="15"/>
      <c r="E35" s="21">
        <v>41605</v>
      </c>
      <c r="F35" s="24"/>
      <c r="G35" s="130">
        <v>-83440</v>
      </c>
      <c r="H35" s="15"/>
      <c r="I35" s="25"/>
    </row>
    <row r="36" spans="3:9" ht="12.75">
      <c r="C36" s="15"/>
      <c r="D36" s="15"/>
      <c r="E36" s="21">
        <v>41638</v>
      </c>
      <c r="F36" s="24"/>
      <c r="G36" s="130">
        <v>-59920</v>
      </c>
      <c r="H36" s="15"/>
      <c r="I36" s="25"/>
    </row>
    <row r="37" spans="3:11" ht="12.75">
      <c r="C37" s="15" t="s">
        <v>92</v>
      </c>
      <c r="D37" s="15"/>
      <c r="E37" s="21">
        <v>41683</v>
      </c>
      <c r="F37" s="24"/>
      <c r="G37" s="24">
        <v>-61600</v>
      </c>
      <c r="H37" s="15"/>
      <c r="I37" s="25"/>
      <c r="J37" s="25"/>
      <c r="K37" s="15"/>
    </row>
    <row r="38" spans="3:9" ht="12.75">
      <c r="C38" s="15"/>
      <c r="D38" s="15"/>
      <c r="E38" s="21">
        <v>41701</v>
      </c>
      <c r="F38" s="24"/>
      <c r="G38" s="24">
        <v>-89599.99</v>
      </c>
      <c r="H38" s="15"/>
      <c r="I38" s="25"/>
    </row>
    <row r="39" spans="3:9" ht="12.75">
      <c r="C39" s="15"/>
      <c r="D39" s="15"/>
      <c r="E39" s="21">
        <v>41729</v>
      </c>
      <c r="F39" s="24"/>
      <c r="G39" s="24">
        <v>-115360</v>
      </c>
      <c r="H39" s="15"/>
      <c r="I39" s="25"/>
    </row>
    <row r="40" spans="3:9" ht="12.75">
      <c r="C40" s="15"/>
      <c r="D40" s="15"/>
      <c r="E40" s="21">
        <v>41751</v>
      </c>
      <c r="F40" s="24"/>
      <c r="G40" s="24">
        <v>-81200</v>
      </c>
      <c r="H40" s="15"/>
      <c r="I40" s="25"/>
    </row>
    <row r="41" spans="3:9" ht="12.75">
      <c r="C41" s="15"/>
      <c r="D41" s="15"/>
      <c r="E41" s="21">
        <v>41782</v>
      </c>
      <c r="F41" s="24"/>
      <c r="G41" s="24">
        <v>-138320</v>
      </c>
      <c r="H41" s="15"/>
      <c r="I41" s="25"/>
    </row>
    <row r="42" spans="3:9" ht="12.75">
      <c r="C42" s="15"/>
      <c r="D42" s="15"/>
      <c r="E42" s="21">
        <v>41808</v>
      </c>
      <c r="F42" s="24"/>
      <c r="G42" s="24">
        <v>-332080</v>
      </c>
      <c r="H42" s="15"/>
      <c r="I42" s="25"/>
    </row>
    <row r="43" spans="3:11" ht="12.75">
      <c r="C43" s="15"/>
      <c r="D43" s="15"/>
      <c r="E43" s="21">
        <v>41894</v>
      </c>
      <c r="F43" s="24"/>
      <c r="G43" s="24">
        <v>-69440</v>
      </c>
      <c r="H43" s="15"/>
      <c r="I43" s="25"/>
      <c r="J43" s="136"/>
      <c r="K43" s="126"/>
    </row>
    <row r="44" spans="3:11" ht="12.75">
      <c r="C44" s="15"/>
      <c r="D44" s="15"/>
      <c r="E44" s="21">
        <v>41942</v>
      </c>
      <c r="F44" s="24"/>
      <c r="G44" s="24">
        <v>-98560</v>
      </c>
      <c r="H44" s="15"/>
      <c r="I44" s="25"/>
      <c r="J44" s="136"/>
      <c r="K44" s="126"/>
    </row>
    <row r="45" spans="3:11" ht="12.75">
      <c r="C45" s="15"/>
      <c r="D45" s="15"/>
      <c r="E45" s="21">
        <v>41962</v>
      </c>
      <c r="F45" s="24"/>
      <c r="G45" s="24">
        <v>-218960</v>
      </c>
      <c r="H45" s="15"/>
      <c r="I45" s="25"/>
      <c r="J45" s="136"/>
      <c r="K45" s="126"/>
    </row>
    <row r="46" spans="3:11" ht="12.75">
      <c r="C46" s="15"/>
      <c r="D46" s="15"/>
      <c r="E46" s="21">
        <v>41975</v>
      </c>
      <c r="F46" s="24"/>
      <c r="G46" s="24">
        <v>-257600</v>
      </c>
      <c r="H46" s="15"/>
      <c r="I46" s="25"/>
      <c r="J46" s="136"/>
      <c r="K46" s="126"/>
    </row>
    <row r="47" spans="3:9" ht="12.75">
      <c r="C47" s="15" t="s">
        <v>93</v>
      </c>
      <c r="D47" s="15"/>
      <c r="E47" s="21">
        <v>41969</v>
      </c>
      <c r="F47" s="24"/>
      <c r="G47" s="24">
        <v>950190.04</v>
      </c>
      <c r="H47" s="15"/>
      <c r="I47" s="25"/>
    </row>
    <row r="48" spans="3:9" ht="12.75">
      <c r="C48" s="15" t="s">
        <v>76</v>
      </c>
      <c r="D48" s="15"/>
      <c r="E48" s="21">
        <v>42037</v>
      </c>
      <c r="F48" s="24"/>
      <c r="G48" s="24">
        <v>-216720</v>
      </c>
      <c r="H48" s="15"/>
      <c r="I48" s="25"/>
    </row>
    <row r="49" spans="3:9" ht="12.75">
      <c r="C49" s="15"/>
      <c r="D49" s="15"/>
      <c r="E49" s="21">
        <v>42094</v>
      </c>
      <c r="F49" s="24"/>
      <c r="G49" s="24">
        <v>-188160</v>
      </c>
      <c r="H49" s="15"/>
      <c r="I49" s="25"/>
    </row>
    <row r="50" spans="3:9" ht="12.75">
      <c r="C50" s="15"/>
      <c r="D50" s="15"/>
      <c r="E50" s="21">
        <v>42110</v>
      </c>
      <c r="F50" s="24"/>
      <c r="G50" s="24">
        <v>-157360</v>
      </c>
      <c r="H50" s="15"/>
      <c r="I50" s="25"/>
    </row>
    <row r="51" spans="3:9" ht="12.75">
      <c r="C51" s="15"/>
      <c r="D51" s="15"/>
      <c r="E51" s="21">
        <v>42145</v>
      </c>
      <c r="F51" s="24"/>
      <c r="G51" s="24">
        <v>-196560</v>
      </c>
      <c r="H51" s="15"/>
      <c r="I51" s="25"/>
    </row>
    <row r="52" spans="3:11" ht="12.75">
      <c r="C52" s="15"/>
      <c r="D52" s="15"/>
      <c r="E52" s="21">
        <v>42158</v>
      </c>
      <c r="F52" s="24"/>
      <c r="G52" s="24">
        <v>-563360</v>
      </c>
      <c r="H52" s="15"/>
      <c r="I52" s="25"/>
      <c r="J52" s="25"/>
      <c r="K52" s="15"/>
    </row>
    <row r="53" spans="3:11" ht="12.75">
      <c r="C53" s="15"/>
      <c r="D53" s="15"/>
      <c r="E53" s="21">
        <v>42261</v>
      </c>
      <c r="F53" s="24"/>
      <c r="G53" s="24">
        <v>-423920</v>
      </c>
      <c r="H53" s="15"/>
      <c r="I53" s="25"/>
      <c r="J53" s="25"/>
      <c r="K53" s="15"/>
    </row>
    <row r="54" spans="3:11" ht="12.75">
      <c r="C54" s="15"/>
      <c r="D54" s="15"/>
      <c r="E54" s="21">
        <v>42366</v>
      </c>
      <c r="F54" s="24"/>
      <c r="G54" s="24">
        <v>-105840</v>
      </c>
      <c r="H54" s="15"/>
      <c r="I54" s="25"/>
      <c r="J54" s="25"/>
      <c r="K54" s="15"/>
    </row>
    <row r="55" spans="3:11" ht="12.75">
      <c r="C55" s="15" t="s">
        <v>94</v>
      </c>
      <c r="D55" s="15"/>
      <c r="E55" s="21">
        <v>42341</v>
      </c>
      <c r="F55" s="24"/>
      <c r="G55" s="24">
        <v>167083.98</v>
      </c>
      <c r="H55" s="15"/>
      <c r="I55" s="25"/>
      <c r="J55" s="25"/>
      <c r="K55" s="15"/>
    </row>
    <row r="56" spans="3:11" ht="12.75">
      <c r="C56" s="15" t="s">
        <v>77</v>
      </c>
      <c r="D56" s="15"/>
      <c r="E56" s="21">
        <v>42397</v>
      </c>
      <c r="F56" s="24"/>
      <c r="G56" s="24">
        <v>-152880</v>
      </c>
      <c r="H56" s="15"/>
      <c r="I56" s="25"/>
      <c r="J56" s="25"/>
      <c r="K56" s="15"/>
    </row>
    <row r="57" spans="3:11" ht="12.75">
      <c r="C57" s="15"/>
      <c r="D57" s="15"/>
      <c r="E57" s="21">
        <v>42447</v>
      </c>
      <c r="F57" s="24"/>
      <c r="G57" s="24">
        <v>-192080</v>
      </c>
      <c r="H57" s="15"/>
      <c r="I57" s="25"/>
      <c r="J57" s="25"/>
      <c r="K57" s="15"/>
    </row>
    <row r="58" spans="3:11" ht="12.75">
      <c r="C58" s="15"/>
      <c r="D58" s="15"/>
      <c r="E58" s="21">
        <v>42494</v>
      </c>
      <c r="F58" s="24"/>
      <c r="G58" s="24">
        <v>-149520</v>
      </c>
      <c r="H58" s="15"/>
      <c r="I58" s="25"/>
      <c r="J58" s="25"/>
      <c r="K58" s="15"/>
    </row>
    <row r="59" spans="3:11" ht="12.75">
      <c r="C59" s="15"/>
      <c r="D59" s="15"/>
      <c r="E59" s="21">
        <v>42556</v>
      </c>
      <c r="F59" s="24"/>
      <c r="G59" s="24">
        <v>-130480</v>
      </c>
      <c r="H59" s="15"/>
      <c r="I59" s="25"/>
      <c r="J59" s="25"/>
      <c r="K59" s="15"/>
    </row>
    <row r="60" spans="3:11" ht="12.75">
      <c r="C60" s="15"/>
      <c r="D60" s="15"/>
      <c r="E60" s="21">
        <v>42605</v>
      </c>
      <c r="F60" s="24"/>
      <c r="G60" s="24">
        <v>-1252720</v>
      </c>
      <c r="H60" s="15"/>
      <c r="I60" s="25"/>
      <c r="J60" s="25"/>
      <c r="K60" s="15"/>
    </row>
    <row r="61" spans="3:11" ht="12.75">
      <c r="C61" s="15"/>
      <c r="D61" s="15"/>
      <c r="E61" s="21">
        <v>42661</v>
      </c>
      <c r="F61" s="24"/>
      <c r="G61" s="24">
        <v>-119280</v>
      </c>
      <c r="H61" s="15"/>
      <c r="I61" s="25"/>
      <c r="J61" s="25"/>
      <c r="K61" s="15"/>
    </row>
    <row r="62" spans="3:11" ht="12.75">
      <c r="C62" s="15" t="s">
        <v>78</v>
      </c>
      <c r="D62" s="15"/>
      <c r="E62" s="21">
        <v>42381</v>
      </c>
      <c r="F62" s="24"/>
      <c r="G62" s="24">
        <v>1368658.03</v>
      </c>
      <c r="H62" s="15"/>
      <c r="I62" s="25"/>
      <c r="J62" s="25"/>
      <c r="K62" s="15"/>
    </row>
    <row r="63" spans="3:11" ht="12.75">
      <c r="C63" s="15"/>
      <c r="D63" s="15"/>
      <c r="E63" s="21">
        <v>42549</v>
      </c>
      <c r="F63" s="24"/>
      <c r="G63" s="24">
        <v>182010.75</v>
      </c>
      <c r="H63" s="15"/>
      <c r="I63" s="25"/>
      <c r="J63" s="25"/>
      <c r="K63" s="15"/>
    </row>
    <row r="64" spans="3:11" ht="12.75">
      <c r="C64" s="15"/>
      <c r="D64" s="15"/>
      <c r="E64" s="21">
        <v>42640</v>
      </c>
      <c r="F64" s="24"/>
      <c r="G64" s="24">
        <v>267565.96</v>
      </c>
      <c r="H64" s="15"/>
      <c r="I64" s="25"/>
      <c r="J64" s="25"/>
      <c r="K64" s="15"/>
    </row>
    <row r="65" spans="3:12" ht="15.75">
      <c r="C65" s="15"/>
      <c r="D65" s="15"/>
      <c r="E65" s="21">
        <v>42654</v>
      </c>
      <c r="F65" s="24"/>
      <c r="G65" s="24">
        <v>109364.79</v>
      </c>
      <c r="H65" s="15"/>
      <c r="I65" s="25"/>
      <c r="J65" s="115"/>
      <c r="K65" s="116"/>
      <c r="L65" s="162"/>
    </row>
    <row r="66" spans="3:12" ht="12.75">
      <c r="C66" s="15" t="s">
        <v>79</v>
      </c>
      <c r="D66" s="15"/>
      <c r="E66" s="21">
        <v>42793</v>
      </c>
      <c r="F66" s="24"/>
      <c r="G66" s="24">
        <v>-118720</v>
      </c>
      <c r="H66" s="15"/>
      <c r="I66" s="25"/>
      <c r="J66" s="115"/>
      <c r="K66" s="116"/>
      <c r="L66" s="57"/>
    </row>
    <row r="67" spans="3:12" ht="12.75">
      <c r="C67" s="15"/>
      <c r="D67" s="15"/>
      <c r="E67" s="21">
        <v>42870</v>
      </c>
      <c r="F67" s="24"/>
      <c r="G67" s="24">
        <v>-119840</v>
      </c>
      <c r="H67" s="15"/>
      <c r="I67" s="25"/>
      <c r="J67" s="115"/>
      <c r="K67" s="116"/>
      <c r="L67" s="57"/>
    </row>
    <row r="68" spans="3:12" ht="12.75">
      <c r="C68" s="15"/>
      <c r="D68" s="15"/>
      <c r="E68" s="21">
        <v>42992</v>
      </c>
      <c r="F68" s="24"/>
      <c r="G68" s="24">
        <v>-113120</v>
      </c>
      <c r="H68" s="15"/>
      <c r="I68" s="25"/>
      <c r="J68" s="115"/>
      <c r="K68" s="116"/>
      <c r="L68" s="57"/>
    </row>
    <row r="69" spans="3:12" ht="12.75">
      <c r="C69" s="15"/>
      <c r="D69" s="15"/>
      <c r="E69" s="21">
        <v>43048</v>
      </c>
      <c r="F69" s="24"/>
      <c r="G69" s="24">
        <v>-217280</v>
      </c>
      <c r="H69" s="15"/>
      <c r="I69" s="25"/>
      <c r="J69" s="115"/>
      <c r="K69" s="116"/>
      <c r="L69" s="57"/>
    </row>
    <row r="70" spans="3:12" ht="12.75">
      <c r="C70" s="15" t="s">
        <v>80</v>
      </c>
      <c r="D70" s="15"/>
      <c r="E70" s="21">
        <v>42746</v>
      </c>
      <c r="F70" s="24"/>
      <c r="G70" s="24">
        <v>405584.79</v>
      </c>
      <c r="H70" s="15"/>
      <c r="I70" s="25"/>
      <c r="J70" s="115"/>
      <c r="K70" s="116"/>
      <c r="L70" s="169"/>
    </row>
    <row r="71" spans="3:12" ht="12.75">
      <c r="C71" s="15"/>
      <c r="D71" s="15"/>
      <c r="E71" s="21">
        <v>42802</v>
      </c>
      <c r="F71" s="24"/>
      <c r="G71" s="24">
        <v>606119.09</v>
      </c>
      <c r="H71" s="15"/>
      <c r="I71" s="25"/>
      <c r="J71" s="115"/>
      <c r="K71" s="116"/>
      <c r="L71" s="169"/>
    </row>
    <row r="72" spans="3:12" ht="12.75">
      <c r="C72" s="15"/>
      <c r="D72" s="15"/>
      <c r="E72" s="21">
        <v>42885</v>
      </c>
      <c r="F72" s="24"/>
      <c r="G72" s="24">
        <v>224558.85</v>
      </c>
      <c r="H72" s="15"/>
      <c r="I72" s="25"/>
      <c r="J72" s="115"/>
      <c r="K72" s="116"/>
      <c r="L72" s="169"/>
    </row>
    <row r="73" spans="3:11" ht="12.75">
      <c r="C73" s="15"/>
      <c r="D73" s="15"/>
      <c r="E73" s="21">
        <v>42913</v>
      </c>
      <c r="F73" s="24"/>
      <c r="G73" s="24">
        <v>5827248.31</v>
      </c>
      <c r="H73" s="15"/>
      <c r="I73" s="25"/>
      <c r="J73" s="25"/>
      <c r="K73" s="15"/>
    </row>
    <row r="74" spans="3:11" ht="12.75">
      <c r="C74" s="15"/>
      <c r="D74" s="15"/>
      <c r="E74" s="21">
        <v>42999</v>
      </c>
      <c r="F74" s="24"/>
      <c r="G74" s="24">
        <v>397158.17</v>
      </c>
      <c r="H74" s="15"/>
      <c r="I74" s="25"/>
      <c r="J74" s="25"/>
      <c r="K74" s="15"/>
    </row>
    <row r="75" spans="3:11" ht="12.75">
      <c r="C75" s="15" t="s">
        <v>81</v>
      </c>
      <c r="D75" s="15"/>
      <c r="E75" s="21">
        <v>43132</v>
      </c>
      <c r="F75" s="24"/>
      <c r="G75" s="24">
        <v>-150080</v>
      </c>
      <c r="H75" s="15"/>
      <c r="I75" s="25"/>
      <c r="J75" s="25"/>
      <c r="K75" s="15"/>
    </row>
    <row r="76" spans="3:11" ht="12.75">
      <c r="C76" s="15"/>
      <c r="D76" s="15"/>
      <c r="E76" s="21">
        <v>43147</v>
      </c>
      <c r="F76" s="24"/>
      <c r="G76" s="24">
        <v>-330400</v>
      </c>
      <c r="H76" s="15"/>
      <c r="I76" s="25"/>
      <c r="J76" s="25"/>
      <c r="K76" s="15"/>
    </row>
    <row r="77" spans="3:11" ht="12.75">
      <c r="C77" s="15"/>
      <c r="D77" s="15"/>
      <c r="E77" s="21">
        <v>43370</v>
      </c>
      <c r="F77" s="24"/>
      <c r="G77" s="24">
        <v>-106400</v>
      </c>
      <c r="H77" s="15"/>
      <c r="I77" s="25"/>
      <c r="J77" s="25"/>
      <c r="K77" s="15"/>
    </row>
    <row r="78" spans="3:11" ht="12.75">
      <c r="C78" s="15" t="s">
        <v>82</v>
      </c>
      <c r="D78" s="15"/>
      <c r="E78" s="21">
        <v>43122</v>
      </c>
      <c r="F78" s="24"/>
      <c r="G78" s="24">
        <v>1706867.46</v>
      </c>
      <c r="H78" s="15"/>
      <c r="I78" s="25"/>
      <c r="J78" s="25"/>
      <c r="K78" s="15"/>
    </row>
    <row r="79" spans="3:11" ht="12.75">
      <c r="C79" s="15"/>
      <c r="D79" s="15"/>
      <c r="E79" s="21">
        <v>43300</v>
      </c>
      <c r="F79" s="24"/>
      <c r="G79" s="24">
        <v>423504.53</v>
      </c>
      <c r="H79" s="15"/>
      <c r="I79" s="25"/>
      <c r="J79" s="25"/>
      <c r="K79" s="15"/>
    </row>
    <row r="80" spans="3:11" ht="12.75">
      <c r="C80" s="15" t="s">
        <v>83</v>
      </c>
      <c r="D80" s="15"/>
      <c r="E80" s="21">
        <v>43490</v>
      </c>
      <c r="F80" s="24"/>
      <c r="G80" s="24">
        <v>-146720</v>
      </c>
      <c r="H80" s="15"/>
      <c r="I80" s="25"/>
      <c r="J80" s="25"/>
      <c r="K80" s="15"/>
    </row>
    <row r="81" spans="3:11" ht="12.75">
      <c r="C81" s="15"/>
      <c r="D81" s="15"/>
      <c r="E81" s="21">
        <v>43517</v>
      </c>
      <c r="F81" s="24"/>
      <c r="G81" s="24">
        <v>-166320</v>
      </c>
      <c r="H81" s="15"/>
      <c r="I81" s="25"/>
      <c r="J81" s="25"/>
      <c r="K81" s="15"/>
    </row>
    <row r="82" spans="3:11" ht="12.75">
      <c r="C82" s="15"/>
      <c r="D82" s="15"/>
      <c r="E82" s="21">
        <v>43560</v>
      </c>
      <c r="F82" s="24"/>
      <c r="G82" s="24">
        <v>-454160</v>
      </c>
      <c r="H82" s="15"/>
      <c r="I82" s="25"/>
      <c r="J82" s="25"/>
      <c r="K82" s="15"/>
    </row>
    <row r="83" spans="3:11" ht="12.75">
      <c r="C83" s="15"/>
      <c r="D83" s="15"/>
      <c r="E83" s="21">
        <v>43623</v>
      </c>
      <c r="F83" s="24"/>
      <c r="G83" s="24">
        <v>-117600</v>
      </c>
      <c r="H83" s="15"/>
      <c r="I83" s="25"/>
      <c r="J83" s="25"/>
      <c r="K83" s="15"/>
    </row>
    <row r="84" spans="3:11" ht="12.75">
      <c r="C84" s="15"/>
      <c r="D84" s="15"/>
      <c r="E84" s="21">
        <v>43733</v>
      </c>
      <c r="F84" s="24"/>
      <c r="G84" s="24">
        <v>-111440</v>
      </c>
      <c r="H84" s="15"/>
      <c r="I84" s="25"/>
      <c r="J84" s="25"/>
      <c r="K84" s="15"/>
    </row>
    <row r="85" spans="3:11" ht="12.75">
      <c r="C85" s="15"/>
      <c r="D85" s="15"/>
      <c r="E85" s="21">
        <v>43825</v>
      </c>
      <c r="F85" s="24"/>
      <c r="G85" s="24">
        <v>-66080</v>
      </c>
      <c r="H85" s="15"/>
      <c r="I85" s="25"/>
      <c r="J85" s="25"/>
      <c r="K85" s="15"/>
    </row>
    <row r="86" spans="3:11" ht="12.75">
      <c r="C86" s="15" t="s">
        <v>84</v>
      </c>
      <c r="D86" s="15"/>
      <c r="E86" s="21">
        <v>43545</v>
      </c>
      <c r="F86" s="24"/>
      <c r="G86" s="24">
        <v>177644.72</v>
      </c>
      <c r="H86" s="15"/>
      <c r="I86" s="25"/>
      <c r="J86" s="25"/>
      <c r="K86" s="15"/>
    </row>
    <row r="87" spans="3:11" ht="12.75">
      <c r="C87" s="15" t="s">
        <v>16</v>
      </c>
      <c r="D87" s="15"/>
      <c r="E87" s="21">
        <v>43950</v>
      </c>
      <c r="F87" s="24"/>
      <c r="G87" s="24">
        <v>-90160</v>
      </c>
      <c r="H87" s="15"/>
      <c r="I87" s="25"/>
      <c r="J87" s="25"/>
      <c r="K87" s="15"/>
    </row>
    <row r="88" spans="3:11" ht="12.75">
      <c r="C88" s="15" t="s">
        <v>85</v>
      </c>
      <c r="D88" s="15"/>
      <c r="E88" s="21">
        <v>44084</v>
      </c>
      <c r="F88" s="24"/>
      <c r="G88" s="24">
        <v>98641.36</v>
      </c>
      <c r="H88" s="15"/>
      <c r="I88" s="25"/>
      <c r="J88" s="25"/>
      <c r="K88" s="15"/>
    </row>
    <row r="89" spans="3:12" ht="15.75">
      <c r="C89" s="15"/>
      <c r="D89" s="15"/>
      <c r="E89" s="21">
        <v>44158</v>
      </c>
      <c r="F89" s="24"/>
      <c r="G89" s="24">
        <v>456197.97</v>
      </c>
      <c r="H89" s="15"/>
      <c r="I89" s="25"/>
      <c r="J89" s="25"/>
      <c r="K89" s="15"/>
      <c r="L89" s="55"/>
    </row>
    <row r="90" spans="3:12" ht="15.75">
      <c r="C90" s="15" t="s">
        <v>41</v>
      </c>
      <c r="D90" s="15"/>
      <c r="E90" s="21">
        <v>44203</v>
      </c>
      <c r="F90" s="24"/>
      <c r="G90" s="24">
        <v>-56000</v>
      </c>
      <c r="H90" s="15"/>
      <c r="I90" s="25"/>
      <c r="J90" s="25"/>
      <c r="K90" s="15"/>
      <c r="L90" s="55"/>
    </row>
    <row r="91" spans="3:12" ht="15.75">
      <c r="C91" s="15" t="s">
        <v>71</v>
      </c>
      <c r="D91" s="15"/>
      <c r="E91" s="21">
        <v>44284</v>
      </c>
      <c r="F91" s="24"/>
      <c r="G91" s="24">
        <v>52464.24</v>
      </c>
      <c r="H91" s="15"/>
      <c r="I91" s="25"/>
      <c r="J91" s="25"/>
      <c r="K91" s="15"/>
      <c r="L91" s="55"/>
    </row>
    <row r="92" spans="3:12" ht="15.75">
      <c r="C92" s="15"/>
      <c r="D92" s="15"/>
      <c r="E92" s="21">
        <v>44546</v>
      </c>
      <c r="F92" s="24"/>
      <c r="G92" s="24">
        <v>86158.79</v>
      </c>
      <c r="H92" s="15"/>
      <c r="I92" s="25"/>
      <c r="J92" s="25"/>
      <c r="K92" s="15"/>
      <c r="L92" s="55"/>
    </row>
    <row r="93" spans="3:12" ht="15.75">
      <c r="C93" s="15" t="s">
        <v>73</v>
      </c>
      <c r="D93" s="15"/>
      <c r="E93" s="21">
        <v>44624</v>
      </c>
      <c r="F93" s="24"/>
      <c r="G93" s="24">
        <v>753227.11</v>
      </c>
      <c r="H93" s="15"/>
      <c r="I93" s="25"/>
      <c r="J93" s="25"/>
      <c r="K93" s="15"/>
      <c r="L93" s="55"/>
    </row>
    <row r="94" spans="3:12" ht="15.75">
      <c r="C94" s="15" t="s">
        <v>75</v>
      </c>
      <c r="D94" s="15"/>
      <c r="E94" s="21">
        <v>45078</v>
      </c>
      <c r="F94" s="24"/>
      <c r="G94" s="24">
        <v>93829.53</v>
      </c>
      <c r="H94" s="15"/>
      <c r="I94" s="25"/>
      <c r="J94" s="25"/>
      <c r="K94" s="15"/>
      <c r="L94" s="55"/>
    </row>
    <row r="95" spans="3:10" ht="4.5" customHeight="1">
      <c r="C95" s="15"/>
      <c r="D95" s="15"/>
      <c r="E95" s="21"/>
      <c r="F95" s="15"/>
      <c r="G95" s="24"/>
      <c r="H95" s="15"/>
      <c r="I95" s="25"/>
      <c r="J95" s="25"/>
    </row>
    <row r="96" spans="3:12" ht="12.75">
      <c r="C96" s="15" t="s">
        <v>5</v>
      </c>
      <c r="D96" s="15"/>
      <c r="E96" s="21">
        <f>+E8</f>
        <v>45107</v>
      </c>
      <c r="F96" s="15"/>
      <c r="G96" s="46">
        <f>L96/0.98*C22</f>
        <v>1056753.3542857142</v>
      </c>
      <c r="H96" s="15"/>
      <c r="I96" s="21"/>
      <c r="K96" s="158"/>
      <c r="L96" s="57">
        <v>1.8493183699999997E8</v>
      </c>
    </row>
    <row r="97" spans="3:14" ht="12.75">
      <c r="C97" s="15"/>
      <c r="D97" s="15"/>
      <c r="E97" s="15"/>
      <c r="F97" s="15"/>
      <c r="G97" s="15"/>
      <c r="H97" s="15"/>
      <c r="J97" s="25"/>
      <c r="N97" s="45"/>
    </row>
    <row r="98" spans="3:14" ht="12.75">
      <c r="C98" s="14" t="s">
        <v>0</v>
      </c>
      <c r="G98" s="29">
        <f>+XIRR(G23:G96,E23:E96,0.1)</f>
        <v>0.2597451031208038</v>
      </c>
      <c r="H98" s="15"/>
      <c r="J98" s="24">
        <f>+SUMIF($G$23:$G$95,"&lt;0",$G$23:$G$95)</f>
        <v>-9491399.99</v>
      </c>
      <c r="K98" s="15" t="s">
        <v>14</v>
      </c>
      <c r="N98" s="45"/>
    </row>
    <row r="99" spans="3:14" ht="12.75">
      <c r="C99" s="15"/>
      <c r="D99" s="15"/>
      <c r="E99" s="15"/>
      <c r="F99" s="15"/>
      <c r="G99" s="15"/>
      <c r="H99" s="15"/>
      <c r="J99" s="24">
        <f>+SUMIF($G$23:$G$95,"&gt;0",$G$23:$G$95)</f>
        <v>1.4354078469999997E7</v>
      </c>
      <c r="K99" s="15" t="s">
        <v>15</v>
      </c>
      <c r="N99" s="45"/>
    </row>
    <row r="100" spans="3:8" ht="12.75">
      <c r="C100" s="15"/>
      <c r="D100" s="15"/>
      <c r="E100" s="15"/>
      <c r="F100" s="15"/>
      <c r="G100" s="15"/>
      <c r="H100" s="15"/>
    </row>
    <row r="101" spans="3:8" ht="12.75">
      <c r="C101" s="15"/>
      <c r="D101" s="15"/>
      <c r="E101" s="53"/>
      <c r="F101" s="15"/>
      <c r="G101" s="53"/>
      <c r="H101" s="15"/>
    </row>
    <row r="102" spans="3:8" ht="12.75">
      <c r="C102" s="52"/>
      <c r="D102" s="52"/>
      <c r="E102" s="53"/>
      <c r="F102" s="52"/>
      <c r="G102" s="53"/>
      <c r="H102" s="15"/>
    </row>
    <row r="103" spans="3:8" ht="12.75">
      <c r="C103" s="52"/>
      <c r="D103" s="52"/>
      <c r="E103" s="53"/>
      <c r="F103" s="52"/>
      <c r="G103" s="53"/>
      <c r="H103" s="15"/>
    </row>
    <row r="104" spans="3:8" ht="12.75">
      <c r="C104" s="52"/>
      <c r="D104" s="52"/>
      <c r="E104" s="52"/>
      <c r="F104" s="52"/>
      <c r="G104" s="52"/>
      <c r="H104" s="14"/>
    </row>
    <row r="105" spans="3:8" ht="12.75">
      <c r="C105" s="52"/>
      <c r="D105" s="52"/>
      <c r="E105" s="53"/>
      <c r="F105" s="53"/>
      <c r="G105" s="53"/>
      <c r="H105" s="14"/>
    </row>
    <row r="106" spans="3:8" ht="12.75">
      <c r="C106" s="52"/>
      <c r="D106" s="52"/>
      <c r="E106" s="52"/>
      <c r="F106" s="52"/>
      <c r="G106" s="52"/>
      <c r="H106" s="14"/>
    </row>
    <row r="107" spans="3:8" ht="12.75">
      <c r="C107" s="170"/>
      <c r="D107" s="170"/>
      <c r="E107" s="171"/>
      <c r="F107" s="70"/>
      <c r="G107" s="58"/>
      <c r="H107" s="14"/>
    </row>
    <row r="108" spans="3:8" ht="12.75">
      <c r="C108" s="170"/>
      <c r="D108" s="170"/>
      <c r="E108" s="70"/>
      <c r="F108" s="70"/>
      <c r="G108" s="70"/>
      <c r="H108" s="14"/>
    </row>
    <row r="109" spans="3:8" ht="12.75">
      <c r="C109" s="170"/>
      <c r="D109" s="170"/>
      <c r="E109" s="70"/>
      <c r="F109" s="70"/>
      <c r="G109" s="70"/>
      <c r="H109" s="14"/>
    </row>
    <row r="110" spans="3:8" ht="12.75">
      <c r="C110" s="172"/>
      <c r="D110" s="170"/>
      <c r="E110" s="70"/>
      <c r="F110" s="70"/>
      <c r="G110" s="70"/>
      <c r="H110" s="14"/>
    </row>
    <row r="111" spans="3:8" ht="12.75">
      <c r="C111" s="172"/>
      <c r="D111" s="170"/>
      <c r="E111" s="70"/>
      <c r="F111" s="70"/>
      <c r="G111" s="70"/>
      <c r="H111" s="14"/>
    </row>
    <row r="112" spans="3:8" ht="12.75">
      <c r="C112" s="173"/>
      <c r="D112" s="170"/>
      <c r="E112" s="70"/>
      <c r="F112" s="70"/>
      <c r="G112" s="70"/>
      <c r="H112" s="14"/>
    </row>
    <row r="113" spans="3:8" ht="12.75">
      <c r="C113" s="170"/>
      <c r="D113" s="170"/>
      <c r="E113" s="70"/>
      <c r="F113" s="70"/>
      <c r="G113" s="70"/>
      <c r="H113" s="14"/>
    </row>
    <row r="114" spans="3:8" ht="12.75">
      <c r="C114" s="170"/>
      <c r="D114" s="170"/>
      <c r="E114" s="70"/>
      <c r="F114" s="70"/>
      <c r="G114" s="70"/>
      <c r="H114" s="14"/>
    </row>
    <row r="115" spans="3:8" ht="12.75">
      <c r="C115" s="170"/>
      <c r="D115" s="170"/>
      <c r="E115" s="70"/>
      <c r="F115" s="70"/>
      <c r="G115" s="70"/>
      <c r="H115" s="14"/>
    </row>
    <row r="116" spans="3:8" ht="12.75">
      <c r="C116" s="170"/>
      <c r="D116" s="170"/>
      <c r="E116" s="70"/>
      <c r="F116" s="70"/>
      <c r="G116" s="70"/>
      <c r="H116" s="14"/>
    </row>
    <row r="117" spans="3:8" ht="12.75">
      <c r="C117" s="170"/>
      <c r="D117" s="170"/>
      <c r="E117" s="70"/>
      <c r="F117" s="70"/>
      <c r="G117" s="70"/>
      <c r="H117" s="14"/>
    </row>
    <row r="118" spans="3:8" ht="12.75">
      <c r="C118" s="170"/>
      <c r="D118" s="170"/>
      <c r="E118" s="70"/>
      <c r="F118" s="70"/>
      <c r="G118" s="70"/>
      <c r="H118" s="14"/>
    </row>
    <row r="119" spans="3:8" ht="5.1" customHeight="1">
      <c r="C119" s="14"/>
      <c r="D119" s="14"/>
      <c r="E119" s="33"/>
      <c r="F119" s="33"/>
      <c r="G119" s="33"/>
      <c r="H119" s="14"/>
    </row>
    <row r="120" spans="3:8" ht="12.75">
      <c r="C120" s="14"/>
      <c r="D120" s="14"/>
      <c r="E120" s="37"/>
      <c r="F120" s="37"/>
      <c r="G120" s="37"/>
      <c r="H120" s="14"/>
    </row>
    <row r="122" spans="3:10" ht="12.75">
      <c r="C122" s="52"/>
      <c r="D122" s="52"/>
      <c r="E122" s="132"/>
      <c r="F122" s="132"/>
      <c r="G122" s="132"/>
      <c r="H122" s="14"/>
      <c r="J122" s="159"/>
    </row>
    <row r="123" spans="3:8" ht="12.75">
      <c r="C123" s="52"/>
      <c r="D123" s="52"/>
      <c r="E123" s="53"/>
      <c r="F123" s="53"/>
      <c r="G123" s="53"/>
      <c r="H123" s="14"/>
    </row>
    <row r="124" spans="3:8" ht="12.75">
      <c r="C124" s="52"/>
      <c r="D124" s="52"/>
      <c r="E124" s="52"/>
      <c r="F124" s="52"/>
      <c r="G124" s="52"/>
      <c r="H124" s="14"/>
    </row>
    <row r="125" spans="3:8" ht="12.75">
      <c r="C125" s="52"/>
      <c r="D125" s="52"/>
      <c r="E125" s="58"/>
      <c r="F125" s="70"/>
      <c r="G125" s="58"/>
      <c r="H125" s="14"/>
    </row>
    <row r="126" spans="3:8" ht="12.75">
      <c r="C126" s="52"/>
      <c r="D126" s="52"/>
      <c r="E126" s="70"/>
      <c r="F126" s="70"/>
      <c r="G126" s="70"/>
      <c r="H126" s="14"/>
    </row>
    <row r="127" spans="3:8" ht="12.75">
      <c r="C127" s="52"/>
      <c r="D127" s="52"/>
      <c r="E127" s="70"/>
      <c r="F127" s="70"/>
      <c r="G127" s="70"/>
      <c r="H127" s="14"/>
    </row>
    <row r="128" spans="3:8" ht="12.75">
      <c r="C128" s="52"/>
      <c r="D128" s="52"/>
      <c r="E128" s="70"/>
      <c r="F128" s="70"/>
      <c r="G128" s="70"/>
      <c r="H128" s="14"/>
    </row>
    <row r="129" spans="3:8" ht="12.75">
      <c r="C129" s="52"/>
      <c r="D129" s="52"/>
      <c r="E129" s="70"/>
      <c r="F129" s="70"/>
      <c r="G129" s="70"/>
      <c r="H129" s="14"/>
    </row>
    <row r="130" spans="3:8" ht="12.75">
      <c r="C130" s="52"/>
      <c r="D130" s="52"/>
      <c r="E130" s="70"/>
      <c r="F130" s="70"/>
      <c r="G130" s="70"/>
      <c r="H130" s="14"/>
    </row>
    <row r="131" spans="3:8" ht="12.75">
      <c r="C131" s="52"/>
      <c r="D131" s="52"/>
      <c r="E131" s="70"/>
      <c r="F131" s="70"/>
      <c r="G131" s="70"/>
      <c r="H131" s="14"/>
    </row>
    <row r="132" spans="3:8" ht="12.75">
      <c r="C132" s="52"/>
      <c r="D132" s="52"/>
      <c r="E132" s="70"/>
      <c r="F132" s="70"/>
      <c r="G132" s="70"/>
      <c r="H132" s="14"/>
    </row>
  </sheetData>
  <mergeCells count="1">
    <mergeCell ref="E122:G122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C9C234F-7171-4ACA-983A-7CD85A08E84D}">
  <sheetPr>
    <pageSetUpPr fitToPage="1"/>
  </sheetPr>
  <dimension ref="B4:L124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+'EFM II'!E8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12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9" ht="12.75">
      <c r="C13" s="163"/>
      <c r="D13" s="163"/>
      <c r="E13" s="167"/>
      <c r="F13" s="163"/>
      <c r="G13" s="57"/>
      <c r="H13" s="8"/>
      <c r="I13" s="12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12"/>
    </row>
    <row r="18" spans="3:9" ht="12.75" customHeight="1">
      <c r="C18" s="18" t="s">
        <v>8</v>
      </c>
      <c r="D18" s="18"/>
      <c r="E18" s="8">
        <f>G98</f>
        <v>0.2095661818981171</v>
      </c>
      <c r="F18" s="18"/>
      <c r="G18" s="28"/>
      <c r="H18" s="8"/>
      <c r="I18" s="12"/>
    </row>
    <row r="19" spans="3:8" ht="12.75">
      <c r="C19" s="18" t="s">
        <v>10</v>
      </c>
      <c r="D19" s="18"/>
      <c r="E19" s="34">
        <f>-(G96+J99)/(J98)</f>
        <v>1.5243278787050798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22">
        <v>0.01538501</v>
      </c>
      <c r="D22" s="15"/>
      <c r="E22" s="15"/>
      <c r="F22" s="15"/>
      <c r="G22" s="23"/>
      <c r="H22" s="15"/>
      <c r="I22" s="15"/>
      <c r="J22" s="15"/>
    </row>
    <row r="23" spans="3:10" ht="12.75">
      <c r="C23" s="15" t="s">
        <v>88</v>
      </c>
      <c r="D23" s="15"/>
      <c r="E23" s="21">
        <v>41089</v>
      </c>
      <c r="F23" s="24"/>
      <c r="G23" s="130">
        <v>-22500</v>
      </c>
      <c r="H23" s="15"/>
      <c r="I23" s="25"/>
      <c r="J23" s="25"/>
    </row>
    <row r="24" spans="3:10" ht="12.75">
      <c r="C24" s="15"/>
      <c r="D24" s="15"/>
      <c r="E24" s="21">
        <v>41166</v>
      </c>
      <c r="F24" s="24"/>
      <c r="G24" s="130">
        <v>-28224</v>
      </c>
      <c r="H24" s="15"/>
      <c r="I24" s="25"/>
      <c r="J24" s="25"/>
    </row>
    <row r="25" spans="3:10" ht="12.75">
      <c r="C25" s="15"/>
      <c r="D25" s="15"/>
      <c r="E25" s="21">
        <v>41270</v>
      </c>
      <c r="F25" s="24"/>
      <c r="G25" s="130">
        <v>-81984</v>
      </c>
      <c r="H25" s="15"/>
      <c r="I25" s="25"/>
      <c r="J25" s="25"/>
    </row>
    <row r="26" spans="3:10" ht="12.75">
      <c r="C26" s="15" t="s">
        <v>90</v>
      </c>
      <c r="D26" s="15"/>
      <c r="E26" s="21">
        <v>41311</v>
      </c>
      <c r="F26" s="24"/>
      <c r="G26" s="130">
        <v>-29232</v>
      </c>
      <c r="H26" s="15"/>
      <c r="I26" s="25"/>
      <c r="J26" s="25"/>
    </row>
    <row r="27" spans="3:10" ht="12.75">
      <c r="C27" s="15"/>
      <c r="D27" s="15"/>
      <c r="E27" s="21">
        <v>41341</v>
      </c>
      <c r="F27" s="24"/>
      <c r="G27" s="130">
        <v>-42000</v>
      </c>
      <c r="H27" s="15"/>
      <c r="I27" s="25"/>
      <c r="J27" s="25"/>
    </row>
    <row r="28" spans="3:10" ht="12.75">
      <c r="C28" s="15"/>
      <c r="D28" s="15"/>
      <c r="E28" s="21">
        <v>41361</v>
      </c>
      <c r="F28" s="24"/>
      <c r="G28" s="130">
        <v>-18816</v>
      </c>
      <c r="H28" s="15"/>
      <c r="I28" s="25"/>
      <c r="J28" s="25"/>
    </row>
    <row r="29" spans="3:10" ht="12.75">
      <c r="C29" s="15"/>
      <c r="D29" s="15"/>
      <c r="E29" s="21">
        <v>41387</v>
      </c>
      <c r="F29" s="24"/>
      <c r="G29" s="130">
        <v>-40992</v>
      </c>
      <c r="H29" s="15"/>
      <c r="I29" s="25"/>
      <c r="J29" s="25"/>
    </row>
    <row r="30" spans="3:10" ht="12.75">
      <c r="C30" s="15"/>
      <c r="D30" s="15"/>
      <c r="E30" s="21">
        <v>41408</v>
      </c>
      <c r="F30" s="24"/>
      <c r="G30" s="130">
        <v>-17640</v>
      </c>
      <c r="H30" s="15"/>
      <c r="I30" s="25"/>
      <c r="J30" s="25"/>
    </row>
    <row r="31" spans="3:10" ht="12.75">
      <c r="C31" s="15"/>
      <c r="D31" s="15"/>
      <c r="E31" s="21">
        <v>41439</v>
      </c>
      <c r="F31" s="24"/>
      <c r="G31" s="130">
        <v>-40824</v>
      </c>
      <c r="H31" s="15"/>
      <c r="I31" s="25"/>
      <c r="J31" s="25"/>
    </row>
    <row r="32" spans="3:9" ht="12.75">
      <c r="C32" s="15"/>
      <c r="D32" s="15"/>
      <c r="E32" s="21">
        <v>41479</v>
      </c>
      <c r="F32" s="24"/>
      <c r="G32" s="130">
        <v>-45192</v>
      </c>
      <c r="H32" s="15"/>
      <c r="I32" s="25"/>
    </row>
    <row r="33" spans="3:9" ht="12.75">
      <c r="C33" s="15"/>
      <c r="D33" s="15"/>
      <c r="E33" s="21">
        <v>41515</v>
      </c>
      <c r="F33" s="24"/>
      <c r="G33" s="130">
        <v>-28392</v>
      </c>
      <c r="H33" s="15"/>
      <c r="I33" s="25"/>
    </row>
    <row r="34" spans="3:9" ht="12.75">
      <c r="C34" s="15"/>
      <c r="D34" s="15"/>
      <c r="E34" s="21">
        <v>41543</v>
      </c>
      <c r="F34" s="24"/>
      <c r="G34" s="130">
        <v>-105840</v>
      </c>
      <c r="H34" s="15"/>
      <c r="I34" s="25"/>
    </row>
    <row r="35" spans="3:9" ht="12.75">
      <c r="C35" s="15"/>
      <c r="D35" s="15"/>
      <c r="E35" s="21">
        <v>41605</v>
      </c>
      <c r="F35" s="24"/>
      <c r="G35" s="130">
        <v>-25032</v>
      </c>
      <c r="H35" s="15"/>
      <c r="I35" s="25"/>
    </row>
    <row r="36" spans="3:9" ht="12.75">
      <c r="C36" s="15"/>
      <c r="D36" s="15"/>
      <c r="E36" s="21">
        <v>41638</v>
      </c>
      <c r="F36" s="24"/>
      <c r="G36" s="130">
        <v>-17976</v>
      </c>
      <c r="H36" s="15"/>
      <c r="I36" s="25"/>
    </row>
    <row r="37" spans="3:11" ht="12.75">
      <c r="C37" s="15" t="s">
        <v>92</v>
      </c>
      <c r="D37" s="15"/>
      <c r="E37" s="21">
        <v>41683</v>
      </c>
      <c r="F37" s="24"/>
      <c r="G37" s="24">
        <v>-18480</v>
      </c>
      <c r="H37" s="15"/>
      <c r="I37" s="25"/>
      <c r="J37" s="136"/>
      <c r="K37" s="126"/>
    </row>
    <row r="38" spans="3:11" ht="12.75">
      <c r="C38" s="157"/>
      <c r="D38" s="15"/>
      <c r="E38" s="21">
        <v>41701</v>
      </c>
      <c r="F38" s="24"/>
      <c r="G38" s="24">
        <v>-26880</v>
      </c>
      <c r="H38" s="15"/>
      <c r="I38" s="25"/>
      <c r="J38" s="136"/>
      <c r="K38" s="126"/>
    </row>
    <row r="39" spans="3:11" ht="12.75">
      <c r="C39" s="15"/>
      <c r="D39" s="15"/>
      <c r="E39" s="21">
        <v>41729</v>
      </c>
      <c r="F39" s="24"/>
      <c r="G39" s="24">
        <v>-34608</v>
      </c>
      <c r="H39" s="15"/>
      <c r="I39" s="25"/>
      <c r="J39" s="136"/>
      <c r="K39" s="126"/>
    </row>
    <row r="40" spans="3:11" ht="12.75">
      <c r="C40" s="15"/>
      <c r="D40" s="15"/>
      <c r="E40" s="21">
        <v>41751</v>
      </c>
      <c r="F40" s="24"/>
      <c r="G40" s="24">
        <v>-24360</v>
      </c>
      <c r="H40" s="15"/>
      <c r="I40" s="25"/>
      <c r="J40" s="136"/>
      <c r="K40" s="126"/>
    </row>
    <row r="41" spans="3:11" ht="12.75">
      <c r="C41" s="15"/>
      <c r="D41" s="15"/>
      <c r="E41" s="21">
        <v>41782</v>
      </c>
      <c r="F41" s="24"/>
      <c r="G41" s="24">
        <v>-41496</v>
      </c>
      <c r="H41" s="15"/>
      <c r="I41" s="25"/>
      <c r="J41" s="136"/>
      <c r="K41" s="126"/>
    </row>
    <row r="42" spans="3:11" ht="12.75">
      <c r="C42" s="15"/>
      <c r="D42" s="15"/>
      <c r="E42" s="21">
        <v>41808</v>
      </c>
      <c r="F42" s="24"/>
      <c r="G42" s="24">
        <v>-99624</v>
      </c>
      <c r="H42" s="15"/>
      <c r="I42" s="25"/>
      <c r="J42" s="136"/>
      <c r="K42" s="126"/>
    </row>
    <row r="43" spans="3:11" ht="12.75">
      <c r="C43" s="15"/>
      <c r="D43" s="15"/>
      <c r="E43" s="21">
        <v>41894</v>
      </c>
      <c r="F43" s="24"/>
      <c r="G43" s="24">
        <v>-20832</v>
      </c>
      <c r="H43" s="15"/>
      <c r="I43" s="25"/>
      <c r="J43" s="136"/>
      <c r="K43" s="126"/>
    </row>
    <row r="44" spans="3:11" ht="12.75">
      <c r="C44" s="15"/>
      <c r="D44" s="15"/>
      <c r="E44" s="21">
        <v>41942</v>
      </c>
      <c r="F44" s="24"/>
      <c r="G44" s="24">
        <v>-29568</v>
      </c>
      <c r="H44" s="15"/>
      <c r="I44" s="25"/>
      <c r="J44" s="136"/>
      <c r="K44" s="126"/>
    </row>
    <row r="45" spans="3:11" ht="12.75">
      <c r="C45" s="15"/>
      <c r="D45" s="15"/>
      <c r="E45" s="21">
        <v>41962</v>
      </c>
      <c r="F45" s="24"/>
      <c r="G45" s="24">
        <v>-65688</v>
      </c>
      <c r="H45" s="15"/>
      <c r="I45" s="25"/>
      <c r="J45" s="136"/>
      <c r="K45" s="126"/>
    </row>
    <row r="46" spans="3:11" ht="12.75">
      <c r="C46" s="15"/>
      <c r="D46" s="15"/>
      <c r="E46" s="21">
        <v>41975</v>
      </c>
      <c r="F46" s="24"/>
      <c r="G46" s="24">
        <v>-77280</v>
      </c>
      <c r="H46" s="15"/>
      <c r="I46" s="25"/>
      <c r="J46" s="136"/>
      <c r="K46" s="126"/>
    </row>
    <row r="47" spans="3:9" ht="12.75">
      <c r="C47" s="15" t="s">
        <v>93</v>
      </c>
      <c r="D47" s="15"/>
      <c r="E47" s="21">
        <v>41969</v>
      </c>
      <c r="F47" s="24"/>
      <c r="G47" s="24">
        <v>273860.4</v>
      </c>
      <c r="H47" s="15"/>
      <c r="I47" s="25"/>
    </row>
    <row r="48" spans="3:9" ht="12.75">
      <c r="C48" s="15" t="s">
        <v>76</v>
      </c>
      <c r="D48" s="15"/>
      <c r="E48" s="21">
        <v>42037</v>
      </c>
      <c r="F48" s="24"/>
      <c r="G48" s="24">
        <v>-65016.01</v>
      </c>
      <c r="H48" s="15"/>
      <c r="I48" s="25"/>
    </row>
    <row r="49" spans="3:9" ht="12.75">
      <c r="C49" s="15"/>
      <c r="D49" s="15"/>
      <c r="E49" s="21">
        <v>42094</v>
      </c>
      <c r="F49" s="24"/>
      <c r="G49" s="24">
        <v>-56448</v>
      </c>
      <c r="H49" s="15"/>
      <c r="I49" s="25"/>
    </row>
    <row r="50" spans="3:9" ht="12.75">
      <c r="C50" s="15"/>
      <c r="D50" s="15"/>
      <c r="E50" s="21">
        <v>42110</v>
      </c>
      <c r="F50" s="24"/>
      <c r="G50" s="24">
        <v>-47208</v>
      </c>
      <c r="H50" s="15"/>
      <c r="I50" s="25"/>
    </row>
    <row r="51" spans="3:9" ht="12.75">
      <c r="C51" s="15"/>
      <c r="D51" s="15"/>
      <c r="E51" s="21">
        <v>42145</v>
      </c>
      <c r="F51" s="24"/>
      <c r="G51" s="24">
        <v>-58968</v>
      </c>
      <c r="H51" s="15"/>
      <c r="I51" s="25"/>
    </row>
    <row r="52" spans="3:11" ht="12.75">
      <c r="C52" s="15"/>
      <c r="D52" s="15"/>
      <c r="E52" s="21">
        <v>42158</v>
      </c>
      <c r="F52" s="24"/>
      <c r="G52" s="24">
        <v>-169008</v>
      </c>
      <c r="H52" s="15"/>
      <c r="I52" s="25"/>
      <c r="J52" s="25"/>
      <c r="K52" s="15"/>
    </row>
    <row r="53" spans="3:11" ht="12.75">
      <c r="C53" s="15"/>
      <c r="D53" s="15"/>
      <c r="E53" s="21">
        <v>42261</v>
      </c>
      <c r="F53" s="24"/>
      <c r="G53" s="24">
        <v>-127176</v>
      </c>
      <c r="H53" s="15"/>
      <c r="I53" s="25"/>
      <c r="J53" s="25"/>
      <c r="K53" s="15"/>
    </row>
    <row r="54" spans="3:11" ht="12.75">
      <c r="C54" s="15"/>
      <c r="D54" s="15"/>
      <c r="E54" s="21">
        <v>42366</v>
      </c>
      <c r="F54" s="24"/>
      <c r="G54" s="24">
        <v>-31752</v>
      </c>
      <c r="H54" s="15"/>
      <c r="I54" s="25"/>
      <c r="J54" s="25"/>
      <c r="K54" s="15"/>
    </row>
    <row r="55" spans="3:11" ht="12.75">
      <c r="C55" s="15" t="s">
        <v>94</v>
      </c>
      <c r="D55" s="15"/>
      <c r="E55" s="21">
        <v>42341</v>
      </c>
      <c r="F55" s="24"/>
      <c r="G55" s="24">
        <v>48606.68</v>
      </c>
      <c r="H55" s="15"/>
      <c r="I55" s="25"/>
      <c r="J55" s="25"/>
      <c r="K55" s="15"/>
    </row>
    <row r="56" spans="3:11" ht="12.75">
      <c r="C56" s="15" t="s">
        <v>77</v>
      </c>
      <c r="D56" s="15"/>
      <c r="E56" s="21">
        <v>42397</v>
      </c>
      <c r="F56" s="24"/>
      <c r="G56" s="24">
        <v>-45864</v>
      </c>
      <c r="H56" s="15"/>
      <c r="I56" s="25"/>
      <c r="J56" s="25"/>
      <c r="K56" s="15"/>
    </row>
    <row r="57" spans="3:11" ht="12.75">
      <c r="C57" s="15"/>
      <c r="D57" s="15"/>
      <c r="E57" s="21">
        <v>42447</v>
      </c>
      <c r="F57" s="24"/>
      <c r="G57" s="24">
        <v>-57623.99</v>
      </c>
      <c r="H57" s="15"/>
      <c r="I57" s="25"/>
      <c r="J57" s="25"/>
      <c r="K57" s="15"/>
    </row>
    <row r="58" spans="3:11" ht="12.75">
      <c r="C58" s="15"/>
      <c r="D58" s="15"/>
      <c r="E58" s="21">
        <v>42494</v>
      </c>
      <c r="F58" s="24"/>
      <c r="G58" s="24">
        <v>-44855.99</v>
      </c>
      <c r="H58" s="15"/>
      <c r="I58" s="25"/>
      <c r="J58" s="25"/>
      <c r="K58" s="15"/>
    </row>
    <row r="59" spans="3:11" ht="12.75">
      <c r="C59" s="15"/>
      <c r="D59" s="15"/>
      <c r="E59" s="21">
        <v>42556</v>
      </c>
      <c r="F59" s="24"/>
      <c r="G59" s="24">
        <v>-39144</v>
      </c>
      <c r="H59" s="15"/>
      <c r="I59" s="25"/>
      <c r="J59" s="25"/>
      <c r="K59" s="15"/>
    </row>
    <row r="60" spans="3:11" ht="12.75">
      <c r="C60" s="15"/>
      <c r="D60" s="15"/>
      <c r="E60" s="21">
        <v>42605</v>
      </c>
      <c r="F60" s="24"/>
      <c r="G60" s="24">
        <v>-375816</v>
      </c>
      <c r="H60" s="15"/>
      <c r="I60" s="25"/>
      <c r="J60" s="25"/>
      <c r="K60" s="15"/>
    </row>
    <row r="61" spans="3:11" ht="12.75">
      <c r="C61" s="15"/>
      <c r="D61" s="15"/>
      <c r="E61" s="21">
        <v>42661</v>
      </c>
      <c r="F61" s="24"/>
      <c r="G61" s="24">
        <v>-35784</v>
      </c>
      <c r="H61" s="15"/>
      <c r="I61" s="25"/>
      <c r="J61" s="25"/>
      <c r="K61" s="15"/>
    </row>
    <row r="62" spans="3:11" ht="12.75">
      <c r="C62" s="15" t="s">
        <v>78</v>
      </c>
      <c r="D62" s="15"/>
      <c r="E62" s="21">
        <v>42381</v>
      </c>
      <c r="F62" s="24"/>
      <c r="G62" s="24">
        <v>379609.17</v>
      </c>
      <c r="H62" s="15"/>
      <c r="I62" s="25"/>
      <c r="J62" s="25"/>
      <c r="K62" s="15"/>
    </row>
    <row r="63" spans="3:11" ht="12.75">
      <c r="C63" s="15"/>
      <c r="D63" s="15"/>
      <c r="E63" s="21">
        <v>42549</v>
      </c>
      <c r="F63" s="24"/>
      <c r="G63" s="24">
        <v>53637.61</v>
      </c>
      <c r="H63" s="15"/>
      <c r="I63" s="25"/>
      <c r="J63" s="25"/>
      <c r="K63" s="15"/>
    </row>
    <row r="64" spans="3:12" ht="15.75">
      <c r="C64" s="15"/>
      <c r="D64" s="15"/>
      <c r="E64" s="21">
        <v>42640</v>
      </c>
      <c r="F64" s="24"/>
      <c r="G64" s="24">
        <v>79938.61</v>
      </c>
      <c r="H64" s="15"/>
      <c r="I64" s="25"/>
      <c r="J64" s="115"/>
      <c r="K64" s="116"/>
      <c r="L64" s="162"/>
    </row>
    <row r="65" spans="3:12" ht="12.75">
      <c r="C65" s="15"/>
      <c r="D65" s="15"/>
      <c r="E65" s="21">
        <v>42654</v>
      </c>
      <c r="F65" s="24"/>
      <c r="G65" s="24">
        <v>32809.44</v>
      </c>
      <c r="H65" s="15"/>
      <c r="I65" s="25"/>
      <c r="J65" s="115"/>
      <c r="K65" s="116"/>
      <c r="L65" s="57"/>
    </row>
    <row r="66" spans="3:12" ht="12.75">
      <c r="C66" s="15" t="s">
        <v>79</v>
      </c>
      <c r="D66" s="15"/>
      <c r="E66" s="21">
        <v>42793</v>
      </c>
      <c r="F66" s="24"/>
      <c r="G66" s="24">
        <v>-35616</v>
      </c>
      <c r="H66" s="15"/>
      <c r="I66" s="25"/>
      <c r="J66" s="115"/>
      <c r="K66" s="116"/>
      <c r="L66" s="57"/>
    </row>
    <row r="67" spans="3:12" ht="12.75">
      <c r="C67" s="15"/>
      <c r="D67" s="15"/>
      <c r="E67" s="21">
        <v>42870</v>
      </c>
      <c r="F67" s="24"/>
      <c r="G67" s="24">
        <v>-35952</v>
      </c>
      <c r="H67" s="15"/>
      <c r="I67" s="25"/>
      <c r="J67" s="115"/>
      <c r="K67" s="116"/>
      <c r="L67" s="57"/>
    </row>
    <row r="68" spans="3:12" ht="12.75">
      <c r="C68" s="15"/>
      <c r="D68" s="15"/>
      <c r="E68" s="21">
        <v>42992</v>
      </c>
      <c r="F68" s="24"/>
      <c r="G68" s="24">
        <v>-33936</v>
      </c>
      <c r="H68" s="15"/>
      <c r="I68" s="25"/>
      <c r="J68" s="115"/>
      <c r="K68" s="116"/>
      <c r="L68" s="57"/>
    </row>
    <row r="69" spans="3:12" ht="12.75">
      <c r="C69" s="15"/>
      <c r="D69" s="15"/>
      <c r="E69" s="21">
        <v>43048</v>
      </c>
      <c r="F69" s="24"/>
      <c r="G69" s="24">
        <v>-65184</v>
      </c>
      <c r="H69" s="15"/>
      <c r="I69" s="25"/>
      <c r="J69" s="115"/>
      <c r="K69" s="116"/>
      <c r="L69" s="169"/>
    </row>
    <row r="70" spans="3:12" ht="12.75">
      <c r="C70" s="15" t="s">
        <v>80</v>
      </c>
      <c r="D70" s="15"/>
      <c r="E70" s="21">
        <v>42746</v>
      </c>
      <c r="F70" s="24"/>
      <c r="G70" s="24">
        <v>121675.44</v>
      </c>
      <c r="H70" s="15"/>
      <c r="I70" s="25"/>
      <c r="J70" s="115"/>
      <c r="K70" s="116"/>
      <c r="L70" s="169"/>
    </row>
    <row r="71" spans="3:12" ht="12.75">
      <c r="C71" s="15"/>
      <c r="D71" s="15"/>
      <c r="E71" s="21">
        <v>42802</v>
      </c>
      <c r="F71" s="24"/>
      <c r="G71" s="24">
        <v>180369.63</v>
      </c>
      <c r="H71" s="15"/>
      <c r="I71" s="25"/>
      <c r="J71" s="115"/>
      <c r="K71" s="116"/>
      <c r="L71" s="169"/>
    </row>
    <row r="72" spans="3:11" ht="12.75">
      <c r="C72" s="15"/>
      <c r="D72" s="15"/>
      <c r="E72" s="21">
        <v>42885</v>
      </c>
      <c r="F72" s="24"/>
      <c r="G72" s="24">
        <v>66707.12</v>
      </c>
      <c r="H72" s="15"/>
      <c r="I72" s="25"/>
      <c r="J72" s="25"/>
      <c r="K72" s="15"/>
    </row>
    <row r="73" spans="3:11" ht="12.75">
      <c r="C73" s="15"/>
      <c r="D73" s="15"/>
      <c r="E73" s="21">
        <v>42913</v>
      </c>
      <c r="F73" s="24"/>
      <c r="G73" s="24">
        <v>1393927.34</v>
      </c>
      <c r="H73" s="15"/>
      <c r="I73" s="25"/>
      <c r="J73" s="25"/>
      <c r="K73" s="15"/>
    </row>
    <row r="74" spans="3:11" ht="12.75">
      <c r="C74" s="15"/>
      <c r="D74" s="15"/>
      <c r="E74" s="21">
        <v>42999</v>
      </c>
      <c r="F74" s="24"/>
      <c r="G74" s="24">
        <v>146090.75</v>
      </c>
      <c r="H74" s="15"/>
      <c r="I74" s="25"/>
      <c r="J74" s="25"/>
      <c r="K74" s="15"/>
    </row>
    <row r="75" spans="3:11" ht="12.75">
      <c r="C75" s="15" t="s">
        <v>81</v>
      </c>
      <c r="D75" s="15"/>
      <c r="E75" s="21">
        <v>43132</v>
      </c>
      <c r="F75" s="24"/>
      <c r="G75" s="24">
        <v>-45024</v>
      </c>
      <c r="H75" s="15"/>
      <c r="I75" s="25"/>
      <c r="J75" s="25"/>
      <c r="K75" s="15"/>
    </row>
    <row r="76" spans="3:11" ht="12.75">
      <c r="C76" s="15"/>
      <c r="D76" s="15"/>
      <c r="E76" s="21">
        <v>43147</v>
      </c>
      <c r="F76" s="24"/>
      <c r="G76" s="24">
        <v>-99120</v>
      </c>
      <c r="H76" s="15"/>
      <c r="I76" s="25"/>
      <c r="J76" s="25"/>
      <c r="K76" s="15"/>
    </row>
    <row r="77" spans="3:11" ht="12.75">
      <c r="C77" s="15"/>
      <c r="D77" s="15"/>
      <c r="E77" s="21">
        <v>43370</v>
      </c>
      <c r="F77" s="24"/>
      <c r="G77" s="24">
        <v>-31920</v>
      </c>
      <c r="H77" s="15"/>
      <c r="I77" s="25"/>
      <c r="J77" s="25"/>
      <c r="K77" s="15"/>
    </row>
    <row r="78" spans="3:11" ht="12.75">
      <c r="C78" s="15" t="s">
        <v>82</v>
      </c>
      <c r="D78" s="15"/>
      <c r="E78" s="21">
        <v>43122</v>
      </c>
      <c r="F78" s="24"/>
      <c r="G78" s="24">
        <v>373197.71</v>
      </c>
      <c r="H78" s="15"/>
      <c r="I78" s="25"/>
      <c r="J78" s="25"/>
      <c r="K78" s="15"/>
    </row>
    <row r="79" spans="3:11" ht="12.75">
      <c r="C79" s="15"/>
      <c r="D79" s="15"/>
      <c r="E79" s="21">
        <v>43300</v>
      </c>
      <c r="F79" s="24"/>
      <c r="G79" s="24">
        <v>155647.92</v>
      </c>
      <c r="H79" s="15"/>
      <c r="I79" s="25"/>
      <c r="J79" s="25"/>
      <c r="K79" s="15"/>
    </row>
    <row r="80" spans="3:11" ht="12.75">
      <c r="C80" s="15" t="s">
        <v>83</v>
      </c>
      <c r="D80" s="15"/>
      <c r="E80" s="21">
        <v>43490</v>
      </c>
      <c r="F80" s="24"/>
      <c r="G80" s="24">
        <v>-44016</v>
      </c>
      <c r="H80" s="15"/>
      <c r="I80" s="25"/>
      <c r="J80" s="25"/>
      <c r="K80" s="15"/>
    </row>
    <row r="81" spans="3:11" ht="12.75">
      <c r="C81" s="15"/>
      <c r="D81" s="15"/>
      <c r="E81" s="21">
        <v>43517</v>
      </c>
      <c r="F81" s="24"/>
      <c r="G81" s="24">
        <v>-49896</v>
      </c>
      <c r="H81" s="15"/>
      <c r="I81" s="25"/>
      <c r="J81" s="25"/>
      <c r="K81" s="15"/>
    </row>
    <row r="82" spans="3:11" ht="12.75">
      <c r="C82" s="15"/>
      <c r="D82" s="15"/>
      <c r="E82" s="21">
        <v>43560</v>
      </c>
      <c r="F82" s="24"/>
      <c r="G82" s="24">
        <v>-136248</v>
      </c>
      <c r="H82" s="15"/>
      <c r="I82" s="25"/>
      <c r="J82" s="25"/>
      <c r="K82" s="15"/>
    </row>
    <row r="83" spans="3:11" ht="12.75">
      <c r="C83" s="15"/>
      <c r="D83" s="15"/>
      <c r="E83" s="21">
        <v>43623</v>
      </c>
      <c r="F83" s="24"/>
      <c r="G83" s="24">
        <v>-35280</v>
      </c>
      <c r="H83" s="15"/>
      <c r="I83" s="25"/>
      <c r="J83" s="25"/>
      <c r="K83" s="15"/>
    </row>
    <row r="84" spans="3:11" ht="12.75">
      <c r="C84" s="15"/>
      <c r="D84" s="15"/>
      <c r="E84" s="21">
        <v>43733</v>
      </c>
      <c r="F84" s="24"/>
      <c r="G84" s="24">
        <v>-33432</v>
      </c>
      <c r="H84" s="15"/>
      <c r="I84" s="25"/>
      <c r="J84" s="25"/>
      <c r="K84" s="15"/>
    </row>
    <row r="85" spans="3:11" ht="12.75">
      <c r="C85" s="15"/>
      <c r="D85" s="15"/>
      <c r="E85" s="21">
        <v>43825</v>
      </c>
      <c r="F85" s="24"/>
      <c r="G85" s="24">
        <v>-19824</v>
      </c>
      <c r="H85" s="15"/>
      <c r="I85" s="25"/>
      <c r="J85" s="25"/>
      <c r="K85" s="15"/>
    </row>
    <row r="86" spans="3:11" ht="12.75">
      <c r="C86" s="15" t="s">
        <v>84</v>
      </c>
      <c r="D86" s="15"/>
      <c r="E86" s="21">
        <v>43545</v>
      </c>
      <c r="F86" s="24"/>
      <c r="G86" s="24">
        <v>174846.10</v>
      </c>
      <c r="H86" s="15"/>
      <c r="I86" s="25"/>
      <c r="J86" s="25"/>
      <c r="K86" s="15"/>
    </row>
    <row r="87" spans="3:11" ht="12.75">
      <c r="C87" s="15" t="s">
        <v>16</v>
      </c>
      <c r="D87" s="15"/>
      <c r="E87" s="21">
        <v>43950</v>
      </c>
      <c r="F87" s="24"/>
      <c r="G87" s="24">
        <f>-27048</f>
        <v>-27048</v>
      </c>
      <c r="H87" s="15"/>
      <c r="I87" s="25"/>
      <c r="J87" s="25"/>
      <c r="K87" s="15"/>
    </row>
    <row r="88" spans="3:12" ht="15.75">
      <c r="C88" s="15" t="s">
        <v>85</v>
      </c>
      <c r="D88" s="15"/>
      <c r="E88" s="21">
        <v>44084</v>
      </c>
      <c r="F88" s="24"/>
      <c r="G88" s="24">
        <v>44977.42</v>
      </c>
      <c r="H88" s="15"/>
      <c r="I88" s="25"/>
      <c r="J88" s="25"/>
      <c r="K88" s="15"/>
      <c r="L88" s="55"/>
    </row>
    <row r="89" spans="3:11" ht="12.75">
      <c r="C89" s="15"/>
      <c r="D89" s="15"/>
      <c r="E89" s="21">
        <v>44158</v>
      </c>
      <c r="F89" s="24"/>
      <c r="G89" s="24">
        <v>218496.06</v>
      </c>
      <c r="H89" s="15"/>
      <c r="I89" s="25"/>
      <c r="J89" s="25"/>
      <c r="K89" s="15"/>
    </row>
    <row r="90" spans="3:12" ht="15.75">
      <c r="C90" s="15" t="s">
        <v>41</v>
      </c>
      <c r="D90" s="15"/>
      <c r="E90" s="21">
        <v>44203</v>
      </c>
      <c r="F90" s="24"/>
      <c r="G90" s="24">
        <v>-16800</v>
      </c>
      <c r="H90" s="15"/>
      <c r="I90" s="25"/>
      <c r="J90" s="25"/>
      <c r="K90" s="15"/>
      <c r="L90" s="55"/>
    </row>
    <row r="91" spans="3:12" ht="15.75">
      <c r="C91" s="15" t="s">
        <v>71</v>
      </c>
      <c r="D91" s="15"/>
      <c r="E91" s="21">
        <v>44284</v>
      </c>
      <c r="F91" s="24"/>
      <c r="G91" s="24">
        <v>7755.01</v>
      </c>
      <c r="H91" s="15"/>
      <c r="I91" s="25"/>
      <c r="J91" s="25"/>
      <c r="K91" s="15"/>
      <c r="L91" s="55"/>
    </row>
    <row r="92" spans="3:12" ht="15.75">
      <c r="C92" s="15"/>
      <c r="D92" s="15"/>
      <c r="E92" s="21">
        <v>44546</v>
      </c>
      <c r="F92" s="24"/>
      <c r="G92" s="24">
        <v>31787.79</v>
      </c>
      <c r="H92" s="15"/>
      <c r="I92" s="25"/>
      <c r="J92" s="25"/>
      <c r="K92" s="15"/>
      <c r="L92" s="55"/>
    </row>
    <row r="93" spans="3:12" ht="15.75">
      <c r="C93" s="15" t="s">
        <v>73</v>
      </c>
      <c r="D93" s="15"/>
      <c r="E93" s="21">
        <v>44624</v>
      </c>
      <c r="F93" s="24"/>
      <c r="G93" s="24">
        <v>190113.52</v>
      </c>
      <c r="H93" s="15"/>
      <c r="I93" s="25"/>
      <c r="J93" s="25"/>
      <c r="K93" s="15"/>
      <c r="L93" s="55"/>
    </row>
    <row r="94" spans="3:12" ht="15.75">
      <c r="C94" s="15" t="s">
        <v>75</v>
      </c>
      <c r="D94" s="15"/>
      <c r="E94" s="21">
        <v>45078</v>
      </c>
      <c r="F94" s="24"/>
      <c r="G94" s="24">
        <v>25955.93</v>
      </c>
      <c r="H94" s="15"/>
      <c r="I94" s="25"/>
      <c r="J94" s="25"/>
      <c r="K94" s="15"/>
      <c r="L94" s="55"/>
    </row>
    <row r="95" spans="3:10" ht="4.5" customHeight="1">
      <c r="C95" s="15"/>
      <c r="D95" s="15"/>
      <c r="E95" s="21"/>
      <c r="F95" s="15"/>
      <c r="G95" s="24"/>
      <c r="H95" s="15"/>
      <c r="I95" s="25"/>
      <c r="J95" s="25"/>
    </row>
    <row r="96" spans="3:12" ht="12.75">
      <c r="C96" s="15" t="s">
        <v>5</v>
      </c>
      <c r="D96" s="15"/>
      <c r="E96" s="21">
        <f>+E8</f>
        <v>45107</v>
      </c>
      <c r="F96" s="15"/>
      <c r="G96" s="46">
        <f>L96*C22</f>
        <v>340392.02313914</v>
      </c>
      <c r="H96" s="15"/>
      <c r="I96" s="21"/>
      <c r="L96" s="57">
        <v>22124914</v>
      </c>
    </row>
    <row r="97" spans="3:8" ht="12.75">
      <c r="C97" s="15"/>
      <c r="D97" s="15"/>
      <c r="E97" s="15"/>
      <c r="F97" s="15"/>
      <c r="G97" s="15"/>
      <c r="H97" s="15"/>
    </row>
    <row r="98" spans="3:11" ht="12.75">
      <c r="C98" s="14" t="s">
        <v>0</v>
      </c>
      <c r="G98" s="138">
        <f>+XIRR(G23:G96,E23:E96)</f>
        <v>0.2095661818981171</v>
      </c>
      <c r="H98" s="15"/>
      <c r="J98" s="24">
        <f>+SUMIF($G$23:$G$95,"&lt;0",$G$23:$G$95)</f>
        <v>-2847419.99</v>
      </c>
      <c r="K98" s="15" t="s">
        <v>14</v>
      </c>
    </row>
    <row r="99" spans="3:11" ht="12.75">
      <c r="C99" s="15"/>
      <c r="D99" s="15"/>
      <c r="E99" s="15"/>
      <c r="F99" s="15"/>
      <c r="G99" s="15"/>
      <c r="H99" s="15"/>
      <c r="J99" s="24">
        <f>+SUMIF($G$23:$G$95,"&gt;0",$G$23:$G$95)</f>
        <v>4000009.6500000004</v>
      </c>
      <c r="K99" s="15" t="s">
        <v>15</v>
      </c>
    </row>
    <row r="100" spans="3:8" ht="12.75">
      <c r="C100" s="15"/>
      <c r="D100" s="15"/>
      <c r="E100" s="15"/>
      <c r="F100" s="15"/>
      <c r="G100" s="15"/>
      <c r="H100" s="15"/>
    </row>
    <row r="101" spans="3:8" ht="12.75">
      <c r="C101" s="52"/>
      <c r="D101" s="52"/>
      <c r="E101" s="53"/>
      <c r="F101" s="15"/>
      <c r="G101" s="53"/>
      <c r="H101" s="15"/>
    </row>
    <row r="102" spans="3:8" ht="12.75">
      <c r="C102" s="52"/>
      <c r="D102" s="52"/>
      <c r="E102" s="53"/>
      <c r="F102" s="52"/>
      <c r="G102" s="53"/>
      <c r="H102" s="15"/>
    </row>
    <row r="103" spans="3:8" ht="12.75">
      <c r="C103" s="52"/>
      <c r="D103" s="52"/>
      <c r="E103" s="53"/>
      <c r="F103" s="52"/>
      <c r="G103" s="53"/>
      <c r="H103" s="15"/>
    </row>
    <row r="104" spans="3:8" ht="12.75">
      <c r="C104" s="52"/>
      <c r="D104" s="52"/>
      <c r="E104" s="52"/>
      <c r="F104" s="52"/>
      <c r="G104" s="52"/>
      <c r="H104" s="14"/>
    </row>
    <row r="105" spans="3:8" ht="12.75">
      <c r="C105" s="52"/>
      <c r="D105" s="52"/>
      <c r="E105" s="53"/>
      <c r="F105" s="53"/>
      <c r="G105" s="53"/>
      <c r="H105" s="14"/>
    </row>
    <row r="106" spans="3:8" ht="12.75">
      <c r="C106" s="52"/>
      <c r="D106" s="52"/>
      <c r="E106" s="52"/>
      <c r="F106" s="52"/>
      <c r="G106" s="52"/>
      <c r="H106" s="14"/>
    </row>
    <row r="107" spans="3:8" ht="12.75">
      <c r="C107" s="170"/>
      <c r="D107" s="170"/>
      <c r="E107" s="171"/>
      <c r="F107" s="70"/>
      <c r="G107" s="58"/>
      <c r="H107" s="15"/>
    </row>
    <row r="108" spans="3:8" ht="12.75">
      <c r="C108" s="170"/>
      <c r="D108" s="170"/>
      <c r="E108" s="70"/>
      <c r="F108" s="70"/>
      <c r="G108" s="70"/>
      <c r="H108" s="15"/>
    </row>
    <row r="109" spans="3:8" ht="12.75">
      <c r="C109" s="170"/>
      <c r="D109" s="170"/>
      <c r="E109" s="70"/>
      <c r="F109" s="70"/>
      <c r="G109" s="70"/>
      <c r="H109" s="15"/>
    </row>
    <row r="110" spans="3:8" ht="12.75">
      <c r="C110" s="172"/>
      <c r="D110" s="170"/>
      <c r="E110" s="70"/>
      <c r="F110" s="70"/>
      <c r="G110" s="70"/>
      <c r="H110" s="15"/>
    </row>
    <row r="111" spans="3:8" ht="12.75">
      <c r="C111" s="172"/>
      <c r="D111" s="170"/>
      <c r="E111" s="70"/>
      <c r="F111" s="70"/>
      <c r="G111" s="70"/>
      <c r="H111" s="15"/>
    </row>
    <row r="112" spans="3:8" ht="12.75">
      <c r="C112" s="173"/>
      <c r="D112" s="170"/>
      <c r="E112" s="70"/>
      <c r="F112" s="70"/>
      <c r="G112" s="70"/>
      <c r="H112" s="15"/>
    </row>
    <row r="113" spans="3:8" ht="12.75">
      <c r="C113" s="170"/>
      <c r="D113" s="170"/>
      <c r="E113" s="70"/>
      <c r="F113" s="70"/>
      <c r="G113" s="70"/>
      <c r="H113" s="15"/>
    </row>
    <row r="114" spans="3:8" ht="12.75">
      <c r="C114" s="170"/>
      <c r="D114" s="170"/>
      <c r="E114" s="70"/>
      <c r="F114" s="70"/>
      <c r="G114" s="70"/>
      <c r="H114" s="15"/>
    </row>
    <row r="115" spans="3:8" ht="12.75">
      <c r="C115" s="170"/>
      <c r="D115" s="170"/>
      <c r="E115" s="70"/>
      <c r="F115" s="70"/>
      <c r="G115" s="70"/>
      <c r="H115" s="15"/>
    </row>
    <row r="116" spans="3:8" ht="12.75">
      <c r="C116" s="170"/>
      <c r="D116" s="170"/>
      <c r="E116" s="70"/>
      <c r="F116" s="70"/>
      <c r="G116" s="70"/>
      <c r="H116" s="15"/>
    </row>
    <row r="117" spans="3:8" ht="12.75">
      <c r="C117" s="170"/>
      <c r="D117" s="170"/>
      <c r="E117" s="70"/>
      <c r="F117" s="70"/>
      <c r="G117" s="70"/>
      <c r="H117" s="15"/>
    </row>
    <row r="118" spans="3:8" ht="12.75">
      <c r="C118" s="170"/>
      <c r="D118" s="170"/>
      <c r="E118" s="70"/>
      <c r="F118" s="70"/>
      <c r="G118" s="70"/>
      <c r="H118" s="15"/>
    </row>
    <row r="119" spans="3:8" ht="4.9" customHeight="1">
      <c r="C119" s="14"/>
      <c r="D119" s="14"/>
      <c r="E119" s="33"/>
      <c r="F119" s="33"/>
      <c r="G119" s="33"/>
      <c r="H119" s="15"/>
    </row>
    <row r="120" spans="3:8" ht="12.75">
      <c r="C120" s="15"/>
      <c r="D120" s="15"/>
      <c r="E120" s="15"/>
      <c r="F120" s="15"/>
      <c r="G120" s="1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F38F07-69B1-41DC-AB36-D237C89378EA}">
  <sheetPr>
    <pageSetUpPr fitToPage="1"/>
  </sheetPr>
  <dimension ref="B4:O124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48.285714285714285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+'EFM II'!E8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12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9" ht="12.75">
      <c r="C13" s="163"/>
      <c r="D13" s="163"/>
      <c r="E13" s="167"/>
      <c r="F13" s="163"/>
      <c r="G13" s="57"/>
      <c r="H13" s="8"/>
      <c r="I13" s="12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12"/>
    </row>
    <row r="18" spans="3:9" ht="12.75" customHeight="1">
      <c r="C18" s="18" t="s">
        <v>8</v>
      </c>
      <c r="D18" s="18"/>
      <c r="E18" s="8">
        <f>G98</f>
        <v>0.257068556547165</v>
      </c>
      <c r="F18" s="18"/>
      <c r="G18" s="28"/>
      <c r="H18" s="8"/>
      <c r="I18" s="12"/>
    </row>
    <row r="19" spans="3:8" ht="12.75">
      <c r="C19" s="18" t="s">
        <v>10</v>
      </c>
      <c r="D19" s="18"/>
      <c r="E19" s="34">
        <f>-(G96+J99)/(J98)</f>
        <v>1.6161490500520224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128">
        <v>0.012345679</v>
      </c>
      <c r="D22" s="15"/>
      <c r="E22" s="15"/>
      <c r="F22" s="15"/>
      <c r="G22" s="23"/>
      <c r="H22" s="15"/>
      <c r="I22" s="15"/>
      <c r="J22" s="15"/>
    </row>
    <row r="23" spans="3:10" ht="12.75">
      <c r="C23" s="15" t="s">
        <v>88</v>
      </c>
      <c r="D23" s="15"/>
      <c r="E23" s="21">
        <v>41089</v>
      </c>
      <c r="F23" s="24"/>
      <c r="G23" s="130">
        <v>-7500</v>
      </c>
      <c r="H23" s="15"/>
      <c r="I23" s="25"/>
      <c r="J23" s="25"/>
    </row>
    <row r="24" spans="3:10" ht="12.75">
      <c r="C24" s="15"/>
      <c r="D24" s="15"/>
      <c r="E24" s="21">
        <v>41166</v>
      </c>
      <c r="F24" s="24"/>
      <c r="G24" s="130">
        <v>-9408</v>
      </c>
      <c r="H24" s="15"/>
      <c r="I24" s="25"/>
      <c r="J24" s="25"/>
    </row>
    <row r="25" spans="3:10" ht="12.75">
      <c r="C25" s="15"/>
      <c r="D25" s="15"/>
      <c r="E25" s="21">
        <v>41270</v>
      </c>
      <c r="F25" s="24"/>
      <c r="G25" s="130">
        <v>-27328</v>
      </c>
      <c r="H25" s="15"/>
      <c r="I25" s="25"/>
      <c r="J25" s="25"/>
    </row>
    <row r="26" spans="3:10" ht="12.75">
      <c r="C26" s="15" t="s">
        <v>90</v>
      </c>
      <c r="D26" s="15"/>
      <c r="E26" s="21">
        <v>41311</v>
      </c>
      <c r="F26" s="24"/>
      <c r="G26" s="130">
        <v>-9744</v>
      </c>
      <c r="H26" s="15"/>
      <c r="I26" s="25"/>
      <c r="J26" s="25"/>
    </row>
    <row r="27" spans="3:10" ht="12.75">
      <c r="C27" s="15"/>
      <c r="D27" s="15"/>
      <c r="E27" s="21">
        <v>41341</v>
      </c>
      <c r="F27" s="24"/>
      <c r="G27" s="130">
        <v>-14000</v>
      </c>
      <c r="H27" s="15"/>
      <c r="I27" s="25"/>
      <c r="J27" s="25"/>
    </row>
    <row r="28" spans="3:10" ht="12.75">
      <c r="C28" s="15"/>
      <c r="D28" s="15"/>
      <c r="E28" s="21">
        <v>41361</v>
      </c>
      <c r="F28" s="24"/>
      <c r="G28" s="130">
        <v>-6272</v>
      </c>
      <c r="H28" s="15"/>
      <c r="I28" s="25"/>
      <c r="J28" s="25"/>
    </row>
    <row r="29" spans="3:10" ht="12.75">
      <c r="C29" s="15"/>
      <c r="D29" s="15"/>
      <c r="E29" s="21">
        <v>41387</v>
      </c>
      <c r="F29" s="24"/>
      <c r="G29" s="130">
        <v>-13664</v>
      </c>
      <c r="H29" s="15"/>
      <c r="I29" s="25"/>
      <c r="J29" s="25"/>
    </row>
    <row r="30" spans="3:10" ht="12.75">
      <c r="C30" s="15"/>
      <c r="D30" s="15"/>
      <c r="E30" s="21">
        <v>41408</v>
      </c>
      <c r="F30" s="24"/>
      <c r="G30" s="130">
        <v>-5880</v>
      </c>
      <c r="H30" s="15"/>
      <c r="I30" s="25"/>
      <c r="J30" s="25"/>
    </row>
    <row r="31" spans="3:10" ht="12.75">
      <c r="C31" s="15"/>
      <c r="D31" s="15"/>
      <c r="E31" s="21">
        <v>41439</v>
      </c>
      <c r="F31" s="24"/>
      <c r="G31" s="130">
        <v>-13608</v>
      </c>
      <c r="H31" s="15"/>
      <c r="I31" s="25"/>
      <c r="J31" s="25"/>
    </row>
    <row r="32" spans="3:9" ht="12.75">
      <c r="C32" s="15"/>
      <c r="D32" s="15"/>
      <c r="E32" s="21">
        <v>41479</v>
      </c>
      <c r="F32" s="24"/>
      <c r="G32" s="130">
        <v>-15064</v>
      </c>
      <c r="H32" s="15"/>
      <c r="I32" s="25"/>
    </row>
    <row r="33" spans="3:9" ht="12.75">
      <c r="C33" s="15"/>
      <c r="D33" s="15"/>
      <c r="E33" s="21">
        <v>41515</v>
      </c>
      <c r="F33" s="24"/>
      <c r="G33" s="130">
        <v>-9464</v>
      </c>
      <c r="H33" s="15"/>
      <c r="I33" s="25"/>
    </row>
    <row r="34" spans="3:9" ht="12.75">
      <c r="C34" s="15"/>
      <c r="D34" s="15"/>
      <c r="E34" s="21">
        <v>41543</v>
      </c>
      <c r="F34" s="24"/>
      <c r="G34" s="130">
        <v>-35280</v>
      </c>
      <c r="H34" s="15"/>
      <c r="I34" s="25"/>
    </row>
    <row r="35" spans="3:9" ht="12.75">
      <c r="C35" s="15"/>
      <c r="D35" s="15"/>
      <c r="E35" s="21">
        <v>41605</v>
      </c>
      <c r="F35" s="24"/>
      <c r="G35" s="130">
        <v>-8344</v>
      </c>
      <c r="H35" s="15"/>
      <c r="I35" s="25"/>
    </row>
    <row r="36" spans="3:9" ht="12.75">
      <c r="C36" s="15"/>
      <c r="D36" s="15"/>
      <c r="E36" s="21">
        <v>41638</v>
      </c>
      <c r="F36" s="24"/>
      <c r="G36" s="130">
        <v>-5992</v>
      </c>
      <c r="H36" s="15"/>
      <c r="I36" s="25"/>
    </row>
    <row r="37" spans="3:11" ht="12.75">
      <c r="C37" s="15" t="s">
        <v>92</v>
      </c>
      <c r="D37" s="15"/>
      <c r="E37" s="21">
        <v>41683</v>
      </c>
      <c r="F37" s="24"/>
      <c r="G37" s="24">
        <v>-6160</v>
      </c>
      <c r="H37" s="15"/>
      <c r="I37" s="25"/>
      <c r="J37" s="136"/>
      <c r="K37" s="126"/>
    </row>
    <row r="38" spans="3:11" ht="12.75">
      <c r="C38" s="157"/>
      <c r="D38" s="15"/>
      <c r="E38" s="21">
        <v>41701</v>
      </c>
      <c r="F38" s="24"/>
      <c r="G38" s="24">
        <v>-8960</v>
      </c>
      <c r="H38" s="15"/>
      <c r="I38" s="25"/>
      <c r="J38" s="136"/>
      <c r="K38" s="126"/>
    </row>
    <row r="39" spans="3:11" ht="12.75">
      <c r="C39" s="15"/>
      <c r="D39" s="15"/>
      <c r="E39" s="21">
        <v>41729</v>
      </c>
      <c r="F39" s="24"/>
      <c r="G39" s="24">
        <v>-11536</v>
      </c>
      <c r="H39" s="15"/>
      <c r="I39" s="25"/>
      <c r="J39" s="136"/>
      <c r="K39" s="126"/>
    </row>
    <row r="40" spans="3:11" ht="12.75">
      <c r="C40" s="15"/>
      <c r="D40" s="15"/>
      <c r="E40" s="21">
        <v>41751</v>
      </c>
      <c r="F40" s="24"/>
      <c r="G40" s="24">
        <v>-8120</v>
      </c>
      <c r="H40" s="15"/>
      <c r="I40" s="25"/>
      <c r="J40" s="136"/>
      <c r="K40" s="126"/>
    </row>
    <row r="41" spans="3:11" ht="12.75">
      <c r="C41" s="15"/>
      <c r="D41" s="15"/>
      <c r="E41" s="21">
        <v>41782</v>
      </c>
      <c r="F41" s="24"/>
      <c r="G41" s="24">
        <v>-13832</v>
      </c>
      <c r="H41" s="15"/>
      <c r="I41" s="25"/>
      <c r="J41" s="136"/>
      <c r="K41" s="126"/>
    </row>
    <row r="42" spans="3:11" ht="12.75">
      <c r="C42" s="15"/>
      <c r="D42" s="15"/>
      <c r="E42" s="21">
        <v>41808</v>
      </c>
      <c r="F42" s="24"/>
      <c r="G42" s="24">
        <v>-33208</v>
      </c>
      <c r="H42" s="15"/>
      <c r="I42" s="25"/>
      <c r="J42" s="136"/>
      <c r="K42" s="126"/>
    </row>
    <row r="43" spans="3:11" ht="12.75">
      <c r="C43" s="15"/>
      <c r="D43" s="15"/>
      <c r="E43" s="21">
        <v>41894</v>
      </c>
      <c r="F43" s="24"/>
      <c r="G43" s="24">
        <v>-6944</v>
      </c>
      <c r="H43" s="15"/>
      <c r="I43" s="25"/>
      <c r="J43" s="136"/>
      <c r="K43" s="126"/>
    </row>
    <row r="44" spans="3:11" ht="12.75">
      <c r="C44" s="15"/>
      <c r="D44" s="15"/>
      <c r="E44" s="21">
        <v>41942</v>
      </c>
      <c r="F44" s="24"/>
      <c r="G44" s="24">
        <v>-9856</v>
      </c>
      <c r="H44" s="15"/>
      <c r="I44" s="25"/>
      <c r="J44" s="136"/>
      <c r="K44" s="126"/>
    </row>
    <row r="45" spans="3:11" ht="12.75">
      <c r="C45" s="15"/>
      <c r="D45" s="15"/>
      <c r="E45" s="21">
        <v>41962</v>
      </c>
      <c r="F45" s="24"/>
      <c r="G45" s="24">
        <v>-21896</v>
      </c>
      <c r="H45" s="15"/>
      <c r="I45" s="25"/>
      <c r="J45" s="136"/>
      <c r="K45" s="126"/>
    </row>
    <row r="46" spans="3:11" ht="12.75">
      <c r="C46" s="15"/>
      <c r="D46" s="15"/>
      <c r="E46" s="21">
        <v>41975</v>
      </c>
      <c r="F46" s="24"/>
      <c r="G46" s="24">
        <v>-25760</v>
      </c>
      <c r="H46" s="15"/>
      <c r="I46" s="25"/>
      <c r="J46" s="136"/>
      <c r="K46" s="126"/>
    </row>
    <row r="47" spans="3:9" ht="12.75">
      <c r="C47" s="15" t="s">
        <v>93</v>
      </c>
      <c r="D47" s="15"/>
      <c r="E47" s="21">
        <v>41969</v>
      </c>
      <c r="F47" s="24"/>
      <c r="G47" s="24">
        <v>93993.46</v>
      </c>
      <c r="H47" s="15"/>
      <c r="I47" s="25"/>
    </row>
    <row r="48" spans="3:9" ht="12.75">
      <c r="C48" s="15" t="s">
        <v>76</v>
      </c>
      <c r="D48" s="15"/>
      <c r="E48" s="21">
        <v>42037</v>
      </c>
      <c r="F48" s="24"/>
      <c r="G48" s="24">
        <v>-21672</v>
      </c>
      <c r="H48" s="15"/>
      <c r="I48" s="25"/>
    </row>
    <row r="49" spans="3:9" ht="12.75">
      <c r="C49" s="15"/>
      <c r="D49" s="15"/>
      <c r="E49" s="21">
        <v>42094</v>
      </c>
      <c r="F49" s="24"/>
      <c r="G49" s="24">
        <v>-18816</v>
      </c>
      <c r="H49" s="15"/>
      <c r="I49" s="25"/>
    </row>
    <row r="50" spans="3:9" ht="12.75">
      <c r="C50" s="15"/>
      <c r="D50" s="15"/>
      <c r="E50" s="21">
        <v>42110</v>
      </c>
      <c r="F50" s="24"/>
      <c r="G50" s="24">
        <v>-15736</v>
      </c>
      <c r="H50" s="15"/>
      <c r="I50" s="25"/>
    </row>
    <row r="51" spans="3:9" ht="12.75">
      <c r="C51" s="15"/>
      <c r="D51" s="15"/>
      <c r="E51" s="21">
        <v>42145</v>
      </c>
      <c r="F51" s="24"/>
      <c r="G51" s="24">
        <v>-19656</v>
      </c>
      <c r="H51" s="15"/>
      <c r="I51" s="25"/>
    </row>
    <row r="52" spans="3:9" ht="12.75">
      <c r="C52" s="15"/>
      <c r="D52" s="15"/>
      <c r="E52" s="21">
        <v>42158</v>
      </c>
      <c r="F52" s="24"/>
      <c r="G52" s="24">
        <v>-56336</v>
      </c>
      <c r="H52" s="15"/>
      <c r="I52" s="25"/>
    </row>
    <row r="53" spans="3:9" ht="12.75">
      <c r="C53" s="15"/>
      <c r="D53" s="15"/>
      <c r="E53" s="21">
        <v>42261</v>
      </c>
      <c r="F53" s="24"/>
      <c r="G53" s="24">
        <v>-42391.99</v>
      </c>
      <c r="H53" s="15"/>
      <c r="I53" s="25"/>
    </row>
    <row r="54" spans="3:11" ht="12.75">
      <c r="C54" s="15"/>
      <c r="D54" s="15"/>
      <c r="E54" s="21">
        <v>42366</v>
      </c>
      <c r="F54" s="24"/>
      <c r="G54" s="24">
        <v>-10584</v>
      </c>
      <c r="H54" s="15"/>
      <c r="I54" s="25"/>
      <c r="J54" s="25"/>
      <c r="K54" s="15"/>
    </row>
    <row r="55" spans="3:11" ht="12.75">
      <c r="C55" s="15" t="s">
        <v>94</v>
      </c>
      <c r="D55" s="15"/>
      <c r="E55" s="21">
        <v>42341</v>
      </c>
      <c r="F55" s="24"/>
      <c r="G55" s="24">
        <v>15844.88</v>
      </c>
      <c r="H55" s="15"/>
      <c r="I55" s="25"/>
      <c r="J55" s="25"/>
      <c r="K55" s="15"/>
    </row>
    <row r="56" spans="3:11" ht="12.75">
      <c r="C56" s="15" t="s">
        <v>77</v>
      </c>
      <c r="D56" s="15"/>
      <c r="E56" s="21">
        <v>42397</v>
      </c>
      <c r="F56" s="24"/>
      <c r="G56" s="24">
        <v>-15288</v>
      </c>
      <c r="H56" s="15"/>
      <c r="I56" s="25"/>
      <c r="J56" s="25"/>
      <c r="K56" s="15"/>
    </row>
    <row r="57" spans="3:11" ht="12.75">
      <c r="C57" s="15"/>
      <c r="D57" s="15"/>
      <c r="E57" s="21">
        <v>42447</v>
      </c>
      <c r="F57" s="24"/>
      <c r="G57" s="24">
        <v>-19207.99</v>
      </c>
      <c r="H57" s="15"/>
      <c r="I57" s="25"/>
      <c r="J57" s="25"/>
      <c r="K57" s="15"/>
    </row>
    <row r="58" spans="3:11" ht="12.75">
      <c r="C58" s="15"/>
      <c r="D58" s="15"/>
      <c r="E58" s="21">
        <v>42494</v>
      </c>
      <c r="F58" s="24"/>
      <c r="G58" s="24">
        <v>-14952</v>
      </c>
      <c r="H58" s="15"/>
      <c r="I58" s="25"/>
      <c r="J58" s="25"/>
      <c r="K58" s="15"/>
    </row>
    <row r="59" spans="3:11" ht="12.75">
      <c r="C59" s="15"/>
      <c r="D59" s="15"/>
      <c r="E59" s="21">
        <v>42556</v>
      </c>
      <c r="F59" s="24"/>
      <c r="G59" s="24">
        <v>-13048</v>
      </c>
      <c r="H59" s="15"/>
      <c r="I59" s="25"/>
      <c r="J59" s="25"/>
      <c r="K59" s="15"/>
    </row>
    <row r="60" spans="3:11" ht="12.75">
      <c r="C60" s="15"/>
      <c r="D60" s="15"/>
      <c r="E60" s="21">
        <v>42605</v>
      </c>
      <c r="F60" s="24"/>
      <c r="G60" s="24">
        <v>-125272</v>
      </c>
      <c r="H60" s="15"/>
      <c r="I60" s="25"/>
      <c r="J60" s="25"/>
      <c r="K60" s="15"/>
    </row>
    <row r="61" spans="3:11" ht="12.75">
      <c r="C61" s="15"/>
      <c r="D61" s="15"/>
      <c r="E61" s="21">
        <v>42661</v>
      </c>
      <c r="F61" s="24"/>
      <c r="G61" s="24">
        <v>-11928</v>
      </c>
      <c r="H61" s="15"/>
      <c r="I61" s="25"/>
      <c r="J61" s="25"/>
      <c r="K61" s="15"/>
    </row>
    <row r="62" spans="3:11" ht="12.75">
      <c r="C62" s="15" t="s">
        <v>78</v>
      </c>
      <c r="D62" s="15"/>
      <c r="E62" s="21">
        <v>42381</v>
      </c>
      <c r="F62" s="24"/>
      <c r="G62" s="24">
        <v>136789.24</v>
      </c>
      <c r="H62" s="15"/>
      <c r="I62" s="25"/>
      <c r="J62" s="25"/>
      <c r="K62" s="15"/>
    </row>
    <row r="63" spans="3:12" ht="15.75">
      <c r="C63" s="15"/>
      <c r="D63" s="15"/>
      <c r="E63" s="21">
        <v>42549</v>
      </c>
      <c r="F63" s="24"/>
      <c r="G63" s="24">
        <v>17692.82</v>
      </c>
      <c r="H63" s="15"/>
      <c r="I63" s="25"/>
      <c r="J63" s="115"/>
      <c r="K63" s="116"/>
      <c r="L63" s="162"/>
    </row>
    <row r="64" spans="3:12" ht="12.75">
      <c r="C64" s="15"/>
      <c r="D64" s="15"/>
      <c r="E64" s="21">
        <v>42640</v>
      </c>
      <c r="F64" s="24"/>
      <c r="G64" s="24">
        <v>26680.06</v>
      </c>
      <c r="H64" s="15"/>
      <c r="I64" s="25"/>
      <c r="J64" s="115"/>
      <c r="K64" s="116"/>
      <c r="L64" s="57"/>
    </row>
    <row r="65" spans="3:12" ht="12.75">
      <c r="C65" s="15"/>
      <c r="D65" s="15"/>
      <c r="E65" s="21">
        <v>42654</v>
      </c>
      <c r="F65" s="24"/>
      <c r="G65" s="24">
        <v>10936.48</v>
      </c>
      <c r="H65" s="15"/>
      <c r="I65" s="25"/>
      <c r="J65" s="115"/>
      <c r="K65" s="116"/>
      <c r="L65" s="57"/>
    </row>
    <row r="66" spans="3:12" ht="12.75">
      <c r="C66" s="15" t="s">
        <v>79</v>
      </c>
      <c r="D66" s="15"/>
      <c r="E66" s="21">
        <v>42793</v>
      </c>
      <c r="F66" s="24"/>
      <c r="G66" s="24">
        <v>-11872</v>
      </c>
      <c r="H66" s="15"/>
      <c r="I66" s="25"/>
      <c r="J66" s="115"/>
      <c r="K66" s="116"/>
      <c r="L66" s="57"/>
    </row>
    <row r="67" spans="3:12" ht="12.75">
      <c r="C67" s="15"/>
      <c r="D67" s="15"/>
      <c r="E67" s="21">
        <v>42870</v>
      </c>
      <c r="F67" s="24"/>
      <c r="G67" s="24">
        <v>-11983.99</v>
      </c>
      <c r="H67" s="15"/>
      <c r="I67" s="25"/>
      <c r="J67" s="115"/>
      <c r="K67" s="116"/>
      <c r="L67" s="57"/>
    </row>
    <row r="68" spans="3:12" ht="12.75">
      <c r="C68" s="15"/>
      <c r="D68" s="15"/>
      <c r="E68" s="21">
        <v>42992</v>
      </c>
      <c r="F68" s="24"/>
      <c r="G68" s="24">
        <v>-11312</v>
      </c>
      <c r="H68" s="15"/>
      <c r="I68" s="25"/>
      <c r="J68" s="115"/>
      <c r="K68" s="116"/>
      <c r="L68" s="169"/>
    </row>
    <row r="69" spans="3:12" ht="12.75">
      <c r="C69" s="15"/>
      <c r="D69" s="15"/>
      <c r="E69" s="21">
        <v>43048</v>
      </c>
      <c r="F69" s="24"/>
      <c r="G69" s="24">
        <v>-21728</v>
      </c>
      <c r="H69" s="15"/>
      <c r="I69" s="25"/>
      <c r="J69" s="115"/>
      <c r="K69" s="116"/>
      <c r="L69" s="169"/>
    </row>
    <row r="70" spans="3:12" ht="12.75">
      <c r="C70" s="15" t="s">
        <v>80</v>
      </c>
      <c r="D70" s="15"/>
      <c r="E70" s="21">
        <v>42746</v>
      </c>
      <c r="F70" s="24"/>
      <c r="G70" s="24">
        <v>40558.48</v>
      </c>
      <c r="H70" s="15"/>
      <c r="I70" s="25"/>
      <c r="J70" s="115"/>
      <c r="K70" s="116"/>
      <c r="L70" s="169"/>
    </row>
    <row r="71" spans="3:11" ht="12.75">
      <c r="C71" s="15"/>
      <c r="D71" s="15"/>
      <c r="E71" s="21">
        <v>42802</v>
      </c>
      <c r="F71" s="24"/>
      <c r="G71" s="24">
        <v>60485.01</v>
      </c>
      <c r="H71" s="15"/>
      <c r="I71" s="25"/>
      <c r="J71" s="25"/>
      <c r="K71" s="15"/>
    </row>
    <row r="72" spans="3:11" ht="12.75">
      <c r="C72" s="15"/>
      <c r="D72" s="15"/>
      <c r="E72" s="21">
        <v>42885</v>
      </c>
      <c r="F72" s="24"/>
      <c r="G72" s="24">
        <v>22259.21</v>
      </c>
      <c r="H72" s="15"/>
      <c r="I72" s="25"/>
      <c r="J72" s="25"/>
      <c r="K72" s="15"/>
    </row>
    <row r="73" spans="3:11" ht="12.75">
      <c r="C73" s="15"/>
      <c r="D73" s="15"/>
      <c r="E73" s="21">
        <v>42913</v>
      </c>
      <c r="F73" s="24"/>
      <c r="G73" s="24">
        <v>582576.68</v>
      </c>
      <c r="H73" s="15"/>
      <c r="I73" s="25"/>
      <c r="J73" s="25"/>
      <c r="K73" s="15"/>
    </row>
    <row r="74" spans="3:11" ht="12.75">
      <c r="C74" s="15"/>
      <c r="D74" s="15"/>
      <c r="E74" s="21">
        <v>42999</v>
      </c>
      <c r="F74" s="24"/>
      <c r="G74" s="24">
        <v>39339.92</v>
      </c>
      <c r="H74" s="15"/>
      <c r="I74" s="25"/>
      <c r="J74" s="25"/>
      <c r="K74" s="15"/>
    </row>
    <row r="75" spans="3:11" ht="12.75">
      <c r="C75" s="15" t="s">
        <v>81</v>
      </c>
      <c r="D75" s="15"/>
      <c r="E75" s="21">
        <v>43132</v>
      </c>
      <c r="F75" s="24"/>
      <c r="G75" s="24">
        <v>-15008</v>
      </c>
      <c r="H75" s="15"/>
      <c r="I75" s="25"/>
      <c r="J75" s="25"/>
      <c r="K75" s="15"/>
    </row>
    <row r="76" spans="3:11" ht="12.75">
      <c r="C76" s="15"/>
      <c r="D76" s="15"/>
      <c r="E76" s="21">
        <v>43147</v>
      </c>
      <c r="F76" s="24"/>
      <c r="G76" s="24">
        <v>-33040</v>
      </c>
      <c r="H76" s="15"/>
      <c r="I76" s="25"/>
      <c r="J76" s="25"/>
      <c r="K76" s="15"/>
    </row>
    <row r="77" spans="3:11" ht="12.75">
      <c r="C77" s="15"/>
      <c r="D77" s="15"/>
      <c r="E77" s="21">
        <v>43370</v>
      </c>
      <c r="F77" s="24"/>
      <c r="G77" s="24">
        <v>-10640</v>
      </c>
      <c r="H77" s="15"/>
      <c r="I77" s="25"/>
      <c r="J77" s="25"/>
      <c r="K77" s="15"/>
    </row>
    <row r="78" spans="3:11" ht="12.75">
      <c r="C78" s="15" t="s">
        <v>82</v>
      </c>
      <c r="D78" s="15"/>
      <c r="E78" s="21">
        <v>43122</v>
      </c>
      <c r="F78" s="24"/>
      <c r="G78" s="24">
        <v>170614.91</v>
      </c>
      <c r="H78" s="15"/>
      <c r="I78" s="25"/>
      <c r="J78" s="25"/>
      <c r="K78" s="15"/>
    </row>
    <row r="79" spans="3:11" ht="12.75">
      <c r="C79" s="15"/>
      <c r="D79" s="15"/>
      <c r="E79" s="21">
        <v>43300</v>
      </c>
      <c r="F79" s="24"/>
      <c r="G79" s="24">
        <v>41585.63</v>
      </c>
      <c r="H79" s="15"/>
      <c r="I79" s="25"/>
      <c r="J79" s="25"/>
      <c r="K79" s="15"/>
    </row>
    <row r="80" spans="3:11" ht="12.75">
      <c r="C80" s="15" t="s">
        <v>83</v>
      </c>
      <c r="D80" s="15"/>
      <c r="E80" s="21">
        <v>43490</v>
      </c>
      <c r="F80" s="24"/>
      <c r="G80" s="24">
        <v>-14672</v>
      </c>
      <c r="H80" s="15"/>
      <c r="I80" s="25"/>
      <c r="J80" s="25"/>
      <c r="K80" s="15"/>
    </row>
    <row r="81" spans="3:11" ht="12.75">
      <c r="C81" s="15"/>
      <c r="D81" s="15"/>
      <c r="E81" s="21">
        <v>43517</v>
      </c>
      <c r="F81" s="24"/>
      <c r="G81" s="24">
        <v>-16632</v>
      </c>
      <c r="H81" s="15"/>
      <c r="I81" s="25"/>
      <c r="J81" s="25"/>
      <c r="K81" s="15"/>
    </row>
    <row r="82" spans="3:11" ht="12.75">
      <c r="C82" s="15"/>
      <c r="D82" s="15"/>
      <c r="E82" s="21">
        <v>43560</v>
      </c>
      <c r="F82" s="24"/>
      <c r="G82" s="24">
        <v>-45416</v>
      </c>
      <c r="H82" s="15"/>
      <c r="I82" s="25"/>
      <c r="J82" s="25"/>
      <c r="K82" s="15"/>
    </row>
    <row r="83" spans="3:11" ht="12.75">
      <c r="C83" s="15"/>
      <c r="D83" s="15"/>
      <c r="E83" s="21">
        <v>43623</v>
      </c>
      <c r="F83" s="24"/>
      <c r="G83" s="24">
        <v>-11760</v>
      </c>
      <c r="H83" s="15"/>
      <c r="I83" s="25"/>
      <c r="J83" s="25"/>
      <c r="K83" s="15"/>
    </row>
    <row r="84" spans="3:11" ht="12.75">
      <c r="C84" s="15"/>
      <c r="D84" s="15"/>
      <c r="E84" s="21">
        <v>43733</v>
      </c>
      <c r="F84" s="24"/>
      <c r="G84" s="24">
        <v>-11144</v>
      </c>
      <c r="H84" s="15"/>
      <c r="I84" s="25"/>
      <c r="J84" s="25"/>
      <c r="K84" s="15"/>
    </row>
    <row r="85" spans="3:11" ht="12.75">
      <c r="C85" s="15"/>
      <c r="D85" s="15"/>
      <c r="E85" s="21">
        <v>43825</v>
      </c>
      <c r="F85" s="24"/>
      <c r="G85" s="24">
        <v>-6608</v>
      </c>
      <c r="H85" s="15"/>
      <c r="I85" s="25"/>
      <c r="J85" s="25"/>
      <c r="K85" s="15"/>
    </row>
    <row r="86" spans="3:11" ht="12.75">
      <c r="C86" s="15" t="s">
        <v>84</v>
      </c>
      <c r="D86" s="15"/>
      <c r="E86" s="21">
        <v>43545</v>
      </c>
      <c r="F86" s="24"/>
      <c r="G86" s="24">
        <v>17572.34</v>
      </c>
      <c r="H86" s="15"/>
      <c r="I86" s="25"/>
      <c r="J86" s="25"/>
      <c r="K86" s="15"/>
    </row>
    <row r="87" spans="3:11" ht="12.75">
      <c r="C87" s="15" t="s">
        <v>16</v>
      </c>
      <c r="D87" s="15"/>
      <c r="E87" s="21">
        <v>43950</v>
      </c>
      <c r="F87" s="24"/>
      <c r="G87" s="24">
        <v>-9016</v>
      </c>
      <c r="H87" s="15"/>
      <c r="I87" s="25"/>
      <c r="J87" s="25"/>
      <c r="K87" s="15"/>
    </row>
    <row r="88" spans="3:12" ht="15.75">
      <c r="C88" s="15" t="s">
        <v>85</v>
      </c>
      <c r="D88" s="15"/>
      <c r="E88" s="21">
        <v>44084</v>
      </c>
      <c r="F88" s="24"/>
      <c r="G88" s="24">
        <v>8234.01</v>
      </c>
      <c r="H88" s="15"/>
      <c r="I88" s="25"/>
      <c r="J88" s="25"/>
      <c r="K88" s="15"/>
      <c r="L88" s="55"/>
    </row>
    <row r="89" spans="3:11" ht="12.75">
      <c r="C89" s="15"/>
      <c r="D89" s="15"/>
      <c r="E89" s="21">
        <v>44158</v>
      </c>
      <c r="F89" s="24"/>
      <c r="G89" s="24">
        <v>45614.54</v>
      </c>
      <c r="H89" s="15"/>
      <c r="I89" s="25"/>
      <c r="J89" s="25"/>
      <c r="K89" s="15"/>
    </row>
    <row r="90" spans="3:12" ht="15.75">
      <c r="C90" s="15" t="s">
        <v>41</v>
      </c>
      <c r="D90" s="15"/>
      <c r="E90" s="21">
        <v>44203</v>
      </c>
      <c r="F90" s="24"/>
      <c r="G90" s="24">
        <v>-5600</v>
      </c>
      <c r="H90" s="15"/>
      <c r="I90" s="25"/>
      <c r="J90" s="25"/>
      <c r="K90" s="15"/>
      <c r="L90" s="55"/>
    </row>
    <row r="91" spans="3:12" ht="15.75">
      <c r="C91" s="15" t="s">
        <v>71</v>
      </c>
      <c r="D91" s="15"/>
      <c r="E91" s="21">
        <v>44284</v>
      </c>
      <c r="F91" s="24"/>
      <c r="G91" s="24">
        <v>5074.89</v>
      </c>
      <c r="H91" s="15"/>
      <c r="I91" s="25"/>
      <c r="J91" s="25"/>
      <c r="K91" s="15"/>
      <c r="L91" s="55"/>
    </row>
    <row r="92" spans="3:12" ht="15.75">
      <c r="C92" s="15"/>
      <c r="D92" s="15"/>
      <c r="E92" s="21">
        <v>44546</v>
      </c>
      <c r="F92" s="24"/>
      <c r="G92" s="24">
        <v>8151.91</v>
      </c>
      <c r="H92" s="15"/>
      <c r="I92" s="25"/>
      <c r="J92" s="25"/>
      <c r="K92" s="15"/>
      <c r="L92" s="55"/>
    </row>
    <row r="93" spans="3:12" ht="15.75">
      <c r="C93" s="15" t="s">
        <v>73</v>
      </c>
      <c r="D93" s="15"/>
      <c r="E93" s="21">
        <v>44624</v>
      </c>
      <c r="F93" s="24"/>
      <c r="G93" s="24">
        <v>75156.74</v>
      </c>
      <c r="H93" s="15"/>
      <c r="I93" s="25"/>
      <c r="J93" s="25"/>
      <c r="K93" s="15"/>
      <c r="L93" s="55"/>
    </row>
    <row r="94" spans="3:12" ht="15.75">
      <c r="C94" s="15" t="s">
        <v>75</v>
      </c>
      <c r="D94" s="15"/>
      <c r="E94" s="21">
        <v>45078</v>
      </c>
      <c r="F94" s="24"/>
      <c r="G94" s="24">
        <v>9041.13</v>
      </c>
      <c r="H94" s="15"/>
      <c r="I94" s="25"/>
      <c r="J94" s="25"/>
      <c r="K94" s="15"/>
      <c r="L94" s="55"/>
    </row>
    <row r="95" spans="3:10" ht="4.5" customHeight="1">
      <c r="C95" s="15"/>
      <c r="D95" s="15"/>
      <c r="E95" s="21"/>
      <c r="F95" s="15"/>
      <c r="G95" s="24"/>
      <c r="H95" s="15"/>
      <c r="I95" s="25"/>
      <c r="J95" s="25"/>
    </row>
    <row r="96" spans="3:15" ht="12.75">
      <c r="C96" s="15" t="s">
        <v>5</v>
      </c>
      <c r="D96" s="15"/>
      <c r="E96" s="21">
        <f>+E8</f>
        <v>45107</v>
      </c>
      <c r="F96" s="15"/>
      <c r="G96" s="46">
        <f>L96*C22</f>
        <v>105749.320881905</v>
      </c>
      <c r="H96" s="15"/>
      <c r="I96" s="21"/>
      <c r="L96" s="57">
        <v>8565695</v>
      </c>
      <c r="O96" s="139"/>
    </row>
    <row r="97" spans="3:8" ht="12.75">
      <c r="C97" s="15"/>
      <c r="D97" s="15"/>
      <c r="E97" s="15"/>
      <c r="F97" s="15"/>
      <c r="G97" s="15"/>
      <c r="H97" s="15"/>
    </row>
    <row r="98" spans="3:11" ht="12.75">
      <c r="C98" s="14" t="s">
        <v>0</v>
      </c>
      <c r="G98" s="138">
        <f>+XIRR(G23:G96,E23:E96)</f>
        <v>0.257068556547165</v>
      </c>
      <c r="H98" s="15"/>
      <c r="J98" s="24">
        <f>+SUMIF($G$23:$G$95,"&lt;0",$G$23:$G$95)</f>
        <v>-949139.97</v>
      </c>
      <c r="K98" s="15" t="s">
        <v>14</v>
      </c>
    </row>
    <row r="99" spans="3:11" ht="12.75">
      <c r="C99" s="15"/>
      <c r="D99" s="15"/>
      <c r="E99" s="15"/>
      <c r="F99" s="15"/>
      <c r="G99" s="15"/>
      <c r="H99" s="15"/>
      <c r="J99" s="24">
        <f>+SUMIF($G$23:$G$95,"&gt;0",$G$23:$G$95)</f>
        <v>1428202.3399999999</v>
      </c>
      <c r="K99" s="15" t="s">
        <v>15</v>
      </c>
    </row>
    <row r="100" spans="3:8" ht="12.75">
      <c r="C100" s="15"/>
      <c r="D100" s="15"/>
      <c r="E100" s="15"/>
      <c r="F100" s="15"/>
      <c r="G100" s="15"/>
      <c r="H100" s="15"/>
    </row>
    <row r="101" spans="3:8" ht="12.75">
      <c r="C101" s="52"/>
      <c r="D101" s="52"/>
      <c r="E101" s="53"/>
      <c r="F101" s="15"/>
      <c r="G101" s="53"/>
      <c r="H101" s="15"/>
    </row>
    <row r="102" spans="3:8" ht="12.75">
      <c r="C102" s="52"/>
      <c r="D102" s="52"/>
      <c r="E102" s="53"/>
      <c r="F102" s="52"/>
      <c r="G102" s="53"/>
      <c r="H102" s="15"/>
    </row>
    <row r="103" spans="3:8" ht="12.75">
      <c r="C103" s="52"/>
      <c r="D103" s="52"/>
      <c r="E103" s="53"/>
      <c r="F103" s="52"/>
      <c r="G103" s="53"/>
      <c r="H103" s="15"/>
    </row>
    <row r="104" spans="3:8" ht="12.75">
      <c r="C104" s="52"/>
      <c r="D104" s="52"/>
      <c r="E104" s="53"/>
      <c r="F104" s="53"/>
      <c r="G104" s="53"/>
      <c r="H104" s="14"/>
    </row>
    <row r="105" spans="3:8" ht="12.75">
      <c r="C105" s="52"/>
      <c r="D105" s="52"/>
      <c r="E105" s="53"/>
      <c r="F105" s="53"/>
      <c r="G105" s="53"/>
      <c r="H105" s="14"/>
    </row>
    <row r="106" spans="3:8" ht="12.75">
      <c r="C106" s="52"/>
      <c r="D106" s="52"/>
      <c r="E106" s="52"/>
      <c r="F106" s="52"/>
      <c r="G106" s="52"/>
      <c r="H106" s="14"/>
    </row>
    <row r="107" spans="3:8" ht="12.75">
      <c r="C107" s="170"/>
      <c r="D107" s="170"/>
      <c r="E107" s="171"/>
      <c r="F107" s="70"/>
      <c r="G107" s="58"/>
      <c r="H107" s="15"/>
    </row>
    <row r="108" spans="3:8" ht="12.75">
      <c r="C108" s="170"/>
      <c r="D108" s="170"/>
      <c r="E108" s="70"/>
      <c r="F108" s="70"/>
      <c r="G108" s="70"/>
      <c r="H108" s="15"/>
    </row>
    <row r="109" spans="3:8" ht="12.75">
      <c r="C109" s="170"/>
      <c r="D109" s="170"/>
      <c r="E109" s="70"/>
      <c r="F109" s="70"/>
      <c r="G109" s="70"/>
      <c r="H109" s="15"/>
    </row>
    <row r="110" spans="3:8" ht="12.75">
      <c r="C110" s="172"/>
      <c r="D110" s="170"/>
      <c r="E110" s="70"/>
      <c r="F110" s="70"/>
      <c r="G110" s="70"/>
      <c r="H110" s="15"/>
    </row>
    <row r="111" spans="3:8" ht="12.75">
      <c r="C111" s="172"/>
      <c r="D111" s="170"/>
      <c r="E111" s="70"/>
      <c r="F111" s="70"/>
      <c r="G111" s="70"/>
      <c r="H111" s="15"/>
    </row>
    <row r="112" spans="3:8" ht="12.75">
      <c r="C112" s="173"/>
      <c r="D112" s="170"/>
      <c r="E112" s="70"/>
      <c r="F112" s="70"/>
      <c r="G112" s="70"/>
      <c r="H112" s="15"/>
    </row>
    <row r="113" spans="3:8" ht="12.75">
      <c r="C113" s="170"/>
      <c r="D113" s="170"/>
      <c r="E113" s="70"/>
      <c r="F113" s="70"/>
      <c r="G113" s="70"/>
      <c r="H113" s="15"/>
    </row>
    <row r="114" spans="3:8" ht="12.75">
      <c r="C114" s="170"/>
      <c r="D114" s="170"/>
      <c r="E114" s="70"/>
      <c r="F114" s="70"/>
      <c r="G114" s="70"/>
      <c r="H114" s="15"/>
    </row>
    <row r="115" spans="3:8" ht="12.75">
      <c r="C115" s="170"/>
      <c r="D115" s="170"/>
      <c r="E115" s="70"/>
      <c r="F115" s="70"/>
      <c r="G115" s="70"/>
      <c r="H115" s="15"/>
    </row>
    <row r="116" spans="3:8" ht="12.75">
      <c r="C116" s="170"/>
      <c r="D116" s="170"/>
      <c r="E116" s="70"/>
      <c r="F116" s="70"/>
      <c r="G116" s="70"/>
      <c r="H116" s="15"/>
    </row>
    <row r="117" spans="3:8" ht="12.75">
      <c r="C117" s="170"/>
      <c r="D117" s="170"/>
      <c r="E117" s="70"/>
      <c r="F117" s="70"/>
      <c r="G117" s="70"/>
      <c r="H117" s="15"/>
    </row>
    <row r="118" spans="3:8" ht="12.75">
      <c r="C118" s="170"/>
      <c r="D118" s="170"/>
      <c r="E118" s="70"/>
      <c r="F118" s="70"/>
      <c r="G118" s="70"/>
      <c r="H118" s="15"/>
    </row>
    <row r="119" spans="3:8" ht="4.9" customHeight="1">
      <c r="C119" s="15"/>
      <c r="D119" s="15"/>
      <c r="E119" s="15"/>
      <c r="F119" s="15"/>
      <c r="G119" s="15"/>
      <c r="H119" s="15"/>
    </row>
    <row r="120" spans="3:8" ht="12.75">
      <c r="C120" s="15"/>
      <c r="D120" s="15"/>
      <c r="E120" s="15"/>
      <c r="F120" s="15"/>
      <c r="G120" s="1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1C0815-AD29-4A33-874F-804D0402E498}">
  <sheetPr>
    <pageSetUpPr fitToPage="1"/>
  </sheetPr>
  <dimension ref="B4:O149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45107</v>
      </c>
      <c r="F8" s="32"/>
      <c r="G8" s="6"/>
      <c r="H8" s="6"/>
      <c r="I8" s="13"/>
    </row>
    <row r="9" spans="3:7" ht="15.75">
      <c r="C9" s="184"/>
      <c r="D9" s="184"/>
      <c r="E9" s="184"/>
      <c r="F9" s="184"/>
      <c r="G9" s="178"/>
    </row>
    <row r="10" spans="3:15" ht="12.75">
      <c r="C10" s="185"/>
      <c r="D10" s="185"/>
      <c r="E10" s="186"/>
      <c r="F10" s="185"/>
      <c r="G10" s="57"/>
      <c r="H10" s="7"/>
      <c r="I10" s="12"/>
      <c r="O10" s="16"/>
    </row>
    <row r="11" spans="3:9" ht="12.75">
      <c r="C11" s="185"/>
      <c r="D11" s="185"/>
      <c r="E11" s="186"/>
      <c r="F11" s="185"/>
      <c r="G11" s="186"/>
      <c r="H11" s="7"/>
      <c r="I11" s="12"/>
    </row>
    <row r="12" spans="3:9" ht="15.75">
      <c r="C12" s="187"/>
      <c r="D12" s="187"/>
      <c r="E12" s="188"/>
      <c r="F12" s="187"/>
      <c r="G12" s="188"/>
      <c r="H12" s="5"/>
      <c r="I12" s="12"/>
    </row>
    <row r="13" spans="3:15" ht="12.75">
      <c r="C13" s="185"/>
      <c r="D13" s="185"/>
      <c r="E13" s="189"/>
      <c r="F13" s="185"/>
      <c r="G13" s="57"/>
      <c r="H13" s="8"/>
      <c r="I13" s="12"/>
      <c r="O13" s="16"/>
    </row>
    <row r="14" spans="3:9" ht="12.75">
      <c r="C14" s="185"/>
      <c r="D14" s="185"/>
      <c r="E14" s="190"/>
      <c r="F14" s="185"/>
      <c r="G14" s="57"/>
      <c r="H14" s="9"/>
      <c r="I14" s="12"/>
    </row>
    <row r="15" spans="3:9" ht="12.75">
      <c r="C15" s="185"/>
      <c r="D15" s="185"/>
      <c r="E15" s="186"/>
      <c r="F15" s="185"/>
      <c r="G15" s="186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G118</f>
        <v>0.10411285758018496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-(G116+I117)/I116</f>
        <v>1.3910246632880376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22">
        <v>0.0049</v>
      </c>
      <c r="D22" s="15"/>
      <c r="E22" s="15"/>
      <c r="F22" s="15"/>
      <c r="G22" s="23"/>
      <c r="H22" s="15"/>
      <c r="I22" s="15"/>
      <c r="J22" s="15"/>
    </row>
    <row r="23" spans="3:10" ht="12.75">
      <c r="C23" s="15"/>
      <c r="D23" s="15"/>
      <c r="E23" s="21"/>
      <c r="F23" s="24"/>
      <c r="G23" s="24"/>
      <c r="H23" s="15"/>
      <c r="I23" s="25"/>
      <c r="J23" s="25"/>
    </row>
    <row r="24" spans="3:9" ht="12.75">
      <c r="C24" s="15" t="s">
        <v>92</v>
      </c>
      <c r="D24" s="15"/>
      <c r="E24" s="21">
        <v>41829</v>
      </c>
      <c r="F24" s="24"/>
      <c r="G24" s="24">
        <v>-169050</v>
      </c>
      <c r="H24" s="15"/>
      <c r="I24" s="25"/>
    </row>
    <row r="25" spans="3:9" ht="12.75">
      <c r="C25" s="15"/>
      <c r="D25" s="15"/>
      <c r="E25" s="21">
        <v>41894</v>
      </c>
      <c r="F25" s="24"/>
      <c r="G25" s="24">
        <v>-87710</v>
      </c>
      <c r="H25" s="15"/>
      <c r="I25" s="25"/>
    </row>
    <row r="26" spans="3:9" ht="12.75">
      <c r="C26" s="15"/>
      <c r="D26" s="15"/>
      <c r="E26" s="21">
        <v>41942</v>
      </c>
      <c r="F26" s="24"/>
      <c r="G26" s="24">
        <v>-46060</v>
      </c>
      <c r="H26" s="15"/>
      <c r="I26" s="25"/>
    </row>
    <row r="27" spans="3:9" ht="12.75">
      <c r="C27" s="15"/>
      <c r="D27" s="15"/>
      <c r="E27" s="21">
        <v>41999</v>
      </c>
      <c r="F27" s="24"/>
      <c r="G27" s="24">
        <v>-65660</v>
      </c>
      <c r="H27" s="15"/>
      <c r="I27" s="25"/>
    </row>
    <row r="28" spans="3:9" ht="12.75">
      <c r="C28" s="15" t="s">
        <v>76</v>
      </c>
      <c r="D28" s="15"/>
      <c r="E28" s="21">
        <v>42037</v>
      </c>
      <c r="F28" s="24"/>
      <c r="G28" s="24">
        <v>-64680</v>
      </c>
      <c r="H28" s="15"/>
      <c r="I28" s="25"/>
    </row>
    <row r="29" spans="3:9" ht="12.75">
      <c r="C29" s="15"/>
      <c r="D29" s="15"/>
      <c r="E29" s="21">
        <v>42093</v>
      </c>
      <c r="F29" s="24"/>
      <c r="G29" s="24">
        <v>-83790</v>
      </c>
      <c r="H29" s="15"/>
      <c r="I29" s="25"/>
    </row>
    <row r="30" spans="3:9" ht="12.75">
      <c r="C30" s="15"/>
      <c r="D30" s="15"/>
      <c r="E30" s="21">
        <v>42109</v>
      </c>
      <c r="F30" s="24"/>
      <c r="G30" s="24">
        <v>-62720</v>
      </c>
      <c r="H30" s="15"/>
      <c r="I30" s="25"/>
    </row>
    <row r="31" spans="3:11" ht="12.75">
      <c r="C31" s="15"/>
      <c r="D31" s="15"/>
      <c r="E31" s="21">
        <v>42144</v>
      </c>
      <c r="F31" s="24"/>
      <c r="G31" s="24">
        <v>-36750</v>
      </c>
      <c r="H31" s="15"/>
      <c r="I31" s="25"/>
      <c r="J31" s="25"/>
      <c r="K31" s="15"/>
    </row>
    <row r="32" spans="3:11" ht="12.75">
      <c r="C32" s="15"/>
      <c r="D32" s="15"/>
      <c r="E32" s="21">
        <v>42184</v>
      </c>
      <c r="F32" s="24"/>
      <c r="G32" s="24">
        <v>-56350</v>
      </c>
      <c r="H32" s="15"/>
      <c r="I32" s="25"/>
      <c r="J32" s="25"/>
      <c r="K32" s="15"/>
    </row>
    <row r="33" spans="3:15" ht="12.75">
      <c r="C33" s="15"/>
      <c r="D33" s="15"/>
      <c r="E33" s="21">
        <v>42227</v>
      </c>
      <c r="F33" s="24"/>
      <c r="G33" s="24">
        <v>-74970</v>
      </c>
      <c r="H33" s="15"/>
      <c r="I33" s="25"/>
      <c r="J33" s="25"/>
      <c r="K33" s="15"/>
      <c r="N33" s="30"/>
      <c r="O33" s="31"/>
    </row>
    <row r="34" spans="3:15" ht="12.75">
      <c r="C34" s="15"/>
      <c r="D34" s="15"/>
      <c r="E34" s="21">
        <v>42261</v>
      </c>
      <c r="F34" s="24"/>
      <c r="G34" s="24">
        <v>-98980</v>
      </c>
      <c r="H34" s="15"/>
      <c r="I34" s="25"/>
      <c r="J34" s="25"/>
      <c r="K34" s="15"/>
      <c r="N34" s="30"/>
      <c r="O34" s="31"/>
    </row>
    <row r="35" spans="3:15" ht="12.75">
      <c r="C35" s="15"/>
      <c r="D35" s="15"/>
      <c r="E35" s="21">
        <v>42368</v>
      </c>
      <c r="F35" s="24"/>
      <c r="G35" s="24">
        <v>-80850</v>
      </c>
      <c r="H35" s="15"/>
      <c r="I35" s="25"/>
      <c r="J35" s="25"/>
      <c r="K35" s="15"/>
      <c r="N35" s="30"/>
      <c r="O35" s="31"/>
    </row>
    <row r="36" spans="3:15" ht="12.75">
      <c r="C36" s="15" t="s">
        <v>77</v>
      </c>
      <c r="D36" s="15"/>
      <c r="E36" s="21">
        <v>42396</v>
      </c>
      <c r="F36" s="24"/>
      <c r="G36" s="24">
        <v>-1416590</v>
      </c>
      <c r="H36" s="15"/>
      <c r="I36" s="25"/>
      <c r="J36" s="25"/>
      <c r="K36" s="15"/>
      <c r="N36" s="30"/>
      <c r="O36" s="31"/>
    </row>
    <row r="37" spans="3:15" ht="12.75">
      <c r="C37" s="15"/>
      <c r="D37" s="15"/>
      <c r="E37" s="21">
        <v>42445</v>
      </c>
      <c r="F37" s="24"/>
      <c r="G37" s="24">
        <v>-120050</v>
      </c>
      <c r="H37" s="15"/>
      <c r="I37" s="25"/>
      <c r="J37" s="25"/>
      <c r="K37" s="15"/>
      <c r="N37" s="30"/>
      <c r="O37" s="31"/>
    </row>
    <row r="38" spans="3:15" ht="12.75">
      <c r="C38" s="15"/>
      <c r="D38" s="15"/>
      <c r="E38" s="21">
        <v>42549</v>
      </c>
      <c r="F38" s="24"/>
      <c r="G38" s="24">
        <v>-194530</v>
      </c>
      <c r="H38" s="15"/>
      <c r="I38" s="25"/>
      <c r="J38" s="25"/>
      <c r="K38" s="15"/>
      <c r="N38" s="30"/>
      <c r="O38" s="31"/>
    </row>
    <row r="39" spans="3:15" ht="12.75">
      <c r="C39" s="15"/>
      <c r="D39" s="15"/>
      <c r="E39" s="21">
        <v>42586</v>
      </c>
      <c r="F39" s="24"/>
      <c r="G39" s="24">
        <v>-149450</v>
      </c>
      <c r="H39" s="15"/>
      <c r="I39" s="25"/>
      <c r="J39" s="25"/>
      <c r="K39" s="15"/>
      <c r="N39" s="30"/>
      <c r="O39" s="31"/>
    </row>
    <row r="40" spans="3:15" ht="12.75">
      <c r="C40" s="15"/>
      <c r="D40" s="15"/>
      <c r="E40" s="21">
        <v>42607</v>
      </c>
      <c r="F40" s="24"/>
      <c r="G40" s="24">
        <v>-113190</v>
      </c>
      <c r="H40" s="15"/>
      <c r="I40" s="25"/>
      <c r="J40" s="25"/>
      <c r="K40" s="15"/>
      <c r="N40" s="30"/>
      <c r="O40" s="31"/>
    </row>
    <row r="41" spans="3:15" ht="12.75">
      <c r="C41" s="15"/>
      <c r="D41" s="15"/>
      <c r="E41" s="21">
        <v>42613</v>
      </c>
      <c r="F41" s="24"/>
      <c r="G41" s="24">
        <v>-2398550</v>
      </c>
      <c r="H41" s="15"/>
      <c r="I41" s="25"/>
      <c r="J41" s="25"/>
      <c r="K41" s="15"/>
      <c r="N41" s="30"/>
      <c r="O41" s="31"/>
    </row>
    <row r="42" spans="3:15" ht="12.75">
      <c r="C42" s="15"/>
      <c r="D42" s="15"/>
      <c r="E42" s="21">
        <v>42640</v>
      </c>
      <c r="F42" s="24"/>
      <c r="G42" s="24">
        <v>-56350</v>
      </c>
      <c r="H42" s="15"/>
      <c r="I42" s="25"/>
      <c r="J42" s="25"/>
      <c r="K42" s="15"/>
      <c r="N42" s="30"/>
      <c r="O42" s="31"/>
    </row>
    <row r="43" spans="3:15" ht="12.75">
      <c r="C43" s="15"/>
      <c r="D43" s="15"/>
      <c r="E43" s="21">
        <v>42732</v>
      </c>
      <c r="F43" s="24"/>
      <c r="G43" s="24">
        <v>-78400</v>
      </c>
      <c r="H43" s="15"/>
      <c r="I43" s="25"/>
      <c r="J43" s="25"/>
      <c r="K43" s="15"/>
      <c r="N43" s="30"/>
      <c r="O43" s="31"/>
    </row>
    <row r="44" spans="3:15" ht="12.75">
      <c r="C44" s="15" t="s">
        <v>78</v>
      </c>
      <c r="D44" s="15"/>
      <c r="E44" s="21">
        <v>42377</v>
      </c>
      <c r="F44" s="24"/>
      <c r="G44" s="24">
        <v>711402.14</v>
      </c>
      <c r="H44" s="15"/>
      <c r="I44" s="25"/>
      <c r="J44" s="25"/>
      <c r="K44" s="15"/>
      <c r="N44" s="30"/>
      <c r="O44" s="31"/>
    </row>
    <row r="45" spans="3:15" ht="12.75">
      <c r="C45" s="15"/>
      <c r="D45" s="15"/>
      <c r="E45" s="21">
        <v>42551</v>
      </c>
      <c r="F45" s="24"/>
      <c r="G45" s="24">
        <v>75179.43</v>
      </c>
      <c r="H45" s="15"/>
      <c r="I45" s="25"/>
      <c r="J45" s="25"/>
      <c r="K45" s="15"/>
      <c r="N45" s="30"/>
      <c r="O45" s="31"/>
    </row>
    <row r="46" spans="3:15" ht="12.75">
      <c r="C46" s="15"/>
      <c r="D46" s="15"/>
      <c r="E46" s="21">
        <v>42642</v>
      </c>
      <c r="F46" s="24"/>
      <c r="G46" s="24">
        <v>140484.82</v>
      </c>
      <c r="H46" s="15"/>
      <c r="I46" s="25"/>
      <c r="J46" s="25"/>
      <c r="K46" s="15"/>
      <c r="N46" s="30"/>
      <c r="O46" s="31"/>
    </row>
    <row r="47" spans="3:15" ht="12.75">
      <c r="C47" s="15"/>
      <c r="D47" s="15"/>
      <c r="E47" s="21">
        <v>42655</v>
      </c>
      <c r="F47" s="24"/>
      <c r="G47" s="24">
        <v>57417.44</v>
      </c>
      <c r="H47" s="15"/>
      <c r="I47" s="25"/>
      <c r="J47" s="25"/>
      <c r="K47" s="15"/>
      <c r="N47" s="30"/>
      <c r="O47" s="31"/>
    </row>
    <row r="48" spans="3:15" ht="15.75">
      <c r="C48" s="15" t="s">
        <v>79</v>
      </c>
      <c r="D48" s="15"/>
      <c r="E48" s="21">
        <v>42765</v>
      </c>
      <c r="F48" s="24"/>
      <c r="G48" s="24">
        <v>-258720</v>
      </c>
      <c r="H48" s="15"/>
      <c r="I48" s="25"/>
      <c r="J48" s="115"/>
      <c r="K48" s="116"/>
      <c r="L48" s="162"/>
      <c r="N48" s="30"/>
      <c r="O48" s="31"/>
    </row>
    <row r="49" spans="3:15" ht="12.75">
      <c r="C49" s="15"/>
      <c r="D49" s="15"/>
      <c r="E49" s="21">
        <v>42822</v>
      </c>
      <c r="F49" s="24"/>
      <c r="G49" s="24">
        <v>-143570</v>
      </c>
      <c r="H49" s="15"/>
      <c r="I49" s="25"/>
      <c r="J49" s="115"/>
      <c r="K49" s="116"/>
      <c r="L49" s="57"/>
      <c r="N49" s="30"/>
      <c r="O49" s="31"/>
    </row>
    <row r="50" spans="3:15" ht="12.75">
      <c r="C50" s="15"/>
      <c r="D50" s="15"/>
      <c r="E50" s="21">
        <v>42852</v>
      </c>
      <c r="F50" s="24"/>
      <c r="G50" s="24">
        <v>-149940</v>
      </c>
      <c r="H50" s="15"/>
      <c r="I50" s="25"/>
      <c r="J50" s="115"/>
      <c r="K50" s="116"/>
      <c r="L50" s="57"/>
      <c r="N50" s="30"/>
      <c r="O50" s="31"/>
    </row>
    <row r="51" spans="3:15" ht="12.75">
      <c r="C51" s="15"/>
      <c r="D51" s="15"/>
      <c r="E51" s="21">
        <v>42913</v>
      </c>
      <c r="F51" s="24"/>
      <c r="G51" s="24">
        <v>-601720</v>
      </c>
      <c r="H51" s="15"/>
      <c r="I51" s="25"/>
      <c r="J51" s="115"/>
      <c r="K51" s="116"/>
      <c r="L51" s="57"/>
      <c r="N51" s="30"/>
      <c r="O51" s="31"/>
    </row>
    <row r="52" spans="3:15" ht="12.75">
      <c r="C52" s="15"/>
      <c r="D52" s="15"/>
      <c r="E52" s="21">
        <v>42991</v>
      </c>
      <c r="F52" s="24"/>
      <c r="G52" s="24">
        <v>-264600</v>
      </c>
      <c r="H52" s="15"/>
      <c r="I52" s="25"/>
      <c r="J52" s="115"/>
      <c r="K52" s="116"/>
      <c r="L52" s="57"/>
      <c r="N52" s="30"/>
      <c r="O52" s="31"/>
    </row>
    <row r="53" spans="3:15" ht="12.75">
      <c r="C53" s="15"/>
      <c r="D53" s="15"/>
      <c r="E53" s="21">
        <v>43006</v>
      </c>
      <c r="F53" s="24"/>
      <c r="G53" s="24">
        <v>-188650</v>
      </c>
      <c r="H53" s="15"/>
      <c r="I53" s="25"/>
      <c r="J53" s="115"/>
      <c r="K53" s="116"/>
      <c r="L53" s="169"/>
      <c r="N53" s="30"/>
      <c r="O53" s="31"/>
    </row>
    <row r="54" spans="3:15" ht="12.75">
      <c r="C54" s="15"/>
      <c r="D54" s="15"/>
      <c r="E54" s="21">
        <v>43080</v>
      </c>
      <c r="F54" s="24"/>
      <c r="G54" s="24">
        <v>-94080</v>
      </c>
      <c r="H54" s="15"/>
      <c r="I54" s="25"/>
      <c r="J54" s="115"/>
      <c r="K54" s="116"/>
      <c r="L54" s="169"/>
      <c r="N54" s="30"/>
      <c r="O54" s="31"/>
    </row>
    <row r="55" spans="3:15" ht="12.75">
      <c r="C55" s="15"/>
      <c r="D55" s="15"/>
      <c r="E55" s="21">
        <v>43095</v>
      </c>
      <c r="F55" s="24"/>
      <c r="G55" s="24">
        <v>-187180</v>
      </c>
      <c r="H55" s="15"/>
      <c r="I55" s="25"/>
      <c r="J55" s="115"/>
      <c r="K55" s="116"/>
      <c r="L55" s="169"/>
      <c r="N55" s="30"/>
      <c r="O55" s="31"/>
    </row>
    <row r="56" spans="3:15" ht="12.75">
      <c r="C56" s="15" t="s">
        <v>80</v>
      </c>
      <c r="D56" s="15"/>
      <c r="E56" s="21">
        <v>42747</v>
      </c>
      <c r="F56" s="24"/>
      <c r="G56" s="24">
        <v>212932.02</v>
      </c>
      <c r="H56" s="15"/>
      <c r="I56" s="25"/>
      <c r="J56" s="25"/>
      <c r="K56" s="15"/>
      <c r="N56" s="30"/>
      <c r="O56" s="31"/>
    </row>
    <row r="57" spans="3:15" ht="12.75">
      <c r="C57" s="15" t="s">
        <v>81</v>
      </c>
      <c r="D57" s="15"/>
      <c r="E57" s="21">
        <v>43130</v>
      </c>
      <c r="F57" s="24"/>
      <c r="G57" s="24">
        <v>-1817900</v>
      </c>
      <c r="H57" s="15"/>
      <c r="I57" s="25"/>
      <c r="J57" s="25"/>
      <c r="K57" s="15"/>
      <c r="N57" s="30"/>
      <c r="O57" s="31"/>
    </row>
    <row r="58" spans="3:15" ht="12.75">
      <c r="C58" s="15"/>
      <c r="D58" s="15"/>
      <c r="E58" s="21">
        <v>43143</v>
      </c>
      <c r="F58" s="24"/>
      <c r="G58" s="24">
        <v>503401.50</v>
      </c>
      <c r="H58" s="15"/>
      <c r="I58" s="25"/>
      <c r="J58" s="25"/>
      <c r="K58" s="15"/>
      <c r="N58" s="30"/>
      <c r="O58" s="31"/>
    </row>
    <row r="59" spans="3:15" ht="12.75">
      <c r="C59" s="15"/>
      <c r="D59" s="15"/>
      <c r="E59" s="21">
        <v>43173</v>
      </c>
      <c r="F59" s="24"/>
      <c r="G59" s="24">
        <v>-137200</v>
      </c>
      <c r="H59" s="15"/>
      <c r="I59" s="25"/>
      <c r="J59" s="25"/>
      <c r="K59" s="15"/>
      <c r="N59" s="30"/>
      <c r="O59" s="31"/>
    </row>
    <row r="60" spans="3:15" ht="12.75">
      <c r="C60" s="15"/>
      <c r="D60" s="15"/>
      <c r="E60" s="21">
        <v>43216</v>
      </c>
      <c r="F60" s="24"/>
      <c r="G60" s="24">
        <v>-245000</v>
      </c>
      <c r="H60" s="15"/>
      <c r="I60" s="25"/>
      <c r="J60" s="25"/>
      <c r="K60" s="15"/>
      <c r="N60" s="30"/>
      <c r="O60" s="31"/>
    </row>
    <row r="61" spans="3:15" ht="12.75">
      <c r="C61" s="15"/>
      <c r="D61" s="15"/>
      <c r="E61" s="21">
        <v>43265</v>
      </c>
      <c r="F61" s="24"/>
      <c r="G61" s="24">
        <v>-140139.99</v>
      </c>
      <c r="H61" s="15"/>
      <c r="I61" s="25"/>
      <c r="J61" s="25"/>
      <c r="K61" s="15"/>
      <c r="N61" s="30"/>
      <c r="O61" s="31"/>
    </row>
    <row r="62" spans="3:15" ht="12.75">
      <c r="C62" s="15"/>
      <c r="D62" s="15"/>
      <c r="E62" s="21">
        <v>43292</v>
      </c>
      <c r="F62" s="24"/>
      <c r="G62" s="24">
        <v>-245000</v>
      </c>
      <c r="H62" s="15"/>
      <c r="I62" s="25"/>
      <c r="J62" s="25"/>
      <c r="K62" s="15"/>
      <c r="N62" s="30"/>
      <c r="O62" s="31"/>
    </row>
    <row r="63" spans="3:15" ht="12.75">
      <c r="C63" s="15"/>
      <c r="D63" s="15"/>
      <c r="E63" s="21">
        <v>43328</v>
      </c>
      <c r="F63" s="24"/>
      <c r="G63" s="24">
        <v>-890819.99</v>
      </c>
      <c r="H63" s="15"/>
      <c r="I63" s="25"/>
      <c r="J63" s="25"/>
      <c r="K63" s="15"/>
      <c r="N63" s="30"/>
      <c r="O63" s="31"/>
    </row>
    <row r="64" spans="3:15" ht="12.75">
      <c r="C64" s="15"/>
      <c r="D64" s="15"/>
      <c r="E64" s="21">
        <v>43360</v>
      </c>
      <c r="F64" s="24"/>
      <c r="G64" s="24">
        <v>-135240</v>
      </c>
      <c r="H64" s="15"/>
      <c r="I64" s="25"/>
      <c r="J64" s="25"/>
      <c r="K64" s="15"/>
      <c r="N64" s="30"/>
      <c r="O64" s="31"/>
    </row>
    <row r="65" spans="3:15" ht="12.75">
      <c r="C65" s="15"/>
      <c r="D65" s="15"/>
      <c r="E65" s="21">
        <v>43369</v>
      </c>
      <c r="F65" s="24"/>
      <c r="G65" s="24">
        <v>-2935590</v>
      </c>
      <c r="H65" s="15"/>
      <c r="I65" s="25"/>
      <c r="J65" s="25"/>
      <c r="K65" s="15"/>
      <c r="N65" s="30"/>
      <c r="O65" s="31"/>
    </row>
    <row r="66" spans="3:15" ht="12.75">
      <c r="C66" s="15"/>
      <c r="D66" s="15"/>
      <c r="E66" s="21">
        <v>43389</v>
      </c>
      <c r="F66" s="24"/>
      <c r="G66" s="24">
        <v>196000.01</v>
      </c>
      <c r="H66" s="15"/>
      <c r="I66" s="25"/>
      <c r="J66" s="25"/>
      <c r="K66" s="15"/>
      <c r="N66" s="30"/>
      <c r="O66" s="31"/>
    </row>
    <row r="67" spans="3:15" ht="12.75">
      <c r="C67" s="15"/>
      <c r="D67" s="15"/>
      <c r="E67" s="21">
        <v>43445</v>
      </c>
      <c r="F67" s="24"/>
      <c r="G67" s="24">
        <v>-468930</v>
      </c>
      <c r="H67" s="15"/>
      <c r="I67" s="25"/>
      <c r="J67" s="25"/>
      <c r="K67" s="15"/>
      <c r="N67" s="30"/>
      <c r="O67" s="31"/>
    </row>
    <row r="68" spans="3:15" ht="12.75">
      <c r="C68" s="15" t="s">
        <v>82</v>
      </c>
      <c r="D68" s="15"/>
      <c r="E68" s="21">
        <v>43111</v>
      </c>
      <c r="F68" s="24"/>
      <c r="G68" s="24">
        <v>203913.13</v>
      </c>
      <c r="H68" s="15"/>
      <c r="I68" s="25"/>
      <c r="J68" s="25"/>
      <c r="K68" s="15"/>
      <c r="N68" s="30"/>
      <c r="O68" s="31"/>
    </row>
    <row r="69" spans="3:15" ht="12.75">
      <c r="C69" s="15"/>
      <c r="D69" s="15"/>
      <c r="E69" s="21">
        <v>43153</v>
      </c>
      <c r="F69" s="24"/>
      <c r="G69" s="24">
        <v>4714276.18</v>
      </c>
      <c r="H69" s="15"/>
      <c r="I69" s="25"/>
      <c r="J69" s="25"/>
      <c r="K69" s="15"/>
      <c r="N69" s="30"/>
      <c r="O69" s="31"/>
    </row>
    <row r="70" spans="3:15" ht="12.75">
      <c r="C70" s="15"/>
      <c r="D70" s="15"/>
      <c r="E70" s="21">
        <v>43446</v>
      </c>
      <c r="F70" s="24"/>
      <c r="G70" s="24">
        <v>225200.29</v>
      </c>
      <c r="H70" s="15"/>
      <c r="I70" s="25"/>
      <c r="J70" s="25"/>
      <c r="K70" s="15"/>
      <c r="N70" s="30"/>
      <c r="O70" s="31"/>
    </row>
    <row r="71" spans="3:15" ht="12.75">
      <c r="C71" s="15" t="s">
        <v>83</v>
      </c>
      <c r="D71" s="15"/>
      <c r="E71" s="21">
        <v>43522</v>
      </c>
      <c r="F71" s="24"/>
      <c r="G71" s="24">
        <v>-790860</v>
      </c>
      <c r="H71" s="15"/>
      <c r="I71" s="25"/>
      <c r="J71" s="25"/>
      <c r="K71" s="15"/>
      <c r="N71" s="30"/>
      <c r="O71" s="31"/>
    </row>
    <row r="72" spans="3:15" ht="12.75">
      <c r="C72" s="15"/>
      <c r="D72" s="15"/>
      <c r="E72" s="21">
        <v>43563</v>
      </c>
      <c r="F72" s="24"/>
      <c r="G72" s="24">
        <v>-397390</v>
      </c>
      <c r="H72" s="15"/>
      <c r="I72" s="25"/>
      <c r="J72" s="25"/>
      <c r="K72" s="15"/>
      <c r="N72" s="30"/>
      <c r="O72" s="31"/>
    </row>
    <row r="73" spans="3:15" ht="12.75">
      <c r="C73" s="15"/>
      <c r="D73" s="15"/>
      <c r="E73" s="21">
        <v>43600</v>
      </c>
      <c r="F73" s="24"/>
      <c r="G73" s="24">
        <v>-242550</v>
      </c>
      <c r="H73" s="15"/>
      <c r="I73" s="25"/>
      <c r="J73" s="25"/>
      <c r="K73" s="15"/>
      <c r="N73" s="30"/>
      <c r="O73" s="31"/>
    </row>
    <row r="74" spans="3:15" ht="12.75">
      <c r="C74" s="15"/>
      <c r="D74" s="15"/>
      <c r="E74" s="21">
        <v>43643</v>
      </c>
      <c r="F74" s="24"/>
      <c r="G74" s="24">
        <v>-137690</v>
      </c>
      <c r="H74" s="15"/>
      <c r="I74" s="25"/>
      <c r="J74" s="25"/>
      <c r="K74" s="15"/>
      <c r="N74" s="30"/>
      <c r="O74" s="31"/>
    </row>
    <row r="75" spans="3:15" ht="12.75">
      <c r="C75" s="15"/>
      <c r="D75" s="15"/>
      <c r="E75" s="21">
        <v>43655</v>
      </c>
      <c r="F75" s="24"/>
      <c r="G75" s="24">
        <v>-215600</v>
      </c>
      <c r="H75" s="15"/>
      <c r="I75" s="25"/>
      <c r="J75" s="25"/>
      <c r="K75" s="15"/>
      <c r="N75" s="30"/>
      <c r="O75" s="31"/>
    </row>
    <row r="76" spans="3:15" ht="12.75">
      <c r="C76" s="15"/>
      <c r="D76" s="15"/>
      <c r="E76" s="21">
        <v>43685</v>
      </c>
      <c r="F76" s="24"/>
      <c r="G76" s="24">
        <v>-242060</v>
      </c>
      <c r="H76" s="15"/>
      <c r="I76" s="25"/>
      <c r="J76" s="25"/>
      <c r="K76" s="15"/>
      <c r="N76" s="30"/>
      <c r="O76" s="31"/>
    </row>
    <row r="77" spans="3:15" ht="12.75">
      <c r="C77" s="15"/>
      <c r="D77" s="15"/>
      <c r="E77" s="21">
        <v>43697</v>
      </c>
      <c r="F77" s="24"/>
      <c r="G77" s="24">
        <v>-72765</v>
      </c>
      <c r="H77" s="15"/>
      <c r="I77" s="25"/>
      <c r="J77" s="25"/>
      <c r="K77" s="15"/>
      <c r="N77" s="30"/>
      <c r="O77" s="31"/>
    </row>
    <row r="78" spans="3:15" ht="12.75">
      <c r="C78" s="15"/>
      <c r="D78" s="15"/>
      <c r="E78" s="21">
        <v>43727</v>
      </c>
      <c r="F78" s="24"/>
      <c r="G78" s="24">
        <v>-200900</v>
      </c>
      <c r="H78" s="15"/>
      <c r="I78" s="25"/>
      <c r="J78" s="25"/>
      <c r="K78" s="15"/>
      <c r="N78" s="30"/>
      <c r="O78" s="31"/>
    </row>
    <row r="79" spans="3:15" ht="12.75">
      <c r="C79" s="15"/>
      <c r="D79" s="15"/>
      <c r="E79" s="21">
        <v>43756</v>
      </c>
      <c r="F79" s="24"/>
      <c r="G79" s="24">
        <v>-108780</v>
      </c>
      <c r="H79" s="15"/>
      <c r="I79" s="25"/>
      <c r="J79" s="25"/>
      <c r="K79" s="15"/>
      <c r="N79" s="30"/>
      <c r="O79" s="31"/>
    </row>
    <row r="80" spans="3:15" ht="12.75">
      <c r="C80" s="15"/>
      <c r="D80" s="15"/>
      <c r="E80" s="21">
        <v>43783</v>
      </c>
      <c r="F80" s="24"/>
      <c r="G80" s="24">
        <v>-121275</v>
      </c>
      <c r="H80" s="15"/>
      <c r="I80" s="25"/>
      <c r="J80" s="25"/>
      <c r="K80" s="15"/>
      <c r="N80" s="30"/>
      <c r="O80" s="31"/>
    </row>
    <row r="81" spans="3:15" ht="12.75">
      <c r="C81" s="15"/>
      <c r="D81" s="15"/>
      <c r="E81" s="21">
        <v>43795</v>
      </c>
      <c r="F81" s="24"/>
      <c r="G81" s="24">
        <v>-297920</v>
      </c>
      <c r="H81" s="15"/>
      <c r="I81" s="25"/>
      <c r="J81" s="25"/>
      <c r="K81" s="15"/>
      <c r="N81" s="30"/>
      <c r="O81" s="31"/>
    </row>
    <row r="82" spans="3:15" ht="12.75">
      <c r="C82" s="15"/>
      <c r="D82" s="15"/>
      <c r="E82" s="21">
        <v>43830</v>
      </c>
      <c r="F82" s="24"/>
      <c r="G82" s="24">
        <v>-85260</v>
      </c>
      <c r="H82" s="15"/>
      <c r="I82" s="25"/>
      <c r="J82" s="25"/>
      <c r="K82" s="15"/>
      <c r="N82" s="30"/>
      <c r="O82" s="31"/>
    </row>
    <row r="83" spans="3:15" ht="12.75">
      <c r="C83" s="15" t="s">
        <v>84</v>
      </c>
      <c r="D83" s="15"/>
      <c r="E83" s="21">
        <v>43620</v>
      </c>
      <c r="F83" s="24"/>
      <c r="G83" s="24">
        <v>91335.19</v>
      </c>
      <c r="H83" s="15"/>
      <c r="I83" s="25"/>
      <c r="J83" s="25"/>
      <c r="K83" s="15"/>
      <c r="N83" s="30"/>
      <c r="O83" s="31"/>
    </row>
    <row r="84" spans="3:15" ht="12.75">
      <c r="C84" s="15"/>
      <c r="D84" s="15"/>
      <c r="E84" s="21">
        <v>43669</v>
      </c>
      <c r="F84" s="24"/>
      <c r="G84" s="24">
        <v>354698.98</v>
      </c>
      <c r="H84" s="15"/>
      <c r="I84" s="25"/>
      <c r="J84" s="25"/>
      <c r="K84" s="15"/>
      <c r="N84" s="30"/>
      <c r="O84" s="31"/>
    </row>
    <row r="85" spans="3:15" ht="12.75">
      <c r="C85" s="15"/>
      <c r="D85" s="15"/>
      <c r="E85" s="21">
        <v>43717</v>
      </c>
      <c r="F85" s="24"/>
      <c r="G85" s="24">
        <v>120815.60</v>
      </c>
      <c r="H85" s="15"/>
      <c r="I85" s="25"/>
      <c r="J85" s="25"/>
      <c r="K85" s="15"/>
      <c r="N85" s="30"/>
      <c r="O85" s="31"/>
    </row>
    <row r="86" spans="3:15" ht="12.75">
      <c r="C86" s="15" t="s">
        <v>16</v>
      </c>
      <c r="D86" s="15"/>
      <c r="E86" s="21">
        <v>43858</v>
      </c>
      <c r="F86" s="24"/>
      <c r="G86" s="24">
        <v>-129850</v>
      </c>
      <c r="H86" s="15"/>
      <c r="I86" s="25"/>
      <c r="J86" s="25"/>
      <c r="K86" s="15"/>
      <c r="N86" s="30"/>
      <c r="O86" s="31"/>
    </row>
    <row r="87" spans="3:15" ht="12.75">
      <c r="C87" s="15"/>
      <c r="D87" s="15"/>
      <c r="E87" s="21">
        <v>43860</v>
      </c>
      <c r="F87" s="24"/>
      <c r="G87" s="24">
        <v>-146020</v>
      </c>
      <c r="H87" s="15"/>
      <c r="I87" s="25"/>
      <c r="J87" s="25"/>
      <c r="K87" s="15"/>
      <c r="N87" s="30"/>
      <c r="O87" s="31"/>
    </row>
    <row r="88" spans="3:15" ht="12.75">
      <c r="C88" s="15"/>
      <c r="D88" s="15"/>
      <c r="E88" s="21">
        <v>43915</v>
      </c>
      <c r="F88" s="24"/>
      <c r="G88" s="24">
        <v>-138180</v>
      </c>
      <c r="H88" s="15"/>
      <c r="I88" s="25"/>
      <c r="J88" s="25"/>
      <c r="K88" s="15"/>
      <c r="N88" s="30"/>
      <c r="O88" s="31"/>
    </row>
    <row r="89" spans="3:15" ht="12.75">
      <c r="C89" s="15"/>
      <c r="D89" s="15"/>
      <c r="E89" s="21">
        <v>43917</v>
      </c>
      <c r="F89" s="24"/>
      <c r="G89" s="24">
        <v>-33957</v>
      </c>
      <c r="H89" s="15"/>
      <c r="I89" s="25"/>
      <c r="J89" s="25"/>
      <c r="K89" s="15"/>
      <c r="N89" s="30"/>
      <c r="O89" s="31"/>
    </row>
    <row r="90" spans="3:15" ht="12.75">
      <c r="C90" s="15"/>
      <c r="D90" s="15"/>
      <c r="E90" s="21">
        <v>43980</v>
      </c>
      <c r="F90" s="24"/>
      <c r="G90" s="24">
        <v>-143570</v>
      </c>
      <c r="H90" s="15"/>
      <c r="I90" s="25"/>
      <c r="J90" s="25"/>
      <c r="K90" s="15"/>
      <c r="N90" s="30"/>
      <c r="O90" s="31"/>
    </row>
    <row r="91" spans="3:15" ht="12.75">
      <c r="C91" s="15"/>
      <c r="D91" s="15"/>
      <c r="E91" s="21">
        <v>43999</v>
      </c>
      <c r="F91" s="24"/>
      <c r="G91" s="24">
        <v>-196000</v>
      </c>
      <c r="H91" s="15"/>
      <c r="I91" s="25"/>
      <c r="J91" s="25"/>
      <c r="K91" s="15"/>
      <c r="N91" s="30"/>
      <c r="O91" s="31"/>
    </row>
    <row r="92" spans="3:15" ht="12.75">
      <c r="C92" s="15"/>
      <c r="D92" s="15"/>
      <c r="E92" s="21">
        <v>44047</v>
      </c>
      <c r="F92" s="24"/>
      <c r="G92" s="24">
        <v>-15863.29</v>
      </c>
      <c r="H92" s="15"/>
      <c r="I92" s="25"/>
      <c r="J92" s="25"/>
      <c r="K92" s="15"/>
      <c r="N92" s="30"/>
      <c r="O92" s="31"/>
    </row>
    <row r="93" spans="3:15" ht="12.75">
      <c r="C93" s="15" t="s">
        <v>85</v>
      </c>
      <c r="D93" s="15"/>
      <c r="E93" s="21">
        <v>43888</v>
      </c>
      <c r="F93" s="24"/>
      <c r="G93" s="24">
        <v>455928.93</v>
      </c>
      <c r="H93" s="15"/>
      <c r="I93" s="25"/>
      <c r="J93" s="25"/>
      <c r="K93" s="15"/>
      <c r="N93" s="30"/>
      <c r="O93" s="31"/>
    </row>
    <row r="94" spans="3:15" ht="12.75" customHeight="1">
      <c r="C94" s="15"/>
      <c r="D94" s="15"/>
      <c r="E94" s="21">
        <v>44089</v>
      </c>
      <c r="F94" s="24"/>
      <c r="G94" s="24">
        <v>67815.69</v>
      </c>
      <c r="H94" s="15"/>
      <c r="I94" s="25"/>
      <c r="J94" s="25"/>
      <c r="K94" s="15"/>
      <c r="N94" s="30"/>
      <c r="O94" s="31"/>
    </row>
    <row r="95" spans="3:15" ht="12.75" customHeight="1">
      <c r="C95" s="15" t="s">
        <v>41</v>
      </c>
      <c r="D95" s="15"/>
      <c r="E95" s="21">
        <v>44202</v>
      </c>
      <c r="F95" s="24"/>
      <c r="G95" s="24">
        <v>-95550</v>
      </c>
      <c r="H95" s="15"/>
      <c r="I95" s="25"/>
      <c r="J95" s="25"/>
      <c r="K95" s="15"/>
      <c r="L95" s="55"/>
      <c r="N95" s="30"/>
      <c r="O95" s="31"/>
    </row>
    <row r="96" spans="3:15" ht="12.75" customHeight="1">
      <c r="C96" s="15"/>
      <c r="D96" s="15"/>
      <c r="E96" s="21">
        <v>44377</v>
      </c>
      <c r="F96" s="24"/>
      <c r="G96" s="24">
        <v>-46060</v>
      </c>
      <c r="H96" s="15"/>
      <c r="I96" s="25"/>
      <c r="J96" s="25"/>
      <c r="K96" s="15"/>
      <c r="L96" s="55"/>
      <c r="N96" s="30"/>
      <c r="O96" s="31"/>
    </row>
    <row r="97" spans="3:15" ht="12.75" customHeight="1">
      <c r="C97" s="15"/>
      <c r="D97" s="15"/>
      <c r="E97" s="21">
        <v>44469</v>
      </c>
      <c r="F97" s="24"/>
      <c r="G97" s="24">
        <v>-45570</v>
      </c>
      <c r="H97" s="15"/>
      <c r="I97" s="25"/>
      <c r="J97" s="25"/>
      <c r="K97" s="15"/>
      <c r="L97" s="55"/>
      <c r="N97" s="30"/>
      <c r="O97" s="31"/>
    </row>
    <row r="98" spans="3:15" ht="12.75" customHeight="1">
      <c r="C98" s="15"/>
      <c r="D98" s="15"/>
      <c r="E98" s="21">
        <v>44545</v>
      </c>
      <c r="F98" s="24"/>
      <c r="G98" s="24">
        <v>-45570</v>
      </c>
      <c r="H98" s="15"/>
      <c r="I98" s="25"/>
      <c r="J98" s="25"/>
      <c r="K98" s="15"/>
      <c r="L98" s="55"/>
      <c r="N98" s="30"/>
      <c r="O98" s="31"/>
    </row>
    <row r="99" spans="3:15" ht="12.75" customHeight="1">
      <c r="C99" s="15" t="s">
        <v>71</v>
      </c>
      <c r="D99" s="15"/>
      <c r="E99" s="21">
        <v>44265</v>
      </c>
      <c r="F99" s="24"/>
      <c r="G99" s="24">
        <v>226087.04</v>
      </c>
      <c r="H99" s="15"/>
      <c r="I99" s="25"/>
      <c r="J99" s="25"/>
      <c r="K99" s="15"/>
      <c r="L99" s="55"/>
      <c r="N99" s="30"/>
      <c r="O99" s="31"/>
    </row>
    <row r="100" spans="3:15" ht="12.75" customHeight="1">
      <c r="C100" s="15"/>
      <c r="D100" s="15"/>
      <c r="E100" s="21">
        <v>44376</v>
      </c>
      <c r="F100" s="24"/>
      <c r="G100" s="24">
        <v>116286.97</v>
      </c>
      <c r="H100" s="15"/>
      <c r="I100" s="25"/>
      <c r="J100" s="25"/>
      <c r="K100" s="15"/>
      <c r="L100" s="55"/>
      <c r="N100" s="30"/>
      <c r="O100" s="31"/>
    </row>
    <row r="101" spans="3:15" ht="12.75" customHeight="1">
      <c r="C101" s="15"/>
      <c r="D101" s="15"/>
      <c r="E101" s="21">
        <v>44449</v>
      </c>
      <c r="F101" s="24"/>
      <c r="G101" s="24">
        <v>200808.29</v>
      </c>
      <c r="H101" s="15"/>
      <c r="I101" s="25"/>
      <c r="J101" s="25"/>
      <c r="K101" s="15"/>
      <c r="L101" s="55"/>
      <c r="N101" s="30"/>
      <c r="O101" s="31"/>
    </row>
    <row r="102" spans="3:15" ht="12.75" customHeight="1">
      <c r="C102" s="15"/>
      <c r="D102" s="15"/>
      <c r="E102" s="21">
        <v>44488</v>
      </c>
      <c r="F102" s="24"/>
      <c r="G102" s="24">
        <v>2852325.78</v>
      </c>
      <c r="H102" s="15"/>
      <c r="I102" s="25"/>
      <c r="J102" s="25"/>
      <c r="K102" s="15"/>
      <c r="L102" s="55"/>
      <c r="N102" s="30"/>
      <c r="O102" s="31"/>
    </row>
    <row r="103" spans="3:15" ht="12.75" customHeight="1">
      <c r="C103" s="15"/>
      <c r="D103" s="15"/>
      <c r="E103" s="21">
        <v>44540</v>
      </c>
      <c r="F103" s="24"/>
      <c r="G103" s="24">
        <v>267815.6</v>
      </c>
      <c r="H103" s="15"/>
      <c r="I103" s="25"/>
      <c r="J103" s="25"/>
      <c r="K103" s="15"/>
      <c r="L103" s="55"/>
      <c r="N103" s="30"/>
      <c r="O103" s="31"/>
    </row>
    <row r="104" spans="3:15" ht="12.75" customHeight="1">
      <c r="C104" s="15" t="s">
        <v>72</v>
      </c>
      <c r="D104" s="15"/>
      <c r="E104" s="21">
        <v>44650</v>
      </c>
      <c r="F104" s="24"/>
      <c r="G104" s="24">
        <v>-40180</v>
      </c>
      <c r="H104" s="15"/>
      <c r="I104" s="25"/>
      <c r="J104" s="25"/>
      <c r="K104" s="15"/>
      <c r="L104" s="55"/>
      <c r="N104" s="30"/>
      <c r="O104" s="31"/>
    </row>
    <row r="105" spans="3:15" ht="12.75" customHeight="1">
      <c r="C105" s="15"/>
      <c r="D105" s="15"/>
      <c r="E105" s="21">
        <v>44742</v>
      </c>
      <c r="F105" s="24"/>
      <c r="G105" s="24">
        <v>-36260</v>
      </c>
      <c r="H105" s="15"/>
      <c r="I105" s="25"/>
      <c r="J105" s="25"/>
      <c r="K105" s="15"/>
      <c r="L105" s="55"/>
      <c r="N105" s="30"/>
      <c r="O105" s="31"/>
    </row>
    <row r="106" spans="3:15" ht="12.75" customHeight="1">
      <c r="C106" s="15"/>
      <c r="D106" s="15"/>
      <c r="E106" s="21">
        <v>44827</v>
      </c>
      <c r="F106" s="24"/>
      <c r="G106" s="24">
        <v>-36260</v>
      </c>
      <c r="H106" s="15"/>
      <c r="I106" s="25"/>
      <c r="J106" s="25"/>
      <c r="K106" s="15"/>
      <c r="L106" s="55"/>
      <c r="N106" s="30"/>
      <c r="O106" s="31"/>
    </row>
    <row r="107" spans="3:15" ht="12.75" customHeight="1">
      <c r="C107" s="15"/>
      <c r="D107" s="15"/>
      <c r="E107" s="21">
        <v>44925</v>
      </c>
      <c r="F107" s="24"/>
      <c r="G107" s="24">
        <v>-35770</v>
      </c>
      <c r="H107" s="15"/>
      <c r="I107" s="25"/>
      <c r="J107" s="25"/>
      <c r="K107" s="15"/>
      <c r="L107" s="55"/>
      <c r="N107" s="30"/>
      <c r="O107" s="31"/>
    </row>
    <row r="108" spans="3:15" ht="12.75" customHeight="1">
      <c r="C108" s="15" t="s">
        <v>73</v>
      </c>
      <c r="D108" s="15"/>
      <c r="E108" s="21">
        <v>44645</v>
      </c>
      <c r="F108" s="24"/>
      <c r="G108" s="24">
        <v>253427.30</v>
      </c>
      <c r="H108" s="15"/>
      <c r="I108" s="25"/>
      <c r="J108" s="25"/>
      <c r="K108" s="15"/>
      <c r="L108" s="55"/>
      <c r="N108" s="30"/>
      <c r="O108" s="31"/>
    </row>
    <row r="109" spans="3:15" ht="12.75" customHeight="1">
      <c r="C109" s="15"/>
      <c r="D109" s="15"/>
      <c r="E109" s="21">
        <v>44721</v>
      </c>
      <c r="F109" s="24"/>
      <c r="G109" s="24">
        <v>125159.36</v>
      </c>
      <c r="H109" s="15"/>
      <c r="I109" s="25"/>
      <c r="J109" s="25"/>
      <c r="K109" s="15"/>
      <c r="L109" s="55"/>
      <c r="N109" s="30"/>
      <c r="O109" s="31"/>
    </row>
    <row r="110" spans="3:15" ht="12.75" customHeight="1">
      <c r="C110" s="15"/>
      <c r="D110" s="15"/>
      <c r="E110" s="21">
        <v>44791</v>
      </c>
      <c r="F110" s="24"/>
      <c r="G110" s="24">
        <v>531625.45</v>
      </c>
      <c r="H110" s="15"/>
      <c r="I110" s="25"/>
      <c r="J110" s="25"/>
      <c r="K110" s="15"/>
      <c r="L110" s="55"/>
      <c r="N110" s="30"/>
      <c r="O110" s="31"/>
    </row>
    <row r="111" spans="3:15" ht="12.75" customHeight="1">
      <c r="C111" s="15"/>
      <c r="D111" s="15"/>
      <c r="E111" s="21">
        <v>44888</v>
      </c>
      <c r="F111" s="24"/>
      <c r="G111" s="24">
        <v>113135.23</v>
      </c>
      <c r="H111" s="15"/>
      <c r="I111" s="25"/>
      <c r="J111" s="25"/>
      <c r="K111" s="15"/>
      <c r="L111" s="55"/>
      <c r="N111" s="30"/>
      <c r="O111" s="31"/>
    </row>
    <row r="112" spans="3:15" ht="12.75" customHeight="1">
      <c r="C112" s="15" t="s">
        <v>74</v>
      </c>
      <c r="D112" s="15"/>
      <c r="E112" s="21">
        <v>45009</v>
      </c>
      <c r="F112" s="24"/>
      <c r="G112" s="24">
        <v>-35770</v>
      </c>
      <c r="H112" s="15"/>
      <c r="I112" s="25"/>
      <c r="J112" s="25"/>
      <c r="K112" s="15"/>
      <c r="L112" s="55"/>
      <c r="N112" s="30"/>
      <c r="O112" s="31"/>
    </row>
    <row r="113" spans="3:15" ht="12.75" customHeight="1">
      <c r="C113" s="15" t="s">
        <v>75</v>
      </c>
      <c r="D113" s="15"/>
      <c r="E113" s="21">
        <v>45001</v>
      </c>
      <c r="F113" s="24"/>
      <c r="G113" s="24">
        <v>615405.61</v>
      </c>
      <c r="H113" s="15"/>
      <c r="I113" s="25"/>
      <c r="J113" s="25"/>
      <c r="K113" s="15"/>
      <c r="L113" s="55"/>
      <c r="N113" s="30"/>
      <c r="O113" s="31"/>
    </row>
    <row r="114" spans="3:15" ht="12.75" customHeight="1">
      <c r="C114" s="15"/>
      <c r="D114" s="15"/>
      <c r="E114" s="21">
        <v>45050</v>
      </c>
      <c r="F114" s="24"/>
      <c r="G114" s="24">
        <v>1802114.36</v>
      </c>
      <c r="H114" s="15"/>
      <c r="I114" s="25"/>
      <c r="J114" s="25"/>
      <c r="K114" s="15"/>
      <c r="L114" s="55"/>
      <c r="N114" s="30"/>
      <c r="O114" s="31"/>
    </row>
    <row r="115" spans="3:15" ht="4.5" customHeight="1">
      <c r="C115" s="15"/>
      <c r="D115" s="15"/>
      <c r="E115" s="21"/>
      <c r="F115" s="15"/>
      <c r="G115" s="24"/>
      <c r="H115" s="15"/>
      <c r="I115" s="25"/>
      <c r="J115" s="25"/>
      <c r="O115" s="31"/>
    </row>
    <row r="116" spans="3:13" ht="12.75">
      <c r="C116" s="15" t="s">
        <v>5</v>
      </c>
      <c r="D116" s="15"/>
      <c r="E116" s="21">
        <f>+E8</f>
        <v>45107</v>
      </c>
      <c r="F116" s="15"/>
      <c r="G116" s="46">
        <f>L116/0.98*C22</f>
        <v>1.021496492E7</v>
      </c>
      <c r="H116" s="15"/>
      <c r="I116" s="24">
        <f>+SUMIF($G$24:$G$115,"&lt;0",$G$24:$G$115)+G58+G66</f>
        <v>-1.7793038759999998E7</v>
      </c>
      <c r="J116" s="15" t="s">
        <v>14</v>
      </c>
      <c r="L116" s="57">
        <v>2.042992984E9</v>
      </c>
      <c r="M116" s="31"/>
    </row>
    <row r="117" spans="3:13" ht="12.75">
      <c r="C117" s="15"/>
      <c r="D117" s="15"/>
      <c r="E117" s="15"/>
      <c r="F117" s="15"/>
      <c r="G117" s="15"/>
      <c r="H117" s="15"/>
      <c r="I117" s="24">
        <f>+SUMIF($G$24:$G$115,"&gt;0",$G$24:$G$115)-G58-G66</f>
        <v>1.4535590829999998E7</v>
      </c>
      <c r="J117" s="15" t="s">
        <v>15</v>
      </c>
      <c r="M117" s="31"/>
    </row>
    <row r="118" spans="3:13" ht="12.75">
      <c r="C118" s="14" t="s">
        <v>0</v>
      </c>
      <c r="G118" s="29">
        <f>+XIRR(G24:G116,E24:E116,0.1)</f>
        <v>0.10411285758018496</v>
      </c>
      <c r="H118" s="15"/>
      <c r="M118" s="35"/>
    </row>
    <row r="119" spans="3:8" ht="12.75">
      <c r="C119" s="15"/>
      <c r="D119" s="15"/>
      <c r="E119" s="15"/>
      <c r="F119" s="15"/>
      <c r="G119" s="15"/>
      <c r="H119" s="15"/>
    </row>
    <row r="120" spans="3:13" ht="12.75">
      <c r="C120" s="15"/>
      <c r="D120" s="15"/>
      <c r="E120" s="15"/>
      <c r="F120" s="15"/>
      <c r="G120" s="15"/>
      <c r="H120" s="15"/>
      <c r="M120" s="35"/>
    </row>
    <row r="121" spans="3:8" ht="12.75">
      <c r="C121" s="52"/>
      <c r="D121" s="52"/>
      <c r="E121" s="52"/>
      <c r="F121" s="52"/>
      <c r="G121" s="52"/>
      <c r="H121" s="14"/>
    </row>
    <row r="122" spans="3:8" ht="12.75">
      <c r="C122" s="52"/>
      <c r="D122" s="52"/>
      <c r="E122" s="53"/>
      <c r="F122" s="53"/>
      <c r="G122" s="53"/>
      <c r="H122" s="14"/>
    </row>
    <row r="123" spans="3:8" ht="12.75">
      <c r="C123" s="52"/>
      <c r="D123" s="52"/>
      <c r="E123" s="52"/>
      <c r="F123" s="52"/>
      <c r="G123" s="52"/>
      <c r="H123" s="14"/>
    </row>
    <row r="124" spans="3:8" ht="12.75">
      <c r="C124" s="170"/>
      <c r="D124" s="170"/>
      <c r="E124" s="171"/>
      <c r="F124" s="54"/>
      <c r="G124" s="58"/>
      <c r="H124" s="14"/>
    </row>
    <row r="125" spans="3:8" ht="12.75">
      <c r="C125" s="170"/>
      <c r="D125" s="170"/>
      <c r="E125" s="70"/>
      <c r="F125" s="54"/>
      <c r="G125" s="70"/>
      <c r="H125" s="14"/>
    </row>
    <row r="126" spans="3:8" ht="12.75">
      <c r="C126" s="170"/>
      <c r="D126" s="170"/>
      <c r="E126" s="70"/>
      <c r="F126" s="54"/>
      <c r="G126" s="70"/>
      <c r="H126" s="14"/>
    </row>
    <row r="127" spans="3:9" ht="12.75">
      <c r="C127" s="172"/>
      <c r="D127" s="170"/>
      <c r="E127" s="70"/>
      <c r="F127" s="54"/>
      <c r="G127" s="70"/>
      <c r="H127" s="14"/>
      <c r="I127" s="155"/>
    </row>
    <row r="128" spans="3:9" ht="12.75">
      <c r="C128" s="172"/>
      <c r="D128" s="170"/>
      <c r="E128" s="70"/>
      <c r="F128" s="54"/>
      <c r="G128" s="70"/>
      <c r="H128" s="14"/>
      <c r="I128" s="155"/>
    </row>
    <row r="129" spans="3:8" ht="12.75">
      <c r="C129" s="173"/>
      <c r="D129" s="170"/>
      <c r="E129" s="70"/>
      <c r="F129" s="54"/>
      <c r="G129" s="70"/>
      <c r="H129" s="14"/>
    </row>
    <row r="130" spans="3:8" ht="12.75">
      <c r="C130" s="170"/>
      <c r="D130" s="170"/>
      <c r="E130" s="70"/>
      <c r="F130" s="54"/>
      <c r="G130" s="70"/>
      <c r="H130" s="14"/>
    </row>
    <row r="131" spans="3:8" ht="12.75">
      <c r="C131" s="170"/>
      <c r="D131" s="170"/>
      <c r="E131" s="70"/>
      <c r="F131" s="54"/>
      <c r="G131" s="70"/>
      <c r="H131" s="14"/>
    </row>
    <row r="132" spans="3:8" ht="12.75">
      <c r="C132" s="170"/>
      <c r="D132" s="170"/>
      <c r="E132" s="70"/>
      <c r="F132" s="54"/>
      <c r="G132" s="70"/>
      <c r="H132" s="14"/>
    </row>
    <row r="133" spans="3:8" ht="12.75">
      <c r="C133" s="170"/>
      <c r="D133" s="170"/>
      <c r="E133" s="70"/>
      <c r="F133" s="54"/>
      <c r="G133" s="70"/>
      <c r="H133" s="14"/>
    </row>
    <row r="134" spans="3:8" ht="12.75">
      <c r="C134" s="170"/>
      <c r="D134" s="170"/>
      <c r="E134" s="70"/>
      <c r="F134" s="54"/>
      <c r="G134" s="70"/>
      <c r="H134" s="14"/>
    </row>
    <row r="135" spans="3:8" ht="12.75">
      <c r="C135" s="170"/>
      <c r="D135" s="170"/>
      <c r="E135" s="70"/>
      <c r="F135" s="54"/>
      <c r="G135" s="70"/>
      <c r="H135" s="14"/>
    </row>
    <row r="136" spans="3:8" ht="5.1" customHeight="1">
      <c r="C136" s="14"/>
      <c r="D136" s="14"/>
      <c r="E136" s="33"/>
      <c r="F136" s="33"/>
      <c r="G136" s="33"/>
      <c r="H136" s="14"/>
    </row>
    <row r="137" spans="3:8" ht="12.75">
      <c r="C137" s="14"/>
      <c r="D137" s="14"/>
      <c r="E137" s="37"/>
      <c r="F137" s="37"/>
      <c r="G137" s="37"/>
      <c r="H137" s="14"/>
    </row>
    <row r="139" spans="3:9" ht="12.75">
      <c r="C139" s="52"/>
      <c r="D139" s="52"/>
      <c r="E139" s="132"/>
      <c r="F139" s="132"/>
      <c r="G139" s="132"/>
      <c r="H139" s="14"/>
      <c r="I139" s="156"/>
    </row>
    <row r="140" spans="3:8" ht="12.75">
      <c r="C140" s="52"/>
      <c r="D140" s="52"/>
      <c r="E140" s="53"/>
      <c r="F140" s="53"/>
      <c r="G140" s="53"/>
      <c r="H140" s="14"/>
    </row>
    <row r="141" spans="3:8" ht="12.75">
      <c r="C141" s="52"/>
      <c r="D141" s="52"/>
      <c r="E141" s="52"/>
      <c r="F141" s="52"/>
      <c r="G141" s="52"/>
      <c r="H141" s="14"/>
    </row>
    <row r="142" spans="3:8" ht="12.75">
      <c r="C142" s="52"/>
      <c r="D142" s="52"/>
      <c r="E142" s="58"/>
      <c r="F142" s="70"/>
      <c r="G142" s="58"/>
      <c r="H142" s="14"/>
    </row>
    <row r="143" spans="3:8" ht="12.75">
      <c r="C143" s="52"/>
      <c r="D143" s="52"/>
      <c r="E143" s="70"/>
      <c r="F143" s="70"/>
      <c r="G143" s="70"/>
      <c r="H143" s="14"/>
    </row>
    <row r="144" spans="3:8" ht="12.75">
      <c r="C144" s="52"/>
      <c r="D144" s="52"/>
      <c r="E144" s="70"/>
      <c r="F144" s="70"/>
      <c r="G144" s="70"/>
      <c r="H144" s="14"/>
    </row>
    <row r="145" spans="3:8" ht="12.75">
      <c r="C145" s="52"/>
      <c r="D145" s="52"/>
      <c r="E145" s="70"/>
      <c r="F145" s="70"/>
      <c r="G145" s="70"/>
      <c r="H145" s="14"/>
    </row>
    <row r="146" spans="3:8" ht="12.75">
      <c r="C146" s="52"/>
      <c r="D146" s="52"/>
      <c r="E146" s="70"/>
      <c r="F146" s="70"/>
      <c r="G146" s="70"/>
      <c r="H146" s="14"/>
    </row>
    <row r="147" spans="3:8" ht="12.75">
      <c r="C147" s="52"/>
      <c r="D147" s="52"/>
      <c r="E147" s="70"/>
      <c r="F147" s="70"/>
      <c r="G147" s="70"/>
      <c r="H147" s="14"/>
    </row>
    <row r="148" spans="3:8" ht="12.75">
      <c r="C148" s="52"/>
      <c r="D148" s="52"/>
      <c r="E148" s="70"/>
      <c r="F148" s="70"/>
      <c r="G148" s="70"/>
      <c r="H148" s="14"/>
    </row>
    <row r="149" spans="3:8" ht="12.75">
      <c r="C149" s="52"/>
      <c r="D149" s="52"/>
      <c r="E149" s="70"/>
      <c r="F149" s="70"/>
      <c r="G149" s="70"/>
      <c r="H149" s="14"/>
    </row>
  </sheetData>
  <mergeCells count="1">
    <mergeCell ref="E139:G139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BB248D-4643-40C1-9555-A93A52CE816B}">
  <sheetPr>
    <pageSetUpPr fitToPage="1"/>
  </sheetPr>
  <dimension ref="B4:O144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+'EFM III'!E8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27"/>
    </row>
    <row r="11" spans="3:9" ht="12.75">
      <c r="C11" s="163"/>
      <c r="D11" s="163"/>
      <c r="E11" s="164"/>
      <c r="F11" s="163"/>
      <c r="G11" s="164"/>
      <c r="H11" s="7"/>
      <c r="I11" s="27"/>
    </row>
    <row r="12" spans="3:9" ht="15.75">
      <c r="C12" s="165"/>
      <c r="D12" s="165"/>
      <c r="E12" s="166"/>
      <c r="F12" s="165"/>
      <c r="G12" s="166"/>
      <c r="H12" s="5"/>
      <c r="I12" s="27"/>
    </row>
    <row r="13" spans="3:9" ht="12.75">
      <c r="C13" s="163"/>
      <c r="D13" s="163"/>
      <c r="E13" s="167"/>
      <c r="F13" s="163"/>
      <c r="G13" s="57"/>
      <c r="H13" s="8"/>
      <c r="I13" s="27"/>
    </row>
    <row r="14" spans="3:9" ht="12.75">
      <c r="C14" s="163"/>
      <c r="D14" s="163"/>
      <c r="E14" s="168"/>
      <c r="F14" s="163"/>
      <c r="G14" s="57"/>
      <c r="H14" s="9"/>
      <c r="I14" s="27"/>
    </row>
    <row r="15" spans="3:9" ht="12.75">
      <c r="C15" s="163"/>
      <c r="D15" s="163"/>
      <c r="E15" s="164"/>
      <c r="F15" s="163"/>
      <c r="G15" s="164"/>
      <c r="H15" s="7"/>
      <c r="I15" s="27"/>
    </row>
    <row r="16" spans="3:9" ht="15.75">
      <c r="C16" s="5"/>
      <c r="D16" s="5"/>
      <c r="E16" s="11"/>
      <c r="F16" s="5"/>
      <c r="G16" s="11"/>
      <c r="H16" s="5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G118</f>
        <v>0.10070497393608094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-(G116+I117)/I116</f>
        <v>1.3829989609151365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22">
        <v>0.017131137</v>
      </c>
      <c r="D22" s="15"/>
      <c r="E22" s="15"/>
      <c r="F22" s="15"/>
      <c r="G22" s="23"/>
      <c r="H22" s="15"/>
      <c r="I22" s="15"/>
      <c r="J22" s="15"/>
    </row>
    <row r="23" spans="3:9" ht="12.75">
      <c r="C23" s="15"/>
      <c r="D23" s="15"/>
      <c r="E23" s="21"/>
      <c r="F23" s="24"/>
      <c r="G23" s="24"/>
      <c r="H23" s="15"/>
      <c r="I23" s="25"/>
    </row>
    <row r="24" spans="3:9" ht="12.75">
      <c r="C24" s="15" t="s">
        <v>92</v>
      </c>
      <c r="D24" s="15"/>
      <c r="E24" s="21">
        <v>41829</v>
      </c>
      <c r="F24" s="24"/>
      <c r="G24" s="24">
        <v>-84525</v>
      </c>
      <c r="H24" s="15"/>
      <c r="I24" s="25"/>
    </row>
    <row r="25" spans="3:9" ht="12.75">
      <c r="C25" s="157"/>
      <c r="D25" s="15"/>
      <c r="E25" s="21">
        <v>41894</v>
      </c>
      <c r="F25" s="24"/>
      <c r="G25" s="24">
        <v>-43855</v>
      </c>
      <c r="H25" s="15"/>
      <c r="I25" s="25"/>
    </row>
    <row r="26" spans="3:9" ht="12.75">
      <c r="C26" s="15"/>
      <c r="D26" s="15"/>
      <c r="E26" s="21">
        <v>41942</v>
      </c>
      <c r="F26" s="24"/>
      <c r="G26" s="24">
        <v>-23030</v>
      </c>
      <c r="H26" s="15"/>
      <c r="I26" s="25"/>
    </row>
    <row r="27" spans="3:9" ht="12.75">
      <c r="C27" s="15"/>
      <c r="D27" s="15"/>
      <c r="E27" s="21">
        <v>41999</v>
      </c>
      <c r="F27" s="24"/>
      <c r="G27" s="24">
        <v>-32830</v>
      </c>
      <c r="H27" s="15"/>
      <c r="I27" s="25"/>
    </row>
    <row r="28" spans="3:9" ht="12.75">
      <c r="C28" s="15" t="s">
        <v>76</v>
      </c>
      <c r="E28" s="21">
        <v>42037</v>
      </c>
      <c r="G28" s="24">
        <v>-32340</v>
      </c>
      <c r="H28" s="15"/>
      <c r="I28" s="25"/>
    </row>
    <row r="29" spans="5:9" ht="12.75">
      <c r="E29" s="21">
        <v>42093</v>
      </c>
      <c r="G29" s="24">
        <v>-41895</v>
      </c>
      <c r="H29" s="15"/>
      <c r="I29" s="25"/>
    </row>
    <row r="30" spans="5:9" ht="12.75">
      <c r="E30" s="21">
        <v>42109</v>
      </c>
      <c r="G30" s="24">
        <v>-31360</v>
      </c>
      <c r="H30" s="15"/>
      <c r="I30" s="25"/>
    </row>
    <row r="31" spans="5:11" ht="12.75">
      <c r="E31" s="21">
        <v>42144</v>
      </c>
      <c r="G31" s="24">
        <v>-18375</v>
      </c>
      <c r="H31" s="15"/>
      <c r="I31" s="25"/>
      <c r="J31" s="25"/>
      <c r="K31" s="15"/>
    </row>
    <row r="32" spans="5:11" ht="12.75">
      <c r="E32" s="21">
        <v>42184</v>
      </c>
      <c r="G32" s="24">
        <v>-28175</v>
      </c>
      <c r="H32" s="15"/>
      <c r="I32" s="25"/>
      <c r="J32" s="25"/>
      <c r="K32" s="15"/>
    </row>
    <row r="33" spans="5:11" ht="12.75">
      <c r="E33" s="21">
        <v>42227</v>
      </c>
      <c r="G33" s="24">
        <v>-37485</v>
      </c>
      <c r="H33" s="15"/>
      <c r="I33" s="25"/>
      <c r="J33" s="25"/>
      <c r="K33" s="15"/>
    </row>
    <row r="34" spans="5:11" ht="12.75">
      <c r="E34" s="21">
        <v>42261</v>
      </c>
      <c r="G34" s="24">
        <v>-49489.99</v>
      </c>
      <c r="H34" s="15"/>
      <c r="I34" s="25"/>
      <c r="J34" s="25"/>
      <c r="K34" s="15"/>
    </row>
    <row r="35" spans="5:11" ht="12.75">
      <c r="E35" s="21">
        <v>42368</v>
      </c>
      <c r="G35" s="24">
        <v>-40425</v>
      </c>
      <c r="H35" s="15"/>
      <c r="I35" s="25"/>
      <c r="J35" s="25"/>
      <c r="K35" s="15"/>
    </row>
    <row r="36" spans="3:11" ht="12.75">
      <c r="C36" s="15" t="s">
        <v>77</v>
      </c>
      <c r="D36" s="15"/>
      <c r="E36" s="21">
        <v>42396</v>
      </c>
      <c r="G36" s="24">
        <v>-708295</v>
      </c>
      <c r="H36" s="15"/>
      <c r="I36" s="25"/>
      <c r="J36" s="25"/>
      <c r="K36" s="15"/>
    </row>
    <row r="37" spans="3:11" ht="12.75">
      <c r="C37" s="15"/>
      <c r="D37" s="15"/>
      <c r="E37" s="21">
        <v>42445</v>
      </c>
      <c r="G37" s="24">
        <v>-60024.99</v>
      </c>
      <c r="H37" s="15"/>
      <c r="I37" s="25"/>
      <c r="J37" s="25"/>
      <c r="K37" s="15"/>
    </row>
    <row r="38" spans="3:11" ht="12.75">
      <c r="C38" s="15"/>
      <c r="D38" s="15"/>
      <c r="E38" s="21">
        <v>42549</v>
      </c>
      <c r="G38" s="24">
        <v>-97265.01</v>
      </c>
      <c r="H38" s="15"/>
      <c r="I38" s="25"/>
      <c r="J38" s="25"/>
      <c r="K38" s="15"/>
    </row>
    <row r="39" spans="3:11" ht="12.75">
      <c r="C39" s="15"/>
      <c r="D39" s="15"/>
      <c r="E39" s="21">
        <v>42586</v>
      </c>
      <c r="G39" s="24">
        <v>-74725</v>
      </c>
      <c r="H39" s="15"/>
      <c r="I39" s="25"/>
      <c r="J39" s="25"/>
      <c r="K39" s="15"/>
    </row>
    <row r="40" spans="3:11" ht="12.75">
      <c r="C40" s="15"/>
      <c r="D40" s="15"/>
      <c r="E40" s="21">
        <v>42607</v>
      </c>
      <c r="G40" s="24">
        <v>-56595.01</v>
      </c>
      <c r="H40" s="15"/>
      <c r="I40" s="25"/>
      <c r="J40" s="25"/>
      <c r="K40" s="15"/>
    </row>
    <row r="41" spans="3:11" ht="12.75">
      <c r="C41" s="15"/>
      <c r="D41" s="15"/>
      <c r="E41" s="21">
        <v>42613</v>
      </c>
      <c r="G41" s="24">
        <v>-1199275</v>
      </c>
      <c r="H41" s="15"/>
      <c r="I41" s="25"/>
      <c r="J41" s="25"/>
      <c r="K41" s="15"/>
    </row>
    <row r="42" spans="3:11" ht="12.75">
      <c r="C42" s="15"/>
      <c r="D42" s="15"/>
      <c r="E42" s="21">
        <v>42640</v>
      </c>
      <c r="G42" s="24">
        <v>-28175</v>
      </c>
      <c r="H42" s="15"/>
      <c r="I42" s="25"/>
      <c r="J42" s="25"/>
      <c r="K42" s="15"/>
    </row>
    <row r="43" spans="3:11" ht="12.75">
      <c r="C43" s="15"/>
      <c r="D43" s="15"/>
      <c r="E43" s="21">
        <v>42732</v>
      </c>
      <c r="G43" s="24">
        <v>-39200</v>
      </c>
      <c r="H43" s="15"/>
      <c r="I43" s="25"/>
      <c r="J43" s="25"/>
      <c r="K43" s="15"/>
    </row>
    <row r="44" spans="3:11" ht="12.75">
      <c r="C44" s="15" t="s">
        <v>78</v>
      </c>
      <c r="D44" s="15"/>
      <c r="E44" s="21">
        <v>42377</v>
      </c>
      <c r="G44" s="24">
        <v>259838.31</v>
      </c>
      <c r="H44" s="15"/>
      <c r="I44" s="25"/>
      <c r="J44" s="25"/>
      <c r="K44" s="15"/>
    </row>
    <row r="45" spans="3:11" ht="12.75">
      <c r="C45" s="15"/>
      <c r="D45" s="15"/>
      <c r="E45" s="21">
        <v>42551</v>
      </c>
      <c r="G45" s="24">
        <v>74232.03</v>
      </c>
      <c r="H45" s="15"/>
      <c r="I45" s="25"/>
      <c r="J45" s="25"/>
      <c r="K45" s="15"/>
    </row>
    <row r="46" spans="3:12" ht="15.75">
      <c r="C46" s="15"/>
      <c r="D46" s="15"/>
      <c r="E46" s="21">
        <v>42642</v>
      </c>
      <c r="G46" s="24">
        <v>70073.67</v>
      </c>
      <c r="H46" s="15"/>
      <c r="I46" s="25"/>
      <c r="J46" s="115"/>
      <c r="K46" s="116"/>
      <c r="L46" s="162"/>
    </row>
    <row r="47" spans="3:12" ht="12.75">
      <c r="C47" s="15"/>
      <c r="D47" s="15"/>
      <c r="E47" s="21">
        <v>42655</v>
      </c>
      <c r="G47" s="24">
        <v>28437.88</v>
      </c>
      <c r="H47" s="15"/>
      <c r="I47" s="25"/>
      <c r="J47" s="115"/>
      <c r="K47" s="116"/>
      <c r="L47" s="57"/>
    </row>
    <row r="48" spans="3:12" ht="12.75">
      <c r="C48" s="15" t="s">
        <v>79</v>
      </c>
      <c r="D48" s="15"/>
      <c r="E48" s="21">
        <v>42765</v>
      </c>
      <c r="G48" s="24">
        <v>-129360</v>
      </c>
      <c r="H48" s="15"/>
      <c r="I48" s="25"/>
      <c r="J48" s="115"/>
      <c r="K48" s="116"/>
      <c r="L48" s="57"/>
    </row>
    <row r="49" spans="3:12" ht="12.75">
      <c r="C49" s="15"/>
      <c r="D49" s="15"/>
      <c r="E49" s="21">
        <v>42822</v>
      </c>
      <c r="G49" s="24">
        <v>-71785</v>
      </c>
      <c r="H49" s="15"/>
      <c r="I49" s="25"/>
      <c r="J49" s="115"/>
      <c r="K49" s="116"/>
      <c r="L49" s="57"/>
    </row>
    <row r="50" spans="3:12" ht="12.75">
      <c r="C50" s="15"/>
      <c r="D50" s="15"/>
      <c r="E50" s="21">
        <v>42852</v>
      </c>
      <c r="G50" s="24">
        <v>-74970</v>
      </c>
      <c r="H50" s="15"/>
      <c r="I50" s="25"/>
      <c r="J50" s="115"/>
      <c r="K50" s="116"/>
      <c r="L50" s="57"/>
    </row>
    <row r="51" spans="3:12" ht="12.75">
      <c r="C51" s="15"/>
      <c r="D51" s="15"/>
      <c r="E51" s="21">
        <v>42913</v>
      </c>
      <c r="G51" s="24">
        <v>-300860.01</v>
      </c>
      <c r="H51" s="15"/>
      <c r="I51" s="25"/>
      <c r="J51" s="115"/>
      <c r="K51" s="116"/>
      <c r="L51" s="169"/>
    </row>
    <row r="52" spans="3:12" ht="12.75">
      <c r="C52" s="15"/>
      <c r="D52" s="15"/>
      <c r="E52" s="21">
        <v>42991</v>
      </c>
      <c r="G52" s="24">
        <v>-132300</v>
      </c>
      <c r="H52" s="15"/>
      <c r="I52" s="25"/>
      <c r="J52" s="115"/>
      <c r="K52" s="116"/>
      <c r="L52" s="169"/>
    </row>
    <row r="53" spans="3:12" ht="12.75">
      <c r="C53" s="15"/>
      <c r="D53" s="15"/>
      <c r="E53" s="21">
        <v>43006</v>
      </c>
      <c r="G53" s="24">
        <v>-94325</v>
      </c>
      <c r="H53" s="15"/>
      <c r="I53" s="25"/>
      <c r="J53" s="115"/>
      <c r="K53" s="116"/>
      <c r="L53" s="169"/>
    </row>
    <row r="54" spans="3:11" ht="12.75">
      <c r="C54" s="15"/>
      <c r="D54" s="15"/>
      <c r="E54" s="21">
        <v>43080</v>
      </c>
      <c r="F54" s="24"/>
      <c r="G54" s="24">
        <v>-47040</v>
      </c>
      <c r="H54" s="15"/>
      <c r="I54" s="25"/>
      <c r="J54" s="25"/>
      <c r="K54" s="15"/>
    </row>
    <row r="55" spans="3:11" ht="12.75">
      <c r="C55" s="15"/>
      <c r="D55" s="15"/>
      <c r="E55" s="21">
        <v>43095</v>
      </c>
      <c r="F55" s="24"/>
      <c r="G55" s="24">
        <v>-93590</v>
      </c>
      <c r="H55" s="15"/>
      <c r="I55" s="25"/>
      <c r="J55" s="25"/>
      <c r="K55" s="15"/>
    </row>
    <row r="56" spans="3:11" ht="12.75">
      <c r="C56" s="15" t="s">
        <v>80</v>
      </c>
      <c r="D56" s="15"/>
      <c r="E56" s="21">
        <v>42747</v>
      </c>
      <c r="G56" s="24">
        <v>106466.01</v>
      </c>
      <c r="H56" s="15"/>
      <c r="I56" s="25"/>
      <c r="J56" s="25"/>
      <c r="K56" s="15"/>
    </row>
    <row r="57" spans="3:11" ht="12.75">
      <c r="C57" s="15" t="s">
        <v>81</v>
      </c>
      <c r="D57" s="15"/>
      <c r="E57" s="21">
        <v>43130</v>
      </c>
      <c r="G57" s="24">
        <v>-908950</v>
      </c>
      <c r="H57" s="15"/>
      <c r="I57" s="25"/>
      <c r="J57" s="25"/>
      <c r="K57" s="15"/>
    </row>
    <row r="58" spans="3:11" ht="12.75">
      <c r="C58" s="15"/>
      <c r="D58" s="15"/>
      <c r="E58" s="21">
        <v>43143</v>
      </c>
      <c r="G58" s="24">
        <v>251700.75</v>
      </c>
      <c r="H58" s="15"/>
      <c r="I58" s="25"/>
      <c r="J58" s="25"/>
      <c r="K58" s="15"/>
    </row>
    <row r="59" spans="3:11" ht="12.75">
      <c r="C59" s="15"/>
      <c r="D59" s="15"/>
      <c r="E59" s="21">
        <v>43173</v>
      </c>
      <c r="G59" s="24">
        <v>-68600.01</v>
      </c>
      <c r="H59" s="15"/>
      <c r="I59" s="25"/>
      <c r="J59" s="25"/>
      <c r="K59" s="15"/>
    </row>
    <row r="60" spans="3:11" ht="12.75">
      <c r="C60" s="15"/>
      <c r="D60" s="15"/>
      <c r="E60" s="21">
        <v>43216</v>
      </c>
      <c r="G60" s="24">
        <v>-122500</v>
      </c>
      <c r="H60" s="15"/>
      <c r="I60" s="25"/>
      <c r="J60" s="25"/>
      <c r="K60" s="15"/>
    </row>
    <row r="61" spans="3:11" ht="12.75">
      <c r="C61" s="15"/>
      <c r="D61" s="15"/>
      <c r="E61" s="21">
        <v>43265</v>
      </c>
      <c r="G61" s="24">
        <v>-70070</v>
      </c>
      <c r="H61" s="15"/>
      <c r="I61" s="25"/>
      <c r="J61" s="25"/>
      <c r="K61" s="15"/>
    </row>
    <row r="62" spans="3:11" ht="12.75">
      <c r="C62" s="15"/>
      <c r="D62" s="15"/>
      <c r="E62" s="21">
        <v>43292</v>
      </c>
      <c r="G62" s="24">
        <v>-122500.01</v>
      </c>
      <c r="H62" s="15"/>
      <c r="I62" s="25"/>
      <c r="J62" s="25"/>
      <c r="K62" s="15"/>
    </row>
    <row r="63" spans="3:11" ht="12.75">
      <c r="C63" s="15"/>
      <c r="D63" s="15"/>
      <c r="E63" s="21">
        <v>43328</v>
      </c>
      <c r="G63" s="24">
        <v>-445410</v>
      </c>
      <c r="H63" s="15"/>
      <c r="I63" s="25"/>
      <c r="J63" s="25"/>
      <c r="K63" s="15"/>
    </row>
    <row r="64" spans="3:11" ht="12.75">
      <c r="C64" s="15"/>
      <c r="D64" s="15"/>
      <c r="E64" s="21">
        <v>43360</v>
      </c>
      <c r="G64" s="24">
        <v>-67620</v>
      </c>
      <c r="H64" s="15"/>
      <c r="I64" s="25"/>
      <c r="J64" s="25"/>
      <c r="K64" s="15"/>
    </row>
    <row r="65" spans="3:11" ht="12.75">
      <c r="C65" s="15"/>
      <c r="D65" s="15"/>
      <c r="E65" s="21">
        <v>43369</v>
      </c>
      <c r="G65" s="24">
        <v>-1467795.01</v>
      </c>
      <c r="H65" s="15"/>
      <c r="I65" s="25"/>
      <c r="J65" s="25"/>
      <c r="K65" s="15"/>
    </row>
    <row r="66" spans="3:11" ht="12.75">
      <c r="C66" s="15"/>
      <c r="D66" s="15"/>
      <c r="E66" s="21">
        <v>43389</v>
      </c>
      <c r="G66" s="24">
        <v>98000</v>
      </c>
      <c r="H66" s="15"/>
      <c r="I66" s="25"/>
      <c r="J66" s="25"/>
      <c r="K66" s="15"/>
    </row>
    <row r="67" spans="3:11" ht="12.75">
      <c r="C67" s="15"/>
      <c r="D67" s="15"/>
      <c r="E67" s="21">
        <v>43445</v>
      </c>
      <c r="G67" s="24">
        <v>-234465.01</v>
      </c>
      <c r="H67" s="15"/>
      <c r="I67" s="25"/>
      <c r="J67" s="25"/>
      <c r="K67" s="15"/>
    </row>
    <row r="68" spans="3:11" ht="12.75">
      <c r="C68" s="15" t="s">
        <v>82</v>
      </c>
      <c r="D68" s="15"/>
      <c r="E68" s="21">
        <v>43111</v>
      </c>
      <c r="G68" s="24">
        <v>96449.74</v>
      </c>
      <c r="H68" s="15"/>
      <c r="I68" s="25"/>
      <c r="J68" s="25"/>
      <c r="K68" s="15"/>
    </row>
    <row r="69" spans="3:11" ht="12.75">
      <c r="C69" s="15"/>
      <c r="D69" s="15"/>
      <c r="E69" s="21">
        <v>43153</v>
      </c>
      <c r="G69" s="24">
        <v>2225110.82</v>
      </c>
      <c r="H69" s="15"/>
      <c r="I69" s="25"/>
      <c r="J69" s="25"/>
      <c r="K69" s="15"/>
    </row>
    <row r="70" spans="3:11" ht="12.75">
      <c r="C70" s="15"/>
      <c r="D70" s="15"/>
      <c r="E70" s="21">
        <v>43446</v>
      </c>
      <c r="G70" s="24">
        <v>229234.64</v>
      </c>
      <c r="H70" s="15"/>
      <c r="I70" s="25"/>
      <c r="J70" s="25"/>
      <c r="K70" s="15"/>
    </row>
    <row r="71" spans="3:11" ht="12.75">
      <c r="C71" s="15" t="s">
        <v>83</v>
      </c>
      <c r="D71" s="15"/>
      <c r="E71" s="21">
        <v>43522</v>
      </c>
      <c r="G71" s="24">
        <v>-395430.01</v>
      </c>
      <c r="H71" s="15"/>
      <c r="I71" s="25"/>
      <c r="J71" s="25"/>
      <c r="K71" s="15"/>
    </row>
    <row r="72" spans="3:11" ht="12.75">
      <c r="C72" s="15"/>
      <c r="D72" s="15"/>
      <c r="E72" s="21">
        <v>43563</v>
      </c>
      <c r="G72" s="24">
        <v>-198695</v>
      </c>
      <c r="H72" s="15"/>
      <c r="I72" s="25"/>
      <c r="J72" s="25"/>
      <c r="K72" s="15"/>
    </row>
    <row r="73" spans="3:11" ht="12.75">
      <c r="C73" s="15"/>
      <c r="D73" s="15"/>
      <c r="E73" s="21">
        <v>43600</v>
      </c>
      <c r="G73" s="24">
        <v>-121275</v>
      </c>
      <c r="H73" s="15"/>
      <c r="I73" s="25"/>
      <c r="J73" s="25"/>
      <c r="K73" s="15"/>
    </row>
    <row r="74" spans="3:11" ht="12.75">
      <c r="C74" s="15"/>
      <c r="D74" s="15"/>
      <c r="E74" s="21">
        <v>43643</v>
      </c>
      <c r="G74" s="24">
        <v>-68845</v>
      </c>
      <c r="H74" s="15"/>
      <c r="I74" s="25"/>
      <c r="J74" s="25"/>
      <c r="K74" s="15"/>
    </row>
    <row r="75" spans="3:11" ht="12.75">
      <c r="C75" s="15"/>
      <c r="D75" s="15"/>
      <c r="E75" s="21">
        <v>43655</v>
      </c>
      <c r="G75" s="24">
        <v>-107800</v>
      </c>
      <c r="H75" s="15"/>
      <c r="I75" s="25"/>
      <c r="J75" s="25"/>
      <c r="K75" s="15"/>
    </row>
    <row r="76" spans="3:11" ht="12.75">
      <c r="C76" s="15"/>
      <c r="D76" s="15"/>
      <c r="E76" s="21">
        <v>43685</v>
      </c>
      <c r="G76" s="24">
        <v>-121029.99</v>
      </c>
      <c r="H76" s="15"/>
      <c r="I76" s="25"/>
      <c r="J76" s="25"/>
      <c r="K76" s="15"/>
    </row>
    <row r="77" spans="3:11" ht="12.75">
      <c r="C77" s="15"/>
      <c r="D77" s="15"/>
      <c r="E77" s="21">
        <v>43697</v>
      </c>
      <c r="G77" s="24">
        <v>-36382.50</v>
      </c>
      <c r="H77" s="15"/>
      <c r="I77" s="25"/>
      <c r="J77" s="25"/>
      <c r="K77" s="15"/>
    </row>
    <row r="78" spans="3:11" ht="12.75">
      <c r="C78" s="15"/>
      <c r="D78" s="15"/>
      <c r="E78" s="21">
        <v>43727</v>
      </c>
      <c r="G78" s="24">
        <v>-100450</v>
      </c>
      <c r="H78" s="15"/>
      <c r="I78" s="25"/>
      <c r="J78" s="25"/>
      <c r="K78" s="15"/>
    </row>
    <row r="79" spans="3:11" ht="12.75">
      <c r="C79" s="15"/>
      <c r="D79" s="15"/>
      <c r="E79" s="21">
        <v>43756</v>
      </c>
      <c r="G79" s="24">
        <v>-54390</v>
      </c>
      <c r="H79" s="15"/>
      <c r="I79" s="25"/>
      <c r="J79" s="25"/>
      <c r="K79" s="15"/>
    </row>
    <row r="80" spans="3:11" ht="12.75">
      <c r="C80" s="15"/>
      <c r="D80" s="15"/>
      <c r="E80" s="21">
        <v>43783</v>
      </c>
      <c r="G80" s="24">
        <v>-60637.50</v>
      </c>
      <c r="H80" s="15"/>
      <c r="I80" s="25"/>
      <c r="J80" s="25"/>
      <c r="K80" s="15"/>
    </row>
    <row r="81" spans="3:11" ht="12.75">
      <c r="C81" s="15"/>
      <c r="D81" s="15"/>
      <c r="E81" s="21">
        <v>43795</v>
      </c>
      <c r="G81" s="24">
        <v>-148960</v>
      </c>
      <c r="H81" s="15"/>
      <c r="I81" s="25"/>
      <c r="J81" s="25"/>
      <c r="K81" s="15"/>
    </row>
    <row r="82" spans="3:11" ht="12.75">
      <c r="C82" s="15"/>
      <c r="D82" s="15"/>
      <c r="E82" s="21">
        <v>43830</v>
      </c>
      <c r="G82" s="24">
        <v>-42630</v>
      </c>
      <c r="H82" s="15"/>
      <c r="I82" s="25"/>
      <c r="J82" s="25"/>
      <c r="K82" s="15"/>
    </row>
    <row r="83" spans="3:11" ht="12.75">
      <c r="C83" s="15" t="s">
        <v>84</v>
      </c>
      <c r="D83" s="15"/>
      <c r="E83" s="21">
        <v>43620</v>
      </c>
      <c r="G83" s="24">
        <v>56403.62</v>
      </c>
      <c r="H83" s="15"/>
      <c r="I83" s="25"/>
      <c r="J83" s="25"/>
      <c r="K83" s="15"/>
    </row>
    <row r="84" spans="3:11" ht="12.75">
      <c r="C84" s="15"/>
      <c r="D84" s="15"/>
      <c r="E84" s="21">
        <v>43669</v>
      </c>
      <c r="G84" s="24">
        <v>177349.49</v>
      </c>
      <c r="H84" s="15"/>
      <c r="I84" s="25"/>
      <c r="J84" s="25"/>
      <c r="K84" s="15"/>
    </row>
    <row r="85" spans="3:11" ht="12.75">
      <c r="C85" s="15"/>
      <c r="D85" s="15"/>
      <c r="E85" s="21">
        <v>43717</v>
      </c>
      <c r="G85" s="24">
        <v>60087.89</v>
      </c>
      <c r="H85" s="15"/>
      <c r="I85" s="25"/>
      <c r="J85" s="25"/>
      <c r="K85" s="15"/>
    </row>
    <row r="86" spans="3:11" ht="12.75">
      <c r="C86" s="15" t="s">
        <v>16</v>
      </c>
      <c r="D86" s="15"/>
      <c r="E86" s="21">
        <v>43858</v>
      </c>
      <c r="G86" s="24">
        <v>-64925</v>
      </c>
      <c r="H86" s="15"/>
      <c r="I86" s="25"/>
      <c r="J86" s="25"/>
      <c r="K86" s="15"/>
    </row>
    <row r="87" spans="3:11" ht="12.75">
      <c r="C87" s="15"/>
      <c r="D87" s="15"/>
      <c r="E87" s="21">
        <v>43860</v>
      </c>
      <c r="G87" s="24">
        <v>-73010</v>
      </c>
      <c r="H87" s="15"/>
      <c r="I87" s="25"/>
      <c r="J87" s="25"/>
      <c r="K87" s="15"/>
    </row>
    <row r="88" spans="3:11" ht="12.75">
      <c r="C88" s="15"/>
      <c r="D88" s="15"/>
      <c r="E88" s="21">
        <v>43915</v>
      </c>
      <c r="G88" s="24">
        <v>-69090</v>
      </c>
      <c r="H88" s="15"/>
      <c r="I88" s="25"/>
      <c r="J88" s="25"/>
      <c r="K88" s="15"/>
    </row>
    <row r="89" spans="3:11" ht="12.75">
      <c r="C89" s="15"/>
      <c r="D89" s="15"/>
      <c r="E89" s="21">
        <v>43917</v>
      </c>
      <c r="G89" s="24">
        <v>-16978.50</v>
      </c>
      <c r="H89" s="15"/>
      <c r="I89" s="25"/>
      <c r="J89" s="25"/>
      <c r="K89" s="15"/>
    </row>
    <row r="90" spans="3:11" ht="12.75">
      <c r="C90" s="15"/>
      <c r="D90" s="15"/>
      <c r="E90" s="21">
        <v>43980</v>
      </c>
      <c r="G90" s="24">
        <v>-71785.01</v>
      </c>
      <c r="H90" s="15"/>
      <c r="I90" s="25"/>
      <c r="J90" s="25"/>
      <c r="K90" s="15"/>
    </row>
    <row r="91" spans="3:11" ht="12.75">
      <c r="C91" s="15"/>
      <c r="D91" s="15"/>
      <c r="E91" s="21">
        <v>43999</v>
      </c>
      <c r="G91" s="24">
        <v>-98000</v>
      </c>
      <c r="H91" s="15"/>
      <c r="I91" s="25"/>
      <c r="J91" s="25"/>
      <c r="K91" s="15"/>
    </row>
    <row r="92" spans="3:11" ht="12.75">
      <c r="C92" s="15"/>
      <c r="D92" s="15"/>
      <c r="E92" s="21">
        <v>44047</v>
      </c>
      <c r="G92" s="24">
        <v>-7931.65</v>
      </c>
      <c r="H92" s="15"/>
      <c r="I92" s="25"/>
      <c r="J92" s="25"/>
      <c r="K92" s="15"/>
    </row>
    <row r="93" spans="3:11" ht="12.75">
      <c r="C93" s="15" t="s">
        <v>85</v>
      </c>
      <c r="D93" s="15"/>
      <c r="E93" s="21">
        <v>43888</v>
      </c>
      <c r="G93" s="24">
        <v>260950.61</v>
      </c>
      <c r="H93" s="15"/>
      <c r="I93" s="25"/>
      <c r="J93" s="25"/>
      <c r="K93" s="15"/>
    </row>
    <row r="94" spans="3:11" ht="12.75">
      <c r="C94" s="15"/>
      <c r="D94" s="15"/>
      <c r="E94" s="21">
        <v>44089</v>
      </c>
      <c r="G94" s="24">
        <v>42773.60</v>
      </c>
      <c r="H94" s="15"/>
      <c r="I94" s="25"/>
      <c r="J94" s="25"/>
      <c r="K94" s="15"/>
    </row>
    <row r="95" spans="3:12" ht="15.75">
      <c r="C95" s="15" t="s">
        <v>41</v>
      </c>
      <c r="D95" s="15"/>
      <c r="E95" s="21">
        <v>44202</v>
      </c>
      <c r="G95" s="24">
        <v>-47775</v>
      </c>
      <c r="H95" s="15"/>
      <c r="I95" s="25"/>
      <c r="J95" s="25"/>
      <c r="K95" s="15"/>
      <c r="L95" s="55"/>
    </row>
    <row r="96" spans="3:12" ht="15.75">
      <c r="C96" s="15"/>
      <c r="D96" s="15"/>
      <c r="E96" s="21">
        <v>44377</v>
      </c>
      <c r="G96" s="24">
        <v>-23030</v>
      </c>
      <c r="H96" s="15"/>
      <c r="I96" s="25"/>
      <c r="J96" s="25"/>
      <c r="K96" s="15"/>
      <c r="L96" s="55"/>
    </row>
    <row r="97" spans="3:12" ht="15.75">
      <c r="C97" s="15"/>
      <c r="D97" s="15"/>
      <c r="E97" s="21">
        <v>44469</v>
      </c>
      <c r="G97" s="24">
        <v>-22785</v>
      </c>
      <c r="H97" s="15"/>
      <c r="I97" s="25"/>
      <c r="J97" s="25"/>
      <c r="K97" s="15"/>
      <c r="L97" s="55"/>
    </row>
    <row r="98" spans="3:12" ht="15.75">
      <c r="C98" s="15"/>
      <c r="D98" s="15"/>
      <c r="E98" s="21">
        <v>44545</v>
      </c>
      <c r="G98" s="24">
        <v>-22785</v>
      </c>
      <c r="H98" s="15"/>
      <c r="I98" s="25"/>
      <c r="J98" s="25"/>
      <c r="K98" s="15"/>
      <c r="L98" s="55"/>
    </row>
    <row r="99" spans="3:12" ht="15.75">
      <c r="C99" s="15" t="s">
        <v>71</v>
      </c>
      <c r="D99" s="15"/>
      <c r="E99" s="21">
        <v>44265</v>
      </c>
      <c r="G99" s="24">
        <v>112223.84</v>
      </c>
      <c r="H99" s="15"/>
      <c r="I99" s="25"/>
      <c r="J99" s="25"/>
      <c r="K99" s="15"/>
      <c r="L99" s="55"/>
    </row>
    <row r="100" spans="3:12" ht="15.75">
      <c r="C100" s="15"/>
      <c r="D100" s="15"/>
      <c r="E100" s="21">
        <v>44376</v>
      </c>
      <c r="G100" s="24">
        <v>67089.93</v>
      </c>
      <c r="H100" s="15"/>
      <c r="I100" s="25"/>
      <c r="J100" s="25"/>
      <c r="K100" s="15"/>
      <c r="L100" s="55"/>
    </row>
    <row r="101" spans="3:12" ht="15.75">
      <c r="C101" s="15"/>
      <c r="D101" s="15"/>
      <c r="E101" s="21">
        <v>44449</v>
      </c>
      <c r="G101" s="24">
        <v>100059.73</v>
      </c>
      <c r="H101" s="15"/>
      <c r="I101" s="25"/>
      <c r="J101" s="25"/>
      <c r="K101" s="15"/>
      <c r="L101" s="55"/>
    </row>
    <row r="102" spans="3:12" ht="15.75">
      <c r="C102" s="15"/>
      <c r="D102" s="15"/>
      <c r="E102" s="21">
        <v>44488</v>
      </c>
      <c r="G102" s="24">
        <v>1401819.49</v>
      </c>
      <c r="H102" s="15"/>
      <c r="I102" s="25"/>
      <c r="J102" s="25"/>
      <c r="K102" s="15"/>
      <c r="L102" s="55"/>
    </row>
    <row r="103" spans="3:12" ht="15.75">
      <c r="C103" s="15"/>
      <c r="D103" s="15"/>
      <c r="E103" s="21">
        <v>44540</v>
      </c>
      <c r="G103" s="24">
        <v>133540.19</v>
      </c>
      <c r="H103" s="15"/>
      <c r="I103" s="25"/>
      <c r="J103" s="25"/>
      <c r="K103" s="15"/>
      <c r="L103" s="55"/>
    </row>
    <row r="104" spans="3:12" ht="15.75">
      <c r="C104" s="15" t="s">
        <v>72</v>
      </c>
      <c r="D104" s="15"/>
      <c r="E104" s="21">
        <v>44650</v>
      </c>
      <c r="G104" s="24">
        <v>-20090</v>
      </c>
      <c r="H104" s="15"/>
      <c r="I104" s="25"/>
      <c r="J104" s="25"/>
      <c r="K104" s="15"/>
      <c r="L104" s="55"/>
    </row>
    <row r="105" spans="3:12" ht="15.75">
      <c r="C105" s="15"/>
      <c r="D105" s="15"/>
      <c r="E105" s="21">
        <v>44742</v>
      </c>
      <c r="G105" s="24">
        <v>-18130</v>
      </c>
      <c r="H105" s="15"/>
      <c r="I105" s="25"/>
      <c r="J105" s="25"/>
      <c r="K105" s="15"/>
      <c r="L105" s="55"/>
    </row>
    <row r="106" spans="3:12" ht="15.75">
      <c r="C106" s="15"/>
      <c r="D106" s="15"/>
      <c r="E106" s="21">
        <v>44827</v>
      </c>
      <c r="G106" s="24">
        <v>-18130</v>
      </c>
      <c r="H106" s="15"/>
      <c r="I106" s="25"/>
      <c r="J106" s="25"/>
      <c r="K106" s="15"/>
      <c r="L106" s="55"/>
    </row>
    <row r="107" spans="3:12" ht="15.75">
      <c r="C107" s="15"/>
      <c r="D107" s="15"/>
      <c r="E107" s="21">
        <v>44925</v>
      </c>
      <c r="G107" s="24">
        <v>-17885</v>
      </c>
      <c r="H107" s="15"/>
      <c r="I107" s="25"/>
      <c r="J107" s="25"/>
      <c r="K107" s="15"/>
      <c r="L107" s="55"/>
    </row>
    <row r="108" spans="3:12" ht="15.75">
      <c r="C108" s="15" t="s">
        <v>73</v>
      </c>
      <c r="D108" s="15"/>
      <c r="E108" s="21">
        <v>44645</v>
      </c>
      <c r="G108" s="24">
        <v>126154.99</v>
      </c>
      <c r="H108" s="15"/>
      <c r="I108" s="25"/>
      <c r="J108" s="25"/>
      <c r="K108" s="15"/>
      <c r="L108" s="55"/>
    </row>
    <row r="109" spans="3:12" ht="15.75">
      <c r="C109" s="15"/>
      <c r="D109" s="15"/>
      <c r="E109" s="21">
        <v>44721</v>
      </c>
      <c r="G109" s="24">
        <v>78975.38</v>
      </c>
      <c r="H109" s="15"/>
      <c r="I109" s="25"/>
      <c r="J109" s="25"/>
      <c r="K109" s="15"/>
      <c r="L109" s="55"/>
    </row>
    <row r="110" spans="3:12" ht="15.75">
      <c r="C110" s="15"/>
      <c r="D110" s="15"/>
      <c r="E110" s="21">
        <v>44791</v>
      </c>
      <c r="G110" s="24">
        <v>265374.57</v>
      </c>
      <c r="H110" s="15"/>
      <c r="I110" s="25"/>
      <c r="J110" s="25"/>
      <c r="K110" s="15"/>
      <c r="L110" s="55"/>
    </row>
    <row r="111" spans="3:12" ht="17.25" customHeight="1">
      <c r="C111" s="15"/>
      <c r="D111" s="15"/>
      <c r="E111" s="21">
        <v>44888</v>
      </c>
      <c r="G111" s="24">
        <v>55715.46</v>
      </c>
      <c r="H111" s="15"/>
      <c r="I111" s="25"/>
      <c r="J111" s="25"/>
      <c r="K111" s="15"/>
      <c r="L111" s="55"/>
    </row>
    <row r="112" spans="3:12" ht="17.25" customHeight="1">
      <c r="C112" s="15" t="s">
        <v>74</v>
      </c>
      <c r="D112" s="15"/>
      <c r="E112" s="21">
        <v>45009</v>
      </c>
      <c r="G112" s="24">
        <v>-17885</v>
      </c>
      <c r="H112" s="15"/>
      <c r="I112" s="25"/>
      <c r="J112" s="25"/>
      <c r="K112" s="15"/>
      <c r="L112" s="55"/>
    </row>
    <row r="113" spans="3:12" ht="17.25" customHeight="1">
      <c r="C113" s="15" t="s">
        <v>75</v>
      </c>
      <c r="D113" s="15"/>
      <c r="E113" s="21">
        <v>45001</v>
      </c>
      <c r="G113" s="24">
        <v>307461.81</v>
      </c>
      <c r="H113" s="15"/>
      <c r="I113" s="25"/>
      <c r="J113" s="25"/>
      <c r="K113" s="15"/>
      <c r="L113" s="55"/>
    </row>
    <row r="114" spans="3:12" ht="17.25" customHeight="1">
      <c r="C114" s="15"/>
      <c r="D114" s="15"/>
      <c r="E114" s="21">
        <v>45050</v>
      </c>
      <c r="G114" s="24">
        <v>866555.89</v>
      </c>
      <c r="H114" s="15"/>
      <c r="I114" s="25"/>
      <c r="J114" s="25"/>
      <c r="K114" s="15"/>
      <c r="L114" s="55"/>
    </row>
    <row r="115" spans="3:15" ht="4.5" customHeight="1">
      <c r="C115" s="15"/>
      <c r="D115" s="15"/>
      <c r="E115" s="21"/>
      <c r="F115" s="15"/>
      <c r="G115" s="24"/>
      <c r="H115" s="15"/>
      <c r="I115" s="25"/>
      <c r="J115" s="25"/>
      <c r="O115" s="31"/>
    </row>
    <row r="116" spans="3:13" ht="15.75">
      <c r="C116" s="15" t="s">
        <v>5</v>
      </c>
      <c r="D116" s="15"/>
      <c r="E116" s="21">
        <f>+E8</f>
        <v>45107</v>
      </c>
      <c r="F116" s="15"/>
      <c r="G116" s="46">
        <f>L117*C22</f>
        <v>5101497.5789412875</v>
      </c>
      <c r="H116" s="15"/>
      <c r="I116" s="24">
        <f>+SUMIF($G$24:$G$115,"&lt;0",$G$24:$G$115)+G58+G66</f>
        <v>-8896519.459999999</v>
      </c>
      <c r="J116" s="15" t="s">
        <v>14</v>
      </c>
      <c r="L116" s="55"/>
      <c r="M116" s="139"/>
    </row>
    <row r="117" spans="3:12" ht="12.75">
      <c r="C117" s="15"/>
      <c r="D117" s="15"/>
      <c r="E117" s="15"/>
      <c r="F117" s="15"/>
      <c r="G117" s="15"/>
      <c r="H117" s="15"/>
      <c r="I117" s="24">
        <f>+SUMIF($G$24:$G$115,"&gt;0",$G$24:$G$115)-G58-G66</f>
        <v>7202379.590000001</v>
      </c>
      <c r="J117" s="15" t="s">
        <v>15</v>
      </c>
      <c r="L117" s="57">
        <v>297790951</v>
      </c>
    </row>
    <row r="118" spans="3:8" ht="12.75">
      <c r="C118" s="14" t="s">
        <v>0</v>
      </c>
      <c r="G118" s="29">
        <f>+XIRR(G24:G116,E24:E116)</f>
        <v>0.10070497393608094</v>
      </c>
      <c r="H118" s="15"/>
    </row>
    <row r="119" spans="3:8" ht="12.75">
      <c r="C119" s="15"/>
      <c r="D119" s="15"/>
      <c r="E119" s="15"/>
      <c r="F119" s="15"/>
      <c r="G119" s="15"/>
      <c r="H119" s="15"/>
    </row>
    <row r="120" spans="3:8" ht="12.75">
      <c r="C120" s="15"/>
      <c r="D120" s="15"/>
      <c r="E120" s="15"/>
      <c r="F120" s="15"/>
      <c r="G120" s="15"/>
      <c r="H120" s="15"/>
    </row>
    <row r="121" spans="3:8" ht="12.75">
      <c r="C121" s="52"/>
      <c r="D121" s="52"/>
      <c r="E121" s="53"/>
      <c r="F121" s="15"/>
      <c r="G121" s="53"/>
      <c r="H121" s="15"/>
    </row>
    <row r="122" spans="3:8" ht="12.75">
      <c r="C122" s="52"/>
      <c r="D122" s="52"/>
      <c r="E122" s="53"/>
      <c r="F122" s="52"/>
      <c r="G122" s="53"/>
      <c r="H122" s="15"/>
    </row>
    <row r="123" spans="3:8" ht="12.75">
      <c r="C123" s="52"/>
      <c r="D123" s="52"/>
      <c r="E123" s="15"/>
      <c r="F123" s="15"/>
      <c r="G123" s="15"/>
      <c r="H123" s="15"/>
    </row>
    <row r="124" spans="3:8" ht="12.75">
      <c r="C124" s="52"/>
      <c r="D124" s="52"/>
      <c r="E124" s="132"/>
      <c r="F124" s="132"/>
      <c r="G124" s="132"/>
      <c r="H124" s="14"/>
    </row>
    <row r="125" spans="3:8" ht="12.75">
      <c r="C125" s="52"/>
      <c r="D125" s="52"/>
      <c r="E125" s="53"/>
      <c r="F125" s="53"/>
      <c r="G125" s="53"/>
      <c r="H125" s="14"/>
    </row>
    <row r="126" spans="3:8" ht="12.75">
      <c r="C126" s="52"/>
      <c r="D126" s="52"/>
      <c r="E126" s="52"/>
      <c r="F126" s="52"/>
      <c r="G126" s="52"/>
      <c r="H126" s="14"/>
    </row>
    <row r="127" spans="3:8" ht="12.75">
      <c r="C127" s="170"/>
      <c r="D127" s="170"/>
      <c r="E127" s="171"/>
      <c r="F127" s="70"/>
      <c r="G127" s="58"/>
      <c r="H127" s="15"/>
    </row>
    <row r="128" spans="3:8" ht="12.75">
      <c r="C128" s="170"/>
      <c r="D128" s="170"/>
      <c r="E128" s="70"/>
      <c r="F128" s="70"/>
      <c r="G128" s="70"/>
      <c r="H128" s="15"/>
    </row>
    <row r="129" spans="3:8" ht="12.75">
      <c r="C129" s="170"/>
      <c r="D129" s="170"/>
      <c r="E129" s="70"/>
      <c r="F129" s="70"/>
      <c r="G129" s="70"/>
      <c r="H129" s="15"/>
    </row>
    <row r="130" spans="3:8" ht="12.75">
      <c r="C130" s="172"/>
      <c r="D130" s="170"/>
      <c r="E130" s="70"/>
      <c r="F130" s="70"/>
      <c r="G130" s="70"/>
      <c r="H130" s="15"/>
    </row>
    <row r="131" spans="3:8" ht="12.75">
      <c r="C131" s="172"/>
      <c r="D131" s="170"/>
      <c r="E131" s="70"/>
      <c r="F131" s="70"/>
      <c r="G131" s="70"/>
      <c r="H131" s="15"/>
    </row>
    <row r="132" spans="3:8" ht="12.75">
      <c r="C132" s="173"/>
      <c r="D132" s="170"/>
      <c r="E132" s="70"/>
      <c r="F132" s="70"/>
      <c r="G132" s="70"/>
      <c r="H132" s="15"/>
    </row>
    <row r="133" spans="3:8" ht="12.75">
      <c r="C133" s="170"/>
      <c r="D133" s="170"/>
      <c r="E133" s="70"/>
      <c r="F133" s="70"/>
      <c r="G133" s="70"/>
      <c r="H133" s="15"/>
    </row>
    <row r="134" spans="3:8" ht="12.75">
      <c r="C134" s="170"/>
      <c r="D134" s="170"/>
      <c r="E134" s="70"/>
      <c r="F134" s="70"/>
      <c r="G134" s="70"/>
      <c r="H134" s="15"/>
    </row>
    <row r="135" spans="3:8" ht="12.75">
      <c r="C135" s="170"/>
      <c r="D135" s="170"/>
      <c r="E135" s="70"/>
      <c r="F135" s="70"/>
      <c r="G135" s="70"/>
      <c r="H135" s="15"/>
    </row>
    <row r="136" spans="3:8" ht="12.75">
      <c r="C136" s="170"/>
      <c r="D136" s="170"/>
      <c r="E136" s="70"/>
      <c r="F136" s="70"/>
      <c r="G136" s="70"/>
      <c r="H136" s="15"/>
    </row>
    <row r="137" spans="3:8" ht="12.75">
      <c r="C137" s="170"/>
      <c r="D137" s="170"/>
      <c r="E137" s="70"/>
      <c r="F137" s="70"/>
      <c r="G137" s="70"/>
      <c r="H137" s="15"/>
    </row>
    <row r="138" spans="3:8" ht="12.75">
      <c r="C138" s="170"/>
      <c r="D138" s="170"/>
      <c r="E138" s="70"/>
      <c r="F138" s="70"/>
      <c r="G138" s="70"/>
      <c r="H138" s="15"/>
    </row>
    <row r="139" spans="3:8" ht="4.9" customHeight="1">
      <c r="C139" s="14"/>
      <c r="D139" s="14"/>
      <c r="E139" s="33"/>
      <c r="F139" s="33"/>
      <c r="G139" s="33"/>
      <c r="H139" s="15"/>
    </row>
    <row r="140" spans="3:8" ht="12.75">
      <c r="C140" s="15"/>
      <c r="D140" s="15"/>
      <c r="E140" s="15"/>
      <c r="F140" s="15"/>
      <c r="G140" s="15"/>
      <c r="H140" s="1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15"/>
      <c r="H142" s="15"/>
    </row>
    <row r="143" spans="3:8" ht="12.75">
      <c r="C143" s="15"/>
      <c r="D143" s="15"/>
      <c r="E143" s="15"/>
      <c r="F143" s="15"/>
      <c r="G143" s="15"/>
      <c r="H143" s="15"/>
    </row>
    <row r="144" spans="3:8" ht="12.75">
      <c r="C144" s="15"/>
      <c r="D144" s="15"/>
      <c r="E144" s="15"/>
      <c r="F144" s="15"/>
      <c r="G144" s="15"/>
      <c r="H144" s="15"/>
    </row>
  </sheetData>
  <mergeCells count="1">
    <mergeCell ref="E124:G12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44854E-62F8-4A35-BA8B-403DB0FFE1D3}">
  <sheetPr>
    <pageSetUpPr fitToPage="1"/>
  </sheetPr>
  <dimension ref="B4:N138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+'EFM III'!E8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27"/>
    </row>
    <row r="11" spans="3:9" ht="12.75">
      <c r="C11" s="163"/>
      <c r="D11" s="163"/>
      <c r="E11" s="164"/>
      <c r="F11" s="163"/>
      <c r="G11" s="164"/>
      <c r="H11" s="7"/>
      <c r="I11" s="27"/>
    </row>
    <row r="12" spans="3:9" ht="15.75">
      <c r="C12" s="165"/>
      <c r="D12" s="165"/>
      <c r="E12" s="166"/>
      <c r="F12" s="165"/>
      <c r="G12" s="166"/>
      <c r="H12" s="5"/>
      <c r="I12" s="27"/>
    </row>
    <row r="13" spans="3:9" ht="12.75">
      <c r="C13" s="163"/>
      <c r="D13" s="163"/>
      <c r="E13" s="167"/>
      <c r="F13" s="163"/>
      <c r="G13" s="57"/>
      <c r="H13" s="8"/>
      <c r="I13" s="27"/>
    </row>
    <row r="14" spans="3:9" ht="12.75">
      <c r="C14" s="163"/>
      <c r="D14" s="163"/>
      <c r="E14" s="168"/>
      <c r="F14" s="163"/>
      <c r="G14" s="57"/>
      <c r="H14" s="9"/>
      <c r="I14" s="27"/>
    </row>
    <row r="15" spans="3:9" ht="12.75">
      <c r="C15" s="163"/>
      <c r="D15" s="163"/>
      <c r="E15" s="164"/>
      <c r="F15" s="163"/>
      <c r="G15" s="164"/>
      <c r="H15" s="7"/>
      <c r="I15" s="27"/>
    </row>
    <row r="16" spans="3:9" ht="15.75">
      <c r="C16" s="5"/>
      <c r="D16" s="5"/>
      <c r="E16" s="11"/>
      <c r="F16" s="5"/>
      <c r="G16" s="11"/>
      <c r="H16" s="5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9" ht="12.75" customHeight="1">
      <c r="C18" s="18" t="s">
        <v>8</v>
      </c>
      <c r="D18" s="18"/>
      <c r="E18" s="8">
        <f>G118</f>
        <v>0.10336151719093323</v>
      </c>
      <c r="F18" s="18"/>
      <c r="G18" s="28"/>
      <c r="H18" s="8"/>
      <c r="I18" s="27"/>
    </row>
    <row r="19" spans="3:8" ht="12.75">
      <c r="C19" s="18" t="s">
        <v>10</v>
      </c>
      <c r="D19" s="18"/>
      <c r="E19" s="34">
        <f>-(G116+I117)/(I116)</f>
        <v>1.3888873921082832</v>
      </c>
      <c r="F19" s="18"/>
      <c r="G19" s="10"/>
      <c r="H19" s="7"/>
    </row>
    <row r="20" spans="3:7" ht="12.75">
      <c r="C20" s="18"/>
      <c r="D20" s="18"/>
      <c r="E20" s="18"/>
      <c r="F20" s="18"/>
      <c r="G20" s="7"/>
    </row>
    <row r="21" spans="3:12" ht="15.75">
      <c r="C21" s="19" t="s">
        <v>95</v>
      </c>
      <c r="D21" s="20"/>
      <c r="E21" s="20"/>
      <c r="F21" s="20"/>
      <c r="I21" s="21"/>
      <c r="J21" s="15"/>
      <c r="L21" s="119"/>
    </row>
    <row r="22" spans="3:10" ht="12.75">
      <c r="C22" s="128">
        <v>0.005037783</v>
      </c>
      <c r="D22" s="15"/>
      <c r="E22" s="15"/>
      <c r="F22" s="15"/>
      <c r="G22" s="23"/>
      <c r="H22" s="15"/>
      <c r="I22" s="15"/>
      <c r="J22" s="15"/>
    </row>
    <row r="23" spans="3:9" ht="12.75">
      <c r="C23" s="15"/>
      <c r="D23" s="15"/>
      <c r="E23" s="21"/>
      <c r="F23" s="24"/>
      <c r="G23" s="24"/>
      <c r="H23" s="15"/>
      <c r="I23" s="25"/>
    </row>
    <row r="24" spans="3:9" ht="12.75">
      <c r="C24" s="15" t="s">
        <v>92</v>
      </c>
      <c r="D24" s="15"/>
      <c r="E24" s="21">
        <v>41829</v>
      </c>
      <c r="F24" s="24"/>
      <c r="G24" s="24">
        <v>-11269.99</v>
      </c>
      <c r="H24" s="15"/>
      <c r="I24" s="25"/>
    </row>
    <row r="25" spans="3:9" ht="12.75">
      <c r="C25" s="157"/>
      <c r="D25" s="15"/>
      <c r="E25" s="21">
        <v>41894</v>
      </c>
      <c r="F25" s="24"/>
      <c r="G25" s="24">
        <v>-5847.33</v>
      </c>
      <c r="H25" s="15"/>
      <c r="I25" s="25"/>
    </row>
    <row r="26" spans="3:9" ht="12.75">
      <c r="C26" s="15"/>
      <c r="D26" s="15"/>
      <c r="E26" s="21">
        <v>41942</v>
      </c>
      <c r="F26" s="24"/>
      <c r="G26" s="24">
        <v>-3070.67</v>
      </c>
      <c r="H26" s="15"/>
      <c r="I26" s="25"/>
    </row>
    <row r="27" spans="3:9" ht="12.75">
      <c r="C27" s="15"/>
      <c r="D27" s="15"/>
      <c r="E27" s="21">
        <v>41999</v>
      </c>
      <c r="F27" s="24"/>
      <c r="G27" s="24">
        <v>-4377.33</v>
      </c>
      <c r="H27" s="15"/>
      <c r="I27" s="25"/>
    </row>
    <row r="28" spans="3:9" ht="12.75">
      <c r="C28" s="15" t="s">
        <v>76</v>
      </c>
      <c r="E28" s="21">
        <v>42037</v>
      </c>
      <c r="G28" s="24">
        <v>-4312</v>
      </c>
      <c r="H28" s="15"/>
      <c r="I28" s="25"/>
    </row>
    <row r="29" spans="5:9" ht="12.75">
      <c r="E29" s="21">
        <v>42093</v>
      </c>
      <c r="G29" s="24">
        <v>-5586</v>
      </c>
      <c r="H29" s="15"/>
      <c r="I29" s="25"/>
    </row>
    <row r="30" spans="5:9" ht="12.75">
      <c r="E30" s="21">
        <v>42109</v>
      </c>
      <c r="G30" s="24">
        <v>-4181.33</v>
      </c>
      <c r="H30" s="15"/>
      <c r="I30" s="25"/>
    </row>
    <row r="31" spans="5:9" ht="12.75">
      <c r="E31" s="21">
        <v>42144</v>
      </c>
      <c r="G31" s="24">
        <v>-2450</v>
      </c>
      <c r="H31" s="15"/>
      <c r="I31" s="25"/>
    </row>
    <row r="32" spans="5:14" ht="12.75">
      <c r="E32" s="21">
        <v>42184</v>
      </c>
      <c r="G32" s="24">
        <v>-3756.67</v>
      </c>
      <c r="H32" s="15"/>
      <c r="I32" s="25"/>
      <c r="J32" s="25"/>
      <c r="K32" s="15"/>
      <c r="M32" s="30"/>
      <c r="N32" s="31"/>
    </row>
    <row r="33" spans="5:14" ht="12.75">
      <c r="E33" s="21">
        <v>42227</v>
      </c>
      <c r="G33" s="24">
        <v>-4998</v>
      </c>
      <c r="H33" s="15"/>
      <c r="I33" s="25"/>
      <c r="J33" s="25"/>
      <c r="K33" s="15"/>
      <c r="M33" s="30"/>
      <c r="N33" s="31"/>
    </row>
    <row r="34" spans="5:14" ht="12.75">
      <c r="E34" s="21">
        <v>42261</v>
      </c>
      <c r="G34" s="24">
        <v>-6598.67</v>
      </c>
      <c r="H34" s="15"/>
      <c r="I34" s="25"/>
      <c r="J34" s="25"/>
      <c r="K34" s="15"/>
      <c r="M34" s="30"/>
      <c r="N34" s="31"/>
    </row>
    <row r="35" spans="5:14" ht="12.75">
      <c r="E35" s="21">
        <v>42368</v>
      </c>
      <c r="G35" s="24">
        <v>-5390</v>
      </c>
      <c r="H35" s="15"/>
      <c r="I35" s="25"/>
      <c r="J35" s="25"/>
      <c r="K35" s="15"/>
      <c r="M35" s="30"/>
      <c r="N35" s="31"/>
    </row>
    <row r="36" spans="3:14" ht="12.75">
      <c r="C36" s="15" t="s">
        <v>77</v>
      </c>
      <c r="D36" s="15"/>
      <c r="E36" s="21">
        <v>42396</v>
      </c>
      <c r="G36" s="24">
        <v>-94439.34</v>
      </c>
      <c r="H36" s="15"/>
      <c r="I36" s="25"/>
      <c r="J36" s="25"/>
      <c r="K36" s="15"/>
      <c r="M36" s="30"/>
      <c r="N36" s="31"/>
    </row>
    <row r="37" spans="3:14" ht="12.75">
      <c r="C37" s="15"/>
      <c r="D37" s="15"/>
      <c r="E37" s="21">
        <v>42445</v>
      </c>
      <c r="G37" s="24">
        <v>-8003.34</v>
      </c>
      <c r="H37" s="15"/>
      <c r="I37" s="25"/>
      <c r="J37" s="25"/>
      <c r="K37" s="15"/>
      <c r="M37" s="30"/>
      <c r="N37" s="31"/>
    </row>
    <row r="38" spans="3:14" ht="12.75">
      <c r="C38" s="15"/>
      <c r="D38" s="15"/>
      <c r="E38" s="21">
        <v>42549</v>
      </c>
      <c r="G38" s="24">
        <v>-12968.67</v>
      </c>
      <c r="H38" s="15"/>
      <c r="I38" s="25"/>
      <c r="J38" s="25"/>
      <c r="K38" s="15"/>
      <c r="M38" s="30"/>
      <c r="N38" s="31"/>
    </row>
    <row r="39" spans="3:14" ht="12.75">
      <c r="C39" s="15"/>
      <c r="D39" s="15"/>
      <c r="E39" s="21">
        <v>42586</v>
      </c>
      <c r="G39" s="24">
        <v>-9963.33</v>
      </c>
      <c r="H39" s="15"/>
      <c r="I39" s="25"/>
      <c r="J39" s="25"/>
      <c r="K39" s="15"/>
      <c r="M39" s="30"/>
      <c r="N39" s="31"/>
    </row>
    <row r="40" spans="3:14" ht="12.75">
      <c r="C40" s="15"/>
      <c r="D40" s="15"/>
      <c r="E40" s="21">
        <v>42607</v>
      </c>
      <c r="G40" s="24">
        <v>-7546</v>
      </c>
      <c r="H40" s="15"/>
      <c r="I40" s="25"/>
      <c r="J40" s="25"/>
      <c r="K40" s="15"/>
      <c r="M40" s="30"/>
      <c r="N40" s="31"/>
    </row>
    <row r="41" spans="3:14" ht="12.75">
      <c r="C41" s="15"/>
      <c r="D41" s="15"/>
      <c r="E41" s="21">
        <v>42613</v>
      </c>
      <c r="G41" s="24">
        <v>-159903.33</v>
      </c>
      <c r="H41" s="15"/>
      <c r="I41" s="25"/>
      <c r="J41" s="25"/>
      <c r="K41" s="15"/>
      <c r="M41" s="30"/>
      <c r="N41" s="31"/>
    </row>
    <row r="42" spans="3:14" ht="12.75">
      <c r="C42" s="15"/>
      <c r="D42" s="15"/>
      <c r="E42" s="21">
        <v>42640</v>
      </c>
      <c r="G42" s="24">
        <v>-3756.67</v>
      </c>
      <c r="H42" s="15"/>
      <c r="I42" s="25"/>
      <c r="J42" s="25"/>
      <c r="K42" s="15"/>
      <c r="M42" s="30"/>
      <c r="N42" s="31"/>
    </row>
    <row r="43" spans="3:14" ht="12.75">
      <c r="C43" s="15"/>
      <c r="D43" s="15"/>
      <c r="E43" s="21">
        <v>42732</v>
      </c>
      <c r="G43" s="24">
        <v>-5226.67</v>
      </c>
      <c r="H43" s="15"/>
      <c r="I43" s="25"/>
      <c r="J43" s="25"/>
      <c r="K43" s="15"/>
      <c r="M43" s="30"/>
      <c r="N43" s="31"/>
    </row>
    <row r="44" spans="3:14" ht="12.75">
      <c r="C44" s="15" t="s">
        <v>78</v>
      </c>
      <c r="D44" s="15"/>
      <c r="E44" s="21">
        <v>42377</v>
      </c>
      <c r="G44" s="24">
        <v>47121.98</v>
      </c>
      <c r="H44" s="15"/>
      <c r="I44" s="25"/>
      <c r="J44" s="25"/>
      <c r="K44" s="15"/>
      <c r="M44" s="30"/>
      <c r="N44" s="31"/>
    </row>
    <row r="45" spans="3:14" ht="12.75">
      <c r="C45" s="15"/>
      <c r="D45" s="15"/>
      <c r="E45" s="21">
        <v>42551</v>
      </c>
      <c r="G45" s="24">
        <v>4861.16</v>
      </c>
      <c r="H45" s="15"/>
      <c r="I45" s="25"/>
      <c r="J45" s="25"/>
      <c r="K45" s="15"/>
      <c r="M45" s="30"/>
      <c r="N45" s="31"/>
    </row>
    <row r="46" spans="3:14" ht="12.75">
      <c r="C46" s="15"/>
      <c r="D46" s="15"/>
      <c r="E46" s="21">
        <v>42642</v>
      </c>
      <c r="G46" s="24">
        <v>9354.83</v>
      </c>
      <c r="H46" s="15"/>
      <c r="I46" s="25"/>
      <c r="J46" s="25"/>
      <c r="K46" s="15"/>
      <c r="M46" s="30"/>
      <c r="N46" s="31"/>
    </row>
    <row r="47" spans="3:14" ht="15.75">
      <c r="C47" s="15"/>
      <c r="D47" s="15"/>
      <c r="E47" s="21">
        <v>42655</v>
      </c>
      <c r="G47" s="24">
        <v>3825.81</v>
      </c>
      <c r="H47" s="15"/>
      <c r="I47" s="25"/>
      <c r="J47" s="115"/>
      <c r="K47" s="116"/>
      <c r="L47" s="162"/>
      <c r="M47" s="30"/>
      <c r="N47" s="31"/>
    </row>
    <row r="48" spans="3:14" ht="12.75">
      <c r="C48" s="15" t="s">
        <v>79</v>
      </c>
      <c r="D48" s="15"/>
      <c r="E48" s="21">
        <v>42765</v>
      </c>
      <c r="G48" s="24">
        <v>-17248</v>
      </c>
      <c r="H48" s="15"/>
      <c r="I48" s="25"/>
      <c r="J48" s="115"/>
      <c r="K48" s="116"/>
      <c r="L48" s="57"/>
      <c r="M48" s="30"/>
      <c r="N48" s="31"/>
    </row>
    <row r="49" spans="3:14" ht="12.75">
      <c r="C49" s="15"/>
      <c r="D49" s="15"/>
      <c r="E49" s="21">
        <v>42822</v>
      </c>
      <c r="G49" s="24">
        <v>-9571.33</v>
      </c>
      <c r="H49" s="15"/>
      <c r="I49" s="25"/>
      <c r="J49" s="115"/>
      <c r="K49" s="116"/>
      <c r="L49" s="57"/>
      <c r="M49" s="30"/>
      <c r="N49" s="31"/>
    </row>
    <row r="50" spans="3:14" ht="12.75">
      <c r="C50" s="15"/>
      <c r="D50" s="15"/>
      <c r="E50" s="21">
        <v>42852</v>
      </c>
      <c r="G50" s="24">
        <v>-9996</v>
      </c>
      <c r="H50" s="15"/>
      <c r="I50" s="25"/>
      <c r="J50" s="115"/>
      <c r="K50" s="116"/>
      <c r="L50" s="57"/>
      <c r="M50" s="30"/>
      <c r="N50" s="31"/>
    </row>
    <row r="51" spans="3:14" ht="12.75">
      <c r="C51" s="15"/>
      <c r="D51" s="15"/>
      <c r="E51" s="21">
        <v>42913</v>
      </c>
      <c r="G51" s="24">
        <v>-40114.67</v>
      </c>
      <c r="H51" s="15"/>
      <c r="I51" s="25"/>
      <c r="J51" s="115"/>
      <c r="K51" s="116"/>
      <c r="L51" s="57"/>
      <c r="M51" s="30"/>
      <c r="N51" s="31"/>
    </row>
    <row r="52" spans="3:14" ht="12.75">
      <c r="C52" s="15"/>
      <c r="D52" s="15"/>
      <c r="E52" s="21">
        <v>42991</v>
      </c>
      <c r="G52" s="24">
        <v>-17640</v>
      </c>
      <c r="H52" s="15"/>
      <c r="I52" s="25"/>
      <c r="J52" s="115"/>
      <c r="K52" s="116"/>
      <c r="L52" s="169"/>
      <c r="M52" s="30"/>
      <c r="N52" s="31"/>
    </row>
    <row r="53" spans="3:14" ht="12.75">
      <c r="C53" s="15"/>
      <c r="D53" s="15"/>
      <c r="E53" s="21">
        <v>43006</v>
      </c>
      <c r="G53" s="24">
        <v>-12576.67</v>
      </c>
      <c r="H53" s="15"/>
      <c r="I53" s="25"/>
      <c r="J53" s="115"/>
      <c r="K53" s="116"/>
      <c r="L53" s="169"/>
      <c r="M53" s="30"/>
      <c r="N53" s="31"/>
    </row>
    <row r="54" spans="3:14" ht="12.75">
      <c r="C54" s="15"/>
      <c r="D54" s="15"/>
      <c r="E54" s="21">
        <v>43080</v>
      </c>
      <c r="F54" s="24"/>
      <c r="G54" s="24">
        <v>-6272</v>
      </c>
      <c r="H54" s="15"/>
      <c r="I54" s="25"/>
      <c r="J54" s="115"/>
      <c r="K54" s="116"/>
      <c r="L54" s="169"/>
      <c r="M54" s="30"/>
      <c r="N54" s="31"/>
    </row>
    <row r="55" spans="3:14" ht="12.75">
      <c r="C55" s="15"/>
      <c r="D55" s="15"/>
      <c r="E55" s="21">
        <v>43095</v>
      </c>
      <c r="F55" s="24"/>
      <c r="G55" s="24">
        <v>-12478.67</v>
      </c>
      <c r="H55" s="15"/>
      <c r="I55" s="25"/>
      <c r="J55" s="25"/>
      <c r="K55" s="15"/>
      <c r="M55" s="30"/>
      <c r="N55" s="31"/>
    </row>
    <row r="56" spans="3:14" ht="12.75">
      <c r="C56" s="15" t="s">
        <v>80</v>
      </c>
      <c r="D56" s="15"/>
      <c r="E56" s="21">
        <v>42747</v>
      </c>
      <c r="G56" s="24">
        <v>14195.47</v>
      </c>
      <c r="H56" s="15"/>
      <c r="I56" s="25"/>
      <c r="J56" s="25"/>
      <c r="K56" s="15"/>
      <c r="M56" s="30"/>
      <c r="N56" s="31"/>
    </row>
    <row r="57" spans="3:14" ht="12.75">
      <c r="C57" s="15" t="s">
        <v>81</v>
      </c>
      <c r="D57" s="15"/>
      <c r="E57" s="21">
        <v>43130</v>
      </c>
      <c r="G57" s="24">
        <v>-121193.33</v>
      </c>
      <c r="H57" s="15"/>
      <c r="I57" s="25"/>
      <c r="J57" s="25"/>
      <c r="K57" s="15"/>
      <c r="M57" s="30"/>
      <c r="N57" s="31"/>
    </row>
    <row r="58" spans="3:14" ht="12.75">
      <c r="C58" s="15"/>
      <c r="D58" s="15"/>
      <c r="E58" s="21">
        <v>43143</v>
      </c>
      <c r="G58" s="24">
        <v>33560.10</v>
      </c>
      <c r="H58" s="15"/>
      <c r="I58" s="25"/>
      <c r="J58" s="25"/>
      <c r="K58" s="15"/>
      <c r="M58" s="30"/>
      <c r="N58" s="31"/>
    </row>
    <row r="59" spans="3:14" ht="12.75">
      <c r="C59" s="15"/>
      <c r="D59" s="15"/>
      <c r="E59" s="21">
        <v>43173</v>
      </c>
      <c r="G59" s="24">
        <v>-9146.66</v>
      </c>
      <c r="H59" s="15"/>
      <c r="I59" s="25"/>
      <c r="J59" s="25"/>
      <c r="K59" s="15"/>
      <c r="M59" s="30"/>
      <c r="N59" s="31"/>
    </row>
    <row r="60" spans="3:14" ht="12.75">
      <c r="C60" s="15"/>
      <c r="D60" s="15"/>
      <c r="E60" s="21">
        <v>43216</v>
      </c>
      <c r="G60" s="24">
        <v>-16333.33</v>
      </c>
      <c r="H60" s="15"/>
      <c r="I60" s="25"/>
      <c r="J60" s="25"/>
      <c r="K60" s="15"/>
      <c r="M60" s="30"/>
      <c r="N60" s="31"/>
    </row>
    <row r="61" spans="3:14" ht="12.75">
      <c r="C61" s="15"/>
      <c r="D61" s="15"/>
      <c r="E61" s="21">
        <v>43265</v>
      </c>
      <c r="G61" s="24">
        <v>-9342.67</v>
      </c>
      <c r="H61" s="15"/>
      <c r="I61" s="25"/>
      <c r="J61" s="25"/>
      <c r="K61" s="15"/>
      <c r="M61" s="30"/>
      <c r="N61" s="31"/>
    </row>
    <row r="62" spans="3:14" ht="12.75">
      <c r="C62" s="15"/>
      <c r="D62" s="15"/>
      <c r="E62" s="21">
        <v>43292</v>
      </c>
      <c r="G62" s="24">
        <v>-16333.33</v>
      </c>
      <c r="H62" s="15"/>
      <c r="I62" s="25"/>
      <c r="J62" s="25"/>
      <c r="K62" s="15"/>
      <c r="M62" s="30"/>
      <c r="N62" s="31"/>
    </row>
    <row r="63" spans="3:14" ht="12.75">
      <c r="C63" s="15"/>
      <c r="D63" s="15"/>
      <c r="E63" s="21">
        <v>43328</v>
      </c>
      <c r="G63" s="24">
        <v>-59388</v>
      </c>
      <c r="H63" s="15"/>
      <c r="I63" s="25"/>
      <c r="J63" s="25"/>
      <c r="K63" s="15"/>
      <c r="M63" s="30"/>
      <c r="N63" s="31"/>
    </row>
    <row r="64" spans="3:14" ht="12.75">
      <c r="C64" s="15"/>
      <c r="D64" s="15"/>
      <c r="E64" s="21">
        <v>43360</v>
      </c>
      <c r="G64" s="24">
        <v>-9015.99</v>
      </c>
      <c r="H64" s="15"/>
      <c r="I64" s="25"/>
      <c r="J64" s="25"/>
      <c r="K64" s="15"/>
      <c r="M64" s="30"/>
      <c r="N64" s="31"/>
    </row>
    <row r="65" spans="3:14" ht="12.75">
      <c r="C65" s="15"/>
      <c r="D65" s="15"/>
      <c r="E65" s="21">
        <v>43369</v>
      </c>
      <c r="G65" s="24">
        <v>-195706</v>
      </c>
      <c r="H65" s="15"/>
      <c r="I65" s="25"/>
      <c r="J65" s="25"/>
      <c r="K65" s="15"/>
      <c r="M65" s="30"/>
      <c r="N65" s="31"/>
    </row>
    <row r="66" spans="3:14" ht="12.75">
      <c r="C66" s="15"/>
      <c r="D66" s="15"/>
      <c r="E66" s="21">
        <v>43389</v>
      </c>
      <c r="G66" s="24">
        <v>13066.66</v>
      </c>
      <c r="H66" s="15"/>
      <c r="I66" s="25"/>
      <c r="J66" s="25"/>
      <c r="K66" s="15"/>
      <c r="M66" s="30"/>
      <c r="N66" s="31"/>
    </row>
    <row r="67" spans="3:14" ht="12.75">
      <c r="C67" s="15"/>
      <c r="D67" s="15"/>
      <c r="E67" s="21">
        <v>43445</v>
      </c>
      <c r="G67" s="24">
        <v>-31261.99</v>
      </c>
      <c r="H67" s="15"/>
      <c r="I67" s="25"/>
      <c r="J67" s="25"/>
      <c r="K67" s="15"/>
      <c r="M67" s="30"/>
      <c r="N67" s="31"/>
    </row>
    <row r="68" spans="3:14" ht="12.75">
      <c r="C68" s="15" t="s">
        <v>82</v>
      </c>
      <c r="D68" s="15"/>
      <c r="E68" s="21">
        <v>43111</v>
      </c>
      <c r="G68" s="24">
        <v>12442.59</v>
      </c>
      <c r="H68" s="15"/>
      <c r="I68" s="25"/>
      <c r="J68" s="25"/>
      <c r="K68" s="15"/>
      <c r="M68" s="30"/>
      <c r="N68" s="31"/>
    </row>
    <row r="69" spans="3:14" ht="12.75">
      <c r="C69" s="15"/>
      <c r="D69" s="15"/>
      <c r="E69" s="21">
        <v>43153</v>
      </c>
      <c r="G69" s="24">
        <v>314282.78</v>
      </c>
      <c r="H69" s="15"/>
      <c r="I69" s="25"/>
      <c r="J69" s="25"/>
      <c r="K69" s="15"/>
      <c r="M69" s="30"/>
      <c r="N69" s="31"/>
    </row>
    <row r="70" spans="3:14" ht="12.75">
      <c r="C70" s="15"/>
      <c r="D70" s="15"/>
      <c r="E70" s="21">
        <v>43446</v>
      </c>
      <c r="G70" s="24">
        <v>14771.51</v>
      </c>
      <c r="H70" s="15"/>
      <c r="I70" s="25"/>
      <c r="J70" s="25"/>
      <c r="K70" s="15"/>
      <c r="M70" s="30"/>
      <c r="N70" s="31"/>
    </row>
    <row r="71" spans="3:14" ht="12.75">
      <c r="C71" s="15" t="s">
        <v>83</v>
      </c>
      <c r="D71" s="15"/>
      <c r="E71" s="21">
        <v>43522</v>
      </c>
      <c r="G71" s="24">
        <v>-52724</v>
      </c>
      <c r="H71" s="15"/>
      <c r="I71" s="25"/>
      <c r="J71" s="25"/>
      <c r="K71" s="15"/>
      <c r="M71" s="30"/>
      <c r="N71" s="31"/>
    </row>
    <row r="72" spans="3:14" ht="12.75">
      <c r="C72" s="15"/>
      <c r="D72" s="15"/>
      <c r="E72" s="21">
        <v>43563</v>
      </c>
      <c r="G72" s="24">
        <v>-26492.67</v>
      </c>
      <c r="H72" s="15"/>
      <c r="I72" s="25"/>
      <c r="J72" s="25"/>
      <c r="K72" s="15"/>
      <c r="M72" s="30"/>
      <c r="N72" s="31"/>
    </row>
    <row r="73" spans="3:14" ht="12.75">
      <c r="C73" s="15"/>
      <c r="D73" s="15"/>
      <c r="E73" s="21">
        <v>43600</v>
      </c>
      <c r="G73" s="24">
        <v>-16170.01</v>
      </c>
      <c r="H73" s="15"/>
      <c r="I73" s="25"/>
      <c r="J73" s="25"/>
      <c r="K73" s="15"/>
      <c r="M73" s="30"/>
      <c r="N73" s="31"/>
    </row>
    <row r="74" spans="3:14" ht="12.75">
      <c r="C74" s="15"/>
      <c r="D74" s="15"/>
      <c r="E74" s="21">
        <v>43643</v>
      </c>
      <c r="G74" s="24">
        <v>-9179.34</v>
      </c>
      <c r="H74" s="15"/>
      <c r="I74" s="25"/>
      <c r="J74" s="25"/>
      <c r="K74" s="15"/>
      <c r="M74" s="30"/>
      <c r="N74" s="31"/>
    </row>
    <row r="75" spans="3:14" ht="12.75">
      <c r="C75" s="15"/>
      <c r="D75" s="15"/>
      <c r="E75" s="21">
        <v>43655</v>
      </c>
      <c r="G75" s="24">
        <v>-14373.34</v>
      </c>
      <c r="H75" s="15"/>
      <c r="I75" s="25"/>
      <c r="J75" s="25"/>
      <c r="K75" s="15"/>
      <c r="M75" s="30"/>
      <c r="N75" s="31"/>
    </row>
    <row r="76" spans="3:14" ht="12.75">
      <c r="C76" s="15"/>
      <c r="D76" s="15"/>
      <c r="E76" s="21">
        <v>43685</v>
      </c>
      <c r="G76" s="24">
        <v>-16137.34</v>
      </c>
      <c r="H76" s="15"/>
      <c r="I76" s="25"/>
      <c r="J76" s="25"/>
      <c r="K76" s="15"/>
      <c r="M76" s="30"/>
      <c r="N76" s="31"/>
    </row>
    <row r="77" spans="3:14" ht="12.75">
      <c r="C77" s="15"/>
      <c r="D77" s="15"/>
      <c r="E77" s="21">
        <v>43697</v>
      </c>
      <c r="G77" s="24">
        <v>-4851</v>
      </c>
      <c r="H77" s="15"/>
      <c r="I77" s="25"/>
      <c r="J77" s="25"/>
      <c r="K77" s="15"/>
      <c r="M77" s="30"/>
      <c r="N77" s="31"/>
    </row>
    <row r="78" spans="3:14" ht="12.75">
      <c r="C78" s="15"/>
      <c r="D78" s="15"/>
      <c r="E78" s="21">
        <v>43727</v>
      </c>
      <c r="G78" s="24">
        <v>-13393.33</v>
      </c>
      <c r="H78" s="15"/>
      <c r="I78" s="25"/>
      <c r="J78" s="25"/>
      <c r="K78" s="15"/>
      <c r="M78" s="30"/>
      <c r="N78" s="31"/>
    </row>
    <row r="79" spans="3:14" ht="12.75">
      <c r="C79" s="15"/>
      <c r="D79" s="15"/>
      <c r="E79" s="21">
        <v>43756</v>
      </c>
      <c r="G79" s="24">
        <v>-7252</v>
      </c>
      <c r="H79" s="15"/>
      <c r="I79" s="25"/>
      <c r="J79" s="25"/>
      <c r="K79" s="15"/>
      <c r="M79" s="30"/>
      <c r="N79" s="31"/>
    </row>
    <row r="80" spans="3:14" ht="12.75">
      <c r="C80" s="15"/>
      <c r="D80" s="15"/>
      <c r="E80" s="21">
        <v>43783</v>
      </c>
      <c r="G80" s="24">
        <v>-8085</v>
      </c>
      <c r="H80" s="15"/>
      <c r="I80" s="25"/>
      <c r="J80" s="25"/>
      <c r="K80" s="15"/>
      <c r="M80" s="30"/>
      <c r="N80" s="31"/>
    </row>
    <row r="81" spans="3:14" ht="12.75">
      <c r="C81" s="15"/>
      <c r="D81" s="15"/>
      <c r="E81" s="21">
        <v>43795</v>
      </c>
      <c r="G81" s="24">
        <v>-19861.33</v>
      </c>
      <c r="H81" s="15"/>
      <c r="I81" s="25"/>
      <c r="J81" s="25"/>
      <c r="K81" s="15"/>
      <c r="M81" s="30"/>
      <c r="N81" s="31"/>
    </row>
    <row r="82" spans="3:14" ht="12.75">
      <c r="C82" s="15"/>
      <c r="D82" s="15"/>
      <c r="E82" s="21">
        <v>43830</v>
      </c>
      <c r="G82" s="24">
        <v>-5684</v>
      </c>
      <c r="H82" s="15"/>
      <c r="I82" s="25"/>
      <c r="J82" s="25"/>
      <c r="K82" s="15"/>
      <c r="M82" s="30"/>
      <c r="N82" s="31"/>
    </row>
    <row r="83" spans="3:14" ht="12.75">
      <c r="C83" s="15" t="s">
        <v>84</v>
      </c>
      <c r="D83" s="15"/>
      <c r="E83" s="21">
        <v>43620</v>
      </c>
      <c r="G83" s="24">
        <v>5990.27</v>
      </c>
      <c r="H83" s="15"/>
      <c r="I83" s="25"/>
      <c r="J83" s="25"/>
      <c r="K83" s="15"/>
      <c r="M83" s="30"/>
      <c r="N83" s="31"/>
    </row>
    <row r="84" spans="3:14" ht="12.75">
      <c r="C84" s="15"/>
      <c r="D84" s="15"/>
      <c r="E84" s="21">
        <v>43669</v>
      </c>
      <c r="G84" s="24">
        <v>23646.60</v>
      </c>
      <c r="H84" s="15"/>
      <c r="I84" s="25"/>
      <c r="J84" s="25"/>
      <c r="K84" s="15"/>
      <c r="M84" s="30"/>
      <c r="N84" s="31"/>
    </row>
    <row r="85" spans="3:14" ht="12.75">
      <c r="C85" s="15"/>
      <c r="D85" s="15"/>
      <c r="E85" s="21">
        <v>43717</v>
      </c>
      <c r="G85" s="24">
        <v>8039.89</v>
      </c>
      <c r="H85" s="15"/>
      <c r="I85" s="25"/>
      <c r="J85" s="25"/>
      <c r="K85" s="15"/>
      <c r="M85" s="30"/>
      <c r="N85" s="31"/>
    </row>
    <row r="86" spans="3:14" ht="12.75">
      <c r="C86" s="15" t="s">
        <v>16</v>
      </c>
      <c r="D86" s="15"/>
      <c r="E86" s="21">
        <v>43858</v>
      </c>
      <c r="G86" s="24">
        <v>-8656.67</v>
      </c>
      <c r="H86" s="15"/>
      <c r="I86" s="25"/>
      <c r="J86" s="25"/>
      <c r="K86" s="15"/>
      <c r="M86" s="30"/>
      <c r="N86" s="31"/>
    </row>
    <row r="87" spans="3:14" ht="12.75">
      <c r="C87" s="15"/>
      <c r="D87" s="15"/>
      <c r="E87" s="21">
        <v>43860</v>
      </c>
      <c r="G87" s="24">
        <v>-9734.67</v>
      </c>
      <c r="H87" s="15"/>
      <c r="I87" s="25"/>
      <c r="J87" s="25"/>
      <c r="K87" s="15"/>
      <c r="M87" s="30"/>
      <c r="N87" s="31"/>
    </row>
    <row r="88" spans="3:14" ht="12.75">
      <c r="C88" s="15"/>
      <c r="D88" s="15"/>
      <c r="E88" s="21">
        <v>43915</v>
      </c>
      <c r="G88" s="24">
        <v>-9211.99</v>
      </c>
      <c r="H88" s="15"/>
      <c r="I88" s="25"/>
      <c r="J88" s="25"/>
      <c r="K88" s="15"/>
      <c r="M88" s="30"/>
      <c r="N88" s="31"/>
    </row>
    <row r="89" spans="3:14" ht="12.75">
      <c r="C89" s="15"/>
      <c r="D89" s="15"/>
      <c r="E89" s="21">
        <v>43917</v>
      </c>
      <c r="G89" s="24">
        <v>-2263.8</v>
      </c>
      <c r="H89" s="15"/>
      <c r="I89" s="25"/>
      <c r="J89" s="25"/>
      <c r="K89" s="15"/>
      <c r="M89" s="30"/>
      <c r="N89" s="31"/>
    </row>
    <row r="90" spans="3:14" ht="12.75">
      <c r="C90" s="15"/>
      <c r="D90" s="15"/>
      <c r="E90" s="21">
        <v>43980</v>
      </c>
      <c r="G90" s="24">
        <v>-9571.33</v>
      </c>
      <c r="H90" s="15"/>
      <c r="I90" s="25"/>
      <c r="J90" s="25"/>
      <c r="K90" s="15"/>
      <c r="M90" s="30"/>
      <c r="N90" s="31"/>
    </row>
    <row r="91" spans="3:14" ht="12.75">
      <c r="C91" s="15"/>
      <c r="D91" s="15"/>
      <c r="E91" s="21">
        <v>43999</v>
      </c>
      <c r="G91" s="24">
        <v>-13066.67</v>
      </c>
      <c r="H91" s="15"/>
      <c r="I91" s="25"/>
      <c r="J91" s="25"/>
      <c r="K91" s="15"/>
      <c r="M91" s="30"/>
      <c r="N91" s="31"/>
    </row>
    <row r="92" spans="3:14" ht="12.75">
      <c r="C92" s="15"/>
      <c r="D92" s="15"/>
      <c r="E92" s="21">
        <v>44047</v>
      </c>
      <c r="G92" s="24">
        <v>-1057.55</v>
      </c>
      <c r="H92" s="15"/>
      <c r="I92" s="25"/>
      <c r="J92" s="25"/>
      <c r="K92" s="15"/>
      <c r="M92" s="30"/>
      <c r="N92" s="31"/>
    </row>
    <row r="93" spans="3:14" ht="12.75">
      <c r="C93" s="15" t="s">
        <v>85</v>
      </c>
      <c r="D93" s="15"/>
      <c r="E93" s="21">
        <v>43888</v>
      </c>
      <c r="G93" s="24">
        <v>30158.41</v>
      </c>
      <c r="H93" s="15"/>
      <c r="I93" s="25"/>
      <c r="J93" s="25"/>
      <c r="K93" s="15"/>
      <c r="M93" s="30"/>
      <c r="N93" s="31"/>
    </row>
    <row r="94" spans="3:14" ht="12.75">
      <c r="C94" s="15"/>
      <c r="D94" s="15"/>
      <c r="E94" s="21">
        <v>44089</v>
      </c>
      <c r="G94" s="24">
        <v>4248.9</v>
      </c>
      <c r="H94" s="15"/>
      <c r="I94" s="25"/>
      <c r="J94" s="25"/>
      <c r="K94" s="15"/>
      <c r="M94" s="30"/>
      <c r="N94" s="31"/>
    </row>
    <row r="95" spans="3:14" ht="15.75">
      <c r="C95" s="15" t="s">
        <v>41</v>
      </c>
      <c r="D95" s="15"/>
      <c r="E95" s="21">
        <v>44202</v>
      </c>
      <c r="G95" s="24">
        <v>-6370</v>
      </c>
      <c r="H95" s="15"/>
      <c r="I95" s="25"/>
      <c r="J95" s="25"/>
      <c r="K95" s="15"/>
      <c r="L95" s="55"/>
      <c r="M95" s="30"/>
      <c r="N95" s="31"/>
    </row>
    <row r="96" spans="3:14" ht="15.75">
      <c r="C96" s="15"/>
      <c r="D96" s="15"/>
      <c r="E96" s="21">
        <v>44377</v>
      </c>
      <c r="G96" s="24">
        <v>-3070.67</v>
      </c>
      <c r="H96" s="15"/>
      <c r="I96" s="25"/>
      <c r="J96" s="25"/>
      <c r="K96" s="15"/>
      <c r="L96" s="55"/>
      <c r="M96" s="30"/>
      <c r="N96" s="31"/>
    </row>
    <row r="97" spans="3:14" ht="15.75">
      <c r="C97" s="15"/>
      <c r="D97" s="15"/>
      <c r="E97" s="21">
        <v>44469</v>
      </c>
      <c r="G97" s="24">
        <v>-3038</v>
      </c>
      <c r="H97" s="15"/>
      <c r="I97" s="25"/>
      <c r="J97" s="25"/>
      <c r="K97" s="15"/>
      <c r="L97" s="55"/>
      <c r="M97" s="30"/>
      <c r="N97" s="31"/>
    </row>
    <row r="98" spans="3:14" ht="15.75">
      <c r="C98" s="15"/>
      <c r="D98" s="15"/>
      <c r="E98" s="21">
        <v>44545</v>
      </c>
      <c r="G98" s="24">
        <v>-3038</v>
      </c>
      <c r="H98" s="15"/>
      <c r="I98" s="25"/>
      <c r="J98" s="25"/>
      <c r="K98" s="15"/>
      <c r="L98" s="55"/>
      <c r="M98" s="30"/>
      <c r="N98" s="31"/>
    </row>
    <row r="99" spans="3:14" ht="15.75">
      <c r="C99" s="15" t="s">
        <v>71</v>
      </c>
      <c r="D99" s="15"/>
      <c r="E99" s="21">
        <v>44265</v>
      </c>
      <c r="G99" s="24">
        <v>15001.02</v>
      </c>
      <c r="H99" s="15"/>
      <c r="I99" s="25"/>
      <c r="J99" s="25"/>
      <c r="K99" s="15"/>
      <c r="L99" s="55"/>
      <c r="M99" s="30"/>
      <c r="N99" s="31"/>
    </row>
    <row r="100" spans="3:14" ht="15.75">
      <c r="C100" s="15"/>
      <c r="D100" s="15"/>
      <c r="E100" s="21">
        <v>44376</v>
      </c>
      <c r="G100" s="24">
        <v>7531.51</v>
      </c>
      <c r="H100" s="15"/>
      <c r="I100" s="25"/>
      <c r="J100" s="25"/>
      <c r="K100" s="15"/>
      <c r="L100" s="55"/>
      <c r="M100" s="30"/>
      <c r="N100" s="31"/>
    </row>
    <row r="101" spans="3:14" ht="15.75">
      <c r="C101" s="15"/>
      <c r="D101" s="15"/>
      <c r="E101" s="21">
        <v>44449</v>
      </c>
      <c r="G101" s="24">
        <v>13342.52</v>
      </c>
      <c r="H101" s="15"/>
      <c r="I101" s="25"/>
      <c r="J101" s="25"/>
      <c r="K101" s="15"/>
      <c r="L101" s="55"/>
      <c r="M101" s="30"/>
      <c r="N101" s="31"/>
    </row>
    <row r="102" spans="3:14" ht="15.75">
      <c r="C102" s="15"/>
      <c r="D102" s="15"/>
      <c r="E102" s="21">
        <v>44488</v>
      </c>
      <c r="G102" s="24">
        <v>190071.21</v>
      </c>
      <c r="H102" s="15"/>
      <c r="I102" s="25"/>
      <c r="J102" s="25"/>
      <c r="K102" s="15"/>
      <c r="L102" s="55"/>
      <c r="M102" s="30"/>
      <c r="N102" s="31"/>
    </row>
    <row r="103" spans="3:14" ht="15.75">
      <c r="C103" s="15"/>
      <c r="D103" s="15"/>
      <c r="E103" s="21">
        <v>44540</v>
      </c>
      <c r="G103" s="24">
        <v>17853.65</v>
      </c>
      <c r="H103" s="15"/>
      <c r="I103" s="25"/>
      <c r="J103" s="25"/>
      <c r="K103" s="15"/>
      <c r="L103" s="55"/>
      <c r="M103" s="30"/>
      <c r="N103" s="31"/>
    </row>
    <row r="104" spans="3:14" ht="15.75">
      <c r="C104" s="15" t="s">
        <v>72</v>
      </c>
      <c r="D104" s="15"/>
      <c r="E104" s="21">
        <v>44650</v>
      </c>
      <c r="G104" s="24">
        <v>-2678.67</v>
      </c>
      <c r="H104" s="15"/>
      <c r="I104" s="25"/>
      <c r="J104" s="25"/>
      <c r="K104" s="15"/>
      <c r="L104" s="55"/>
      <c r="M104" s="30"/>
      <c r="N104" s="31"/>
    </row>
    <row r="105" spans="3:14" ht="15.75">
      <c r="C105" s="15"/>
      <c r="D105" s="15"/>
      <c r="E105" s="21">
        <v>44742</v>
      </c>
      <c r="G105" s="24">
        <v>-2417.33</v>
      </c>
      <c r="H105" s="15"/>
      <c r="I105" s="25"/>
      <c r="J105" s="25"/>
      <c r="K105" s="15"/>
      <c r="L105" s="55"/>
      <c r="M105" s="30"/>
      <c r="N105" s="31"/>
    </row>
    <row r="106" spans="3:14" ht="15.75">
      <c r="C106" s="15"/>
      <c r="D106" s="15"/>
      <c r="E106" s="21">
        <v>44827</v>
      </c>
      <c r="G106" s="24">
        <v>-2417.33</v>
      </c>
      <c r="H106" s="15"/>
      <c r="I106" s="25"/>
      <c r="J106" s="25"/>
      <c r="K106" s="15"/>
      <c r="L106" s="55"/>
      <c r="M106" s="30"/>
      <c r="N106" s="31"/>
    </row>
    <row r="107" spans="3:14" ht="15.75">
      <c r="C107" s="15"/>
      <c r="D107" s="15"/>
      <c r="E107" s="21">
        <v>44925</v>
      </c>
      <c r="G107" s="24">
        <v>-2384.66</v>
      </c>
      <c r="H107" s="15"/>
      <c r="I107" s="25"/>
      <c r="J107" s="25"/>
      <c r="K107" s="15"/>
      <c r="L107" s="55"/>
      <c r="M107" s="30"/>
      <c r="N107" s="31"/>
    </row>
    <row r="108" spans="3:14" ht="15.75">
      <c r="C108" s="15" t="s">
        <v>73</v>
      </c>
      <c r="D108" s="15"/>
      <c r="E108" s="21">
        <v>44645</v>
      </c>
      <c r="G108" s="24">
        <v>16817.66</v>
      </c>
      <c r="H108" s="15"/>
      <c r="I108" s="25"/>
      <c r="J108" s="25"/>
      <c r="K108" s="15"/>
      <c r="L108" s="55"/>
      <c r="M108" s="30"/>
      <c r="N108" s="31"/>
    </row>
    <row r="109" spans="3:14" ht="15.75">
      <c r="C109" s="15"/>
      <c r="D109" s="15"/>
      <c r="E109" s="21">
        <v>44721</v>
      </c>
      <c r="G109" s="24">
        <v>8138.11</v>
      </c>
      <c r="H109" s="15"/>
      <c r="I109" s="25"/>
      <c r="J109" s="25"/>
      <c r="K109" s="15"/>
      <c r="L109" s="55"/>
      <c r="M109" s="30"/>
      <c r="N109" s="31"/>
    </row>
    <row r="110" spans="3:14" ht="15.75">
      <c r="C110" s="15"/>
      <c r="D110" s="15"/>
      <c r="E110" s="21">
        <v>44791</v>
      </c>
      <c r="G110" s="24">
        <v>35303.34</v>
      </c>
      <c r="H110" s="15"/>
      <c r="I110" s="25"/>
      <c r="J110" s="25"/>
      <c r="K110" s="15"/>
      <c r="L110" s="55"/>
      <c r="M110" s="30"/>
      <c r="N110" s="31"/>
    </row>
    <row r="111" spans="3:14" ht="15.75">
      <c r="C111" s="15"/>
      <c r="D111" s="15"/>
      <c r="E111" s="21">
        <v>44888</v>
      </c>
      <c r="G111" s="24">
        <v>7447.47</v>
      </c>
      <c r="H111" s="15"/>
      <c r="I111" s="25"/>
      <c r="J111" s="25"/>
      <c r="K111" s="15"/>
      <c r="L111" s="55"/>
      <c r="M111" s="30"/>
      <c r="N111" s="31"/>
    </row>
    <row r="112" spans="3:14" ht="15.75">
      <c r="C112" s="15" t="s">
        <v>74</v>
      </c>
      <c r="D112" s="15"/>
      <c r="E112" s="21">
        <v>45009</v>
      </c>
      <c r="G112" s="24">
        <v>-2384.67</v>
      </c>
      <c r="H112" s="15"/>
      <c r="I112" s="25"/>
      <c r="J112" s="25"/>
      <c r="K112" s="15"/>
      <c r="L112" s="55"/>
      <c r="M112" s="30"/>
      <c r="N112" s="31"/>
    </row>
    <row r="113" spans="3:14" ht="15.75">
      <c r="C113" s="15" t="s">
        <v>75</v>
      </c>
      <c r="D113" s="15"/>
      <c r="E113" s="21">
        <v>45001</v>
      </c>
      <c r="G113" s="24">
        <v>40983.09</v>
      </c>
      <c r="H113" s="15"/>
      <c r="I113" s="25"/>
      <c r="J113" s="25"/>
      <c r="K113" s="15"/>
      <c r="L113" s="55"/>
      <c r="M113" s="30"/>
      <c r="N113" s="31"/>
    </row>
    <row r="114" spans="3:14" ht="15.75">
      <c r="C114" s="15"/>
      <c r="D114" s="15"/>
      <c r="E114" s="21">
        <v>45050</v>
      </c>
      <c r="G114" s="24">
        <v>120100.42</v>
      </c>
      <c r="H114" s="15"/>
      <c r="I114" s="25"/>
      <c r="J114" s="25"/>
      <c r="K114" s="15"/>
      <c r="L114" s="55"/>
      <c r="M114" s="30"/>
      <c r="N114" s="31"/>
    </row>
    <row r="115" spans="3:10" ht="4.5" customHeight="1">
      <c r="C115" s="15"/>
      <c r="D115" s="15"/>
      <c r="E115" s="21"/>
      <c r="F115" s="15"/>
      <c r="G115" s="24"/>
      <c r="H115" s="15"/>
      <c r="I115" s="25"/>
      <c r="J115" s="25"/>
    </row>
    <row r="116" spans="3:13" ht="15.75">
      <c r="C116" s="15" t="s">
        <v>5</v>
      </c>
      <c r="D116" s="15"/>
      <c r="E116" s="21">
        <f>+E8</f>
        <v>45107</v>
      </c>
      <c r="F116" s="15"/>
      <c r="G116" s="46">
        <f>L117*C22</f>
        <v>681971.621737191</v>
      </c>
      <c r="H116" s="15"/>
      <c r="I116" s="24">
        <f>+SUMIF($G$24:$G$115,"&lt;0",$G$24:$G$115)+G58+G66</f>
        <v>-1186202.59</v>
      </c>
      <c r="J116" s="15" t="s">
        <v>14</v>
      </c>
      <c r="L116" s="55"/>
      <c r="M116" s="139"/>
    </row>
    <row r="117" spans="3:12" ht="12.75">
      <c r="C117" s="15"/>
      <c r="D117" s="15"/>
      <c r="E117" s="15"/>
      <c r="F117" s="15"/>
      <c r="G117" s="15"/>
      <c r="H117" s="15"/>
      <c r="I117" s="24">
        <f>+SUMIF($G$24:$G$115,"&gt;0",$G$24:$G$115)-G58-G66</f>
        <v>965530.2000000001</v>
      </c>
      <c r="J117" s="15" t="s">
        <v>15</v>
      </c>
      <c r="L117" s="57">
        <v>135371377</v>
      </c>
    </row>
    <row r="118" spans="3:8" ht="12.75">
      <c r="C118" s="14" t="s">
        <v>0</v>
      </c>
      <c r="G118" s="29">
        <f>+XIRR(G24:G116,E24:E116)</f>
        <v>0.10336151719093323</v>
      </c>
      <c r="H118" s="15"/>
    </row>
    <row r="119" spans="3:8" ht="12.75">
      <c r="C119" s="15"/>
      <c r="D119" s="15"/>
      <c r="E119" s="15"/>
      <c r="F119" s="15"/>
      <c r="G119" s="15"/>
      <c r="H119" s="15"/>
    </row>
    <row r="120" spans="3:8" ht="12.75">
      <c r="C120" s="15"/>
      <c r="D120" s="15"/>
      <c r="E120" s="15"/>
      <c r="F120" s="15"/>
      <c r="G120" s="15"/>
      <c r="H120" s="15"/>
    </row>
    <row r="121" spans="3:8" ht="12.75">
      <c r="C121" s="52"/>
      <c r="D121" s="52"/>
      <c r="E121" s="15"/>
      <c r="F121" s="15"/>
      <c r="G121" s="15"/>
      <c r="H121" s="15"/>
    </row>
    <row r="122" spans="3:8" ht="12.75">
      <c r="C122" s="52"/>
      <c r="D122" s="52"/>
      <c r="E122" s="132"/>
      <c r="F122" s="132"/>
      <c r="G122" s="132"/>
      <c r="H122" s="14"/>
    </row>
    <row r="123" spans="3:8" ht="12.75">
      <c r="C123" s="52"/>
      <c r="D123" s="52"/>
      <c r="E123" s="53"/>
      <c r="F123" s="53"/>
      <c r="G123" s="53"/>
      <c r="H123" s="14"/>
    </row>
    <row r="124" spans="3:8" ht="12.75">
      <c r="C124" s="52"/>
      <c r="D124" s="52"/>
      <c r="E124" s="52"/>
      <c r="F124" s="52"/>
      <c r="G124" s="52"/>
      <c r="H124" s="14"/>
    </row>
    <row r="125" spans="3:8" ht="12.75">
      <c r="C125" s="170"/>
      <c r="D125" s="170"/>
      <c r="E125" s="171"/>
      <c r="F125" s="70"/>
      <c r="G125" s="58"/>
      <c r="H125" s="15"/>
    </row>
    <row r="126" spans="3:8" ht="12.75">
      <c r="C126" s="170"/>
      <c r="D126" s="170"/>
      <c r="E126" s="70"/>
      <c r="F126" s="70"/>
      <c r="G126" s="70"/>
      <c r="H126" s="15"/>
    </row>
    <row r="127" spans="3:8" ht="12.75">
      <c r="C127" s="170"/>
      <c r="D127" s="170"/>
      <c r="E127" s="70"/>
      <c r="F127" s="70"/>
      <c r="G127" s="70"/>
      <c r="H127" s="15"/>
    </row>
    <row r="128" spans="3:8" ht="12.75">
      <c r="C128" s="172"/>
      <c r="D128" s="170"/>
      <c r="E128" s="70"/>
      <c r="F128" s="70"/>
      <c r="G128" s="70"/>
      <c r="H128" s="15"/>
    </row>
    <row r="129" spans="3:8" ht="12.75">
      <c r="C129" s="172"/>
      <c r="D129" s="170"/>
      <c r="E129" s="70"/>
      <c r="F129" s="70"/>
      <c r="G129" s="70"/>
      <c r="H129" s="15"/>
    </row>
    <row r="130" spans="3:8" ht="12.75">
      <c r="C130" s="173"/>
      <c r="D130" s="170"/>
      <c r="E130" s="70"/>
      <c r="F130" s="70"/>
      <c r="G130" s="70"/>
      <c r="H130" s="15"/>
    </row>
    <row r="131" spans="3:8" ht="12.75">
      <c r="C131" s="170"/>
      <c r="D131" s="170"/>
      <c r="E131" s="70"/>
      <c r="F131" s="70"/>
      <c r="G131" s="70"/>
      <c r="H131" s="15"/>
    </row>
    <row r="132" spans="3:8" ht="12.75">
      <c r="C132" s="170"/>
      <c r="D132" s="170"/>
      <c r="E132" s="70"/>
      <c r="F132" s="70"/>
      <c r="G132" s="70"/>
      <c r="H132" s="15"/>
    </row>
    <row r="133" spans="3:8" ht="12.75">
      <c r="C133" s="170"/>
      <c r="D133" s="170"/>
      <c r="E133" s="70"/>
      <c r="F133" s="70"/>
      <c r="G133" s="70"/>
      <c r="H133" s="15"/>
    </row>
    <row r="134" spans="3:8" ht="12.75">
      <c r="C134" s="170"/>
      <c r="D134" s="170"/>
      <c r="E134" s="70"/>
      <c r="F134" s="70"/>
      <c r="G134" s="70"/>
      <c r="H134" s="15"/>
    </row>
    <row r="135" spans="3:8" ht="12.75">
      <c r="C135" s="170"/>
      <c r="D135" s="170"/>
      <c r="E135" s="70"/>
      <c r="F135" s="70"/>
      <c r="G135" s="70"/>
      <c r="H135" s="15"/>
    </row>
    <row r="136" spans="3:8" ht="12.75">
      <c r="C136" s="170"/>
      <c r="D136" s="170"/>
      <c r="E136" s="70"/>
      <c r="F136" s="70"/>
      <c r="G136" s="70"/>
      <c r="H136" s="15"/>
    </row>
    <row r="137" spans="3:8" ht="4.9" customHeight="1">
      <c r="C137" s="15"/>
      <c r="D137" s="15"/>
      <c r="E137" s="15"/>
      <c r="F137" s="15"/>
      <c r="G137" s="15"/>
      <c r="H137" s="15"/>
    </row>
    <row r="138" spans="3:8" ht="12.75">
      <c r="C138" s="15"/>
      <c r="D138" s="15"/>
      <c r="E138" s="15"/>
      <c r="F138" s="15"/>
      <c r="G138" s="15"/>
      <c r="H138" s="15"/>
    </row>
  </sheetData>
  <mergeCells count="1">
    <mergeCell ref="E122:G122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B50E79-0ABC-4A64-B339-B006DB920237}">
  <sheetPr>
    <pageSetUpPr fitToPage="1"/>
  </sheetPr>
  <dimension ref="B4:Q88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15" ht="12.75">
      <c r="C10" s="163"/>
      <c r="D10" s="163"/>
      <c r="E10" s="164"/>
      <c r="F10" s="163"/>
      <c r="G10" s="57"/>
      <c r="H10" s="7"/>
      <c r="I10" s="12"/>
      <c r="O10" s="16"/>
    </row>
    <row r="11" spans="3:9" ht="12.75">
      <c r="C11" s="163"/>
      <c r="D11" s="163"/>
      <c r="E11" s="164"/>
      <c r="F11" s="163"/>
      <c r="G11" s="164"/>
      <c r="H11" s="7"/>
      <c r="I11" s="12"/>
    </row>
    <row r="12" spans="3:9" ht="15.75">
      <c r="C12" s="165"/>
      <c r="D12" s="165"/>
      <c r="E12" s="166"/>
      <c r="F12" s="165"/>
      <c r="G12" s="166"/>
      <c r="H12" s="5"/>
      <c r="I12" s="12"/>
    </row>
    <row r="13" spans="3:15" ht="12.75">
      <c r="C13" s="163"/>
      <c r="D13" s="163"/>
      <c r="E13" s="167"/>
      <c r="F13" s="163"/>
      <c r="G13" s="57"/>
      <c r="H13" s="8"/>
      <c r="I13" s="12"/>
      <c r="O13" s="16"/>
    </row>
    <row r="14" spans="3:9" ht="12.75">
      <c r="C14" s="163"/>
      <c r="D14" s="163"/>
      <c r="E14" s="168"/>
      <c r="F14" s="163"/>
      <c r="G14" s="57"/>
      <c r="H14" s="9"/>
      <c r="I14" s="12"/>
    </row>
    <row r="15" spans="3:9" ht="12.75">
      <c r="C15" s="163"/>
      <c r="D15" s="163"/>
      <c r="E15" s="164"/>
      <c r="F15" s="163"/>
      <c r="G15" s="164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4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</row>
    <row r="18" spans="3:14" ht="12.75" customHeight="1">
      <c r="C18" s="18" t="s">
        <v>8</v>
      </c>
      <c r="D18" s="18"/>
      <c r="E18" s="8">
        <f>G66</f>
        <v>0.07991764247417453</v>
      </c>
      <c r="F18" s="18"/>
      <c r="G18" s="28"/>
      <c r="H18" s="8"/>
      <c r="I18" s="27"/>
      <c r="J18" s="40"/>
      <c r="K18" s="39"/>
      <c r="L18" s="41"/>
      <c r="M18" s="42"/>
      <c r="N18" s="39"/>
    </row>
    <row r="19" spans="3:14" ht="12.75">
      <c r="C19" s="18" t="s">
        <v>10</v>
      </c>
      <c r="D19" s="18"/>
      <c r="E19" s="34">
        <f>-(G64+I65)/I64</f>
        <v>1.1912211999418738</v>
      </c>
      <c r="F19" s="18"/>
      <c r="G19" s="10"/>
      <c r="H19" s="7"/>
      <c r="J19" s="40"/>
      <c r="K19" s="39"/>
      <c r="L19" s="41"/>
      <c r="M19" s="42"/>
      <c r="N19" s="43"/>
    </row>
    <row r="20" spans="3:14" ht="12.75">
      <c r="C20" s="18"/>
      <c r="D20" s="18"/>
      <c r="E20" s="18"/>
      <c r="F20" s="18"/>
      <c r="G20" s="7"/>
      <c r="J20" s="40"/>
      <c r="K20" s="39"/>
      <c r="L20" s="41"/>
      <c r="M20" s="42"/>
      <c r="N20" s="39"/>
    </row>
    <row r="21" spans="3:14" ht="15.75">
      <c r="C21" s="19" t="s">
        <v>95</v>
      </c>
      <c r="D21" s="20"/>
      <c r="E21" s="20"/>
      <c r="F21" s="20"/>
      <c r="I21" s="21"/>
      <c r="J21" s="40"/>
      <c r="K21" s="39"/>
      <c r="L21" s="41"/>
      <c r="M21" s="42"/>
      <c r="N21" s="43"/>
    </row>
    <row r="22" spans="3:14" ht="12.75">
      <c r="C22" s="22">
        <v>7.53846E-4</v>
      </c>
      <c r="D22" s="15"/>
      <c r="E22" s="15"/>
      <c r="F22" s="15"/>
      <c r="G22" s="23"/>
      <c r="H22" s="15"/>
      <c r="I22" s="15"/>
      <c r="J22" s="40"/>
      <c r="K22" s="39"/>
      <c r="L22" s="41"/>
      <c r="M22" s="42"/>
      <c r="N22" s="39"/>
    </row>
    <row r="23" spans="3:14" ht="15.75">
      <c r="C23" s="15"/>
      <c r="D23" s="15"/>
      <c r="E23" s="21"/>
      <c r="F23" s="24"/>
      <c r="G23" s="24"/>
      <c r="H23" s="15"/>
      <c r="I23" s="25"/>
      <c r="J23" s="46"/>
      <c r="K23" s="169"/>
      <c r="L23" s="162"/>
      <c r="M23" s="42"/>
      <c r="N23" s="39"/>
    </row>
    <row r="24" spans="3:15" ht="12.75">
      <c r="C24" s="15" t="s">
        <v>81</v>
      </c>
      <c r="D24" s="15"/>
      <c r="E24" s="21">
        <v>43136</v>
      </c>
      <c r="F24" s="24"/>
      <c r="G24" s="24">
        <v>-100336.92</v>
      </c>
      <c r="H24" s="15"/>
      <c r="I24" s="25"/>
      <c r="J24" s="46"/>
      <c r="K24" s="116"/>
      <c r="L24" s="57"/>
      <c r="M24" s="42"/>
      <c r="N24" s="39"/>
      <c r="O24" s="25"/>
    </row>
    <row r="25" spans="3:15" ht="12.75">
      <c r="C25" s="15"/>
      <c r="D25" s="15"/>
      <c r="E25" s="21">
        <v>43193</v>
      </c>
      <c r="F25" s="24"/>
      <c r="G25" s="24">
        <v>-10327.69</v>
      </c>
      <c r="H25" s="15"/>
      <c r="I25" s="25"/>
      <c r="J25" s="46"/>
      <c r="K25" s="192"/>
      <c r="L25" s="57"/>
      <c r="M25" s="42"/>
      <c r="N25" s="39"/>
      <c r="O25" s="25"/>
    </row>
    <row r="26" spans="3:15" ht="12.75">
      <c r="C26" s="15"/>
      <c r="D26" s="15"/>
      <c r="E26" s="21">
        <v>43286</v>
      </c>
      <c r="F26" s="24"/>
      <c r="G26" s="24">
        <v>-9423.08</v>
      </c>
      <c r="H26" s="15"/>
      <c r="I26" s="25"/>
      <c r="J26" s="46"/>
      <c r="K26" s="192"/>
      <c r="L26" s="57"/>
      <c r="M26" s="42"/>
      <c r="N26" s="39"/>
      <c r="O26" s="25"/>
    </row>
    <row r="27" spans="3:15" ht="12.75">
      <c r="C27" s="15"/>
      <c r="D27" s="15"/>
      <c r="E27" s="21">
        <v>43328</v>
      </c>
      <c r="F27" s="24"/>
      <c r="G27" s="24">
        <v>-35355.39</v>
      </c>
      <c r="H27" s="15"/>
      <c r="I27" s="25"/>
      <c r="J27" s="46"/>
      <c r="K27" s="192"/>
      <c r="L27" s="57"/>
      <c r="M27" s="42"/>
      <c r="N27" s="39"/>
      <c r="O27" s="25"/>
    </row>
    <row r="28" spans="3:14" ht="12.75">
      <c r="C28" s="15"/>
      <c r="D28" s="15"/>
      <c r="E28" s="21">
        <v>43369</v>
      </c>
      <c r="F28" s="24"/>
      <c r="G28" s="24">
        <v>-734246.17</v>
      </c>
      <c r="H28" s="15"/>
      <c r="I28" s="25"/>
      <c r="J28" s="46"/>
      <c r="K28" s="192"/>
      <c r="L28" s="193"/>
      <c r="M28" s="42"/>
      <c r="N28" s="39"/>
    </row>
    <row r="29" spans="3:14" ht="12.75">
      <c r="C29" s="15"/>
      <c r="D29" s="15"/>
      <c r="E29" s="21">
        <v>43391</v>
      </c>
      <c r="F29" s="24"/>
      <c r="G29" s="24">
        <v>196000</v>
      </c>
      <c r="H29" s="15"/>
      <c r="I29" s="25"/>
      <c r="J29" s="115"/>
      <c r="K29" s="116"/>
      <c r="L29" s="169"/>
      <c r="M29" s="39"/>
      <c r="N29" s="39"/>
    </row>
    <row r="30" spans="3:14" ht="12.75">
      <c r="C30" s="15"/>
      <c r="D30" s="15"/>
      <c r="E30" s="21">
        <v>43461</v>
      </c>
      <c r="F30" s="24"/>
      <c r="G30" s="24">
        <v>-12740.01</v>
      </c>
      <c r="H30" s="15"/>
      <c r="I30" s="25"/>
      <c r="J30" s="115"/>
      <c r="K30" s="116"/>
      <c r="L30" s="169"/>
      <c r="M30" s="39"/>
      <c r="N30" s="39"/>
    </row>
    <row r="31" spans="3:15" ht="12.75">
      <c r="C31" s="15" t="s">
        <v>83</v>
      </c>
      <c r="D31" s="15"/>
      <c r="E31" s="21">
        <v>43494</v>
      </c>
      <c r="F31" s="24"/>
      <c r="G31" s="24">
        <v>-19675.39</v>
      </c>
      <c r="H31" s="15"/>
      <c r="I31" s="25"/>
      <c r="J31" s="25"/>
      <c r="K31" s="15"/>
      <c r="N31" s="30"/>
      <c r="O31" s="31"/>
    </row>
    <row r="32" spans="3:15" ht="12.75">
      <c r="C32" s="15"/>
      <c r="D32" s="15"/>
      <c r="E32" s="21">
        <v>43622</v>
      </c>
      <c r="F32" s="24"/>
      <c r="G32" s="24">
        <v>-13116.92</v>
      </c>
      <c r="H32" s="15"/>
      <c r="I32" s="25"/>
      <c r="J32" s="25"/>
      <c r="K32" s="15"/>
      <c r="N32" s="30"/>
      <c r="O32" s="31"/>
    </row>
    <row r="33" spans="3:15" ht="12.75">
      <c r="C33" s="15"/>
      <c r="D33" s="15"/>
      <c r="E33" s="21">
        <v>43670</v>
      </c>
      <c r="F33" s="24"/>
      <c r="G33" s="24">
        <v>-19750.78</v>
      </c>
      <c r="H33" s="15"/>
      <c r="I33" s="25"/>
      <c r="J33" s="25"/>
      <c r="K33" s="15"/>
      <c r="N33" s="30"/>
      <c r="O33" s="31"/>
    </row>
    <row r="34" spans="3:15" ht="12.75">
      <c r="C34" s="15"/>
      <c r="D34" s="15"/>
      <c r="E34" s="21">
        <v>43742</v>
      </c>
      <c r="F34" s="24"/>
      <c r="G34" s="24">
        <v>-14323.08</v>
      </c>
      <c r="H34" s="15"/>
      <c r="I34" s="25"/>
      <c r="J34" s="25"/>
      <c r="K34" s="15"/>
      <c r="N34" s="30"/>
      <c r="O34" s="31"/>
    </row>
    <row r="35" spans="3:15" ht="12.75">
      <c r="C35" s="15"/>
      <c r="D35" s="15"/>
      <c r="E35" s="21">
        <v>43794</v>
      </c>
      <c r="F35" s="24"/>
      <c r="G35" s="24">
        <v>-35053.83</v>
      </c>
      <c r="H35" s="15"/>
      <c r="I35" s="25"/>
      <c r="J35" s="25"/>
      <c r="K35" s="15"/>
      <c r="N35" s="30"/>
      <c r="O35" s="31"/>
    </row>
    <row r="36" spans="3:15" ht="12.75">
      <c r="C36" s="15"/>
      <c r="D36" s="15"/>
      <c r="E36" s="21">
        <v>43801</v>
      </c>
      <c r="F36" s="24"/>
      <c r="G36" s="24">
        <v>-67167.69</v>
      </c>
      <c r="H36" s="15"/>
      <c r="I36" s="25"/>
      <c r="J36" s="25"/>
      <c r="K36" s="15"/>
      <c r="N36" s="30"/>
      <c r="O36" s="31"/>
    </row>
    <row r="37" spans="3:15" ht="12.75">
      <c r="C37" s="15" t="s">
        <v>84</v>
      </c>
      <c r="D37" s="15"/>
      <c r="E37" s="21">
        <v>43671</v>
      </c>
      <c r="F37" s="24"/>
      <c r="G37" s="24">
        <v>65298.04</v>
      </c>
      <c r="H37" s="15"/>
      <c r="I37" s="25"/>
      <c r="J37" s="25"/>
      <c r="K37" s="15"/>
      <c r="N37" s="30"/>
      <c r="O37" s="31"/>
    </row>
    <row r="38" spans="3:15" ht="13.5" customHeight="1">
      <c r="C38" s="15" t="s">
        <v>16</v>
      </c>
      <c r="D38" s="15"/>
      <c r="E38" s="21">
        <v>43859</v>
      </c>
      <c r="F38" s="24"/>
      <c r="G38" s="24">
        <v>-18996.92</v>
      </c>
      <c r="H38" s="15"/>
      <c r="I38" s="25"/>
      <c r="J38" s="25"/>
      <c r="K38" s="15"/>
      <c r="N38" s="30"/>
      <c r="O38" s="31"/>
    </row>
    <row r="39" spans="3:15" ht="13.5" customHeight="1">
      <c r="C39" s="15"/>
      <c r="D39" s="15"/>
      <c r="E39" s="21">
        <v>43916</v>
      </c>
      <c r="F39" s="24"/>
      <c r="G39" s="24">
        <v>-18619.99</v>
      </c>
      <c r="H39" s="15"/>
      <c r="I39" s="25"/>
      <c r="J39" s="25"/>
      <c r="K39" s="15"/>
      <c r="N39" s="30"/>
      <c r="O39" s="31"/>
    </row>
    <row r="40" spans="3:15" ht="13.5" customHeight="1">
      <c r="C40" s="15"/>
      <c r="D40" s="15"/>
      <c r="E40" s="21">
        <v>44103</v>
      </c>
      <c r="F40" s="24"/>
      <c r="G40" s="24">
        <v>-24047.70</v>
      </c>
      <c r="H40" s="15"/>
      <c r="I40" s="25"/>
      <c r="J40" s="25"/>
      <c r="K40" s="15"/>
      <c r="N40" s="30"/>
      <c r="O40" s="31"/>
    </row>
    <row r="41" spans="3:15" ht="13.5" customHeight="1">
      <c r="C41" s="15"/>
      <c r="D41" s="15"/>
      <c r="E41" s="21">
        <v>44126</v>
      </c>
      <c r="F41" s="24"/>
      <c r="G41" s="24">
        <v>-80661.55</v>
      </c>
      <c r="H41" s="15"/>
      <c r="I41" s="25"/>
      <c r="J41" s="25"/>
      <c r="K41" s="15"/>
      <c r="L41" s="55"/>
      <c r="N41" s="30"/>
      <c r="O41" s="31"/>
    </row>
    <row r="42" spans="3:16" ht="13.5" customHeight="1">
      <c r="C42" s="15" t="s">
        <v>41</v>
      </c>
      <c r="D42" s="15"/>
      <c r="E42" s="21">
        <v>44200</v>
      </c>
      <c r="F42" s="24"/>
      <c r="G42" s="24">
        <v>-13267.70</v>
      </c>
      <c r="H42" s="15"/>
      <c r="I42" s="25"/>
      <c r="J42" s="25"/>
      <c r="K42" s="15"/>
      <c r="L42" s="55"/>
      <c r="N42" s="30"/>
      <c r="O42" s="31"/>
      <c r="P42" s="45"/>
    </row>
    <row r="43" spans="3:15" ht="13.5" customHeight="1">
      <c r="C43" s="15"/>
      <c r="D43" s="15"/>
      <c r="E43" s="21">
        <v>44376</v>
      </c>
      <c r="F43" s="24"/>
      <c r="G43" s="24">
        <v>-14323.07</v>
      </c>
      <c r="H43" s="15"/>
      <c r="I43" s="25"/>
      <c r="J43" s="25"/>
      <c r="K43" s="15"/>
      <c r="L43" s="55"/>
      <c r="N43" s="30"/>
      <c r="O43" s="31"/>
    </row>
    <row r="44" spans="3:15" ht="13.5" customHeight="1">
      <c r="C44" s="15"/>
      <c r="D44" s="15"/>
      <c r="E44" s="21">
        <v>44466</v>
      </c>
      <c r="F44" s="24"/>
      <c r="G44" s="24">
        <v>-9423.08</v>
      </c>
      <c r="H44" s="15"/>
      <c r="I44" s="25"/>
      <c r="J44" s="25"/>
      <c r="K44" s="15"/>
      <c r="L44" s="55"/>
      <c r="N44" s="30"/>
      <c r="O44" s="31"/>
    </row>
    <row r="45" spans="3:15" ht="13.5" customHeight="1">
      <c r="C45" s="15"/>
      <c r="D45" s="15"/>
      <c r="E45" s="21">
        <v>44530</v>
      </c>
      <c r="F45" s="24"/>
      <c r="G45" s="24">
        <v>-18619.99</v>
      </c>
      <c r="H45" s="15"/>
      <c r="I45" s="25"/>
      <c r="J45" s="25"/>
      <c r="K45" s="15"/>
      <c r="L45" s="55"/>
      <c r="N45" s="30"/>
      <c r="O45" s="31"/>
    </row>
    <row r="46" spans="3:15" ht="13.5" customHeight="1">
      <c r="C46" s="15" t="s">
        <v>71</v>
      </c>
      <c r="D46" s="15"/>
      <c r="E46" s="21">
        <v>44463</v>
      </c>
      <c r="F46" s="24"/>
      <c r="G46" s="24">
        <v>12662.99</v>
      </c>
      <c r="H46" s="15"/>
      <c r="I46" s="25"/>
      <c r="J46" s="25"/>
      <c r="K46" s="15"/>
      <c r="L46" s="55"/>
      <c r="N46" s="30"/>
      <c r="O46" s="31"/>
    </row>
    <row r="47" spans="3:15" ht="13.5" customHeight="1">
      <c r="C47" s="15"/>
      <c r="D47" s="15"/>
      <c r="E47" s="21">
        <v>44484</v>
      </c>
      <c r="F47" s="24"/>
      <c r="G47" s="24">
        <v>484615.55</v>
      </c>
      <c r="H47" s="15"/>
      <c r="I47" s="25"/>
      <c r="J47" s="25"/>
      <c r="K47" s="15"/>
      <c r="L47" s="55"/>
      <c r="N47" s="30"/>
      <c r="O47" s="31"/>
    </row>
    <row r="48" spans="3:15" ht="13.5" customHeight="1">
      <c r="C48" s="15"/>
      <c r="D48" s="15"/>
      <c r="E48" s="21">
        <v>44539</v>
      </c>
      <c r="F48" s="24"/>
      <c r="G48" s="24">
        <v>39200</v>
      </c>
      <c r="H48" s="15"/>
      <c r="I48" s="25"/>
      <c r="J48" s="25"/>
      <c r="K48" s="15"/>
      <c r="L48" s="55"/>
      <c r="N48" s="30"/>
      <c r="O48" s="31"/>
    </row>
    <row r="49" spans="3:15" ht="13.5" customHeight="1">
      <c r="C49" s="15" t="s">
        <v>72</v>
      </c>
      <c r="D49" s="15"/>
      <c r="E49" s="21">
        <v>44606</v>
      </c>
      <c r="F49" s="24"/>
      <c r="G49" s="24">
        <v>-237386.15</v>
      </c>
      <c r="H49" s="15"/>
      <c r="I49" s="25"/>
      <c r="J49" s="25"/>
      <c r="K49" s="15"/>
      <c r="L49" s="55"/>
      <c r="N49" s="30"/>
      <c r="O49" s="31"/>
    </row>
    <row r="50" spans="3:15" ht="13.5" customHeight="1">
      <c r="C50" s="15"/>
      <c r="D50" s="15"/>
      <c r="E50" s="21">
        <v>44649</v>
      </c>
      <c r="F50" s="24"/>
      <c r="G50" s="24">
        <v>-9423.08</v>
      </c>
      <c r="H50" s="15"/>
      <c r="I50" s="25"/>
      <c r="J50" s="25"/>
      <c r="K50" s="15"/>
      <c r="L50" s="55"/>
      <c r="N50" s="30"/>
      <c r="O50" s="31"/>
    </row>
    <row r="51" spans="3:15" ht="13.5" customHeight="1">
      <c r="C51" s="15"/>
      <c r="D51" s="15"/>
      <c r="E51" s="21">
        <v>44672</v>
      </c>
      <c r="F51" s="24"/>
      <c r="G51" s="24">
        <v>-3844.61</v>
      </c>
      <c r="H51" s="15"/>
      <c r="I51" s="25"/>
      <c r="J51" s="25"/>
      <c r="K51" s="15"/>
      <c r="L51" s="55"/>
      <c r="N51" s="30"/>
      <c r="O51" s="31"/>
    </row>
    <row r="52" spans="3:15" ht="13.5" customHeight="1">
      <c r="C52" s="15"/>
      <c r="D52" s="15"/>
      <c r="E52" s="21">
        <v>44736</v>
      </c>
      <c r="F52" s="24"/>
      <c r="G52" s="24">
        <v>-30983.07</v>
      </c>
      <c r="H52" s="15"/>
      <c r="I52" s="25"/>
      <c r="J52" s="25"/>
      <c r="K52" s="15"/>
      <c r="L52" s="55"/>
      <c r="N52" s="30"/>
      <c r="O52" s="31"/>
    </row>
    <row r="53" spans="3:15" ht="13.5" customHeight="1">
      <c r="C53" s="15"/>
      <c r="D53" s="15"/>
      <c r="E53" s="21">
        <v>44764</v>
      </c>
      <c r="F53" s="24"/>
      <c r="G53" s="24">
        <v>-150090.78</v>
      </c>
      <c r="H53" s="15"/>
      <c r="I53" s="25"/>
      <c r="J53" s="25"/>
      <c r="K53" s="15"/>
      <c r="L53" s="55"/>
      <c r="N53" s="30"/>
      <c r="O53" s="31"/>
    </row>
    <row r="54" spans="3:15" ht="13.5" customHeight="1">
      <c r="C54" s="15"/>
      <c r="D54" s="15"/>
      <c r="E54" s="21">
        <v>44819</v>
      </c>
      <c r="F54" s="24"/>
      <c r="G54" s="24">
        <v>-340587.69</v>
      </c>
      <c r="H54" s="15"/>
      <c r="I54" s="25"/>
      <c r="J54" s="25"/>
      <c r="K54" s="15"/>
      <c r="L54" s="55"/>
      <c r="N54" s="30"/>
      <c r="O54" s="31"/>
    </row>
    <row r="55" spans="3:15" ht="13.5" customHeight="1">
      <c r="C55" s="15"/>
      <c r="D55" s="15"/>
      <c r="E55" s="21">
        <v>44875</v>
      </c>
      <c r="F55" s="24"/>
      <c r="G55" s="24">
        <v>-16810.77</v>
      </c>
      <c r="H55" s="15"/>
      <c r="I55" s="25"/>
      <c r="J55" s="25"/>
      <c r="K55" s="15"/>
      <c r="L55" s="55"/>
      <c r="N55" s="30"/>
      <c r="O55" s="31"/>
    </row>
    <row r="56" spans="3:15" ht="13.5" customHeight="1">
      <c r="C56" s="15"/>
      <c r="D56" s="15"/>
      <c r="E56" s="21">
        <v>44915</v>
      </c>
      <c r="F56" s="24"/>
      <c r="G56" s="24">
        <v>-152880.01</v>
      </c>
      <c r="H56" s="15"/>
      <c r="I56" s="25"/>
      <c r="J56" s="25"/>
      <c r="K56" s="15"/>
      <c r="L56" s="55"/>
      <c r="N56" s="30"/>
      <c r="O56" s="31"/>
    </row>
    <row r="57" spans="3:15" ht="13.5" customHeight="1">
      <c r="C57" s="15" t="s">
        <v>73</v>
      </c>
      <c r="D57" s="15"/>
      <c r="E57" s="21">
        <v>44615</v>
      </c>
      <c r="F57" s="24"/>
      <c r="G57" s="24">
        <v>8403.74</v>
      </c>
      <c r="H57" s="15"/>
      <c r="I57" s="25"/>
      <c r="J57" s="25"/>
      <c r="K57" s="15"/>
      <c r="L57" s="55"/>
      <c r="N57" s="30"/>
      <c r="O57" s="31"/>
    </row>
    <row r="58" spans="3:15" ht="13.5" customHeight="1">
      <c r="C58" s="15"/>
      <c r="D58" s="15"/>
      <c r="E58" s="21">
        <v>44785</v>
      </c>
      <c r="F58" s="24"/>
      <c r="G58" s="24">
        <v>27814.57</v>
      </c>
      <c r="H58" s="15"/>
      <c r="I58" s="25"/>
      <c r="J58" s="25"/>
      <c r="K58" s="15"/>
      <c r="L58" s="55"/>
      <c r="N58" s="30"/>
      <c r="O58" s="31"/>
    </row>
    <row r="59" spans="3:15" ht="13.5" customHeight="1">
      <c r="C59" s="15"/>
      <c r="D59" s="15"/>
      <c r="E59" s="21">
        <v>44895</v>
      </c>
      <c r="F59" s="24"/>
      <c r="G59" s="24">
        <v>13016.39</v>
      </c>
      <c r="H59" s="15"/>
      <c r="I59" s="25"/>
      <c r="J59" s="25"/>
      <c r="K59" s="15"/>
      <c r="L59" s="55"/>
      <c r="N59" s="30"/>
      <c r="O59" s="31"/>
    </row>
    <row r="60" spans="3:15" ht="13.5" customHeight="1">
      <c r="C60" s="15" t="s">
        <v>74</v>
      </c>
      <c r="D60" s="15"/>
      <c r="E60" s="21">
        <v>44931</v>
      </c>
      <c r="F60" s="24"/>
      <c r="G60" s="24">
        <v>-16283.08</v>
      </c>
      <c r="H60" s="15"/>
      <c r="I60" s="25"/>
      <c r="J60" s="25"/>
      <c r="K60" s="15"/>
      <c r="L60" s="55"/>
      <c r="N60" s="30"/>
      <c r="O60" s="31"/>
    </row>
    <row r="61" spans="3:15" ht="13.5" customHeight="1">
      <c r="C61" s="15"/>
      <c r="D61" s="15"/>
      <c r="E61" s="21">
        <v>45107</v>
      </c>
      <c r="F61" s="24"/>
      <c r="G61" s="24">
        <v>-6483.08</v>
      </c>
      <c r="H61" s="15"/>
      <c r="I61" s="25"/>
      <c r="J61" s="25"/>
      <c r="K61" s="15"/>
      <c r="L61" s="55"/>
      <c r="N61" s="30"/>
      <c r="O61" s="31"/>
    </row>
    <row r="62" spans="3:15" ht="13.5" customHeight="1">
      <c r="C62" s="15" t="s">
        <v>75</v>
      </c>
      <c r="D62" s="15"/>
      <c r="E62" s="21">
        <v>45051</v>
      </c>
      <c r="F62" s="24"/>
      <c r="G62" s="24">
        <v>203518.33</v>
      </c>
      <c r="H62" s="15"/>
      <c r="I62" s="25"/>
      <c r="J62" s="25"/>
      <c r="K62" s="15"/>
      <c r="L62" s="55"/>
      <c r="N62" s="30"/>
      <c r="O62" s="31"/>
    </row>
    <row r="63" spans="3:15" ht="4.5" customHeight="1">
      <c r="C63" s="15"/>
      <c r="D63" s="15"/>
      <c r="E63" s="21"/>
      <c r="F63" s="15"/>
      <c r="G63" s="24"/>
      <c r="H63" s="15"/>
      <c r="I63" s="25"/>
      <c r="J63" s="25"/>
      <c r="O63" s="31"/>
    </row>
    <row r="64" spans="3:13" ht="12.75">
      <c r="C64" s="15" t="s">
        <v>5</v>
      </c>
      <c r="D64" s="15"/>
      <c r="E64" s="21">
        <f>+E8</f>
        <v>45107</v>
      </c>
      <c r="F64" s="15"/>
      <c r="G64" s="46">
        <f>L64/0.98*C22</f>
        <v>1573476.1311900488</v>
      </c>
      <c r="H64" s="15"/>
      <c r="I64" s="24">
        <f>+SUMIF($G$24:$G$63,"&lt;0",$G$24:$G$63)+G29</f>
        <v>-2038249.2700000005</v>
      </c>
      <c r="J64" s="15" t="s">
        <v>14</v>
      </c>
      <c r="L64" s="57">
        <v>2.045519388E9</v>
      </c>
      <c r="M64" s="31"/>
    </row>
    <row r="65" spans="3:13" ht="12.75">
      <c r="C65" s="15"/>
      <c r="D65" s="15"/>
      <c r="E65" s="15"/>
      <c r="F65" s="15"/>
      <c r="G65" s="15"/>
      <c r="H65" s="15"/>
      <c r="I65" s="24">
        <f>+SUMIF($G$24:$G$63,"&gt;0",$G$24:$G$63)-G29</f>
        <v>854529.6100000001</v>
      </c>
      <c r="J65" s="15" t="s">
        <v>15</v>
      </c>
      <c r="M65" s="31"/>
    </row>
    <row r="66" spans="3:13" ht="12.75">
      <c r="C66" s="14" t="s">
        <v>0</v>
      </c>
      <c r="G66" s="29">
        <f>+XIRR(G24:G64,E24:E64,0.1)</f>
        <v>0.07991764247417453</v>
      </c>
      <c r="H66" s="15"/>
      <c r="M66" s="35"/>
    </row>
    <row r="67" spans="3:8" ht="12.75">
      <c r="C67" s="15"/>
      <c r="D67" s="15"/>
      <c r="E67" s="15"/>
      <c r="F67" s="15"/>
      <c r="G67" s="15"/>
      <c r="H67" s="15"/>
    </row>
    <row r="68" spans="3:13" ht="12.75">
      <c r="C68" s="15"/>
      <c r="D68" s="15"/>
      <c r="E68" s="15"/>
      <c r="F68" s="15"/>
      <c r="G68" s="15"/>
      <c r="H68" s="15"/>
      <c r="M68" s="35"/>
    </row>
    <row r="69" spans="3:13" ht="12.75">
      <c r="C69" s="52"/>
      <c r="D69" s="52"/>
      <c r="E69" s="53"/>
      <c r="F69" s="52"/>
      <c r="G69" s="53"/>
      <c r="H69" s="15"/>
      <c r="M69" s="35"/>
    </row>
    <row r="70" spans="3:13" ht="12.75">
      <c r="C70" s="52"/>
      <c r="D70" s="52"/>
      <c r="E70" s="53"/>
      <c r="F70" s="52"/>
      <c r="G70" s="53"/>
      <c r="H70" s="15"/>
      <c r="M70" s="35"/>
    </row>
    <row r="71" spans="3:13" ht="12.75">
      <c r="C71" s="52"/>
      <c r="D71" s="52"/>
      <c r="E71" s="53"/>
      <c r="F71" s="52"/>
      <c r="G71" s="53"/>
      <c r="H71" s="15"/>
      <c r="M71" s="35"/>
    </row>
    <row r="72" spans="3:8" ht="12.75">
      <c r="C72" s="52"/>
      <c r="D72" s="52"/>
      <c r="E72" s="52"/>
      <c r="F72" s="52"/>
      <c r="G72" s="52"/>
      <c r="H72" s="14"/>
    </row>
    <row r="73" spans="3:8" ht="12.75">
      <c r="C73" s="52"/>
      <c r="D73" s="52"/>
      <c r="E73" s="53"/>
      <c r="F73" s="53"/>
      <c r="G73" s="53"/>
      <c r="H73" s="14"/>
    </row>
    <row r="74" spans="3:17" ht="12.75">
      <c r="C74" s="52"/>
      <c r="D74" s="52"/>
      <c r="E74" s="52"/>
      <c r="F74" s="52"/>
      <c r="G74" s="52"/>
      <c r="H74" s="14"/>
      <c r="Q74" s="38"/>
    </row>
    <row r="75" spans="3:17" ht="12.75">
      <c r="C75" s="170"/>
      <c r="D75" s="170"/>
      <c r="E75" s="171"/>
      <c r="F75" s="54"/>
      <c r="G75" s="58"/>
      <c r="H75" s="14"/>
      <c r="Q75" s="38"/>
    </row>
    <row r="76" spans="3:17" ht="12.75">
      <c r="C76" s="170"/>
      <c r="D76" s="170"/>
      <c r="E76" s="70"/>
      <c r="F76" s="54"/>
      <c r="G76" s="70"/>
      <c r="H76" s="14"/>
      <c r="Q76" s="38"/>
    </row>
    <row r="77" spans="3:17" ht="12.75">
      <c r="C77" s="170"/>
      <c r="D77" s="170"/>
      <c r="E77" s="70"/>
      <c r="F77" s="54"/>
      <c r="G77" s="70"/>
      <c r="H77" s="14"/>
      <c r="Q77" s="38"/>
    </row>
    <row r="78" spans="3:17" ht="12.75">
      <c r="C78" s="172"/>
      <c r="D78" s="170"/>
      <c r="E78" s="70"/>
      <c r="F78" s="54"/>
      <c r="G78" s="70"/>
      <c r="H78" s="14"/>
      <c r="Q78" s="38"/>
    </row>
    <row r="79" spans="3:17" ht="12.75">
      <c r="C79" s="172"/>
      <c r="D79" s="170"/>
      <c r="E79" s="70"/>
      <c r="F79" s="54"/>
      <c r="G79" s="70"/>
      <c r="H79" s="14"/>
      <c r="Q79" s="38"/>
    </row>
    <row r="80" spans="3:17" ht="12.75">
      <c r="C80" s="173"/>
      <c r="D80" s="170"/>
      <c r="E80" s="70"/>
      <c r="F80" s="54"/>
      <c r="G80" s="70"/>
      <c r="H80" s="14"/>
      <c r="Q80" s="38"/>
    </row>
    <row r="81" spans="3:17" ht="12.75">
      <c r="C81" s="170"/>
      <c r="D81" s="170"/>
      <c r="E81" s="70"/>
      <c r="F81" s="54"/>
      <c r="G81" s="70"/>
      <c r="H81" s="14"/>
      <c r="Q81" s="38"/>
    </row>
    <row r="82" spans="3:8" ht="12.75">
      <c r="C82" s="170"/>
      <c r="D82" s="170"/>
      <c r="E82" s="70"/>
      <c r="F82" s="54"/>
      <c r="G82" s="70"/>
      <c r="H82" s="14"/>
    </row>
    <row r="83" spans="3:8" ht="12.75">
      <c r="C83" s="170"/>
      <c r="D83" s="170"/>
      <c r="E83" s="70"/>
      <c r="F83" s="54"/>
      <c r="G83" s="70"/>
      <c r="H83" s="14"/>
    </row>
    <row r="84" spans="3:8" ht="12.75">
      <c r="C84" s="170"/>
      <c r="D84" s="170"/>
      <c r="E84" s="70"/>
      <c r="F84" s="54"/>
      <c r="G84" s="70"/>
      <c r="H84" s="14"/>
    </row>
    <row r="85" spans="3:8" ht="12.75">
      <c r="C85" s="170"/>
      <c r="D85" s="170"/>
      <c r="E85" s="70"/>
      <c r="F85" s="54"/>
      <c r="G85" s="70"/>
      <c r="H85" s="14"/>
    </row>
    <row r="86" spans="3:8" ht="12.75">
      <c r="C86" s="170"/>
      <c r="D86" s="170"/>
      <c r="E86" s="70"/>
      <c r="F86" s="54"/>
      <c r="G86" s="70"/>
      <c r="H86" s="14"/>
    </row>
    <row r="87" spans="3:8" ht="5.1" customHeight="1">
      <c r="C87" s="36"/>
      <c r="D87" s="14"/>
      <c r="E87" s="33"/>
      <c r="F87" s="33"/>
      <c r="G87" s="33"/>
      <c r="H87" s="14"/>
    </row>
    <row r="88" spans="3:8" ht="12.75">
      <c r="C88" s="36"/>
      <c r="D88" s="14"/>
      <c r="E88" s="37"/>
      <c r="F88" s="37"/>
      <c r="G88" s="37"/>
      <c r="H88" s="14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6BECF95-9134-4DB7-A5C1-4984CD185249}">
  <sheetPr>
    <pageSetUpPr fitToPage="1"/>
  </sheetPr>
  <dimension ref="B4:O92"/>
  <sheetViews>
    <sheetView showGridLines="0" view="pageLayout" zoomScaleNormal="100" workbookViewId="0" topLeftCell="A1">
      <selection pane="topLeft" activeCell="C139" sqref="C139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2.428571428571429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+'EFM IV'!E8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27"/>
    </row>
    <row r="11" spans="3:9" ht="12.75">
      <c r="C11" s="163"/>
      <c r="D11" s="163"/>
      <c r="E11" s="164"/>
      <c r="F11" s="163"/>
      <c r="G11" s="164"/>
      <c r="H11" s="7"/>
      <c r="I11" s="27"/>
    </row>
    <row r="12" spans="3:9" ht="15.75">
      <c r="C12" s="165"/>
      <c r="D12" s="165"/>
      <c r="E12" s="166"/>
      <c r="F12" s="165"/>
      <c r="G12" s="166"/>
      <c r="H12" s="5"/>
      <c r="I12" s="27"/>
    </row>
    <row r="13" spans="3:9" ht="12.75">
      <c r="C13" s="163"/>
      <c r="D13" s="163"/>
      <c r="E13" s="167"/>
      <c r="F13" s="163"/>
      <c r="G13" s="57"/>
      <c r="H13" s="8"/>
      <c r="I13" s="27"/>
    </row>
    <row r="14" spans="3:9" ht="12.75">
      <c r="C14" s="163"/>
      <c r="D14" s="163"/>
      <c r="E14" s="168"/>
      <c r="F14" s="163"/>
      <c r="G14" s="57"/>
      <c r="H14" s="9"/>
      <c r="I14" s="27"/>
    </row>
    <row r="15" spans="3:9" ht="12.75">
      <c r="C15" s="163"/>
      <c r="D15" s="163"/>
      <c r="E15" s="164"/>
      <c r="F15" s="163"/>
      <c r="G15" s="164"/>
      <c r="H15" s="7"/>
      <c r="I15" s="27"/>
    </row>
    <row r="16" spans="3:9" ht="15.75">
      <c r="C16" s="5"/>
      <c r="D16" s="5"/>
      <c r="E16" s="11"/>
      <c r="F16" s="5"/>
      <c r="G16" s="11"/>
      <c r="H16" s="5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13" ht="12.75" customHeight="1">
      <c r="C18" s="18" t="s">
        <v>8</v>
      </c>
      <c r="D18" s="18"/>
      <c r="E18" s="8">
        <f>G66</f>
        <v>0.07575628459453583</v>
      </c>
      <c r="F18" s="18"/>
      <c r="G18" s="28"/>
      <c r="H18" s="8"/>
      <c r="I18" s="27"/>
      <c r="J18" s="46"/>
      <c r="L18" s="119"/>
      <c r="M18" s="35"/>
    </row>
    <row r="19" spans="3:14" ht="12.75">
      <c r="C19" s="18" t="s">
        <v>10</v>
      </c>
      <c r="D19" s="18"/>
      <c r="E19" s="34">
        <f>-(G64+I65)/I64</f>
        <v>1.180824941147226</v>
      </c>
      <c r="F19" s="18"/>
      <c r="G19" s="10"/>
      <c r="H19" s="7"/>
      <c r="J19" s="46"/>
      <c r="L19" s="119"/>
      <c r="M19" s="35"/>
      <c r="N19" s="45"/>
    </row>
    <row r="20" spans="3:13" ht="12.75">
      <c r="C20" s="18"/>
      <c r="D20" s="18"/>
      <c r="E20" s="18"/>
      <c r="F20" s="18"/>
      <c r="G20" s="7"/>
      <c r="J20" s="46"/>
      <c r="L20" s="119"/>
      <c r="M20" s="35"/>
    </row>
    <row r="21" spans="3:14" ht="15.75">
      <c r="C21" s="19" t="s">
        <v>95</v>
      </c>
      <c r="D21" s="20"/>
      <c r="E21" s="20"/>
      <c r="F21" s="20"/>
      <c r="I21" s="21"/>
      <c r="J21" s="46"/>
      <c r="L21" s="119"/>
      <c r="M21" s="35"/>
      <c r="N21" s="45"/>
    </row>
    <row r="22" spans="3:13" ht="12.75">
      <c r="C22" s="22">
        <v>0.003167063</v>
      </c>
      <c r="D22" s="15"/>
      <c r="E22" s="15"/>
      <c r="F22" s="15"/>
      <c r="G22" s="23"/>
      <c r="H22" s="15"/>
      <c r="I22" s="15"/>
      <c r="J22" s="46"/>
      <c r="L22" s="119"/>
      <c r="M22" s="35"/>
    </row>
    <row r="23" spans="3:13" ht="15.75">
      <c r="C23" s="15"/>
      <c r="D23" s="15"/>
      <c r="E23" s="21"/>
      <c r="F23" s="24"/>
      <c r="G23" s="24"/>
      <c r="H23" s="15"/>
      <c r="I23" s="25"/>
      <c r="J23" s="46"/>
      <c r="K23" s="169"/>
      <c r="L23" s="162"/>
      <c r="M23" s="35"/>
    </row>
    <row r="24" spans="3:13" ht="12.75">
      <c r="C24" s="15" t="s">
        <v>81</v>
      </c>
      <c r="D24" s="15"/>
      <c r="E24" s="21">
        <v>43136</v>
      </c>
      <c r="F24" s="24"/>
      <c r="G24" s="24">
        <v>-40134.77</v>
      </c>
      <c r="H24" s="15"/>
      <c r="I24" s="25"/>
      <c r="J24" s="46"/>
      <c r="K24" s="116"/>
      <c r="L24" s="57"/>
      <c r="M24" s="35"/>
    </row>
    <row r="25" spans="3:13" ht="12.75">
      <c r="C25" s="15"/>
      <c r="D25" s="15"/>
      <c r="E25" s="21">
        <v>43193</v>
      </c>
      <c r="F25" s="24"/>
      <c r="G25" s="24">
        <v>-4131.08</v>
      </c>
      <c r="H25" s="15"/>
      <c r="I25" s="25"/>
      <c r="J25" s="46"/>
      <c r="K25" s="192"/>
      <c r="L25" s="57"/>
      <c r="M25" s="35"/>
    </row>
    <row r="26" spans="3:13" ht="12.75">
      <c r="C26" s="15"/>
      <c r="D26" s="15"/>
      <c r="E26" s="21">
        <v>43286</v>
      </c>
      <c r="F26" s="24"/>
      <c r="G26" s="24">
        <v>-3769.23</v>
      </c>
      <c r="H26" s="15"/>
      <c r="I26" s="25"/>
      <c r="J26" s="46"/>
      <c r="K26" s="192"/>
      <c r="L26" s="57"/>
      <c r="M26" s="35"/>
    </row>
    <row r="27" spans="3:13" ht="12.75">
      <c r="C27" s="15"/>
      <c r="D27" s="15"/>
      <c r="E27" s="21">
        <v>43328</v>
      </c>
      <c r="F27" s="24"/>
      <c r="G27" s="24">
        <v>-14142.15</v>
      </c>
      <c r="H27" s="15"/>
      <c r="I27" s="25"/>
      <c r="J27" s="46"/>
      <c r="K27" s="192"/>
      <c r="L27" s="57"/>
      <c r="M27" s="35"/>
    </row>
    <row r="28" spans="3:15" ht="12.75">
      <c r="C28" s="15"/>
      <c r="E28" s="21">
        <v>43369</v>
      </c>
      <c r="G28" s="24">
        <v>-293698.46</v>
      </c>
      <c r="H28" s="15"/>
      <c r="I28" s="25"/>
      <c r="J28" s="46"/>
      <c r="K28" s="192"/>
      <c r="L28" s="193"/>
      <c r="M28" s="35"/>
      <c r="O28" s="35"/>
    </row>
    <row r="29" spans="5:12" ht="12.75">
      <c r="E29" s="21">
        <v>43391</v>
      </c>
      <c r="G29" s="24">
        <v>78400</v>
      </c>
      <c r="H29" s="15"/>
      <c r="I29" s="25"/>
      <c r="J29" s="115"/>
      <c r="K29" s="116"/>
      <c r="L29" s="169"/>
    </row>
    <row r="30" spans="5:12" ht="12.75">
      <c r="E30" s="21">
        <v>43461</v>
      </c>
      <c r="G30" s="24">
        <v>-5096.01</v>
      </c>
      <c r="H30" s="15"/>
      <c r="I30" s="25"/>
      <c r="J30" s="115"/>
      <c r="K30" s="116"/>
      <c r="L30" s="169"/>
    </row>
    <row r="31" spans="3:11" ht="12.75">
      <c r="C31" s="15" t="s">
        <v>83</v>
      </c>
      <c r="D31" s="15"/>
      <c r="E31" s="21">
        <v>43494</v>
      </c>
      <c r="G31" s="24">
        <v>-7870.16</v>
      </c>
      <c r="H31" s="15"/>
      <c r="I31" s="25"/>
      <c r="J31" s="25"/>
      <c r="K31" s="15"/>
    </row>
    <row r="32" spans="3:11" ht="12.75">
      <c r="C32" s="15"/>
      <c r="D32" s="15"/>
      <c r="E32" s="21">
        <v>43622</v>
      </c>
      <c r="G32" s="24">
        <v>-5246.77</v>
      </c>
      <c r="H32" s="15"/>
      <c r="I32" s="25"/>
      <c r="J32" s="25"/>
      <c r="K32" s="15"/>
    </row>
    <row r="33" spans="3:11" ht="12.75">
      <c r="C33" s="15"/>
      <c r="D33" s="15"/>
      <c r="E33" s="21">
        <v>43670</v>
      </c>
      <c r="F33" s="24"/>
      <c r="G33" s="24">
        <v>-7900.31</v>
      </c>
      <c r="H33" s="15"/>
      <c r="I33" s="25"/>
      <c r="J33" s="25"/>
      <c r="K33" s="15"/>
    </row>
    <row r="34" spans="3:11" ht="12.75">
      <c r="C34" s="15"/>
      <c r="D34" s="15"/>
      <c r="E34" s="21">
        <v>43742</v>
      </c>
      <c r="F34" s="24"/>
      <c r="G34" s="24">
        <v>-5729.23</v>
      </c>
      <c r="H34" s="15"/>
      <c r="I34" s="25"/>
      <c r="J34" s="25"/>
      <c r="K34" s="15"/>
    </row>
    <row r="35" spans="3:11" ht="12.75">
      <c r="C35" s="15"/>
      <c r="D35" s="15"/>
      <c r="E35" s="21">
        <v>43794</v>
      </c>
      <c r="F35" s="24"/>
      <c r="G35" s="24">
        <v>-14021.53</v>
      </c>
      <c r="H35" s="15"/>
      <c r="I35" s="25"/>
      <c r="J35" s="25"/>
      <c r="K35" s="15"/>
    </row>
    <row r="36" spans="3:11" ht="12.75">
      <c r="C36" s="15"/>
      <c r="D36" s="15"/>
      <c r="E36" s="21">
        <v>43801</v>
      </c>
      <c r="F36" s="24"/>
      <c r="G36" s="24">
        <v>-26867.08</v>
      </c>
      <c r="H36" s="15"/>
      <c r="I36" s="25"/>
      <c r="J36" s="25"/>
      <c r="K36" s="15"/>
    </row>
    <row r="37" spans="3:11" ht="12.75">
      <c r="C37" s="15" t="s">
        <v>84</v>
      </c>
      <c r="D37" s="15"/>
      <c r="E37" s="21">
        <v>43671</v>
      </c>
      <c r="F37" s="24"/>
      <c r="G37" s="24">
        <v>25873.43</v>
      </c>
      <c r="H37" s="15"/>
      <c r="I37" s="25"/>
      <c r="J37" s="25"/>
      <c r="K37" s="15"/>
    </row>
    <row r="38" spans="3:11" ht="12.75">
      <c r="C38" s="15" t="s">
        <v>16</v>
      </c>
      <c r="D38" s="15"/>
      <c r="E38" s="21">
        <v>43859</v>
      </c>
      <c r="F38" s="24"/>
      <c r="G38" s="24">
        <v>-7598.78</v>
      </c>
      <c r="H38" s="15"/>
      <c r="I38" s="25"/>
      <c r="J38" s="25"/>
      <c r="K38" s="15"/>
    </row>
    <row r="39" spans="3:11" ht="12.75">
      <c r="C39" s="15"/>
      <c r="D39" s="15"/>
      <c r="E39" s="21">
        <v>43916</v>
      </c>
      <c r="F39" s="24"/>
      <c r="G39" s="24">
        <v>-7447.99</v>
      </c>
      <c r="H39" s="15"/>
      <c r="I39" s="25"/>
      <c r="J39" s="25"/>
      <c r="K39" s="15"/>
    </row>
    <row r="40" spans="3:11" ht="12.75">
      <c r="C40" s="15"/>
      <c r="D40" s="15"/>
      <c r="E40" s="21">
        <v>44103</v>
      </c>
      <c r="F40" s="24"/>
      <c r="G40" s="24">
        <v>-9619.08</v>
      </c>
      <c r="H40" s="15"/>
      <c r="I40" s="25"/>
      <c r="J40" s="25"/>
      <c r="K40" s="15"/>
    </row>
    <row r="41" spans="3:11" ht="12.75">
      <c r="C41" s="15"/>
      <c r="D41" s="15"/>
      <c r="E41" s="21">
        <v>44126</v>
      </c>
      <c r="F41" s="24"/>
      <c r="G41" s="24">
        <v>-32264.62</v>
      </c>
      <c r="H41" s="15"/>
      <c r="I41" s="25"/>
      <c r="J41" s="25"/>
      <c r="K41" s="15"/>
    </row>
    <row r="42" spans="3:11" ht="12.75">
      <c r="C42" s="15" t="s">
        <v>41</v>
      </c>
      <c r="D42" s="15"/>
      <c r="E42" s="21">
        <v>44200</v>
      </c>
      <c r="F42" s="24"/>
      <c r="G42" s="24">
        <v>-5307.07</v>
      </c>
      <c r="H42" s="15"/>
      <c r="I42" s="25"/>
      <c r="J42" s="25"/>
      <c r="K42" s="15"/>
    </row>
    <row r="43" spans="3:11" ht="12.75">
      <c r="C43" s="15"/>
      <c r="D43" s="15"/>
      <c r="E43" s="21">
        <v>44376</v>
      </c>
      <c r="F43" s="24"/>
      <c r="G43" s="24">
        <v>-5729.22</v>
      </c>
      <c r="H43" s="15"/>
      <c r="I43" s="25"/>
      <c r="J43" s="25"/>
      <c r="K43" s="15"/>
    </row>
    <row r="44" spans="3:11" ht="12.75">
      <c r="C44" s="15"/>
      <c r="D44" s="15"/>
      <c r="E44" s="21">
        <v>44466</v>
      </c>
      <c r="F44" s="24"/>
      <c r="G44" s="24">
        <v>-3769.23</v>
      </c>
      <c r="H44" s="15"/>
      <c r="I44" s="25"/>
      <c r="J44" s="25"/>
      <c r="K44" s="15"/>
    </row>
    <row r="45" spans="3:11" ht="12.75">
      <c r="C45" s="15"/>
      <c r="D45" s="15"/>
      <c r="E45" s="21">
        <v>44530</v>
      </c>
      <c r="F45" s="24"/>
      <c r="G45" s="24">
        <v>-7448.01</v>
      </c>
      <c r="H45" s="15"/>
      <c r="I45" s="25"/>
      <c r="J45" s="25"/>
      <c r="K45" s="15"/>
    </row>
    <row r="46" spans="3:11" ht="12.75">
      <c r="C46" s="15" t="s">
        <v>71</v>
      </c>
      <c r="D46" s="15"/>
      <c r="E46" s="21">
        <v>44463</v>
      </c>
      <c r="F46" s="24"/>
      <c r="G46" s="24">
        <v>4310.1</v>
      </c>
      <c r="H46" s="15"/>
      <c r="I46" s="25"/>
      <c r="J46" s="25"/>
      <c r="K46" s="15"/>
    </row>
    <row r="47" spans="3:11" ht="12.75">
      <c r="C47" s="15"/>
      <c r="D47" s="15"/>
      <c r="E47" s="21">
        <v>44484</v>
      </c>
      <c r="F47" s="24"/>
      <c r="G47" s="24">
        <v>190670.31</v>
      </c>
      <c r="H47" s="15"/>
      <c r="I47" s="25"/>
      <c r="J47" s="25"/>
      <c r="K47" s="15"/>
    </row>
    <row r="48" spans="3:11" ht="12.75">
      <c r="C48" s="15"/>
      <c r="D48" s="15"/>
      <c r="E48" s="21">
        <v>44539</v>
      </c>
      <c r="F48" s="24"/>
      <c r="G48" s="24">
        <v>15666.13</v>
      </c>
      <c r="H48" s="15"/>
      <c r="I48" s="25"/>
      <c r="J48" s="25"/>
      <c r="K48" s="15"/>
    </row>
    <row r="49" spans="3:11" ht="12.75">
      <c r="C49" s="15" t="s">
        <v>72</v>
      </c>
      <c r="D49" s="15"/>
      <c r="E49" s="21">
        <v>44606</v>
      </c>
      <c r="F49" s="24"/>
      <c r="G49" s="24">
        <v>-94954.46</v>
      </c>
      <c r="H49" s="15"/>
      <c r="I49" s="25"/>
      <c r="J49" s="25"/>
      <c r="K49" s="15"/>
    </row>
    <row r="50" spans="3:11" ht="12.75">
      <c r="C50" s="15"/>
      <c r="D50" s="15"/>
      <c r="E50" s="21">
        <v>44649</v>
      </c>
      <c r="F50" s="24"/>
      <c r="G50" s="24">
        <v>-3769.23</v>
      </c>
      <c r="H50" s="15"/>
      <c r="I50" s="25"/>
      <c r="J50" s="25"/>
      <c r="K50" s="15"/>
    </row>
    <row r="51" spans="3:11" ht="12.75">
      <c r="C51" s="15"/>
      <c r="D51" s="15"/>
      <c r="E51" s="21">
        <v>44672</v>
      </c>
      <c r="F51" s="24"/>
      <c r="G51" s="24">
        <v>-1537.85</v>
      </c>
      <c r="H51" s="15"/>
      <c r="I51" s="25"/>
      <c r="J51" s="25"/>
      <c r="K51" s="15"/>
    </row>
    <row r="52" spans="3:11" ht="12.75">
      <c r="C52" s="15"/>
      <c r="D52" s="15"/>
      <c r="E52" s="21">
        <v>44736</v>
      </c>
      <c r="F52" s="24"/>
      <c r="G52" s="24">
        <v>-12393.23</v>
      </c>
      <c r="H52" s="15"/>
      <c r="I52" s="25"/>
      <c r="J52" s="25"/>
      <c r="K52" s="15"/>
    </row>
    <row r="53" spans="3:11" ht="12.75">
      <c r="C53" s="15"/>
      <c r="D53" s="15"/>
      <c r="E53" s="21">
        <v>44764</v>
      </c>
      <c r="F53" s="24"/>
      <c r="G53" s="24">
        <v>-60036.31</v>
      </c>
      <c r="H53" s="15"/>
      <c r="I53" s="25"/>
      <c r="J53" s="25"/>
      <c r="K53" s="15"/>
    </row>
    <row r="54" spans="3:11" ht="12.75">
      <c r="C54" s="15"/>
      <c r="D54" s="15"/>
      <c r="E54" s="21">
        <v>44819</v>
      </c>
      <c r="F54" s="24"/>
      <c r="G54" s="24">
        <v>-136235.06</v>
      </c>
      <c r="H54" s="15"/>
      <c r="I54" s="25"/>
      <c r="J54" s="25"/>
      <c r="K54" s="15"/>
    </row>
    <row r="55" spans="3:11" ht="12.75">
      <c r="C55" s="15"/>
      <c r="D55" s="15"/>
      <c r="E55" s="21">
        <v>44875</v>
      </c>
      <c r="F55" s="24"/>
      <c r="G55" s="24">
        <v>-6724.31</v>
      </c>
      <c r="H55" s="15"/>
      <c r="I55" s="25"/>
      <c r="J55" s="25"/>
      <c r="K55" s="15"/>
    </row>
    <row r="56" spans="3:11" ht="12.75">
      <c r="C56" s="15"/>
      <c r="D56" s="15"/>
      <c r="E56" s="21">
        <v>44915</v>
      </c>
      <c r="F56" s="24"/>
      <c r="G56" s="24">
        <v>-61152.01</v>
      </c>
      <c r="H56" s="15"/>
      <c r="I56" s="25"/>
      <c r="J56" s="25"/>
      <c r="K56" s="15"/>
    </row>
    <row r="57" spans="3:11" ht="12.75">
      <c r="C57" s="15" t="s">
        <v>73</v>
      </c>
      <c r="D57" s="15"/>
      <c r="E57" s="21">
        <v>44615</v>
      </c>
      <c r="F57" s="24"/>
      <c r="G57" s="24">
        <v>3257.23</v>
      </c>
      <c r="H57" s="15"/>
      <c r="I57" s="25"/>
      <c r="J57" s="25"/>
      <c r="K57" s="15"/>
    </row>
    <row r="58" spans="3:11" ht="12.75">
      <c r="C58" s="15"/>
      <c r="D58" s="15"/>
      <c r="E58" s="21">
        <v>44785</v>
      </c>
      <c r="F58" s="24"/>
      <c r="G58" s="24">
        <v>10883.37</v>
      </c>
      <c r="H58" s="15"/>
      <c r="I58" s="25"/>
      <c r="J58" s="25"/>
      <c r="K58" s="15"/>
    </row>
    <row r="59" spans="3:11" ht="12.75">
      <c r="C59" s="15"/>
      <c r="D59" s="15"/>
      <c r="E59" s="21">
        <v>44895</v>
      </c>
      <c r="F59" s="24"/>
      <c r="G59" s="24">
        <v>5060.80</v>
      </c>
      <c r="H59" s="15"/>
      <c r="I59" s="25"/>
      <c r="J59" s="25"/>
      <c r="K59" s="15"/>
    </row>
    <row r="60" spans="3:11" ht="12.75">
      <c r="C60" s="15" t="s">
        <v>74</v>
      </c>
      <c r="D60" s="15"/>
      <c r="E60" s="21">
        <v>44931</v>
      </c>
      <c r="F60" s="24"/>
      <c r="G60" s="24">
        <v>-6513.23</v>
      </c>
      <c r="H60" s="15"/>
      <c r="I60" s="25"/>
      <c r="J60" s="25"/>
      <c r="K60" s="15"/>
    </row>
    <row r="61" spans="3:11" ht="12.75">
      <c r="C61" s="15"/>
      <c r="D61" s="15"/>
      <c r="E61" s="21">
        <v>45107</v>
      </c>
      <c r="F61" s="24"/>
      <c r="G61" s="24">
        <v>-2593.23</v>
      </c>
      <c r="H61" s="15"/>
      <c r="I61" s="25"/>
      <c r="J61" s="25"/>
      <c r="K61" s="15"/>
    </row>
    <row r="62" spans="3:11" ht="12.75">
      <c r="C62" s="15" t="s">
        <v>75</v>
      </c>
      <c r="D62" s="15"/>
      <c r="E62" s="21">
        <v>45051</v>
      </c>
      <c r="F62" s="24"/>
      <c r="G62" s="24">
        <v>74979.18</v>
      </c>
      <c r="H62" s="15"/>
      <c r="I62" s="25"/>
      <c r="J62" s="25"/>
      <c r="K62" s="15"/>
    </row>
    <row r="63" spans="3:15" ht="4.5" customHeight="1">
      <c r="C63" s="15"/>
      <c r="D63" s="15"/>
      <c r="E63" s="21"/>
      <c r="F63" s="15"/>
      <c r="G63" s="24"/>
      <c r="H63" s="15"/>
      <c r="I63" s="25"/>
      <c r="J63" s="25"/>
      <c r="O63" s="31"/>
    </row>
    <row r="64" spans="3:13" ht="12.75">
      <c r="C64" s="15" t="s">
        <v>5</v>
      </c>
      <c r="D64" s="15"/>
      <c r="E64" s="21">
        <f>+E8</f>
        <v>45107</v>
      </c>
      <c r="F64" s="15"/>
      <c r="G64" s="46">
        <f>L64*C22</f>
        <v>632025.670269851</v>
      </c>
      <c r="H64" s="15"/>
      <c r="I64" s="24">
        <f>+SUMIF($G$24:$G$63,"&lt;0",$G$24:$G$63)+G29</f>
        <v>-815299.70</v>
      </c>
      <c r="J64" s="15" t="s">
        <v>14</v>
      </c>
      <c r="L64" s="194">
        <v>199562077</v>
      </c>
      <c r="M64" s="139"/>
    </row>
    <row r="65" spans="3:10" ht="12.75">
      <c r="C65" s="15"/>
      <c r="D65" s="15"/>
      <c r="E65" s="15"/>
      <c r="F65" s="15"/>
      <c r="G65" s="15"/>
      <c r="H65" s="15"/>
      <c r="I65" s="24">
        <f>+SUMIF($G$24:$G$63,"&gt;0",$G$24:$G$63)-G29</f>
        <v>330700.54999999993</v>
      </c>
      <c r="J65" s="15" t="s">
        <v>15</v>
      </c>
    </row>
    <row r="66" spans="3:8" ht="12.75">
      <c r="C66" s="14" t="s">
        <v>0</v>
      </c>
      <c r="G66" s="29">
        <f>+XIRR(G24:G64,E24:E64)</f>
        <v>0.07575628459453583</v>
      </c>
      <c r="H66" s="15"/>
    </row>
    <row r="67" spans="3:8" ht="12.75">
      <c r="C67" s="15"/>
      <c r="D67" s="15"/>
      <c r="E67" s="15"/>
      <c r="F67" s="15"/>
      <c r="G67" s="15"/>
      <c r="H67" s="15"/>
    </row>
    <row r="68" spans="3:8" ht="12.75">
      <c r="C68" s="15"/>
      <c r="D68" s="15"/>
      <c r="E68" s="15"/>
      <c r="F68" s="15"/>
      <c r="G68" s="15"/>
      <c r="H68" s="15"/>
    </row>
    <row r="69" spans="3:8" ht="12.75">
      <c r="C69" s="52"/>
      <c r="D69" s="52"/>
      <c r="E69" s="53"/>
      <c r="F69" s="15"/>
      <c r="G69" s="53"/>
      <c r="H69" s="15"/>
    </row>
    <row r="70" spans="3:8" ht="12.75">
      <c r="C70" s="52"/>
      <c r="D70" s="52"/>
      <c r="E70" s="53"/>
      <c r="F70" s="52"/>
      <c r="G70" s="53"/>
      <c r="H70" s="15"/>
    </row>
    <row r="71" spans="3:8" ht="12.75">
      <c r="C71" s="52"/>
      <c r="D71" s="52"/>
      <c r="E71" s="53"/>
      <c r="F71" s="15"/>
      <c r="G71" s="53"/>
      <c r="H71" s="15"/>
    </row>
    <row r="72" spans="3:8" ht="12.75">
      <c r="C72" s="52"/>
      <c r="D72" s="52"/>
      <c r="E72" s="52"/>
      <c r="F72" s="52"/>
      <c r="G72" s="52"/>
      <c r="H72" s="14"/>
    </row>
    <row r="73" spans="3:8" ht="12.75">
      <c r="C73" s="52"/>
      <c r="D73" s="52"/>
      <c r="E73" s="53"/>
      <c r="F73" s="53"/>
      <c r="G73" s="53"/>
      <c r="H73" s="14"/>
    </row>
    <row r="74" spans="3:8" ht="12.75">
      <c r="C74" s="52"/>
      <c r="D74" s="52"/>
      <c r="E74" s="52"/>
      <c r="F74" s="52"/>
      <c r="G74" s="52"/>
      <c r="H74" s="14"/>
    </row>
    <row r="75" spans="3:8" ht="12.75">
      <c r="C75" s="170"/>
      <c r="D75" s="170"/>
      <c r="E75" s="171"/>
      <c r="F75" s="54"/>
      <c r="G75" s="58"/>
      <c r="H75" s="15"/>
    </row>
    <row r="76" spans="3:8" ht="12.75">
      <c r="C76" s="170"/>
      <c r="D76" s="170"/>
      <c r="E76" s="70"/>
      <c r="F76" s="54"/>
      <c r="G76" s="70"/>
      <c r="H76" s="15"/>
    </row>
    <row r="77" spans="3:8" ht="12.75">
      <c r="C77" s="170"/>
      <c r="D77" s="170"/>
      <c r="E77" s="70"/>
      <c r="F77" s="54"/>
      <c r="G77" s="70"/>
      <c r="H77" s="15"/>
    </row>
    <row r="78" spans="3:8" ht="12.75">
      <c r="C78" s="172"/>
      <c r="D78" s="170"/>
      <c r="E78" s="70"/>
      <c r="F78" s="54"/>
      <c r="G78" s="70"/>
      <c r="H78" s="15"/>
    </row>
    <row r="79" spans="3:8" ht="12.75">
      <c r="C79" s="172"/>
      <c r="D79" s="170"/>
      <c r="E79" s="70"/>
      <c r="F79" s="54"/>
      <c r="G79" s="70"/>
      <c r="H79" s="15"/>
    </row>
    <row r="80" spans="3:8" ht="12.75">
      <c r="C80" s="173"/>
      <c r="D80" s="170"/>
      <c r="E80" s="70"/>
      <c r="F80" s="54"/>
      <c r="G80" s="70"/>
      <c r="H80" s="15"/>
    </row>
    <row r="81" spans="3:8" ht="12.75">
      <c r="C81" s="170"/>
      <c r="D81" s="170"/>
      <c r="E81" s="70"/>
      <c r="F81" s="54"/>
      <c r="G81" s="70"/>
      <c r="H81" s="15"/>
    </row>
    <row r="82" spans="3:8" ht="12.75">
      <c r="C82" s="170"/>
      <c r="D82" s="170"/>
      <c r="E82" s="70"/>
      <c r="F82" s="54"/>
      <c r="G82" s="70"/>
      <c r="H82" s="15"/>
    </row>
    <row r="83" spans="3:8" ht="12.75">
      <c r="C83" s="170"/>
      <c r="D83" s="170"/>
      <c r="E83" s="70"/>
      <c r="F83" s="54"/>
      <c r="G83" s="70"/>
      <c r="H83" s="15"/>
    </row>
    <row r="84" spans="3:8" ht="12.75">
      <c r="C84" s="170"/>
      <c r="D84" s="170"/>
      <c r="E84" s="70"/>
      <c r="F84" s="54"/>
      <c r="G84" s="70"/>
      <c r="H84" s="15"/>
    </row>
    <row r="85" spans="3:8" ht="12.75">
      <c r="C85" s="170"/>
      <c r="D85" s="170"/>
      <c r="E85" s="70"/>
      <c r="F85" s="54"/>
      <c r="G85" s="70"/>
      <c r="H85" s="15"/>
    </row>
    <row r="86" spans="3:8" ht="12.75">
      <c r="C86" s="170"/>
      <c r="D86" s="170"/>
      <c r="E86" s="70"/>
      <c r="F86" s="54"/>
      <c r="G86" s="70"/>
      <c r="H86" s="15"/>
    </row>
    <row r="87" spans="3:8" ht="4.9" customHeight="1">
      <c r="C87" s="14"/>
      <c r="D87" s="14"/>
      <c r="E87" s="33"/>
      <c r="F87" s="33"/>
      <c r="G87" s="33"/>
      <c r="H87" s="15"/>
    </row>
    <row r="88" spans="3:8" ht="12.75">
      <c r="C88" s="15"/>
      <c r="D88" s="15"/>
      <c r="E88" s="15"/>
      <c r="F88" s="15"/>
      <c r="G88" s="15"/>
      <c r="H88" s="15"/>
    </row>
    <row r="89" spans="3:8" ht="12.75">
      <c r="C89" s="15"/>
      <c r="D89" s="15"/>
      <c r="E89" s="15"/>
      <c r="F89" s="15"/>
      <c r="G89" s="15"/>
      <c r="H89" s="15"/>
    </row>
    <row r="90" spans="3:8" ht="12.75">
      <c r="C90" s="15"/>
      <c r="D90" s="15"/>
      <c r="E90" s="15"/>
      <c r="F90" s="15"/>
      <c r="G90" s="15"/>
      <c r="H90" s="15"/>
    </row>
    <row r="91" spans="3:8" ht="12.75">
      <c r="C91" s="15"/>
      <c r="D91" s="15"/>
      <c r="E91" s="15"/>
      <c r="F91" s="15"/>
      <c r="G91" s="15"/>
      <c r="H91" s="15"/>
    </row>
    <row r="92" spans="3:8" ht="12.75">
      <c r="C92" s="15"/>
      <c r="D92" s="15"/>
      <c r="E92" s="15"/>
      <c r="F92" s="15"/>
      <c r="G92" s="15"/>
      <c r="H92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402F86-DB02-44EF-857F-5315FEAC1464}">
  <sheetPr>
    <pageSetUpPr fitToPage="1"/>
  </sheetPr>
  <dimension ref="B4:N87"/>
  <sheetViews>
    <sheetView showGridLines="0" view="pageLayout" zoomScaleNormal="100" workbookViewId="0" topLeftCell="A1">
      <selection pane="topLeft" activeCell="I78" sqref="I78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5">
        <f>+'EFM IV'!E8</f>
        <v>45107</v>
      </c>
      <c r="F8" s="32"/>
      <c r="G8" s="6"/>
      <c r="H8" s="6"/>
      <c r="I8" s="13"/>
    </row>
    <row r="9" spans="3:7" ht="15.75">
      <c r="C9" s="161"/>
      <c r="D9" s="161"/>
      <c r="E9" s="161"/>
      <c r="F9" s="161"/>
      <c r="G9" s="162"/>
    </row>
    <row r="10" spans="3:9" ht="12.75">
      <c r="C10" s="163"/>
      <c r="D10" s="163"/>
      <c r="E10" s="164"/>
      <c r="F10" s="163"/>
      <c r="G10" s="57"/>
      <c r="H10" s="7"/>
      <c r="I10" s="27"/>
    </row>
    <row r="11" spans="3:9" ht="12.75">
      <c r="C11" s="163"/>
      <c r="D11" s="163"/>
      <c r="E11" s="164"/>
      <c r="F11" s="163"/>
      <c r="G11" s="164"/>
      <c r="H11" s="7"/>
      <c r="I11" s="27"/>
    </row>
    <row r="12" spans="3:9" ht="15.75">
      <c r="C12" s="165"/>
      <c r="D12" s="165"/>
      <c r="E12" s="166"/>
      <c r="F12" s="165"/>
      <c r="G12" s="166"/>
      <c r="H12" s="5"/>
      <c r="I12" s="27"/>
    </row>
    <row r="13" spans="3:9" ht="12.75">
      <c r="C13" s="163"/>
      <c r="D13" s="163"/>
      <c r="E13" s="167"/>
      <c r="F13" s="163"/>
      <c r="G13" s="57"/>
      <c r="H13" s="8"/>
      <c r="I13" s="27"/>
    </row>
    <row r="14" spans="3:9" ht="12.75">
      <c r="C14" s="163"/>
      <c r="D14" s="163"/>
      <c r="E14" s="168"/>
      <c r="F14" s="163"/>
      <c r="G14" s="57"/>
      <c r="H14" s="9"/>
      <c r="I14" s="27"/>
    </row>
    <row r="15" spans="3:9" ht="12.75">
      <c r="C15" s="163"/>
      <c r="D15" s="163"/>
      <c r="E15" s="164"/>
      <c r="F15" s="163"/>
      <c r="G15" s="164"/>
      <c r="H15" s="7"/>
      <c r="I15" s="27"/>
    </row>
    <row r="16" spans="3:9" ht="15.75">
      <c r="C16" s="5"/>
      <c r="D16" s="5"/>
      <c r="E16" s="11"/>
      <c r="F16" s="5"/>
      <c r="G16" s="11"/>
      <c r="H16" s="5"/>
      <c r="I16" s="27"/>
    </row>
    <row r="17" spans="3:9" ht="15.75">
      <c r="C17" s="26" t="s">
        <v>7</v>
      </c>
      <c r="D17" s="26"/>
      <c r="E17" s="11"/>
      <c r="F17" s="26"/>
      <c r="G17" s="11"/>
      <c r="H17" s="5"/>
      <c r="I17" s="27"/>
    </row>
    <row r="18" spans="3:13" ht="12.75" customHeight="1">
      <c r="C18" s="18" t="s">
        <v>8</v>
      </c>
      <c r="D18" s="18"/>
      <c r="E18" s="8">
        <f>G66</f>
        <v>0.07933489978313447</v>
      </c>
      <c r="F18" s="18"/>
      <c r="G18" s="28"/>
      <c r="H18" s="8"/>
      <c r="I18" s="27"/>
      <c r="J18" s="46"/>
      <c r="L18" s="119"/>
      <c r="M18" s="35"/>
    </row>
    <row r="19" spans="3:14" ht="12.75">
      <c r="C19" s="18" t="s">
        <v>10</v>
      </c>
      <c r="D19" s="18"/>
      <c r="E19" s="34">
        <f>-(G64+I65)/(I64)</f>
        <v>1.1898423037456818</v>
      </c>
      <c r="F19" s="18"/>
      <c r="G19" s="10"/>
      <c r="H19" s="7"/>
      <c r="J19" s="46"/>
      <c r="L19" s="119"/>
      <c r="M19" s="35"/>
      <c r="N19" s="45"/>
    </row>
    <row r="20" spans="3:13" ht="12.75">
      <c r="C20" s="18"/>
      <c r="D20" s="18"/>
      <c r="E20" s="18"/>
      <c r="F20" s="18"/>
      <c r="G20" s="7"/>
      <c r="J20" s="46"/>
      <c r="L20" s="119"/>
      <c r="M20" s="35"/>
    </row>
    <row r="21" spans="3:14" ht="15.75">
      <c r="C21" s="19" t="s">
        <v>95</v>
      </c>
      <c r="D21" s="20"/>
      <c r="E21" s="20"/>
      <c r="F21" s="20"/>
      <c r="I21" s="21"/>
      <c r="J21" s="46"/>
      <c r="L21" s="119"/>
      <c r="M21" s="35"/>
      <c r="N21" s="45"/>
    </row>
    <row r="22" spans="3:13" ht="12.75">
      <c r="C22" s="128">
        <v>0.017458101</v>
      </c>
      <c r="D22" s="15"/>
      <c r="E22" s="15"/>
      <c r="F22" s="15"/>
      <c r="G22" s="23"/>
      <c r="H22" s="15"/>
      <c r="I22" s="15"/>
      <c r="J22" s="46"/>
      <c r="M22" s="35"/>
    </row>
    <row r="23" spans="3:13" ht="15.75">
      <c r="C23" s="15"/>
      <c r="D23" s="15"/>
      <c r="E23" s="21"/>
      <c r="F23" s="24"/>
      <c r="G23" s="24"/>
      <c r="H23" s="15"/>
      <c r="I23" s="25"/>
      <c r="J23" s="46"/>
      <c r="K23" s="169"/>
      <c r="L23" s="162"/>
      <c r="M23" s="35"/>
    </row>
    <row r="24" spans="3:13" ht="12.75">
      <c r="C24" s="15" t="s">
        <v>81</v>
      </c>
      <c r="D24" s="15"/>
      <c r="E24" s="21">
        <v>43136</v>
      </c>
      <c r="F24" s="24"/>
      <c r="G24" s="24">
        <v>-200673.85</v>
      </c>
      <c r="H24" s="15"/>
      <c r="I24" s="25"/>
      <c r="J24" s="46"/>
      <c r="K24" s="116"/>
      <c r="L24" s="57"/>
      <c r="M24" s="35"/>
    </row>
    <row r="25" spans="3:13" ht="12.75">
      <c r="C25" s="15"/>
      <c r="D25" s="15"/>
      <c r="E25" s="21">
        <v>43193</v>
      </c>
      <c r="F25" s="24"/>
      <c r="G25" s="24">
        <v>-20655.39</v>
      </c>
      <c r="H25" s="15"/>
      <c r="I25" s="25"/>
      <c r="J25" s="46"/>
      <c r="K25" s="192"/>
      <c r="L25" s="57"/>
      <c r="M25" s="35"/>
    </row>
    <row r="26" spans="3:13" ht="12.75">
      <c r="C26" s="15"/>
      <c r="D26" s="15"/>
      <c r="E26" s="21">
        <v>43286</v>
      </c>
      <c r="F26" s="24"/>
      <c r="G26" s="24">
        <v>-18846.15</v>
      </c>
      <c r="H26" s="15"/>
      <c r="I26" s="25"/>
      <c r="J26" s="46"/>
      <c r="K26" s="192"/>
      <c r="L26" s="57"/>
      <c r="M26" s="35"/>
    </row>
    <row r="27" spans="3:13" ht="12.75">
      <c r="C27" s="15"/>
      <c r="D27" s="15"/>
      <c r="E27" s="21">
        <v>43328</v>
      </c>
      <c r="F27" s="24"/>
      <c r="G27" s="24">
        <v>-70710.78</v>
      </c>
      <c r="H27" s="15"/>
      <c r="I27" s="25"/>
      <c r="J27" s="46"/>
      <c r="K27" s="192"/>
      <c r="L27" s="57"/>
      <c r="M27" s="35"/>
    </row>
    <row r="28" spans="3:13" ht="12.75">
      <c r="C28" s="15"/>
      <c r="E28" s="21">
        <v>43369</v>
      </c>
      <c r="G28" s="24">
        <v>-1468492.30</v>
      </c>
      <c r="H28" s="15"/>
      <c r="I28" s="25"/>
      <c r="J28" s="46"/>
      <c r="K28" s="192"/>
      <c r="L28" s="169"/>
      <c r="M28" s="35"/>
    </row>
    <row r="29" spans="5:12" ht="12.75">
      <c r="E29" s="21">
        <v>43391</v>
      </c>
      <c r="G29" s="24">
        <v>392000</v>
      </c>
      <c r="H29" s="15"/>
      <c r="I29" s="25"/>
      <c r="J29" s="115"/>
      <c r="K29" s="116"/>
      <c r="L29" s="169"/>
    </row>
    <row r="30" spans="5:12" ht="12.75">
      <c r="E30" s="21">
        <v>43461</v>
      </c>
      <c r="G30" s="24">
        <v>-25480</v>
      </c>
      <c r="H30" s="15"/>
      <c r="I30" s="25"/>
      <c r="J30" s="115"/>
      <c r="K30" s="116"/>
      <c r="L30" s="169"/>
    </row>
    <row r="31" spans="3:9" ht="12.75">
      <c r="C31" s="15" t="s">
        <v>83</v>
      </c>
      <c r="D31" s="15"/>
      <c r="E31" s="21">
        <v>43494</v>
      </c>
      <c r="G31" s="24">
        <v>-39350.78</v>
      </c>
      <c r="H31" s="15"/>
      <c r="I31" s="25"/>
    </row>
    <row r="32" spans="3:14" ht="12.75">
      <c r="C32" s="15"/>
      <c r="D32" s="15"/>
      <c r="E32" s="21">
        <v>43622</v>
      </c>
      <c r="G32" s="24">
        <v>-26233.85</v>
      </c>
      <c r="H32" s="15"/>
      <c r="I32" s="25"/>
      <c r="J32" s="25"/>
      <c r="K32" s="15"/>
      <c r="M32" s="30"/>
      <c r="N32" s="31"/>
    </row>
    <row r="33" spans="3:14" ht="12.75">
      <c r="C33" s="15"/>
      <c r="D33" s="15"/>
      <c r="E33" s="21">
        <v>43670</v>
      </c>
      <c r="F33" s="24"/>
      <c r="G33" s="24">
        <v>-39501.54</v>
      </c>
      <c r="H33" s="15"/>
      <c r="I33" s="25"/>
      <c r="J33" s="25"/>
      <c r="K33" s="15"/>
      <c r="M33" s="30"/>
      <c r="N33" s="31"/>
    </row>
    <row r="34" spans="3:14" ht="12.75">
      <c r="C34" s="15"/>
      <c r="D34" s="15"/>
      <c r="E34" s="21">
        <v>43742</v>
      </c>
      <c r="F34" s="24"/>
      <c r="G34" s="24">
        <v>-28646.15</v>
      </c>
      <c r="H34" s="15"/>
      <c r="I34" s="25"/>
      <c r="J34" s="25"/>
      <c r="K34" s="15"/>
      <c r="M34" s="30"/>
      <c r="N34" s="31"/>
    </row>
    <row r="35" spans="3:14" ht="12.75">
      <c r="C35" s="15"/>
      <c r="D35" s="15"/>
      <c r="E35" s="21">
        <v>43794</v>
      </c>
      <c r="F35" s="24"/>
      <c r="G35" s="24">
        <v>-70107.70</v>
      </c>
      <c r="H35" s="15"/>
      <c r="I35" s="25"/>
      <c r="J35" s="25"/>
      <c r="K35" s="15"/>
      <c r="M35" s="30"/>
      <c r="N35" s="31"/>
    </row>
    <row r="36" spans="3:14" ht="12.75">
      <c r="C36" s="15"/>
      <c r="D36" s="15"/>
      <c r="E36" s="21">
        <v>43801</v>
      </c>
      <c r="F36" s="24"/>
      <c r="G36" s="24">
        <v>-134335.38</v>
      </c>
      <c r="H36" s="15"/>
      <c r="I36" s="25"/>
      <c r="J36" s="25"/>
      <c r="K36" s="15"/>
      <c r="M36" s="30"/>
      <c r="N36" s="31"/>
    </row>
    <row r="37" spans="3:14" ht="12.75">
      <c r="C37" s="15" t="s">
        <v>84</v>
      </c>
      <c r="D37" s="15"/>
      <c r="E37" s="21">
        <v>43671</v>
      </c>
      <c r="F37" s="24"/>
      <c r="G37" s="24">
        <v>129646.89</v>
      </c>
      <c r="H37" s="15"/>
      <c r="I37" s="25"/>
      <c r="J37" s="25"/>
      <c r="K37" s="15"/>
      <c r="M37" s="30"/>
      <c r="N37" s="31"/>
    </row>
    <row r="38" spans="3:14" ht="12.75">
      <c r="C38" s="15" t="s">
        <v>16</v>
      </c>
      <c r="D38" s="15"/>
      <c r="E38" s="21">
        <v>43859</v>
      </c>
      <c r="F38" s="24"/>
      <c r="G38" s="24">
        <v>-37993.85</v>
      </c>
      <c r="H38" s="15"/>
      <c r="I38" s="25"/>
      <c r="J38" s="25"/>
      <c r="K38" s="15"/>
      <c r="M38" s="30"/>
      <c r="N38" s="31"/>
    </row>
    <row r="39" spans="3:14" ht="12.75">
      <c r="C39" s="15"/>
      <c r="D39" s="15"/>
      <c r="E39" s="21">
        <v>43916</v>
      </c>
      <c r="F39" s="24"/>
      <c r="G39" s="24">
        <v>-37240</v>
      </c>
      <c r="H39" s="15"/>
      <c r="I39" s="25"/>
      <c r="J39" s="25"/>
      <c r="K39" s="15"/>
      <c r="M39" s="30"/>
      <c r="N39" s="31"/>
    </row>
    <row r="40" spans="3:14" ht="12.75">
      <c r="C40" s="15"/>
      <c r="D40" s="15"/>
      <c r="E40" s="21">
        <v>44103</v>
      </c>
      <c r="F40" s="24"/>
      <c r="G40" s="24">
        <v>-48095.38</v>
      </c>
      <c r="H40" s="15"/>
      <c r="I40" s="25"/>
      <c r="J40" s="25"/>
      <c r="K40" s="15"/>
      <c r="M40" s="30"/>
      <c r="N40" s="31"/>
    </row>
    <row r="41" spans="3:14" ht="12.75">
      <c r="C41" s="15"/>
      <c r="D41" s="15"/>
      <c r="E41" s="21">
        <v>44126</v>
      </c>
      <c r="F41" s="24"/>
      <c r="G41" s="24">
        <v>-161323.07</v>
      </c>
      <c r="H41" s="15"/>
      <c r="I41" s="25"/>
      <c r="J41" s="25"/>
      <c r="K41" s="15"/>
      <c r="M41" s="30"/>
      <c r="N41" s="31"/>
    </row>
    <row r="42" spans="3:14" ht="12.75">
      <c r="C42" s="15" t="s">
        <v>41</v>
      </c>
      <c r="D42" s="15"/>
      <c r="E42" s="21">
        <v>44200</v>
      </c>
      <c r="F42" s="24"/>
      <c r="G42" s="24">
        <v>-26535.39</v>
      </c>
      <c r="H42" s="15"/>
      <c r="I42" s="25"/>
      <c r="J42" s="25"/>
      <c r="K42" s="15"/>
      <c r="M42" s="30"/>
      <c r="N42" s="31"/>
    </row>
    <row r="43" spans="3:14" ht="12.75">
      <c r="C43" s="15"/>
      <c r="D43" s="15"/>
      <c r="E43" s="21">
        <v>44376</v>
      </c>
      <c r="F43" s="24"/>
      <c r="G43" s="24">
        <v>-28646.16</v>
      </c>
      <c r="H43" s="15"/>
      <c r="I43" s="25"/>
      <c r="J43" s="25"/>
      <c r="K43" s="15"/>
      <c r="M43" s="30"/>
      <c r="N43" s="31"/>
    </row>
    <row r="44" spans="3:14" ht="12.75">
      <c r="C44" s="15"/>
      <c r="D44" s="15"/>
      <c r="E44" s="21">
        <v>44466</v>
      </c>
      <c r="F44" s="24"/>
      <c r="G44" s="24">
        <v>-18846.15</v>
      </c>
      <c r="H44" s="15"/>
      <c r="I44" s="25"/>
      <c r="J44" s="25"/>
      <c r="K44" s="15"/>
      <c r="M44" s="30"/>
      <c r="N44" s="31"/>
    </row>
    <row r="45" spans="3:14" ht="12.75">
      <c r="C45" s="15"/>
      <c r="D45" s="15"/>
      <c r="E45" s="21">
        <v>44530</v>
      </c>
      <c r="F45" s="24"/>
      <c r="G45" s="24">
        <v>-37240.01</v>
      </c>
      <c r="H45" s="15"/>
      <c r="I45" s="25"/>
      <c r="J45" s="25"/>
      <c r="K45" s="15"/>
      <c r="M45" s="30"/>
      <c r="N45" s="31"/>
    </row>
    <row r="46" spans="3:14" ht="12.75">
      <c r="C46" s="15" t="s">
        <v>71</v>
      </c>
      <c r="D46" s="15"/>
      <c r="E46" s="21">
        <v>44463</v>
      </c>
      <c r="F46" s="24"/>
      <c r="G46" s="24">
        <v>22626.91</v>
      </c>
      <c r="H46" s="15"/>
      <c r="I46" s="25"/>
      <c r="J46" s="25"/>
      <c r="K46" s="15"/>
      <c r="M46" s="30"/>
      <c r="N46" s="31"/>
    </row>
    <row r="47" spans="3:14" ht="12.75">
      <c r="C47" s="15"/>
      <c r="D47" s="15"/>
      <c r="E47" s="21">
        <v>44484</v>
      </c>
      <c r="F47" s="24"/>
      <c r="G47" s="24">
        <v>969199.17</v>
      </c>
      <c r="H47" s="15"/>
      <c r="I47" s="25"/>
      <c r="J47" s="25"/>
      <c r="K47" s="15"/>
      <c r="M47" s="30"/>
      <c r="N47" s="31"/>
    </row>
    <row r="48" spans="3:14" ht="12.75">
      <c r="C48" s="15"/>
      <c r="D48" s="15"/>
      <c r="E48" s="21">
        <v>44539</v>
      </c>
      <c r="F48" s="24"/>
      <c r="G48" s="24">
        <v>78313.97</v>
      </c>
      <c r="H48" s="15"/>
      <c r="I48" s="25"/>
      <c r="J48" s="25"/>
      <c r="K48" s="15"/>
      <c r="M48" s="30"/>
      <c r="N48" s="31"/>
    </row>
    <row r="49" spans="3:14" ht="12.75">
      <c r="C49" s="15" t="s">
        <v>72</v>
      </c>
      <c r="D49" s="15"/>
      <c r="E49" s="21">
        <v>44606</v>
      </c>
      <c r="F49" s="24"/>
      <c r="G49" s="24">
        <v>-474772.30</v>
      </c>
      <c r="H49" s="15"/>
      <c r="I49" s="25"/>
      <c r="J49" s="25"/>
      <c r="K49" s="15"/>
      <c r="M49" s="30"/>
      <c r="N49" s="31"/>
    </row>
    <row r="50" spans="3:14" ht="12.75">
      <c r="C50" s="15"/>
      <c r="D50" s="15"/>
      <c r="E50" s="21">
        <v>44649</v>
      </c>
      <c r="F50" s="24"/>
      <c r="G50" s="24">
        <v>-18846.15</v>
      </c>
      <c r="H50" s="15"/>
      <c r="I50" s="25"/>
      <c r="J50" s="25"/>
      <c r="K50" s="15"/>
      <c r="M50" s="30"/>
      <c r="N50" s="31"/>
    </row>
    <row r="51" spans="3:14" ht="12.75">
      <c r="C51" s="15"/>
      <c r="D51" s="15"/>
      <c r="E51" s="21">
        <v>44672</v>
      </c>
      <c r="F51" s="24"/>
      <c r="G51" s="24">
        <v>-7689.23</v>
      </c>
      <c r="H51" s="15"/>
      <c r="I51" s="25"/>
      <c r="J51" s="25"/>
      <c r="K51" s="15"/>
      <c r="M51" s="30"/>
      <c r="N51" s="31"/>
    </row>
    <row r="52" spans="3:14" ht="12.75">
      <c r="C52" s="15"/>
      <c r="D52" s="15"/>
      <c r="E52" s="21">
        <v>44736</v>
      </c>
      <c r="F52" s="24"/>
      <c r="G52" s="24">
        <v>-61966.16</v>
      </c>
      <c r="H52" s="15"/>
      <c r="I52" s="25"/>
      <c r="J52" s="25"/>
      <c r="K52" s="15"/>
      <c r="M52" s="30"/>
      <c r="N52" s="31"/>
    </row>
    <row r="53" spans="3:14" ht="12.75">
      <c r="C53" s="15"/>
      <c r="D53" s="15"/>
      <c r="E53" s="21">
        <v>44764</v>
      </c>
      <c r="F53" s="24"/>
      <c r="G53" s="24">
        <v>-300181.54</v>
      </c>
      <c r="H53" s="15"/>
      <c r="I53" s="25"/>
      <c r="J53" s="25"/>
      <c r="K53" s="15"/>
      <c r="M53" s="30"/>
      <c r="N53" s="31"/>
    </row>
    <row r="54" spans="3:14" ht="12.75">
      <c r="C54" s="15"/>
      <c r="D54" s="15"/>
      <c r="E54" s="21">
        <v>44819</v>
      </c>
      <c r="F54" s="24"/>
      <c r="G54" s="24">
        <v>-681175.39</v>
      </c>
      <c r="H54" s="15"/>
      <c r="I54" s="25"/>
      <c r="J54" s="25"/>
      <c r="K54" s="15"/>
      <c r="M54" s="30"/>
      <c r="N54" s="31"/>
    </row>
    <row r="55" spans="3:14" ht="12.75">
      <c r="C55" s="15"/>
      <c r="D55" s="15"/>
      <c r="E55" s="21">
        <v>44875</v>
      </c>
      <c r="F55" s="24"/>
      <c r="G55" s="24">
        <v>-33621.54</v>
      </c>
      <c r="H55" s="15"/>
      <c r="I55" s="25"/>
      <c r="J55" s="25"/>
      <c r="K55" s="15"/>
      <c r="M55" s="30"/>
      <c r="N55" s="31"/>
    </row>
    <row r="56" spans="3:14" ht="12.75">
      <c r="C56" s="15"/>
      <c r="D56" s="15"/>
      <c r="E56" s="21">
        <v>44915</v>
      </c>
      <c r="F56" s="24"/>
      <c r="G56" s="24">
        <v>-305760</v>
      </c>
      <c r="H56" s="15"/>
      <c r="I56" s="25"/>
      <c r="J56" s="25"/>
      <c r="K56" s="15"/>
      <c r="M56" s="30"/>
      <c r="N56" s="31"/>
    </row>
    <row r="57" spans="3:14" ht="12.75">
      <c r="C57" s="15" t="s">
        <v>73</v>
      </c>
      <c r="D57" s="15"/>
      <c r="E57" s="21">
        <v>44615</v>
      </c>
      <c r="F57" s="24"/>
      <c r="G57" s="24">
        <v>16557.02</v>
      </c>
      <c r="H57" s="15"/>
      <c r="I57" s="25"/>
      <c r="J57" s="25"/>
      <c r="K57" s="15"/>
      <c r="M57" s="30"/>
      <c r="N57" s="31"/>
    </row>
    <row r="58" spans="3:14" ht="12.75">
      <c r="C58" s="15"/>
      <c r="D58" s="15"/>
      <c r="E58" s="21">
        <v>44785</v>
      </c>
      <c r="F58" s="24"/>
      <c r="G58" s="24">
        <v>54642.34</v>
      </c>
      <c r="H58" s="15"/>
      <c r="I58" s="25"/>
      <c r="J58" s="25"/>
      <c r="K58" s="15"/>
      <c r="M58" s="30"/>
      <c r="N58" s="31"/>
    </row>
    <row r="59" spans="3:14" ht="12.75">
      <c r="C59" s="15"/>
      <c r="D59" s="15"/>
      <c r="E59" s="21">
        <v>44895</v>
      </c>
      <c r="F59" s="24"/>
      <c r="G59" s="24">
        <v>25685.79</v>
      </c>
      <c r="H59" s="15"/>
      <c r="I59" s="25"/>
      <c r="J59" s="25"/>
      <c r="K59" s="15"/>
      <c r="M59" s="30"/>
      <c r="N59" s="31"/>
    </row>
    <row r="60" spans="3:14" ht="12.75">
      <c r="C60" s="15" t="s">
        <v>74</v>
      </c>
      <c r="D60" s="15"/>
      <c r="E60" s="21">
        <v>44931</v>
      </c>
      <c r="F60" s="24"/>
      <c r="G60" s="24">
        <v>-32566.16</v>
      </c>
      <c r="H60" s="15"/>
      <c r="I60" s="25"/>
      <c r="J60" s="25"/>
      <c r="K60" s="15"/>
      <c r="M60" s="30"/>
      <c r="N60" s="31"/>
    </row>
    <row r="61" spans="3:14" ht="12.75">
      <c r="C61" s="15"/>
      <c r="D61" s="15"/>
      <c r="E61" s="21">
        <v>45107</v>
      </c>
      <c r="F61" s="24"/>
      <c r="G61" s="24">
        <v>-12966.16</v>
      </c>
      <c r="H61" s="15"/>
      <c r="I61" s="25"/>
      <c r="J61" s="25"/>
      <c r="K61" s="15"/>
      <c r="M61" s="30"/>
      <c r="N61" s="31"/>
    </row>
    <row r="62" spans="3:14" ht="12.75">
      <c r="C62" s="15" t="s">
        <v>75</v>
      </c>
      <c r="D62" s="15"/>
      <c r="E62" s="21">
        <v>45051</v>
      </c>
      <c r="F62" s="24"/>
      <c r="G62" s="24">
        <v>406750</v>
      </c>
      <c r="H62" s="15"/>
      <c r="I62" s="25"/>
      <c r="J62" s="25"/>
      <c r="K62" s="15"/>
      <c r="M62" s="30"/>
      <c r="N62" s="31"/>
    </row>
    <row r="63" spans="3:10" ht="4.5" customHeight="1">
      <c r="C63" s="15"/>
      <c r="D63" s="15"/>
      <c r="E63" s="21"/>
      <c r="F63" s="15"/>
      <c r="G63" s="24"/>
      <c r="H63" s="15"/>
      <c r="I63" s="25"/>
      <c r="J63" s="25"/>
    </row>
    <row r="64" spans="3:13" ht="12.75">
      <c r="C64" s="15" t="s">
        <v>5</v>
      </c>
      <c r="D64" s="15"/>
      <c r="E64" s="21">
        <f>+E8</f>
        <v>45107</v>
      </c>
      <c r="F64" s="15"/>
      <c r="G64" s="46">
        <f>L64*C22</f>
        <v>3146968.288354239</v>
      </c>
      <c r="H64" s="15"/>
      <c r="I64" s="24">
        <f>+SUMIF($G$24:$G$63,"&lt;0",$G$24:$G$63)+G29</f>
        <v>-4076498.51</v>
      </c>
      <c r="J64" s="15" t="s">
        <v>14</v>
      </c>
      <c r="L64" s="57">
        <v>180258339</v>
      </c>
      <c r="M64" s="139"/>
    </row>
    <row r="65" spans="3:10" ht="12.75">
      <c r="C65" s="15"/>
      <c r="D65" s="15"/>
      <c r="E65" s="15"/>
      <c r="F65" s="15"/>
      <c r="G65" s="15"/>
      <c r="H65" s="15"/>
      <c r="I65" s="24">
        <f>+SUMIF($G$24:$G$63,"&gt;0",$G$24:$G$63)-G29</f>
        <v>1703422.0900000003</v>
      </c>
      <c r="J65" s="15" t="s">
        <v>15</v>
      </c>
    </row>
    <row r="66" spans="3:8" ht="12.75">
      <c r="C66" s="14" t="s">
        <v>0</v>
      </c>
      <c r="G66" s="29">
        <f>+XIRR(G24:G64,E24:E64)</f>
        <v>0.07933489978313447</v>
      </c>
      <c r="H66" s="15"/>
    </row>
    <row r="67" spans="3:8" ht="12.75">
      <c r="C67" s="14"/>
      <c r="G67" s="29"/>
      <c r="H67" s="15"/>
    </row>
    <row r="68" spans="3:8" ht="12.75">
      <c r="C68" s="52"/>
      <c r="D68" s="52"/>
      <c r="E68" s="53"/>
      <c r="F68" s="52"/>
      <c r="G68" s="53"/>
      <c r="H68" s="15"/>
    </row>
    <row r="69" spans="3:8" ht="12.75">
      <c r="C69" s="52"/>
      <c r="D69" s="52"/>
      <c r="E69" s="53"/>
      <c r="F69" s="52"/>
      <c r="G69" s="53"/>
      <c r="H69" s="15"/>
    </row>
    <row r="70" spans="3:8" ht="12.75">
      <c r="C70" s="52"/>
      <c r="D70" s="52"/>
      <c r="E70" s="53"/>
      <c r="F70" s="52"/>
      <c r="G70" s="53"/>
      <c r="H70" s="15"/>
    </row>
    <row r="71" spans="3:8" ht="12.75">
      <c r="C71" s="52"/>
      <c r="D71" s="52"/>
      <c r="E71" s="132"/>
      <c r="F71" s="132"/>
      <c r="G71" s="132"/>
      <c r="H71" s="14"/>
    </row>
    <row r="72" spans="3:8" ht="12.75">
      <c r="C72" s="52"/>
      <c r="D72" s="52"/>
      <c r="E72" s="53"/>
      <c r="F72" s="53"/>
      <c r="G72" s="53"/>
      <c r="H72" s="14"/>
    </row>
    <row r="73" spans="3:8" ht="12.75">
      <c r="C73" s="52"/>
      <c r="D73" s="52"/>
      <c r="E73" s="52"/>
      <c r="F73" s="52"/>
      <c r="G73" s="52"/>
      <c r="H73" s="14"/>
    </row>
    <row r="74" spans="3:8" ht="12.75">
      <c r="C74" s="170"/>
      <c r="D74" s="170"/>
      <c r="E74" s="171"/>
      <c r="F74" s="54"/>
      <c r="G74" s="58"/>
      <c r="H74" s="15"/>
    </row>
    <row r="75" spans="3:8" ht="12.75">
      <c r="C75" s="170"/>
      <c r="D75" s="170"/>
      <c r="E75" s="70"/>
      <c r="F75" s="54"/>
      <c r="G75" s="70"/>
      <c r="H75" s="15"/>
    </row>
    <row r="76" spans="3:8" ht="12.75">
      <c r="C76" s="170"/>
      <c r="D76" s="170"/>
      <c r="E76" s="70"/>
      <c r="F76" s="54"/>
      <c r="G76" s="70"/>
      <c r="H76" s="15"/>
    </row>
    <row r="77" spans="3:8" ht="12.75">
      <c r="C77" s="172"/>
      <c r="D77" s="170"/>
      <c r="E77" s="70"/>
      <c r="F77" s="54"/>
      <c r="G77" s="70"/>
      <c r="H77" s="15"/>
    </row>
    <row r="78" spans="3:8" ht="12.75">
      <c r="C78" s="172"/>
      <c r="D78" s="170"/>
      <c r="E78" s="70"/>
      <c r="F78" s="54"/>
      <c r="G78" s="70"/>
      <c r="H78" s="15"/>
    </row>
    <row r="79" spans="3:8" ht="12.75">
      <c r="C79" s="173"/>
      <c r="D79" s="170"/>
      <c r="E79" s="70"/>
      <c r="F79" s="54"/>
      <c r="G79" s="70"/>
      <c r="H79" s="15"/>
    </row>
    <row r="80" spans="3:8" ht="12.75">
      <c r="C80" s="170"/>
      <c r="D80" s="170"/>
      <c r="E80" s="70"/>
      <c r="F80" s="54"/>
      <c r="G80" s="70"/>
      <c r="H80" s="15"/>
    </row>
    <row r="81" spans="3:8" ht="12.75">
      <c r="C81" s="170"/>
      <c r="D81" s="170"/>
      <c r="E81" s="70"/>
      <c r="F81" s="54"/>
      <c r="G81" s="70"/>
      <c r="H81" s="15"/>
    </row>
    <row r="82" spans="3:8" ht="12.75">
      <c r="C82" s="170"/>
      <c r="D82" s="170"/>
      <c r="E82" s="70"/>
      <c r="F82" s="54"/>
      <c r="G82" s="70"/>
      <c r="H82" s="15"/>
    </row>
    <row r="83" spans="3:8" ht="12.75">
      <c r="C83" s="170"/>
      <c r="D83" s="170"/>
      <c r="E83" s="70"/>
      <c r="F83" s="54"/>
      <c r="G83" s="70"/>
      <c r="H83" s="15"/>
    </row>
    <row r="84" spans="3:8" ht="12.75">
      <c r="C84" s="170"/>
      <c r="D84" s="170"/>
      <c r="E84" s="70"/>
      <c r="F84" s="54"/>
      <c r="G84" s="70"/>
      <c r="H84" s="15"/>
    </row>
    <row r="85" spans="3:8" ht="12.75">
      <c r="C85" s="170"/>
      <c r="D85" s="170"/>
      <c r="E85" s="70"/>
      <c r="F85" s="54"/>
      <c r="G85" s="70"/>
      <c r="H85" s="15"/>
    </row>
    <row r="86" spans="3:8" ht="4.9" customHeight="1">
      <c r="C86" s="15"/>
      <c r="D86" s="15"/>
      <c r="E86" s="15"/>
      <c r="F86" s="15"/>
      <c r="G86" s="15"/>
      <c r="H86" s="15"/>
    </row>
    <row r="87" spans="3:8" ht="12.75">
      <c r="C87" s="15"/>
      <c r="D87" s="15"/>
      <c r="E87" s="15"/>
      <c r="F87" s="15"/>
      <c r="G87" s="15"/>
      <c r="H87" s="15"/>
    </row>
  </sheetData>
  <mergeCells count="1">
    <mergeCell ref="E71:G71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13434E-B425-4CFC-9136-3AA330D72021}">
  <dimension ref="B4:Q70"/>
  <sheetViews>
    <sheetView view="pageLayout" zoomScaleNormal="100" workbookViewId="0" topLeftCell="A22">
      <selection pane="topLeft" activeCell="E44" sqref="E44:E48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285714285714286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31.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1-(20000000/213814409.75)</f>
        <v>0.9064609348669027</v>
      </c>
      <c r="J9" s="55" t="s">
        <v>31</v>
      </c>
      <c r="M9" s="35"/>
    </row>
    <row r="10" spans="3:15" ht="12.75">
      <c r="C10" s="62" t="s">
        <v>11</v>
      </c>
      <c r="D10" s="62"/>
      <c r="E10" s="63">
        <f>I10/(J35)</f>
        <v>-0.07975173805493892</v>
      </c>
      <c r="F10" s="18"/>
      <c r="G10" s="100">
        <f>-6132648-J10</f>
        <v>-748190</v>
      </c>
      <c r="H10" s="7"/>
      <c r="I10" s="12">
        <f>(G10*$I$9)+J10</f>
        <v>-6062663.006858068</v>
      </c>
      <c r="J10" s="100">
        <v>-5384458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>
        <f>I13/(J35)</f>
        <v>0.08086255197758226</v>
      </c>
      <c r="F13" s="18"/>
      <c r="G13" s="100">
        <f>6225805-J13</f>
        <v>841347</v>
      </c>
      <c r="H13" s="8"/>
      <c r="I13" s="12">
        <f>G13*$I$9+J13</f>
        <v>6147106.188167464</v>
      </c>
      <c r="J13" s="56">
        <f>-J10</f>
        <v>5384458</v>
      </c>
      <c r="O13" s="16"/>
    </row>
    <row r="14" spans="3:9" ht="12.75">
      <c r="C14" s="62" t="s">
        <v>3</v>
      </c>
      <c r="D14" s="62"/>
      <c r="E14" s="67">
        <f>(G14)/(J35)</f>
        <v>0.1355000123844772</v>
      </c>
      <c r="F14" s="18"/>
      <c r="G14" s="100">
        <v>10300602</v>
      </c>
      <c r="H14" s="9"/>
      <c r="I14" s="12"/>
    </row>
    <row r="15" spans="3:9" ht="12.75">
      <c r="C15" s="62" t="s">
        <v>4</v>
      </c>
      <c r="D15" s="62"/>
      <c r="E15" s="63">
        <f>E13+E14</f>
        <v>0.21636256436205947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G52</f>
        <v>0.3747266590595245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-(G50+I51)/I50</f>
        <v>1.3823748373218914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/>
      <c r="K21" s="60"/>
      <c r="L21" s="41"/>
      <c r="M21" s="42"/>
      <c r="N21" s="43"/>
      <c r="O21" s="45"/>
    </row>
    <row r="22" spans="3:15" ht="12.75">
      <c r="C22" s="22"/>
      <c r="D22" s="15"/>
      <c r="E22" s="15"/>
      <c r="F22" s="15"/>
      <c r="G22" s="23"/>
      <c r="H22" s="15"/>
      <c r="I22" s="15"/>
      <c r="J22" s="59"/>
      <c r="K22" s="60"/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/>
      <c r="K23" s="60"/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f>-8355693.57*193814409.75/213814409.75</f>
        <v>-7574109.804923568</v>
      </c>
      <c r="H24" s="15"/>
      <c r="I24" s="25"/>
      <c r="J24" s="59"/>
      <c r="K24" s="60"/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f>-8946403.4*193814409.75/213814409.75</f>
        <v>-8109565.189660437</v>
      </c>
      <c r="H25" s="15"/>
      <c r="I25" s="25"/>
      <c r="J25" s="59"/>
      <c r="K25" s="60"/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f>-8101403.91*193814409.75/213814409.75-1912477.07</f>
        <v>-9256083.231992982</v>
      </c>
      <c r="H26" s="15"/>
      <c r="I26" s="25"/>
      <c r="J26" s="59"/>
      <c r="K26" s="60"/>
      <c r="L26" s="41"/>
      <c r="M26" s="42"/>
      <c r="N26" s="39"/>
      <c r="O26" s="25"/>
      <c r="P26" s="45"/>
    </row>
    <row r="27" spans="3:16" ht="12.75">
      <c r="C27" s="15"/>
      <c r="D27" s="15"/>
      <c r="E27" s="21">
        <v>44117</v>
      </c>
      <c r="F27" s="24"/>
      <c r="G27" s="24">
        <f>-10183965.83*193814409.75/213814409.75</f>
        <v>-9231367.186914392</v>
      </c>
      <c r="H27" s="15"/>
      <c r="I27" s="25"/>
      <c r="J27" s="59"/>
      <c r="K27" s="60"/>
      <c r="L27" s="41"/>
      <c r="M27" s="42"/>
      <c r="N27" s="39"/>
      <c r="O27" s="25"/>
      <c r="P27" s="45"/>
    </row>
    <row r="28" spans="3:16" ht="12.75">
      <c r="C28" s="15"/>
      <c r="D28" s="15"/>
      <c r="E28" s="21">
        <v>44141</v>
      </c>
      <c r="F28" s="24"/>
      <c r="G28" s="24">
        <f>-9094491.06*193814409.75/213814409.75</f>
        <v>-8243800.86838629</v>
      </c>
      <c r="H28" s="15"/>
      <c r="I28" s="25"/>
      <c r="J28" s="59"/>
      <c r="K28" s="60"/>
      <c r="L28" s="41"/>
      <c r="M28" s="42"/>
      <c r="N28" s="39"/>
      <c r="O28" s="25"/>
      <c r="P28" s="45"/>
    </row>
    <row r="29" spans="3:16" ht="12.75">
      <c r="C29" s="15"/>
      <c r="D29" s="15"/>
      <c r="E29" s="21">
        <v>44148</v>
      </c>
      <c r="F29" s="24"/>
      <c r="G29" s="24">
        <f>-4743875.63*193814409.75/213814409.75</f>
        <v>-4300137.938462117</v>
      </c>
      <c r="H29" s="15"/>
      <c r="I29" s="25"/>
      <c r="J29" s="59"/>
      <c r="K29" s="60"/>
      <c r="L29" s="41"/>
      <c r="M29" s="42"/>
      <c r="N29" s="39"/>
      <c r="O29" s="25"/>
      <c r="P29" s="45"/>
    </row>
    <row r="30" spans="3:15" ht="12.75">
      <c r="C30" s="15"/>
      <c r="D30" s="15"/>
      <c r="E30" s="21">
        <v>44187</v>
      </c>
      <c r="F30" s="24"/>
      <c r="G30" s="24">
        <f>-4000309.07*193814409.75/213814409.75-294804.35</f>
        <v>-3920928.24934875</v>
      </c>
      <c r="H30" s="15"/>
      <c r="I30" s="25"/>
      <c r="J30" s="59">
        <v>23429675</v>
      </c>
      <c r="K30" s="60" t="s">
        <v>53</v>
      </c>
      <c r="L30" s="41"/>
      <c r="M30" s="42"/>
      <c r="N30" s="39"/>
      <c r="O30" s="25"/>
    </row>
    <row r="31" spans="3:16" ht="12.75">
      <c r="C31" s="15" t="s">
        <v>41</v>
      </c>
      <c r="D31" s="15"/>
      <c r="E31" s="21">
        <v>44203</v>
      </c>
      <c r="F31" s="24"/>
      <c r="G31" s="24">
        <f>-17965219.19*193814409.75/213814409.75-492157.19</f>
        <v>-1.6776926572056223E7</v>
      </c>
      <c r="H31" s="15"/>
      <c r="I31" s="25"/>
      <c r="J31" s="59">
        <v>60571194</v>
      </c>
      <c r="K31" s="60" t="s">
        <v>54</v>
      </c>
      <c r="L31" s="41"/>
      <c r="M31" s="42"/>
      <c r="N31" s="39"/>
      <c r="P31" s="45"/>
    </row>
    <row r="32" spans="3:16" ht="12.75">
      <c r="C32" s="15"/>
      <c r="D32" s="15"/>
      <c r="E32" s="21">
        <v>44217</v>
      </c>
      <c r="F32" s="24"/>
      <c r="G32" s="24">
        <f>-2420477.32*193814409.75/213814409.75</f>
        <v>-2194068.134311335</v>
      </c>
      <c r="H32" s="15"/>
      <c r="I32" s="25"/>
      <c r="J32" s="59">
        <v>9.559377379E7</v>
      </c>
      <c r="K32" s="60" t="s">
        <v>55</v>
      </c>
      <c r="L32" s="41"/>
      <c r="M32" s="42"/>
      <c r="N32" s="39"/>
      <c r="P32" s="45"/>
    </row>
    <row r="33" spans="3:14" ht="12.75">
      <c r="C33" s="15"/>
      <c r="D33" s="15"/>
      <c r="E33" s="21">
        <v>44250</v>
      </c>
      <c r="F33" s="24"/>
      <c r="G33" s="24">
        <f>8743624.8*193814409.75/213814409.75</f>
        <v>7925754.310333436</v>
      </c>
      <c r="H33" s="15"/>
      <c r="I33" s="25"/>
      <c r="J33" s="61">
        <v>9.843903523E7</v>
      </c>
      <c r="K33" s="60" t="s">
        <v>56</v>
      </c>
      <c r="L33" s="39"/>
      <c r="M33" s="39"/>
      <c r="N33" s="39"/>
    </row>
    <row r="34" spans="3:15" ht="12.75">
      <c r="C34" s="15"/>
      <c r="D34" s="15"/>
      <c r="E34" s="21">
        <v>44265</v>
      </c>
      <c r="F34" s="24"/>
      <c r="G34" s="24">
        <f>-5278462.5*193814409.75/213814409.75-155480.19</f>
        <v>-4940200.242409889</v>
      </c>
      <c r="H34" s="15"/>
      <c r="I34" s="25"/>
      <c r="J34" s="61">
        <f>G50</f>
        <v>102062302</v>
      </c>
      <c r="K34" s="60" t="s">
        <v>57</v>
      </c>
      <c r="L34" s="39"/>
      <c r="M34" s="39"/>
      <c r="N34" s="39"/>
      <c r="O34" s="45"/>
    </row>
    <row r="35" spans="3:14" ht="12.75">
      <c r="C35" s="15"/>
      <c r="D35" s="15"/>
      <c r="E35" s="21">
        <v>44291</v>
      </c>
      <c r="F35" s="24"/>
      <c r="G35" s="24">
        <f>-12658173.89*193814409.75/213814409.75-268874.97</f>
        <v>-1.174301510803722E7</v>
      </c>
      <c r="H35" s="15"/>
      <c r="I35" s="25"/>
      <c r="J35" s="61">
        <f>SUM(J30:J34)/5</f>
        <v>7.601919600400001E7</v>
      </c>
      <c r="K35" s="60" t="s">
        <v>12</v>
      </c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f>-28503534.36*193814409.75/213814409.75-795428.94</f>
        <v>-2.6632769342976484E7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f>29772852.87*193814409.75/213814409.75</f>
        <v>2.6987928046194952E7</v>
      </c>
      <c r="H37" s="15"/>
      <c r="I37" s="25"/>
      <c r="J37" s="98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f>-13567083.21*193814409.75/213814409.75-457505.62</f>
        <v>-1.275553654995366E7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107">
        <f>16251618.18*193814409.75/213814409.75+830538.11-1675268.66</f>
        <v>1.388672645854275E7</v>
      </c>
      <c r="H39" s="15"/>
      <c r="I39" s="25"/>
      <c r="J39" s="25"/>
      <c r="K39" s="15"/>
      <c r="L39" s="39"/>
      <c r="M39" s="39"/>
      <c r="N39" s="39"/>
    </row>
    <row r="40" spans="3:14" ht="12.75">
      <c r="C40" s="15"/>
      <c r="D40" s="15"/>
      <c r="E40" s="21">
        <v>44361</v>
      </c>
      <c r="F40" s="24"/>
      <c r="G40" s="24">
        <f>416746.8*193814409.75/213814409.75+67984.53</f>
        <v>445749.2239307901</v>
      </c>
      <c r="H40" s="15"/>
      <c r="I40" s="25"/>
      <c r="J40" s="97"/>
      <c r="K40" s="15"/>
      <c r="L40" s="39"/>
      <c r="M40" s="39"/>
      <c r="N40" s="39"/>
    </row>
    <row r="41" spans="3:14" ht="12.75">
      <c r="C41" s="15"/>
      <c r="D41" s="15"/>
      <c r="E41" s="21">
        <v>44375</v>
      </c>
      <c r="F41" s="24"/>
      <c r="G41" s="107">
        <f>-6218476.1-209162.1</f>
        <v>-6427638.199999999</v>
      </c>
      <c r="H41" s="15"/>
      <c r="I41" s="25"/>
      <c r="J41" s="98"/>
      <c r="K41" s="15"/>
      <c r="L41" s="39"/>
      <c r="M41" s="39"/>
      <c r="N41" s="39"/>
    </row>
    <row r="42" spans="3:14" ht="12.75">
      <c r="C42" s="15"/>
      <c r="D42" s="15"/>
      <c r="E42" s="21">
        <v>44405</v>
      </c>
      <c r="F42" s="24"/>
      <c r="G42" s="24">
        <v>-3521085.97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44468</v>
      </c>
      <c r="F43" s="24"/>
      <c r="G43" s="24">
        <v>-1653652.87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44475</v>
      </c>
      <c r="F44" s="24"/>
      <c r="G44" s="24">
        <v>-4024098.30</v>
      </c>
      <c r="H44" s="15"/>
      <c r="I44" s="25"/>
      <c r="J44" s="25"/>
      <c r="K44" s="15"/>
      <c r="L44" s="39"/>
      <c r="M44" s="39"/>
      <c r="N44" s="39"/>
    </row>
    <row r="45" spans="3:14" ht="12.75">
      <c r="C45" s="15"/>
      <c r="D45" s="15"/>
      <c r="E45" s="21">
        <v>44483</v>
      </c>
      <c r="F45" s="24"/>
      <c r="G45" s="24">
        <v>-4703164.88</v>
      </c>
      <c r="H45" s="15"/>
      <c r="I45" s="25"/>
      <c r="J45" s="25"/>
      <c r="K45" s="15"/>
      <c r="L45" s="39"/>
      <c r="M45" s="39"/>
      <c r="N45" s="39"/>
    </row>
    <row r="46" spans="3:14" ht="12.75">
      <c r="C46" s="15"/>
      <c r="D46" s="15"/>
      <c r="E46" s="21">
        <v>44505</v>
      </c>
      <c r="F46" s="24"/>
      <c r="G46" s="24">
        <v>-4225303.20</v>
      </c>
      <c r="H46" s="15"/>
      <c r="I46" s="25"/>
      <c r="J46" s="25"/>
      <c r="K46" s="15"/>
      <c r="L46" s="39"/>
      <c r="M46" s="39"/>
      <c r="N46" s="39"/>
    </row>
    <row r="47" spans="3:14" ht="12.75">
      <c r="C47" s="15"/>
      <c r="D47" s="15"/>
      <c r="E47" s="21">
        <v>44551</v>
      </c>
      <c r="F47" s="24"/>
      <c r="G47" s="24">
        <v>-2584225.62</v>
      </c>
      <c r="H47" s="15"/>
      <c r="I47" s="25"/>
      <c r="J47" s="25"/>
      <c r="K47" s="15"/>
      <c r="L47" s="39"/>
      <c r="M47" s="39"/>
      <c r="N47" s="39"/>
    </row>
    <row r="48" spans="3:14" ht="12.75">
      <c r="C48" s="15"/>
      <c r="D48" s="15"/>
      <c r="E48" s="21">
        <v>44558</v>
      </c>
      <c r="F48" s="24"/>
      <c r="G48" s="24">
        <v>4.111236031E7</v>
      </c>
      <c r="H48" s="15"/>
      <c r="I48" s="25"/>
      <c r="J48" s="25"/>
      <c r="K48" s="15"/>
      <c r="L48" s="39"/>
      <c r="M48" s="39"/>
      <c r="N48" s="39"/>
    </row>
    <row r="49" spans="3:15" ht="4.5" customHeight="1">
      <c r="C49" s="15"/>
      <c r="D49" s="15"/>
      <c r="E49" s="21"/>
      <c r="F49" s="15"/>
      <c r="G49" s="24"/>
      <c r="H49" s="15"/>
      <c r="I49" s="25"/>
      <c r="J49" s="25"/>
      <c r="O49" s="31"/>
    </row>
    <row r="50" spans="3:13" ht="12.75">
      <c r="C50" s="15" t="s">
        <v>5</v>
      </c>
      <c r="D50" s="15"/>
      <c r="E50" s="21">
        <f>+E8</f>
        <v>44561</v>
      </c>
      <c r="F50" s="15"/>
      <c r="G50" s="102">
        <v>102062302</v>
      </c>
      <c r="H50" s="15"/>
      <c r="I50" s="24">
        <f>+SUMIF($G$24:$G$49,"&lt;0",$G$24:$G$49)+G33+G37+G39+G40</f>
        <v>-1.0357151942043142E8</v>
      </c>
      <c r="J50" s="15" t="s">
        <v>14</v>
      </c>
      <c r="M50" s="31"/>
    </row>
    <row r="51" spans="3:15" ht="12.75">
      <c r="C51" s="15"/>
      <c r="D51" s="15"/>
      <c r="E51" s="15"/>
      <c r="F51" s="15"/>
      <c r="G51" s="15"/>
      <c r="H51" s="15"/>
      <c r="I51" s="24">
        <f>+SUMIF($G$24:$G$49,"&gt;0",$G$24:$G$49)-G33-G37-G39-G40</f>
        <v>4.111236031E7</v>
      </c>
      <c r="J51" s="15" t="s">
        <v>15</v>
      </c>
      <c r="M51" s="31"/>
      <c r="O51" s="45"/>
    </row>
    <row r="52" spans="3:13" ht="12.75">
      <c r="C52" s="14" t="s">
        <v>0</v>
      </c>
      <c r="G52" s="29">
        <f>+XIRR(G24:G50,E24:E50,0.1)</f>
        <v>0.3747266590595245</v>
      </c>
      <c r="H52" s="15"/>
      <c r="M52" s="35"/>
    </row>
    <row r="53" spans="3:15" ht="12.75">
      <c r="C53" s="15"/>
      <c r="D53" s="15"/>
      <c r="E53" s="15"/>
      <c r="F53" s="15"/>
      <c r="G53" s="15"/>
      <c r="H53" s="15"/>
      <c r="I53" s="96" t="e">
        <f>I50-#REF!</f>
        <v>#REF!</v>
      </c>
      <c r="O53" s="45"/>
    </row>
    <row r="54" spans="3:13" ht="12.75">
      <c r="C54" s="15"/>
      <c r="D54" s="15"/>
      <c r="E54" s="15"/>
      <c r="F54" s="15"/>
      <c r="G54" s="15"/>
      <c r="H54" s="15"/>
      <c r="M54" s="35"/>
    </row>
    <row r="55" spans="3:15" ht="12.75">
      <c r="C55" s="52"/>
      <c r="D55" s="52"/>
      <c r="E55" s="53"/>
      <c r="F55" s="52"/>
      <c r="G55" s="53"/>
      <c r="H55" s="15"/>
      <c r="I55" s="35"/>
      <c r="M55" s="35"/>
      <c r="O55" s="45"/>
    </row>
    <row r="56" spans="3:15" ht="12.75">
      <c r="C56" s="52"/>
      <c r="D56" s="52"/>
      <c r="E56" s="53"/>
      <c r="F56" s="52"/>
      <c r="G56" s="53"/>
      <c r="H56" s="15"/>
      <c r="M56" s="35"/>
      <c r="O56" s="45"/>
    </row>
    <row r="57" spans="3:15" ht="12.75">
      <c r="C57" s="52"/>
      <c r="D57" s="52"/>
      <c r="E57" s="53"/>
      <c r="F57" s="52"/>
      <c r="G57" s="53"/>
      <c r="H57" s="15"/>
      <c r="M57" s="35"/>
      <c r="O57" s="45"/>
    </row>
    <row r="58" spans="3:8" ht="12.75">
      <c r="C58" s="52"/>
      <c r="D58" s="52"/>
      <c r="E58" s="53"/>
      <c r="F58" s="52"/>
      <c r="G58" s="53"/>
      <c r="H58" s="14"/>
    </row>
    <row r="59" spans="3:8" ht="12.75">
      <c r="C59" s="52"/>
      <c r="D59" s="52"/>
      <c r="E59" s="53"/>
      <c r="F59" s="53"/>
      <c r="G59" s="53"/>
      <c r="H59" s="14"/>
    </row>
    <row r="60" spans="3:17" ht="12.75">
      <c r="C60" s="52"/>
      <c r="D60" s="52"/>
      <c r="E60" s="52"/>
      <c r="F60" s="52"/>
      <c r="G60" s="52"/>
      <c r="H60" s="14"/>
      <c r="O60" s="45"/>
      <c r="Q60" s="38"/>
    </row>
    <row r="61" spans="3:17" ht="13.5" thickBot="1">
      <c r="C61" s="47" t="s">
        <v>9</v>
      </c>
      <c r="D61" s="47"/>
      <c r="E61" s="48">
        <f>E10</f>
        <v>-0.07975173805493892</v>
      </c>
      <c r="F61" s="70"/>
      <c r="G61" s="58"/>
      <c r="H61" s="14"/>
      <c r="O61" s="45"/>
      <c r="Q61" s="38"/>
    </row>
    <row r="62" spans="3:17" ht="13.5" thickTop="1">
      <c r="C62" s="47"/>
      <c r="D62" s="47"/>
      <c r="E62" s="49"/>
      <c r="F62" s="70"/>
      <c r="G62" s="70"/>
      <c r="H62" s="14"/>
      <c r="Q62" s="38"/>
    </row>
    <row r="63" spans="3:17" ht="12.75">
      <c r="C63" s="47" t="s">
        <v>6</v>
      </c>
      <c r="D63" s="47"/>
      <c r="E63" s="49"/>
      <c r="F63" s="70"/>
      <c r="G63" s="70"/>
      <c r="H63" s="14"/>
      <c r="Q63" s="38"/>
    </row>
    <row r="64" spans="3:17" ht="12.75">
      <c r="C64" s="68" t="s">
        <v>2</v>
      </c>
      <c r="D64" s="47"/>
      <c r="E64" s="49">
        <f>E13</f>
        <v>0.08086255197758226</v>
      </c>
      <c r="F64" s="70"/>
      <c r="G64" s="70"/>
      <c r="H64" s="14"/>
      <c r="Q64" s="38"/>
    </row>
    <row r="65" spans="3:17" ht="12.75">
      <c r="C65" s="68" t="s">
        <v>17</v>
      </c>
      <c r="D65" s="47"/>
      <c r="E65" s="49">
        <f>E14</f>
        <v>0.1355000123844772</v>
      </c>
      <c r="F65" s="70"/>
      <c r="G65" s="70"/>
      <c r="H65" s="14"/>
      <c r="Q65" s="38"/>
    </row>
    <row r="66" spans="3:17" ht="13.5" thickBot="1">
      <c r="C66" s="69" t="s">
        <v>18</v>
      </c>
      <c r="D66" s="47"/>
      <c r="E66" s="50">
        <f>SUM(E64:E65)</f>
        <v>0.21636256436205947</v>
      </c>
      <c r="F66" s="70"/>
      <c r="G66" s="70"/>
      <c r="H66" s="14"/>
      <c r="Q66" s="38"/>
    </row>
    <row r="67" spans="3:17" ht="13.5" thickTop="1">
      <c r="C67" s="47"/>
      <c r="D67" s="47"/>
      <c r="E67" s="49"/>
      <c r="F67" s="70"/>
      <c r="G67" s="70"/>
      <c r="H67" s="14"/>
      <c r="Q67" s="38"/>
    </row>
    <row r="68" spans="3:8" ht="13.5" thickBot="1">
      <c r="C68" s="47" t="s">
        <v>13</v>
      </c>
      <c r="D68" s="47"/>
      <c r="E68" s="51">
        <f>+E18</f>
        <v>0.3747266590595245</v>
      </c>
      <c r="F68" s="70"/>
      <c r="G68" s="70"/>
      <c r="H68" s="14"/>
    </row>
    <row r="69" spans="3:8" ht="5.1" customHeight="1" thickTop="1">
      <c r="C69" s="36"/>
      <c r="D69" s="14"/>
      <c r="E69" s="33"/>
      <c r="F69" s="33"/>
      <c r="G69" s="33"/>
      <c r="H69" s="14"/>
    </row>
    <row r="70" spans="3:8" ht="12.75">
      <c r="C70" s="36"/>
      <c r="D70" s="14"/>
      <c r="E70" s="37"/>
      <c r="F70" s="37"/>
      <c r="G70" s="37"/>
      <c r="H70" s="14"/>
    </row>
  </sheetData>
  <pageMargins left="0.7" right="0.7" top="0.75" bottom="0.75" header="0.3" footer="0.3"/>
  <headerFooter>
    <oddHeader>&amp;C&amp;G</oddHeader>
    <oddFooter>&amp;C&amp;G</oddFooter>
  </headerFooter>
  <legacy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30971E-E195-4DA9-AEFD-B7DBC7C3B6CF}">
  <dimension ref="B4:Q70"/>
  <sheetViews>
    <sheetView view="pageLayout" zoomScaleNormal="100" workbookViewId="0" topLeftCell="A4">
      <selection pane="topLeft" activeCell="E10" sqref="E10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34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44561</v>
      </c>
      <c r="F8" s="32"/>
      <c r="G8" s="6"/>
      <c r="H8" s="6"/>
      <c r="I8" s="55"/>
    </row>
    <row r="9" spans="3:13" ht="15.75">
      <c r="C9" s="5"/>
      <c r="D9" s="5"/>
      <c r="E9" s="5"/>
      <c r="F9" s="5"/>
      <c r="G9" s="55" t="s">
        <v>31</v>
      </c>
      <c r="I9" s="110"/>
      <c r="J9" s="55"/>
      <c r="M9" s="35"/>
    </row>
    <row r="10" spans="3:15" ht="12.75">
      <c r="C10" s="62" t="s">
        <v>11</v>
      </c>
      <c r="D10" s="62"/>
      <c r="E10" s="63">
        <f>I10/(J35)</f>
        <v>0</v>
      </c>
      <c r="F10" s="18"/>
      <c r="G10" s="100">
        <f>-6132648-J10</f>
        <v>-6132648</v>
      </c>
      <c r="H10" s="7"/>
      <c r="I10" s="27"/>
      <c r="J10" s="57"/>
      <c r="O10" s="16"/>
    </row>
    <row r="11" spans="3:9" ht="12.75">
      <c r="C11" s="62"/>
      <c r="D11" s="62"/>
      <c r="E11" s="63"/>
      <c r="F11" s="18"/>
      <c r="G11" s="10"/>
      <c r="H11" s="7"/>
      <c r="I11" s="27"/>
    </row>
    <row r="12" spans="3:9" ht="15.75">
      <c r="C12" s="64" t="s">
        <v>1</v>
      </c>
      <c r="D12" s="64"/>
      <c r="E12" s="65"/>
      <c r="F12" s="26"/>
      <c r="G12" s="11"/>
      <c r="H12" s="5"/>
      <c r="I12" s="27"/>
    </row>
    <row r="13" spans="3:15" ht="12.75">
      <c r="C13" s="62" t="s">
        <v>2</v>
      </c>
      <c r="D13" s="62"/>
      <c r="E13" s="66">
        <f>I13/(J35)</f>
        <v>0</v>
      </c>
      <c r="F13" s="18"/>
      <c r="G13" s="100">
        <f>6225805-J13</f>
        <v>6225805</v>
      </c>
      <c r="H13" s="8"/>
      <c r="I13" s="27"/>
      <c r="J13" s="56"/>
      <c r="O13" s="16"/>
    </row>
    <row r="14" spans="3:9" ht="12.75">
      <c r="C14" s="62" t="s">
        <v>3</v>
      </c>
      <c r="D14" s="62"/>
      <c r="E14" s="67">
        <f>(G14)/(J35)</f>
        <v>0.1415034173068507</v>
      </c>
      <c r="F14" s="18"/>
      <c r="G14" s="100">
        <v>10300602</v>
      </c>
      <c r="H14" s="9"/>
      <c r="I14" s="12"/>
    </row>
    <row r="15" spans="3:9" ht="12.75">
      <c r="C15" s="62" t="s">
        <v>4</v>
      </c>
      <c r="D15" s="62"/>
      <c r="E15" s="63">
        <f>E13+E14</f>
        <v>0.1415034173068507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G52</f>
        <v>0.37967423796653743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-(G50+I51)/I50</f>
        <v>1.3892631565720714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/>
      <c r="K21" s="60"/>
      <c r="L21" s="41"/>
      <c r="M21" s="42"/>
      <c r="N21" s="43"/>
      <c r="O21" s="45"/>
    </row>
    <row r="22" spans="3:15" ht="12.75">
      <c r="C22" s="22"/>
      <c r="D22" s="15"/>
      <c r="E22" s="15"/>
      <c r="F22" s="15"/>
      <c r="G22" s="23"/>
      <c r="H22" s="15"/>
      <c r="I22" s="15"/>
      <c r="J22" s="59"/>
      <c r="K22" s="60"/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/>
      <c r="K23" s="60"/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-6869196.62</v>
      </c>
      <c r="H24" s="15"/>
      <c r="I24" s="25"/>
      <c r="J24" s="59"/>
      <c r="K24" s="60"/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-7354817.83</v>
      </c>
      <c r="H25" s="15"/>
      <c r="I25" s="25"/>
      <c r="J25" s="59"/>
      <c r="K25" s="60"/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-8396286.74</v>
      </c>
      <c r="H26" s="15"/>
      <c r="I26" s="25"/>
      <c r="J26" s="59"/>
      <c r="K26" s="60"/>
      <c r="L26" s="41"/>
      <c r="M26" s="42"/>
      <c r="N26" s="39"/>
      <c r="O26" s="25"/>
      <c r="P26" s="45"/>
    </row>
    <row r="27" spans="3:16" ht="12.75">
      <c r="C27" s="15"/>
      <c r="D27" s="15"/>
      <c r="E27" s="21">
        <v>44117</v>
      </c>
      <c r="F27" s="24"/>
      <c r="G27" s="24">
        <v>-8372215.08</v>
      </c>
      <c r="H27" s="15"/>
      <c r="I27" s="25"/>
      <c r="J27" s="59"/>
      <c r="K27" s="60"/>
      <c r="L27" s="41"/>
      <c r="M27" s="42"/>
      <c r="N27" s="39"/>
      <c r="O27" s="25"/>
      <c r="P27" s="45"/>
    </row>
    <row r="28" spans="3:16" ht="12.75">
      <c r="C28" s="15"/>
      <c r="D28" s="15"/>
      <c r="E28" s="21">
        <v>44141</v>
      </c>
      <c r="F28" s="24"/>
      <c r="G28" s="24">
        <v>-7476560.35</v>
      </c>
      <c r="H28" s="15"/>
      <c r="I28" s="25"/>
      <c r="J28" s="59"/>
      <c r="K28" s="60"/>
      <c r="L28" s="41"/>
      <c r="M28" s="42"/>
      <c r="N28" s="39"/>
      <c r="O28" s="25"/>
      <c r="P28" s="45"/>
    </row>
    <row r="29" spans="3:16" ht="12.75">
      <c r="C29" s="15"/>
      <c r="D29" s="15"/>
      <c r="E29" s="21">
        <v>44148</v>
      </c>
      <c r="F29" s="24"/>
      <c r="G29" s="24">
        <v>-3899929.34</v>
      </c>
      <c r="H29" s="15"/>
      <c r="I29" s="25"/>
      <c r="J29" s="59"/>
      <c r="K29" s="60"/>
      <c r="L29" s="41"/>
      <c r="M29" s="42"/>
      <c r="N29" s="39"/>
      <c r="O29" s="25"/>
      <c r="P29" s="45"/>
    </row>
    <row r="30" spans="3:15" ht="12.75">
      <c r="C30" s="15"/>
      <c r="D30" s="15"/>
      <c r="E30" s="21">
        <v>44187</v>
      </c>
      <c r="F30" s="24"/>
      <c r="G30" s="24">
        <v>-3556267.49</v>
      </c>
      <c r="H30" s="15"/>
      <c r="I30" s="25"/>
      <c r="J30" s="59">
        <v>2.386951933E7</v>
      </c>
      <c r="K30" s="60" t="s">
        <v>53</v>
      </c>
      <c r="L30" s="41"/>
      <c r="M30" s="42"/>
      <c r="N30" s="39"/>
      <c r="O30" s="25"/>
    </row>
    <row r="31" spans="3:16" ht="12.75">
      <c r="C31" s="15" t="s">
        <v>41</v>
      </c>
      <c r="D31" s="15"/>
      <c r="E31" s="21">
        <v>44203</v>
      </c>
      <c r="F31" s="24"/>
      <c r="G31" s="24">
        <v>-1.521594457E7</v>
      </c>
      <c r="H31" s="15"/>
      <c r="I31" s="25"/>
      <c r="J31" s="59">
        <v>7.25646726E7</v>
      </c>
      <c r="K31" s="60" t="s">
        <v>54</v>
      </c>
      <c r="L31" s="41"/>
      <c r="M31" s="42"/>
      <c r="N31" s="39"/>
      <c r="P31" s="45"/>
    </row>
    <row r="32" spans="3:16" ht="12.75">
      <c r="C32" s="15"/>
      <c r="D32" s="15"/>
      <c r="E32" s="21">
        <v>44217</v>
      </c>
      <c r="F32" s="24"/>
      <c r="G32" s="24">
        <v>-1989868.88</v>
      </c>
      <c r="H32" s="15"/>
      <c r="I32" s="25"/>
      <c r="J32" s="59">
        <v>8.651849326E7</v>
      </c>
      <c r="K32" s="60" t="s">
        <v>55</v>
      </c>
      <c r="L32" s="41"/>
      <c r="M32" s="42"/>
      <c r="N32" s="39"/>
      <c r="P32" s="45"/>
    </row>
    <row r="33" spans="3:14" ht="12.75">
      <c r="C33" s="15"/>
      <c r="D33" s="15"/>
      <c r="E33" s="21">
        <v>44250</v>
      </c>
      <c r="F33" s="24"/>
      <c r="G33" s="24">
        <v>7188114</v>
      </c>
      <c r="H33" s="15"/>
      <c r="I33" s="25"/>
      <c r="J33" s="61">
        <v>8.901371293E7</v>
      </c>
      <c r="K33" s="60" t="s">
        <v>56</v>
      </c>
      <c r="L33" s="39"/>
      <c r="M33" s="39"/>
      <c r="N33" s="39"/>
    </row>
    <row r="34" spans="3:15" ht="12.75">
      <c r="C34" s="15"/>
      <c r="D34" s="15"/>
      <c r="E34" s="21">
        <v>44265</v>
      </c>
      <c r="F34" s="24"/>
      <c r="G34" s="24">
        <v>-4480556.44</v>
      </c>
      <c r="H34" s="15"/>
      <c r="I34" s="25"/>
      <c r="J34" s="61">
        <f>G50</f>
        <v>9.200368105E7</v>
      </c>
      <c r="K34" s="60" t="s">
        <v>57</v>
      </c>
      <c r="L34" s="39"/>
      <c r="M34" s="39"/>
      <c r="N34" s="39"/>
      <c r="O34" s="45"/>
    </row>
    <row r="35" spans="3:14" ht="12.75">
      <c r="C35" s="15"/>
      <c r="D35" s="15"/>
      <c r="E35" s="21">
        <v>44291</v>
      </c>
      <c r="F35" s="24"/>
      <c r="G35" s="24">
        <v>-1.065033979E7</v>
      </c>
      <c r="H35" s="15"/>
      <c r="I35" s="25"/>
      <c r="J35" s="61">
        <f>SUM(J30:J34)/5</f>
        <v>7.2794015834E7</v>
      </c>
      <c r="K35" s="60" t="s">
        <v>12</v>
      </c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v>-2.415477864E7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v>2.447619444E7</v>
      </c>
      <c r="H37" s="15"/>
      <c r="I37" s="25"/>
      <c r="J37" s="98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v>-1.156879042E7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24">
        <v>1.336041824E7</v>
      </c>
      <c r="H39" s="15"/>
      <c r="I39" s="25"/>
      <c r="J39" s="25"/>
      <c r="K39" s="15"/>
      <c r="L39" s="39"/>
      <c r="M39" s="39"/>
      <c r="N39" s="39"/>
    </row>
    <row r="40" spans="3:14" ht="12.75">
      <c r="C40" s="15"/>
      <c r="D40" s="15"/>
      <c r="E40" s="21">
        <v>44361</v>
      </c>
      <c r="F40" s="24"/>
      <c r="G40" s="24">
        <v>342606.60</v>
      </c>
      <c r="H40" s="15"/>
      <c r="I40" s="25"/>
      <c r="J40" s="97"/>
      <c r="K40" s="15"/>
      <c r="L40" s="39"/>
      <c r="M40" s="39"/>
      <c r="N40" s="39"/>
    </row>
    <row r="41" spans="3:14" ht="12.75">
      <c r="C41" s="15"/>
      <c r="D41" s="15"/>
      <c r="E41" s="21">
        <v>44375</v>
      </c>
      <c r="F41" s="24"/>
      <c r="G41" s="24">
        <v>-5666306.51</v>
      </c>
      <c r="H41" s="15"/>
      <c r="I41" s="25"/>
      <c r="J41" s="98"/>
      <c r="K41" s="15"/>
      <c r="L41" s="39"/>
      <c r="M41" s="39"/>
      <c r="N41" s="39"/>
    </row>
    <row r="42" spans="3:14" ht="12.75">
      <c r="C42" s="15"/>
      <c r="D42" s="15"/>
      <c r="E42" s="21">
        <v>44405</v>
      </c>
      <c r="F42" s="24"/>
      <c r="G42" s="24">
        <v>-3196431.51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44468</v>
      </c>
      <c r="F43" s="24"/>
      <c r="G43" s="24">
        <v>-1501181.23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44475</v>
      </c>
      <c r="F44" s="24"/>
      <c r="G44" s="24">
        <v>-3653064.58</v>
      </c>
      <c r="H44" s="15"/>
      <c r="I44" s="25"/>
      <c r="J44" s="25"/>
      <c r="K44" s="15"/>
      <c r="L44" s="39"/>
      <c r="M44" s="39"/>
      <c r="N44" s="39"/>
    </row>
    <row r="45" spans="3:14" ht="12.75">
      <c r="C45" s="15"/>
      <c r="D45" s="15"/>
      <c r="E45" s="21">
        <v>44483</v>
      </c>
      <c r="F45" s="24"/>
      <c r="G45" s="24">
        <v>-4269519.22</v>
      </c>
      <c r="H45" s="15"/>
      <c r="I45" s="25"/>
      <c r="J45" s="25"/>
      <c r="K45" s="15"/>
      <c r="L45" s="39"/>
      <c r="M45" s="39"/>
      <c r="N45" s="39"/>
    </row>
    <row r="46" spans="3:14" ht="12.75">
      <c r="C46" s="15"/>
      <c r="D46" s="15"/>
      <c r="E46" s="21">
        <v>44505</v>
      </c>
      <c r="F46" s="24"/>
      <c r="G46" s="24">
        <v>-3835717.80</v>
      </c>
      <c r="H46" s="15"/>
      <c r="I46" s="25"/>
      <c r="J46" s="25"/>
      <c r="K46" s="15"/>
      <c r="L46" s="39"/>
      <c r="M46" s="39"/>
      <c r="N46" s="39"/>
    </row>
    <row r="47" spans="3:14" ht="12.75">
      <c r="C47" s="15"/>
      <c r="D47" s="15"/>
      <c r="E47" s="21">
        <v>44551</v>
      </c>
      <c r="F47" s="24"/>
      <c r="G47" s="24">
        <v>-2345952.41</v>
      </c>
      <c r="H47" s="15"/>
      <c r="I47" s="25"/>
      <c r="J47" s="25"/>
      <c r="K47" s="15"/>
      <c r="L47" s="39"/>
      <c r="M47" s="39"/>
      <c r="N47" s="39"/>
    </row>
    <row r="48" spans="3:14" ht="12.75">
      <c r="C48" s="15"/>
      <c r="D48" s="15"/>
      <c r="E48" s="21">
        <v>44558</v>
      </c>
      <c r="F48" s="24"/>
      <c r="G48" s="24">
        <v>3.731781397E7</v>
      </c>
      <c r="H48" s="15"/>
      <c r="I48" s="25"/>
      <c r="J48" s="25"/>
      <c r="K48" s="15"/>
      <c r="L48" s="39"/>
      <c r="M48" s="39"/>
      <c r="N48" s="39"/>
    </row>
    <row r="49" spans="3:15" ht="4.5" customHeight="1">
      <c r="C49" s="15"/>
      <c r="D49" s="15"/>
      <c r="E49" s="21"/>
      <c r="F49" s="15"/>
      <c r="G49" s="24"/>
      <c r="H49" s="15"/>
      <c r="I49" s="25"/>
      <c r="J49" s="25"/>
      <c r="O49" s="31"/>
    </row>
    <row r="50" spans="3:13" ht="12.75">
      <c r="C50" s="15" t="s">
        <v>5</v>
      </c>
      <c r="D50" s="15"/>
      <c r="E50" s="21">
        <f>+E8</f>
        <v>44561</v>
      </c>
      <c r="F50" s="15"/>
      <c r="G50" s="46">
        <v>9.200368105E7</v>
      </c>
      <c r="H50" s="15"/>
      <c r="I50" s="24">
        <f>+SUMIF($G$24:$G$49,"&lt;0",$G$24:$G$49)+G33+G37+G39+G40</f>
        <v>-9.308639217000003E7</v>
      </c>
      <c r="J50" s="15" t="s">
        <v>14</v>
      </c>
      <c r="M50" s="31"/>
    </row>
    <row r="51" spans="3:15" ht="12.75">
      <c r="C51" s="15"/>
      <c r="D51" s="15"/>
      <c r="E51" s="15"/>
      <c r="F51" s="15"/>
      <c r="G51" s="15"/>
      <c r="H51" s="15"/>
      <c r="I51" s="24">
        <f>+SUMIF($G$24:$G$49,"&gt;0",$G$24:$G$49)-G33-G37-G39-G40</f>
        <v>3.731781397E7</v>
      </c>
      <c r="J51" s="15" t="s">
        <v>15</v>
      </c>
      <c r="M51" s="31"/>
      <c r="O51" s="45"/>
    </row>
    <row r="52" spans="3:13" ht="12.75">
      <c r="C52" s="14" t="s">
        <v>0</v>
      </c>
      <c r="G52" s="29">
        <f>+XIRR(G24:G50,E24:E50,0.1)</f>
        <v>0.37967423796653743</v>
      </c>
      <c r="H52" s="15"/>
      <c r="M52" s="35"/>
    </row>
    <row r="53" spans="3:15" ht="12.75">
      <c r="C53" s="15"/>
      <c r="D53" s="15"/>
      <c r="E53" s="15"/>
      <c r="F53" s="15"/>
      <c r="G53" s="15"/>
      <c r="H53" s="15"/>
      <c r="I53" s="96" t="e">
        <f>I50-#REF!</f>
        <v>#REF!</v>
      </c>
      <c r="O53" s="45"/>
    </row>
    <row r="54" spans="3:13" ht="12.75">
      <c r="C54" s="15"/>
      <c r="D54" s="15"/>
      <c r="E54" s="15"/>
      <c r="F54" s="15"/>
      <c r="G54" s="15"/>
      <c r="H54" s="15"/>
      <c r="M54" s="35"/>
    </row>
    <row r="55" spans="3:15" ht="12.75">
      <c r="C55" s="52"/>
      <c r="D55" s="52"/>
      <c r="E55" s="53"/>
      <c r="F55" s="52"/>
      <c r="G55" s="53"/>
      <c r="H55" s="15"/>
      <c r="I55" s="35"/>
      <c r="M55" s="35"/>
      <c r="O55" s="45"/>
    </row>
    <row r="56" spans="3:15" ht="12.75">
      <c r="C56" s="52"/>
      <c r="D56" s="52"/>
      <c r="E56" s="53"/>
      <c r="F56" s="52"/>
      <c r="G56" s="53"/>
      <c r="H56" s="15"/>
      <c r="M56" s="35"/>
      <c r="O56" s="45"/>
    </row>
    <row r="57" spans="3:15" ht="12.75">
      <c r="C57" s="52"/>
      <c r="D57" s="52"/>
      <c r="E57" s="53"/>
      <c r="F57" s="52"/>
      <c r="G57" s="53"/>
      <c r="H57" s="15"/>
      <c r="M57" s="35"/>
      <c r="O57" s="45"/>
    </row>
    <row r="58" spans="3:8" ht="12.75">
      <c r="C58" s="52"/>
      <c r="D58" s="52"/>
      <c r="E58" s="53"/>
      <c r="F58" s="52"/>
      <c r="G58" s="53"/>
      <c r="H58" s="14"/>
    </row>
    <row r="59" spans="3:8" ht="12.75">
      <c r="C59" s="52"/>
      <c r="D59" s="52"/>
      <c r="E59" s="53"/>
      <c r="F59" s="53"/>
      <c r="G59" s="53"/>
      <c r="H59" s="14"/>
    </row>
    <row r="60" spans="3:17" ht="12.75">
      <c r="C60" s="52"/>
      <c r="D60" s="52"/>
      <c r="E60" s="52"/>
      <c r="F60" s="52"/>
      <c r="G60" s="52"/>
      <c r="H60" s="14"/>
      <c r="O60" s="45"/>
      <c r="Q60" s="38"/>
    </row>
    <row r="61" spans="3:17" ht="13.5" thickBot="1">
      <c r="C61" s="47" t="s">
        <v>9</v>
      </c>
      <c r="D61" s="47"/>
      <c r="E61" s="48">
        <f>E10</f>
        <v>0</v>
      </c>
      <c r="F61" s="70"/>
      <c r="G61" s="58"/>
      <c r="H61" s="14"/>
      <c r="O61" s="45"/>
      <c r="Q61" s="38"/>
    </row>
    <row r="62" spans="3:17" ht="13.5" thickTop="1">
      <c r="C62" s="47"/>
      <c r="D62" s="47"/>
      <c r="E62" s="49"/>
      <c r="F62" s="70"/>
      <c r="G62" s="70"/>
      <c r="H62" s="14"/>
      <c r="Q62" s="38"/>
    </row>
    <row r="63" spans="3:17" ht="12.75">
      <c r="C63" s="47" t="s">
        <v>6</v>
      </c>
      <c r="D63" s="47"/>
      <c r="E63" s="49"/>
      <c r="F63" s="70"/>
      <c r="G63" s="70"/>
      <c r="H63" s="14"/>
      <c r="Q63" s="38"/>
    </row>
    <row r="64" spans="3:17" ht="12.75">
      <c r="C64" s="68" t="s">
        <v>2</v>
      </c>
      <c r="D64" s="47"/>
      <c r="E64" s="49">
        <f>E13</f>
        <v>0</v>
      </c>
      <c r="F64" s="70"/>
      <c r="G64" s="70"/>
      <c r="H64" s="14"/>
      <c r="Q64" s="38"/>
    </row>
    <row r="65" spans="3:17" ht="12.75">
      <c r="C65" s="68" t="s">
        <v>17</v>
      </c>
      <c r="D65" s="47"/>
      <c r="E65" s="49">
        <f>E14</f>
        <v>0.1415034173068507</v>
      </c>
      <c r="F65" s="70"/>
      <c r="G65" s="70"/>
      <c r="H65" s="14"/>
      <c r="Q65" s="38"/>
    </row>
    <row r="66" spans="3:17" ht="13.5" thickBot="1">
      <c r="C66" s="69" t="s">
        <v>18</v>
      </c>
      <c r="D66" s="47"/>
      <c r="E66" s="50">
        <f>SUM(E64:E65)</f>
        <v>0.1415034173068507</v>
      </c>
      <c r="F66" s="70"/>
      <c r="G66" s="70"/>
      <c r="H66" s="14"/>
      <c r="Q66" s="38"/>
    </row>
    <row r="67" spans="3:17" ht="13.5" thickTop="1">
      <c r="C67" s="47"/>
      <c r="D67" s="47"/>
      <c r="E67" s="49"/>
      <c r="F67" s="70"/>
      <c r="G67" s="70"/>
      <c r="H67" s="14"/>
      <c r="Q67" s="38"/>
    </row>
    <row r="68" spans="3:8" ht="13.5" thickBot="1">
      <c r="C68" s="47" t="s">
        <v>13</v>
      </c>
      <c r="D68" s="47"/>
      <c r="E68" s="51">
        <f>+E18</f>
        <v>0.37967423796653743</v>
      </c>
      <c r="F68" s="70"/>
      <c r="G68" s="70"/>
      <c r="H68" s="14"/>
    </row>
    <row r="69" spans="3:8" ht="5.1" customHeight="1" thickTop="1">
      <c r="C69" s="36"/>
      <c r="D69" s="14"/>
      <c r="E69" s="33"/>
      <c r="F69" s="33"/>
      <c r="G69" s="33"/>
      <c r="H69" s="14"/>
    </row>
    <row r="70" spans="3:8" ht="12.75">
      <c r="C70" s="36"/>
      <c r="D70" s="14"/>
      <c r="E70" s="37"/>
      <c r="F70" s="37"/>
      <c r="G70" s="37"/>
      <c r="H70" s="14"/>
    </row>
  </sheetData>
  <pageMargins left="0.7" right="0.7" top="0.75" bottom="0.75" header="0.3" footer="0.3"/>
  <pageSetup orientation="portrait" paperSize="1" r:id="rId4"/>
  <headerFooter>
    <oddHeader>&amp;C&amp;G</oddHeader>
    <oddFooter>&amp;C&amp;G</oddFooter>
  </headerFooter>
  <legacy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B858AB-B761-4E3F-9A6A-6D4DDDF23F09}">
  <dimension ref="B4:Q70"/>
  <sheetViews>
    <sheetView view="pageLayout" zoomScaleNormal="100" workbookViewId="0" topLeftCell="A25">
      <selection pane="topLeft" activeCell="K30" sqref="K30:K34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35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>
        <v>44561</v>
      </c>
      <c r="F8" s="32"/>
      <c r="G8" s="6"/>
      <c r="H8" s="6"/>
      <c r="I8" s="55"/>
    </row>
    <row r="9" spans="3:13" ht="15.75">
      <c r="C9" s="5"/>
      <c r="D9" s="5"/>
      <c r="E9" s="5"/>
      <c r="F9" s="5"/>
      <c r="G9" s="55" t="s">
        <v>31</v>
      </c>
      <c r="I9" s="110"/>
      <c r="J9" s="55"/>
      <c r="M9" s="35"/>
    </row>
    <row r="10" spans="3:15" ht="12.75">
      <c r="C10" s="62" t="s">
        <v>11</v>
      </c>
      <c r="D10" s="62"/>
      <c r="E10" s="63">
        <f>I10/(J35)</f>
        <v>0</v>
      </c>
      <c r="F10" s="18"/>
      <c r="G10" s="100">
        <f>-6132648-J10</f>
        <v>-6132648</v>
      </c>
      <c r="H10" s="7"/>
      <c r="I10" s="27"/>
      <c r="J10" s="57"/>
      <c r="O10" s="16"/>
    </row>
    <row r="11" spans="3:9" ht="12.75">
      <c r="C11" s="62"/>
      <c r="D11" s="62"/>
      <c r="E11" s="63"/>
      <c r="F11" s="18"/>
      <c r="G11" s="10"/>
      <c r="H11" s="7"/>
      <c r="I11" s="27"/>
    </row>
    <row r="12" spans="3:9" ht="15.75">
      <c r="C12" s="64" t="s">
        <v>1</v>
      </c>
      <c r="D12" s="64"/>
      <c r="E12" s="65"/>
      <c r="F12" s="26"/>
      <c r="G12" s="11"/>
      <c r="H12" s="5"/>
      <c r="I12" s="27"/>
    </row>
    <row r="13" spans="3:15" ht="12.75">
      <c r="C13" s="62" t="s">
        <v>2</v>
      </c>
      <c r="D13" s="62"/>
      <c r="E13" s="66">
        <f>I13/(J35)</f>
        <v>0</v>
      </c>
      <c r="F13" s="18"/>
      <c r="G13" s="100">
        <f>6225805-J13</f>
        <v>6225805</v>
      </c>
      <c r="H13" s="8"/>
      <c r="I13" s="27"/>
      <c r="J13" s="56"/>
      <c r="O13" s="16"/>
    </row>
    <row r="14" spans="3:9" ht="12.75">
      <c r="C14" s="62" t="s">
        <v>3</v>
      </c>
      <c r="D14" s="62"/>
      <c r="E14" s="67">
        <f>(G14)/(J35)</f>
        <v>0.15717178230887355</v>
      </c>
      <c r="F14" s="18"/>
      <c r="G14" s="100">
        <v>10300602</v>
      </c>
      <c r="H14" s="9"/>
      <c r="I14" s="12"/>
    </row>
    <row r="15" spans="3:9" ht="12.75">
      <c r="C15" s="62" t="s">
        <v>4</v>
      </c>
      <c r="D15" s="62"/>
      <c r="E15" s="63">
        <f>E13+E14</f>
        <v>0.15717178230887355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G52</f>
        <v>0.2790673315525055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-(G50+I51)/I50</f>
        <v>1.2835122869394846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/>
      <c r="K21" s="60"/>
      <c r="L21" s="41"/>
      <c r="M21" s="42"/>
      <c r="N21" s="43"/>
      <c r="O21" s="45"/>
    </row>
    <row r="22" spans="3:15" ht="12.75">
      <c r="C22" s="22"/>
      <c r="D22" s="15"/>
      <c r="E22" s="15"/>
      <c r="F22" s="15"/>
      <c r="G22" s="23"/>
      <c r="H22" s="15"/>
      <c r="I22" s="15"/>
      <c r="J22" s="59"/>
      <c r="K22" s="60"/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/>
      <c r="K23" s="60"/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-3877114.18</v>
      </c>
      <c r="H24" s="15"/>
      <c r="I24" s="25"/>
      <c r="J24" s="59"/>
      <c r="K24" s="60"/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-4151208.66</v>
      </c>
      <c r="H25" s="15"/>
      <c r="I25" s="25"/>
      <c r="J25" s="59"/>
      <c r="K25" s="60"/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-4739034.88</v>
      </c>
      <c r="H26" s="15"/>
      <c r="I26" s="25"/>
      <c r="J26" s="59"/>
      <c r="K26" s="60"/>
      <c r="L26" s="41"/>
      <c r="M26" s="42"/>
      <c r="N26" s="39"/>
      <c r="O26" s="25"/>
      <c r="P26" s="45"/>
    </row>
    <row r="27" spans="3:16" ht="12.75">
      <c r="C27" s="15"/>
      <c r="D27" s="15"/>
      <c r="E27" s="21">
        <v>44117</v>
      </c>
      <c r="F27" s="24"/>
      <c r="G27" s="24">
        <v>-4725448.35</v>
      </c>
      <c r="H27" s="15"/>
      <c r="I27" s="25"/>
      <c r="J27" s="59"/>
      <c r="K27" s="60"/>
      <c r="L27" s="41"/>
      <c r="M27" s="42"/>
      <c r="N27" s="39"/>
      <c r="O27" s="25"/>
      <c r="P27" s="45"/>
    </row>
    <row r="28" spans="3:16" ht="12.75">
      <c r="C28" s="15"/>
      <c r="D28" s="15"/>
      <c r="E28" s="21">
        <v>44141</v>
      </c>
      <c r="F28" s="24"/>
      <c r="G28" s="24">
        <v>-4219922.62</v>
      </c>
      <c r="H28" s="15"/>
      <c r="I28" s="25"/>
      <c r="J28" s="59"/>
      <c r="K28" s="60"/>
      <c r="L28" s="41"/>
      <c r="M28" s="42"/>
      <c r="N28" s="39"/>
      <c r="O28" s="25"/>
      <c r="P28" s="45"/>
    </row>
    <row r="29" spans="3:16" ht="12.75">
      <c r="C29" s="15"/>
      <c r="D29" s="15"/>
      <c r="E29" s="21">
        <v>44148</v>
      </c>
      <c r="F29" s="24"/>
      <c r="G29" s="24">
        <v>-2201199.38</v>
      </c>
      <c r="H29" s="15"/>
      <c r="I29" s="25"/>
      <c r="J29" s="59"/>
      <c r="K29" s="60"/>
      <c r="L29" s="41"/>
      <c r="M29" s="42"/>
      <c r="N29" s="39"/>
      <c r="O29" s="25"/>
      <c r="P29" s="45"/>
    </row>
    <row r="30" spans="3:15" ht="12.75">
      <c r="C30" s="15"/>
      <c r="D30" s="15"/>
      <c r="E30" s="21">
        <v>44187</v>
      </c>
      <c r="F30" s="24"/>
      <c r="G30" s="24">
        <v>-2007229.65</v>
      </c>
      <c r="H30" s="15"/>
      <c r="I30" s="25"/>
      <c r="J30" s="59">
        <v>23429675</v>
      </c>
      <c r="K30" s="60" t="s">
        <v>53</v>
      </c>
      <c r="L30" s="41"/>
      <c r="M30" s="42"/>
      <c r="N30" s="39"/>
      <c r="O30" s="25"/>
    </row>
    <row r="31" spans="3:16" ht="12.75">
      <c r="C31" s="15" t="s">
        <v>41</v>
      </c>
      <c r="D31" s="15"/>
      <c r="E31" s="21">
        <v>44203</v>
      </c>
      <c r="F31" s="24"/>
      <c r="G31" s="24">
        <v>-8588188.37</v>
      </c>
      <c r="H31" s="15"/>
      <c r="I31" s="25"/>
      <c r="J31" s="59">
        <v>60571194</v>
      </c>
      <c r="K31" s="60" t="s">
        <v>54</v>
      </c>
      <c r="L31" s="41"/>
      <c r="M31" s="42"/>
      <c r="N31" s="39"/>
      <c r="P31" s="45"/>
    </row>
    <row r="32" spans="3:16" ht="12.75">
      <c r="C32" s="15"/>
      <c r="D32" s="15"/>
      <c r="E32" s="21">
        <v>44217</v>
      </c>
      <c r="F32" s="24"/>
      <c r="G32" s="24">
        <v>-1123122.44</v>
      </c>
      <c r="H32" s="15"/>
      <c r="I32" s="25"/>
      <c r="J32" s="59">
        <v>9.559377379E7</v>
      </c>
      <c r="K32" s="60" t="s">
        <v>55</v>
      </c>
      <c r="L32" s="41"/>
      <c r="M32" s="42"/>
      <c r="N32" s="39"/>
      <c r="P32" s="45"/>
    </row>
    <row r="33" spans="3:14" ht="12.75">
      <c r="C33" s="15"/>
      <c r="D33" s="15"/>
      <c r="E33" s="21">
        <v>44250</v>
      </c>
      <c r="F33" s="24"/>
      <c r="G33" s="24">
        <v>4057117.63</v>
      </c>
      <c r="H33" s="15"/>
      <c r="I33" s="25"/>
      <c r="J33" s="61">
        <v>9.843903523E7</v>
      </c>
      <c r="K33" s="60" t="s">
        <v>56</v>
      </c>
      <c r="L33" s="39"/>
      <c r="M33" s="39"/>
      <c r="N33" s="39"/>
    </row>
    <row r="34" spans="3:15" ht="12.75">
      <c r="C34" s="15"/>
      <c r="D34" s="15"/>
      <c r="E34" s="21">
        <v>44265</v>
      </c>
      <c r="F34" s="24"/>
      <c r="G34" s="24">
        <v>-2528917.11</v>
      </c>
      <c r="H34" s="15"/>
      <c r="I34" s="25"/>
      <c r="J34" s="61">
        <f>G50</f>
        <v>4.965243232E7</v>
      </c>
      <c r="K34" s="60" t="s">
        <v>57</v>
      </c>
      <c r="L34" s="39"/>
      <c r="M34" s="39"/>
      <c r="N34" s="39"/>
      <c r="O34" s="45"/>
    </row>
    <row r="35" spans="3:14" ht="12.75">
      <c r="C35" s="15"/>
      <c r="D35" s="15"/>
      <c r="E35" s="21">
        <v>44291</v>
      </c>
      <c r="F35" s="24"/>
      <c r="G35" s="24">
        <v>-6011268.24</v>
      </c>
      <c r="H35" s="15"/>
      <c r="I35" s="25"/>
      <c r="J35" s="61">
        <f>SUM(J30:J34)/5</f>
        <v>6.5537222068E7</v>
      </c>
      <c r="K35" s="60" t="s">
        <v>12</v>
      </c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v>-1.363344798E7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v>1.381486159E7</v>
      </c>
      <c r="H37" s="15"/>
      <c r="I37" s="25"/>
      <c r="J37" s="98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v>-6529660.43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24">
        <v>7540891.59</v>
      </c>
      <c r="H39" s="15"/>
      <c r="I39" s="25"/>
      <c r="J39" s="25"/>
      <c r="K39" s="15"/>
      <c r="L39" s="39"/>
      <c r="M39" s="39"/>
      <c r="N39" s="39"/>
    </row>
    <row r="40" spans="3:14" ht="12.75">
      <c r="C40" s="15"/>
      <c r="D40" s="15"/>
      <c r="E40" s="21">
        <v>44361</v>
      </c>
      <c r="F40" s="24"/>
      <c r="G40" s="24">
        <v>193374.13</v>
      </c>
      <c r="H40" s="15"/>
      <c r="I40" s="25"/>
      <c r="J40" s="97"/>
      <c r="K40" s="15"/>
      <c r="L40" s="39"/>
      <c r="M40" s="39"/>
      <c r="N40" s="39"/>
    </row>
    <row r="41" spans="3:14" ht="12.75">
      <c r="C41" s="15"/>
      <c r="D41" s="15"/>
      <c r="E41" s="21">
        <v>44375</v>
      </c>
      <c r="F41" s="24"/>
      <c r="G41" s="24">
        <v>-3046769.21</v>
      </c>
      <c r="H41" s="15"/>
      <c r="I41" s="25"/>
      <c r="J41" s="98"/>
      <c r="K41" s="15"/>
      <c r="L41" s="39"/>
      <c r="M41" s="39"/>
      <c r="N41" s="39"/>
    </row>
    <row r="42" spans="3:14" ht="12.75">
      <c r="C42" s="15"/>
      <c r="D42" s="15"/>
      <c r="E42" s="21">
        <v>44405</v>
      </c>
      <c r="F42" s="24"/>
      <c r="G42" s="24">
        <v>-1804130.89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44468</v>
      </c>
      <c r="F43" s="24"/>
      <c r="G43" s="24">
        <v>-847297.20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44475</v>
      </c>
      <c r="F44" s="24"/>
      <c r="G44" s="24">
        <v>-2061863.90</v>
      </c>
      <c r="H44" s="15"/>
      <c r="I44" s="25"/>
      <c r="J44" s="25"/>
      <c r="K44" s="15"/>
      <c r="L44" s="39"/>
      <c r="M44" s="39"/>
      <c r="N44" s="39"/>
    </row>
    <row r="45" spans="3:14" ht="12.75">
      <c r="C45" s="15"/>
      <c r="D45" s="15"/>
      <c r="E45" s="21">
        <v>44483</v>
      </c>
      <c r="F45" s="24"/>
      <c r="G45" s="24">
        <v>-2409803.42</v>
      </c>
      <c r="H45" s="15"/>
      <c r="I45" s="25"/>
      <c r="J45" s="25"/>
      <c r="K45" s="15"/>
      <c r="L45" s="39"/>
      <c r="M45" s="39"/>
      <c r="N45" s="39"/>
    </row>
    <row r="46" spans="3:14" ht="12.75">
      <c r="C46" s="15"/>
      <c r="D46" s="15"/>
      <c r="E46" s="21">
        <v>44505</v>
      </c>
      <c r="F46" s="24"/>
      <c r="G46" s="24">
        <v>-2164957.09</v>
      </c>
      <c r="H46" s="15"/>
      <c r="I46" s="25"/>
      <c r="J46" s="25"/>
      <c r="K46" s="15"/>
      <c r="L46" s="39"/>
      <c r="M46" s="39"/>
      <c r="N46" s="39"/>
    </row>
    <row r="47" spans="3:14" ht="12.75">
      <c r="C47" s="15"/>
      <c r="D47" s="15"/>
      <c r="E47" s="21">
        <v>44551</v>
      </c>
      <c r="F47" s="24"/>
      <c r="G47" s="24">
        <v>-1324103.22</v>
      </c>
      <c r="H47" s="15"/>
      <c r="I47" s="25"/>
      <c r="J47" s="25"/>
      <c r="K47" s="15"/>
      <c r="L47" s="39"/>
      <c r="M47" s="39"/>
      <c r="N47" s="39"/>
    </row>
    <row r="48" spans="3:14" ht="12.75">
      <c r="C48" s="15"/>
      <c r="D48" s="15"/>
      <c r="E48" s="21">
        <v>44558</v>
      </c>
      <c r="F48" s="24"/>
      <c r="G48" s="24">
        <v>1.758877704E7</v>
      </c>
      <c r="H48" s="15"/>
      <c r="I48" s="25"/>
      <c r="J48" s="25"/>
      <c r="K48" s="15"/>
      <c r="L48" s="39"/>
      <c r="M48" s="39"/>
      <c r="N48" s="39"/>
    </row>
    <row r="49" spans="3:15" ht="4.5" customHeight="1">
      <c r="C49" s="15"/>
      <c r="D49" s="15"/>
      <c r="E49" s="21"/>
      <c r="F49" s="15"/>
      <c r="G49" s="24"/>
      <c r="H49" s="15"/>
      <c r="I49" s="25"/>
      <c r="J49" s="25"/>
      <c r="O49" s="31"/>
    </row>
    <row r="50" spans="3:13" ht="12.75">
      <c r="C50" s="15" t="s">
        <v>5</v>
      </c>
      <c r="D50" s="15"/>
      <c r="E50" s="21">
        <f>+E8</f>
        <v>44561</v>
      </c>
      <c r="F50" s="15"/>
      <c r="G50" s="99">
        <v>4.965243232E7</v>
      </c>
      <c r="H50" s="15"/>
      <c r="I50" s="24">
        <f>+SUMIF($G$24:$G$49,"&lt;0",$G$24:$G$49)+G33+G37+G39+G40</f>
        <v>-5.238844228000001E7</v>
      </c>
      <c r="J50" s="15" t="s">
        <v>14</v>
      </c>
      <c r="M50" s="31"/>
    </row>
    <row r="51" spans="3:15" ht="12.75">
      <c r="C51" s="15"/>
      <c r="D51" s="15"/>
      <c r="E51" s="15"/>
      <c r="F51" s="15"/>
      <c r="G51" s="15"/>
      <c r="H51" s="15"/>
      <c r="I51" s="24">
        <f>+SUMIF($G$24:$G$49,"&gt;0",$G$24:$G$49)-G33-G37-G39-G40</f>
        <v>1.7588777039999995E7</v>
      </c>
      <c r="J51" s="15" t="s">
        <v>15</v>
      </c>
      <c r="M51" s="31"/>
      <c r="O51" s="45"/>
    </row>
    <row r="52" spans="3:13" ht="12.75">
      <c r="C52" s="14" t="s">
        <v>0</v>
      </c>
      <c r="G52" s="29">
        <f>+XIRR(G24:G50,E24:E50,0.1)</f>
        <v>0.2790673315525055</v>
      </c>
      <c r="H52" s="15"/>
      <c r="M52" s="35"/>
    </row>
    <row r="53" spans="3:15" ht="12.75">
      <c r="C53" s="15"/>
      <c r="D53" s="15"/>
      <c r="E53" s="15"/>
      <c r="F53" s="15"/>
      <c r="G53" s="15"/>
      <c r="H53" s="15"/>
      <c r="I53" s="96" t="e">
        <f>I50-#REF!</f>
        <v>#REF!</v>
      </c>
      <c r="O53" s="45"/>
    </row>
    <row r="54" spans="3:13" ht="12.75">
      <c r="C54" s="15"/>
      <c r="D54" s="15"/>
      <c r="E54" s="15"/>
      <c r="F54" s="15"/>
      <c r="G54" s="15"/>
      <c r="H54" s="15"/>
      <c r="M54" s="35"/>
    </row>
    <row r="55" spans="3:15" ht="12.75">
      <c r="C55" s="52"/>
      <c r="D55" s="52"/>
      <c r="E55" s="53"/>
      <c r="F55" s="52"/>
      <c r="G55" s="53"/>
      <c r="H55" s="15"/>
      <c r="I55" s="35"/>
      <c r="M55" s="35"/>
      <c r="O55" s="45"/>
    </row>
    <row r="56" spans="3:15" ht="12.75">
      <c r="C56" s="52"/>
      <c r="D56" s="52"/>
      <c r="E56" s="53"/>
      <c r="F56" s="52"/>
      <c r="G56" s="53"/>
      <c r="H56" s="15"/>
      <c r="M56" s="35"/>
      <c r="O56" s="45"/>
    </row>
    <row r="57" spans="3:15" ht="12.75">
      <c r="C57" s="52"/>
      <c r="D57" s="52"/>
      <c r="E57" s="53"/>
      <c r="F57" s="52"/>
      <c r="G57" s="53"/>
      <c r="H57" s="15"/>
      <c r="M57" s="35"/>
      <c r="O57" s="45"/>
    </row>
    <row r="58" spans="3:8" ht="12.75">
      <c r="C58" s="52"/>
      <c r="D58" s="52"/>
      <c r="E58" s="53"/>
      <c r="F58" s="52"/>
      <c r="G58" s="53"/>
      <c r="H58" s="14"/>
    </row>
    <row r="59" spans="3:8" ht="12.75">
      <c r="C59" s="52"/>
      <c r="D59" s="52"/>
      <c r="E59" s="53"/>
      <c r="F59" s="53"/>
      <c r="G59" s="53"/>
      <c r="H59" s="14"/>
    </row>
    <row r="60" spans="3:17" ht="12.75">
      <c r="C60" s="52"/>
      <c r="D60" s="52"/>
      <c r="E60" s="52"/>
      <c r="F60" s="52"/>
      <c r="G60" s="52"/>
      <c r="H60" s="14"/>
      <c r="O60" s="45"/>
      <c r="Q60" s="38"/>
    </row>
    <row r="61" spans="3:17" ht="13.5" thickBot="1">
      <c r="C61" s="47" t="s">
        <v>9</v>
      </c>
      <c r="D61" s="47"/>
      <c r="E61" s="48">
        <f>E10</f>
        <v>0</v>
      </c>
      <c r="F61" s="70"/>
      <c r="G61" s="58"/>
      <c r="H61" s="14"/>
      <c r="O61" s="45"/>
      <c r="Q61" s="38"/>
    </row>
    <row r="62" spans="3:17" ht="13.5" thickTop="1">
      <c r="C62" s="47"/>
      <c r="D62" s="47"/>
      <c r="E62" s="49"/>
      <c r="F62" s="70"/>
      <c r="G62" s="70"/>
      <c r="H62" s="14"/>
      <c r="Q62" s="38"/>
    </row>
    <row r="63" spans="3:17" ht="12.75">
      <c r="C63" s="47" t="s">
        <v>6</v>
      </c>
      <c r="D63" s="47"/>
      <c r="E63" s="49"/>
      <c r="F63" s="70"/>
      <c r="G63" s="70"/>
      <c r="H63" s="14"/>
      <c r="Q63" s="38"/>
    </row>
    <row r="64" spans="3:17" ht="12.75">
      <c r="C64" s="68" t="s">
        <v>2</v>
      </c>
      <c r="D64" s="47"/>
      <c r="E64" s="49">
        <f>E13</f>
        <v>0</v>
      </c>
      <c r="F64" s="70"/>
      <c r="G64" s="70"/>
      <c r="H64" s="14"/>
      <c r="Q64" s="38"/>
    </row>
    <row r="65" spans="3:17" ht="12.75">
      <c r="C65" s="68" t="s">
        <v>17</v>
      </c>
      <c r="D65" s="47"/>
      <c r="E65" s="49">
        <f>E14</f>
        <v>0.15717178230887355</v>
      </c>
      <c r="F65" s="70"/>
      <c r="G65" s="70"/>
      <c r="H65" s="14"/>
      <c r="Q65" s="38"/>
    </row>
    <row r="66" spans="3:17" ht="13.5" thickBot="1">
      <c r="C66" s="69" t="s">
        <v>18</v>
      </c>
      <c r="D66" s="47"/>
      <c r="E66" s="50">
        <f>SUM(E64:E65)</f>
        <v>0.15717178230887355</v>
      </c>
      <c r="F66" s="70"/>
      <c r="G66" s="70"/>
      <c r="H66" s="14"/>
      <c r="Q66" s="38"/>
    </row>
    <row r="67" spans="3:17" ht="13.5" thickTop="1">
      <c r="C67" s="47"/>
      <c r="D67" s="47"/>
      <c r="E67" s="49"/>
      <c r="F67" s="70"/>
      <c r="G67" s="70"/>
      <c r="H67" s="14"/>
      <c r="Q67" s="38"/>
    </row>
    <row r="68" spans="3:8" ht="13.5" thickBot="1">
      <c r="C68" s="47" t="s">
        <v>13</v>
      </c>
      <c r="D68" s="47"/>
      <c r="E68" s="51">
        <f>+E18</f>
        <v>0.2790673315525055</v>
      </c>
      <c r="F68" s="70"/>
      <c r="G68" s="70"/>
      <c r="H68" s="14"/>
    </row>
    <row r="69" spans="3:8" ht="5.1" customHeight="1" thickTop="1">
      <c r="C69" s="36"/>
      <c r="D69" s="14"/>
      <c r="E69" s="33"/>
      <c r="F69" s="33"/>
      <c r="G69" s="33"/>
      <c r="H69" s="14"/>
    </row>
    <row r="70" spans="3:8" ht="12.75">
      <c r="C70" s="36"/>
      <c r="D70" s="14"/>
      <c r="E70" s="37"/>
      <c r="F70" s="37"/>
      <c r="G70" s="37"/>
      <c r="H70" s="14"/>
    </row>
  </sheetData>
  <pageMargins left="0.7" right="0.7" top="0.75" bottom="0.75" header="0.3" footer="0.3"/>
  <headerFooter>
    <oddHeader>&amp;C&amp;G</oddHeader>
    <oddFooter>&amp;C&amp;G</oddFooter>
  </headerFooter>
  <legacy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F92F93-7DCF-4F84-AC41-7BF8AC8F94ED}">
  <sheetPr>
    <pageSetUpPr fitToPage="1"/>
  </sheetPr>
  <dimension ref="B4:Q64"/>
  <sheetViews>
    <sheetView showGridLines="0" view="pageLayout" zoomScaleNormal="100" workbookViewId="0" topLeftCell="A10">
      <selection pane="topLeft" activeCell="E17" sqref="E17"/>
    </sheetView>
  </sheetViews>
  <sheetFormatPr defaultRowHeight="12.75"/>
  <cols>
    <col min="2" max="2" width="4.857142857142857" customWidth="1"/>
    <col min="3" max="3" width="47.285714285714285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3.285714285714286" customWidth="1"/>
    <col min="13" max="13" width="16.571428571428573" bestFit="1" customWidth="1"/>
    <col min="14" max="14" width="10.142857142857142" bestFit="1" customWidth="1"/>
    <col min="15" max="15" width="12.571428571428571" bestFit="1" customWidth="1"/>
    <col min="16" max="16" width="10" bestFit="1" customWidth="1"/>
    <col min="17" max="17" width="23.142857142857142" bestFit="1" customWidth="1"/>
  </cols>
  <sheetData>
    <row r="4" spans="2:6" ht="18">
      <c r="B4" s="1" t="s">
        <v>36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81" t="s">
        <v>11</v>
      </c>
      <c r="D10" s="81"/>
      <c r="E10" s="82">
        <f>G10*C20/(J28)</f>
        <v>-0.07878197388581729</v>
      </c>
      <c r="F10" s="18"/>
      <c r="G10" s="100">
        <v>-5698523</v>
      </c>
      <c r="H10" s="7"/>
      <c r="I10" s="12"/>
      <c r="O10" s="16"/>
    </row>
    <row r="11" spans="3:9" ht="12.75">
      <c r="C11" s="81"/>
      <c r="D11" s="81"/>
      <c r="E11" s="82"/>
      <c r="F11" s="18"/>
      <c r="G11" s="10"/>
      <c r="H11" s="7"/>
      <c r="I11" s="12"/>
    </row>
    <row r="12" spans="3:15" ht="12.75">
      <c r="C12" s="81" t="s">
        <v>2</v>
      </c>
      <c r="D12" s="81"/>
      <c r="E12" s="82">
        <f>G12*C20/(J28)</f>
        <v>0.07878197388581729</v>
      </c>
      <c r="F12" s="18"/>
      <c r="G12" s="100">
        <f>3676284+380104+1642135</f>
        <v>5698523</v>
      </c>
      <c r="H12" s="8"/>
      <c r="I12" s="12"/>
      <c r="O12" s="16"/>
    </row>
    <row r="13" spans="3:15" ht="12.75">
      <c r="C13" s="81" t="s">
        <v>3</v>
      </c>
      <c r="D13" s="81"/>
      <c r="E13" s="82">
        <v>0</v>
      </c>
      <c r="F13" s="18"/>
      <c r="G13" s="100"/>
      <c r="H13" s="8"/>
      <c r="I13" s="12"/>
      <c r="O13" s="16"/>
    </row>
    <row r="14" spans="3:9" ht="15.75">
      <c r="C14" s="81" t="s">
        <v>4</v>
      </c>
      <c r="D14" s="81"/>
      <c r="E14" s="82">
        <f>SUM(E12:E13)</f>
        <v>0.07878197388581729</v>
      </c>
      <c r="F14" s="5"/>
      <c r="G14" s="11"/>
      <c r="H14" s="5"/>
      <c r="I14" s="12"/>
    </row>
    <row r="15" spans="3:14" ht="31.5">
      <c r="C15" s="26" t="s">
        <v>7</v>
      </c>
      <c r="D15" s="26"/>
      <c r="E15" s="11"/>
      <c r="F15" s="26"/>
      <c r="G15" s="11"/>
      <c r="H15" s="5"/>
      <c r="I15" s="27"/>
      <c r="J15" s="83" t="s">
        <v>31</v>
      </c>
      <c r="K15" s="88"/>
      <c r="L15" s="39"/>
      <c r="M15" s="39"/>
      <c r="N15" s="39"/>
    </row>
    <row r="16" spans="3:14" ht="12.75" customHeight="1">
      <c r="C16" s="18" t="s">
        <v>8</v>
      </c>
      <c r="D16" s="18"/>
      <c r="E16" s="8" t="e">
        <f>G44</f>
        <v>#REF!</v>
      </c>
      <c r="F16" s="18"/>
      <c r="G16" s="28"/>
      <c r="H16" s="8"/>
      <c r="I16" s="27"/>
      <c r="J16" s="85">
        <f>34193250*C20</f>
        <v>34193250</v>
      </c>
      <c r="K16" s="84" t="s">
        <v>19</v>
      </c>
      <c r="L16" s="41"/>
      <c r="M16" s="42"/>
      <c r="N16" s="39"/>
    </row>
    <row r="17" spans="3:14" ht="12.75">
      <c r="C17" s="18" t="s">
        <v>10</v>
      </c>
      <c r="D17" s="18"/>
      <c r="E17" s="34">
        <f>-(G42+I45)/I44</f>
        <v>1.391342296230469</v>
      </c>
      <c r="F17" s="18"/>
      <c r="G17" s="10"/>
      <c r="H17" s="7"/>
      <c r="J17" s="85">
        <f>34193250*C20</f>
        <v>34193250</v>
      </c>
      <c r="K17" s="84" t="s">
        <v>20</v>
      </c>
      <c r="L17" s="41"/>
      <c r="M17" s="42"/>
      <c r="N17" s="43"/>
    </row>
    <row r="18" spans="3:14" ht="12.75">
      <c r="C18" s="18"/>
      <c r="D18" s="18"/>
      <c r="E18" s="18"/>
      <c r="F18" s="18"/>
      <c r="G18" s="7"/>
      <c r="J18" s="85">
        <f>33243002*C20</f>
        <v>33243002</v>
      </c>
      <c r="K18" s="84" t="s">
        <v>21</v>
      </c>
      <c r="L18" s="41"/>
      <c r="M18" s="42"/>
      <c r="N18" s="39"/>
    </row>
    <row r="19" spans="3:14" ht="15.75">
      <c r="C19" s="19" t="s">
        <v>59</v>
      </c>
      <c r="D19" s="20"/>
      <c r="E19" s="20"/>
      <c r="F19" s="20"/>
      <c r="I19" s="21"/>
      <c r="J19" s="85">
        <f>32679377*C20</f>
        <v>32679377</v>
      </c>
      <c r="K19" s="84" t="s">
        <v>22</v>
      </c>
      <c r="L19" s="41"/>
      <c r="M19" s="42"/>
      <c r="N19" s="43"/>
    </row>
    <row r="20" spans="3:14" ht="12.75">
      <c r="C20" s="22">
        <v>1</v>
      </c>
      <c r="D20" s="15"/>
      <c r="E20" s="15"/>
      <c r="F20" s="15"/>
      <c r="G20" s="23"/>
      <c r="H20" s="15"/>
      <c r="I20" s="15"/>
      <c r="J20" s="85">
        <f>32679377*C20</f>
        <v>32679377</v>
      </c>
      <c r="K20" s="84" t="s">
        <v>23</v>
      </c>
      <c r="L20" s="41"/>
      <c r="M20" s="42"/>
      <c r="N20" s="39"/>
    </row>
    <row r="21" spans="3:14" ht="12.75">
      <c r="C21" s="15"/>
      <c r="D21" s="15"/>
      <c r="E21" s="21"/>
      <c r="F21" s="24"/>
      <c r="G21" s="24"/>
      <c r="H21" s="15"/>
      <c r="I21" s="25"/>
      <c r="J21" s="85">
        <f>59038065*C20</f>
        <v>59038065</v>
      </c>
      <c r="K21" s="84" t="s">
        <v>24</v>
      </c>
      <c r="L21" s="41"/>
      <c r="M21" s="42"/>
      <c r="N21" s="39"/>
    </row>
    <row r="22" spans="3:15" ht="12.75">
      <c r="C22" s="15" t="s">
        <v>16</v>
      </c>
      <c r="D22" s="15"/>
      <c r="E22" s="21">
        <v>43857</v>
      </c>
      <c r="F22" s="24"/>
      <c r="G22" s="24">
        <v>-34125000</v>
      </c>
      <c r="H22" s="15"/>
      <c r="I22" s="25"/>
      <c r="J22" s="85">
        <f>58474440*C20</f>
        <v>58474440</v>
      </c>
      <c r="K22" s="84" t="s">
        <v>25</v>
      </c>
      <c r="L22" s="41"/>
      <c r="M22" s="44"/>
      <c r="N22" s="43"/>
      <c r="O22" s="25"/>
    </row>
    <row r="23" spans="3:15" ht="12.75">
      <c r="C23" s="15"/>
      <c r="D23" s="15"/>
      <c r="E23" s="21">
        <v>43985</v>
      </c>
      <c r="F23" s="24"/>
      <c r="G23" s="24">
        <v>-26250000</v>
      </c>
      <c r="H23" s="15"/>
      <c r="I23" s="25"/>
      <c r="J23" s="85">
        <f>58474440*C20</f>
        <v>58474440</v>
      </c>
      <c r="K23" s="84" t="s">
        <v>26</v>
      </c>
      <c r="L23" s="41"/>
      <c r="M23" s="44"/>
      <c r="N23" s="43"/>
      <c r="O23" s="25"/>
    </row>
    <row r="24" spans="3:15" ht="12.75">
      <c r="C24" s="15"/>
      <c r="D24" s="15"/>
      <c r="E24" s="21">
        <v>44076</v>
      </c>
      <c r="F24" s="24"/>
      <c r="G24" s="24">
        <v>-32625000</v>
      </c>
      <c r="H24" s="15"/>
      <c r="I24" s="25"/>
      <c r="J24" s="85">
        <f>91095475*C20</f>
        <v>91095475</v>
      </c>
      <c r="K24" s="84" t="s">
        <v>27</v>
      </c>
      <c r="L24" s="41"/>
      <c r="M24" s="44"/>
      <c r="N24" s="43"/>
      <c r="O24" s="25"/>
    </row>
    <row r="25" spans="3:15" ht="12.75">
      <c r="C25" s="15"/>
      <c r="D25" s="15"/>
      <c r="E25" s="21">
        <v>44117</v>
      </c>
      <c r="F25" s="24"/>
      <c r="G25" s="24">
        <v>-46500000</v>
      </c>
      <c r="H25" s="15"/>
      <c r="I25" s="25"/>
      <c r="J25" s="85">
        <f>135900685*C20</f>
        <v>135900685</v>
      </c>
      <c r="K25" s="84" t="s">
        <v>28</v>
      </c>
      <c r="L25" s="41"/>
      <c r="M25" s="44"/>
      <c r="N25" s="43"/>
      <c r="O25" s="25"/>
    </row>
    <row r="26" spans="3:15" ht="12.75">
      <c r="C26" s="15"/>
      <c r="D26" s="15"/>
      <c r="E26" s="21">
        <v>44141</v>
      </c>
      <c r="F26" s="24"/>
      <c r="G26" s="24">
        <v>-34425000</v>
      </c>
      <c r="H26" s="15"/>
      <c r="I26" s="25"/>
      <c r="J26" s="86">
        <f>180110402*C20</f>
        <v>180110402</v>
      </c>
      <c r="K26" s="84" t="s">
        <v>29</v>
      </c>
      <c r="L26" s="41"/>
      <c r="M26" s="44"/>
      <c r="N26" s="43"/>
      <c r="O26" s="25"/>
    </row>
    <row r="27" spans="3:15" ht="12.75">
      <c r="C27" s="15"/>
      <c r="D27" s="15"/>
      <c r="E27" s="21">
        <v>44187</v>
      </c>
      <c r="F27" s="24"/>
      <c r="G27" s="24">
        <v>-14400000</v>
      </c>
      <c r="H27" s="15"/>
      <c r="I27" s="25"/>
      <c r="J27" s="86">
        <f>G42</f>
        <v>1.1791217809E8</v>
      </c>
      <c r="K27" s="84" t="s">
        <v>30</v>
      </c>
      <c r="L27" s="39"/>
      <c r="M27" s="44"/>
      <c r="N27" s="43"/>
      <c r="O27" s="25"/>
    </row>
    <row r="28" spans="3:15" ht="12.75">
      <c r="C28" s="15" t="s">
        <v>41</v>
      </c>
      <c r="D28" s="15"/>
      <c r="E28" s="21">
        <v>44250</v>
      </c>
      <c r="F28" s="24"/>
      <c r="G28" s="24">
        <v>22500000</v>
      </c>
      <c r="H28" s="15"/>
      <c r="I28" s="25"/>
      <c r="J28" s="86">
        <f>SUM(J16:J27)/12</f>
        <v>7.233282842416666E7</v>
      </c>
      <c r="K28" s="84" t="s">
        <v>12</v>
      </c>
      <c r="M28" s="30"/>
      <c r="N28" s="45"/>
      <c r="O28" s="25"/>
    </row>
    <row r="29" spans="3:15" ht="12.75">
      <c r="C29" s="15"/>
      <c r="D29" s="15"/>
      <c r="E29" s="21">
        <v>44319</v>
      </c>
      <c r="F29" s="24"/>
      <c r="G29" s="24">
        <v>53325000</v>
      </c>
      <c r="H29" s="15"/>
      <c r="I29" s="25"/>
      <c r="J29" s="25"/>
      <c r="K29" s="15"/>
      <c r="M29" s="30"/>
      <c r="N29" s="45"/>
      <c r="O29" s="25"/>
    </row>
    <row r="30" spans="3:15" ht="12.75">
      <c r="C30" s="15"/>
      <c r="D30" s="15"/>
      <c r="E30" s="21">
        <v>44344</v>
      </c>
      <c r="F30" s="24"/>
      <c r="G30" s="24">
        <v>24750000</v>
      </c>
      <c r="H30" s="15"/>
      <c r="I30" s="25"/>
      <c r="J30" s="25"/>
      <c r="K30" s="15"/>
      <c r="M30" s="30"/>
      <c r="N30" s="45"/>
      <c r="O30" s="25"/>
    </row>
    <row r="31" spans="3:17" ht="12.75">
      <c r="C31" s="15"/>
      <c r="D31" s="15"/>
      <c r="E31" s="21">
        <v>44375</v>
      </c>
      <c r="F31" s="24"/>
      <c r="G31" s="24">
        <v>-7253666.2</v>
      </c>
      <c r="H31" s="15"/>
      <c r="I31" s="25"/>
      <c r="J31" s="25"/>
      <c r="K31" s="15"/>
      <c r="M31" s="30"/>
      <c r="N31" s="45"/>
      <c r="O31" s="25"/>
      <c r="Q31" s="45"/>
    </row>
    <row r="32" spans="3:17" ht="12.75">
      <c r="C32" s="15"/>
      <c r="D32" s="15"/>
      <c r="E32" s="21">
        <v>44405</v>
      </c>
      <c r="F32" s="24"/>
      <c r="G32" s="24">
        <v>-4087644.22</v>
      </c>
      <c r="H32" s="15"/>
      <c r="I32" s="25"/>
      <c r="J32" s="25"/>
      <c r="K32" s="15"/>
      <c r="M32" s="30"/>
      <c r="N32" s="45"/>
      <c r="O32" s="25"/>
      <c r="Q32" s="45"/>
    </row>
    <row r="33" spans="3:17" ht="12.75">
      <c r="C33" s="15"/>
      <c r="D33" s="15"/>
      <c r="E33" s="21">
        <v>44468</v>
      </c>
      <c r="F33" s="24"/>
      <c r="G33" s="24">
        <v>-1919732.90</v>
      </c>
      <c r="H33" s="15"/>
      <c r="I33" s="25"/>
      <c r="J33" s="25"/>
      <c r="K33" s="15"/>
      <c r="M33" s="30"/>
      <c r="N33" s="45"/>
      <c r="O33" s="25"/>
      <c r="Q33" s="45"/>
    </row>
    <row r="34" spans="3:17" ht="12.75">
      <c r="C34" s="15"/>
      <c r="D34" s="15"/>
      <c r="E34" s="21">
        <v>44475</v>
      </c>
      <c r="F34" s="24"/>
      <c r="G34" s="24">
        <v>-4671593.37</v>
      </c>
      <c r="H34" s="15"/>
      <c r="I34" s="25"/>
      <c r="J34" s="25"/>
      <c r="K34" s="15"/>
      <c r="M34" s="30"/>
      <c r="N34" s="45"/>
      <c r="O34" s="25"/>
      <c r="Q34" s="45"/>
    </row>
    <row r="35" spans="3:17" ht="12.75">
      <c r="C35" s="15"/>
      <c r="D35" s="15"/>
      <c r="E35" s="21">
        <v>44483</v>
      </c>
      <c r="F35" s="24"/>
      <c r="G35" s="24">
        <v>-5459924.75</v>
      </c>
      <c r="H35" s="15"/>
      <c r="I35" s="25"/>
      <c r="J35" s="25"/>
      <c r="K35" s="15"/>
      <c r="M35" s="30"/>
      <c r="N35" s="45"/>
      <c r="O35" s="25"/>
      <c r="Q35" s="45"/>
    </row>
    <row r="36" spans="3:15" ht="12.75">
      <c r="C36" s="15"/>
      <c r="D36" s="15"/>
      <c r="E36" s="21">
        <v>44505</v>
      </c>
      <c r="F36" s="24"/>
      <c r="G36" s="24">
        <v>-4905173.03</v>
      </c>
      <c r="H36" s="15"/>
      <c r="I36" s="25"/>
      <c r="J36" s="25"/>
      <c r="K36" s="15"/>
      <c r="M36" s="30"/>
      <c r="N36" s="45"/>
      <c r="O36" s="25"/>
    </row>
    <row r="37" spans="3:15" ht="12.75">
      <c r="C37" s="15"/>
      <c r="D37" s="15"/>
      <c r="E37" s="21">
        <v>44551</v>
      </c>
      <c r="F37" s="24"/>
      <c r="G37" s="24">
        <v>-3000038.87</v>
      </c>
      <c r="H37" s="15"/>
      <c r="I37" s="25"/>
      <c r="J37" s="25"/>
      <c r="K37" s="15"/>
      <c r="M37" s="30"/>
      <c r="N37" s="45"/>
      <c r="O37" s="25"/>
    </row>
    <row r="38" spans="3:15" ht="12.75">
      <c r="C38" s="15"/>
      <c r="D38" s="15"/>
      <c r="E38" s="21">
        <v>44558</v>
      </c>
      <c r="F38" s="24"/>
      <c r="G38" s="24">
        <v>4.772402423E7</v>
      </c>
      <c r="H38" s="15"/>
      <c r="I38" s="25"/>
      <c r="J38" s="25"/>
      <c r="K38" s="15"/>
      <c r="M38" s="30"/>
      <c r="N38" s="45"/>
      <c r="O38" s="25"/>
    </row>
    <row r="39" spans="3:15" ht="12.75">
      <c r="C39" s="15"/>
      <c r="D39" s="15"/>
      <c r="E39" s="21"/>
      <c r="F39" s="24"/>
      <c r="G39" s="24"/>
      <c r="H39" s="15"/>
      <c r="I39" s="25"/>
      <c r="J39" s="25"/>
      <c r="K39" s="15"/>
      <c r="M39" s="30"/>
      <c r="N39" s="45"/>
      <c r="O39" s="25"/>
    </row>
    <row r="40" spans="3:15" ht="12.75">
      <c r="C40" s="15"/>
      <c r="D40" s="15"/>
      <c r="E40" s="21"/>
      <c r="F40" s="24"/>
      <c r="G40" s="24"/>
      <c r="H40" s="15"/>
      <c r="I40" s="25"/>
      <c r="J40" s="25"/>
      <c r="K40" s="15"/>
      <c r="M40" s="30"/>
      <c r="N40" s="45"/>
      <c r="O40" s="25"/>
    </row>
    <row r="41" spans="3:15" ht="12.75">
      <c r="C41" s="15"/>
      <c r="D41" s="15"/>
      <c r="E41" s="21"/>
      <c r="F41" s="15"/>
      <c r="G41" s="24"/>
      <c r="H41" s="15"/>
      <c r="I41" s="25"/>
      <c r="J41" s="25"/>
      <c r="K41" s="15"/>
      <c r="M41" s="30"/>
      <c r="N41" s="45"/>
      <c r="O41" s="25"/>
    </row>
    <row r="42" spans="3:15" ht="12.75">
      <c r="C42" s="15" t="s">
        <v>5</v>
      </c>
      <c r="D42" s="15"/>
      <c r="E42" s="21" t="e">
        <f>+E8</f>
        <v>#REF!</v>
      </c>
      <c r="F42" s="15"/>
      <c r="G42" s="46">
        <v>1.1791217809E8</v>
      </c>
      <c r="H42" s="15"/>
      <c r="I42" s="25"/>
      <c r="J42" s="25"/>
      <c r="K42" s="15"/>
      <c r="N42" s="30"/>
      <c r="O42" s="31"/>
    </row>
    <row r="43" spans="3:15" ht="4.5" customHeight="1">
      <c r="C43" s="15"/>
      <c r="D43" s="15"/>
      <c r="E43" s="15"/>
      <c r="F43" s="15"/>
      <c r="G43" s="15"/>
      <c r="H43" s="15"/>
      <c r="I43" s="25"/>
      <c r="J43" s="25"/>
      <c r="O43" s="31"/>
    </row>
    <row r="44" spans="3:13" ht="12.75">
      <c r="C44" s="14" t="s">
        <v>0</v>
      </c>
      <c r="G44" s="29" t="e">
        <f>+XIRR(G22:G42,E22:E42,0.1)</f>
        <v>#REF!</v>
      </c>
      <c r="H44" s="15"/>
      <c r="I44" s="24">
        <f>+SUMIF($G$22:$G$41,"&lt;0",$G$22:$G$41)+G28+G29+G30</f>
        <v>-1.1904777334E8</v>
      </c>
      <c r="J44" s="15" t="s">
        <v>14</v>
      </c>
      <c r="M44" s="31"/>
    </row>
    <row r="45" spans="3:13" ht="12.75">
      <c r="C45" s="15"/>
      <c r="D45" s="15"/>
      <c r="E45" s="15"/>
      <c r="F45" s="15"/>
      <c r="G45" s="15"/>
      <c r="H45" s="15"/>
      <c r="I45" s="24">
        <f>+SUMIF($G$22:$G$41,"&gt;0",$G$22:$G$41)-G28-G29-G30</f>
        <v>4.772402422999999E7</v>
      </c>
      <c r="J45" s="15" t="s">
        <v>15</v>
      </c>
      <c r="M45" s="31"/>
    </row>
    <row r="46" spans="3:13" ht="12.75">
      <c r="C46" s="15"/>
      <c r="D46" s="15"/>
      <c r="E46" s="15"/>
      <c r="F46" s="15"/>
      <c r="G46" s="15"/>
      <c r="H46" s="15"/>
      <c r="M46" s="35"/>
    </row>
    <row r="47" spans="3:8" ht="12.75">
      <c r="C47" s="52"/>
      <c r="D47" s="52"/>
      <c r="E47" s="53"/>
      <c r="F47" s="52"/>
      <c r="G47" s="53"/>
      <c r="H47" s="15"/>
    </row>
    <row r="48" spans="3:13" ht="12.75">
      <c r="C48" s="52"/>
      <c r="D48" s="52"/>
      <c r="E48" s="53"/>
      <c r="F48" s="52"/>
      <c r="G48" s="53"/>
      <c r="H48" s="15"/>
      <c r="M48" s="35"/>
    </row>
    <row r="49" spans="3:13" ht="12.75">
      <c r="C49" s="52"/>
      <c r="D49" s="52"/>
      <c r="E49" s="53"/>
      <c r="F49" s="52"/>
      <c r="G49" s="53"/>
      <c r="H49" s="15"/>
      <c r="M49" s="35"/>
    </row>
    <row r="50" spans="3:13" ht="12.75">
      <c r="C50" s="52"/>
      <c r="D50" s="52"/>
      <c r="E50" s="53"/>
      <c r="F50" s="52"/>
      <c r="G50" s="53"/>
      <c r="H50" s="15"/>
      <c r="M50" s="35"/>
    </row>
    <row r="51" spans="3:13" ht="12.75">
      <c r="C51" s="52"/>
      <c r="D51" s="52"/>
      <c r="E51" s="53"/>
      <c r="F51" s="53"/>
      <c r="G51" s="53"/>
      <c r="H51" s="15"/>
      <c r="M51" s="35"/>
    </row>
    <row r="52" spans="3:8" ht="12.75">
      <c r="C52" s="52"/>
      <c r="D52" s="52"/>
      <c r="E52" s="52"/>
      <c r="F52" s="52"/>
      <c r="G52" s="52"/>
      <c r="H52" s="14"/>
    </row>
    <row r="53" spans="3:8" ht="13.5" thickBot="1">
      <c r="C53" s="74" t="s">
        <v>9</v>
      </c>
      <c r="D53" s="74"/>
      <c r="E53" s="75">
        <f>E10</f>
        <v>-0.07878197388581729</v>
      </c>
      <c r="F53" s="54"/>
      <c r="G53" s="58"/>
      <c r="H53" s="14"/>
    </row>
    <row r="54" spans="3:17" ht="13.5" thickTop="1">
      <c r="C54" s="74"/>
      <c r="D54" s="74"/>
      <c r="E54" s="87"/>
      <c r="F54" s="54"/>
      <c r="G54" s="58"/>
      <c r="H54" s="14"/>
      <c r="Q54" s="38"/>
    </row>
    <row r="55" spans="3:17" ht="12.75">
      <c r="C55" s="74" t="s">
        <v>6</v>
      </c>
      <c r="D55" s="74"/>
      <c r="E55" s="76"/>
      <c r="F55" s="54"/>
      <c r="G55" s="58"/>
      <c r="H55" s="14"/>
      <c r="Q55" s="38"/>
    </row>
    <row r="56" spans="3:17" ht="12.75">
      <c r="C56" s="77" t="s">
        <v>2</v>
      </c>
      <c r="D56" s="74"/>
      <c r="E56" s="76">
        <f>E12</f>
        <v>0.07878197388581729</v>
      </c>
      <c r="F56" s="54"/>
      <c r="G56" s="58"/>
      <c r="H56" s="14"/>
      <c r="Q56" s="38"/>
    </row>
    <row r="57" spans="3:17" ht="12.75">
      <c r="C57" s="77" t="s">
        <v>17</v>
      </c>
      <c r="D57" s="74"/>
      <c r="E57" s="76">
        <f>E11</f>
        <v>0</v>
      </c>
      <c r="F57" s="54"/>
      <c r="G57" s="70"/>
      <c r="H57" s="14"/>
      <c r="Q57" s="38"/>
    </row>
    <row r="58" spans="3:17" ht="13.5" thickBot="1">
      <c r="C58" s="78" t="s">
        <v>18</v>
      </c>
      <c r="D58" s="74"/>
      <c r="E58" s="79">
        <f>SUM(E56:E57)</f>
        <v>0.07878197388581729</v>
      </c>
      <c r="F58" s="54"/>
      <c r="G58" s="58"/>
      <c r="H58" s="14"/>
      <c r="Q58" s="38"/>
    </row>
    <row r="59" spans="3:17" ht="13.5" thickTop="1">
      <c r="C59" s="74"/>
      <c r="D59" s="74"/>
      <c r="E59" s="76"/>
      <c r="F59" s="54"/>
      <c r="G59" s="70"/>
      <c r="H59" s="14"/>
      <c r="Q59" s="38"/>
    </row>
    <row r="60" spans="3:17" ht="13.5" thickBot="1">
      <c r="C60" s="74" t="s">
        <v>13</v>
      </c>
      <c r="D60" s="74"/>
      <c r="E60" s="80" t="e">
        <f>+E16</f>
        <v>#REF!</v>
      </c>
      <c r="F60" s="54"/>
      <c r="G60" s="70"/>
      <c r="H60" s="14"/>
      <c r="Q60" s="38"/>
    </row>
    <row r="61" spans="3:17" ht="13.5" thickTop="1">
      <c r="C61" s="36"/>
      <c r="D61" s="14"/>
      <c r="E61" s="33"/>
      <c r="F61" s="33"/>
      <c r="G61" s="71"/>
      <c r="H61" s="14"/>
      <c r="Q61" s="38"/>
    </row>
    <row r="62" spans="3:8" ht="12.75">
      <c r="C62" s="36"/>
      <c r="D62" s="14"/>
      <c r="E62" s="37"/>
      <c r="F62" s="37"/>
      <c r="G62" s="37"/>
      <c r="H62" s="14"/>
    </row>
    <row r="63" spans="8:8" ht="5.1" customHeight="1">
      <c r="H63" s="14"/>
    </row>
    <row r="64" spans="8:8" ht="12.75">
      <c r="H64" s="14"/>
    </row>
  </sheetData>
  <pageMargins left="0.75" right="0.33" top="1" bottom="1" header="0.5" footer="0.5"/>
  <pageSetup orientation="landscape" paperSize="1" scale="58" r:id="rId4"/>
  <headerFooter alignWithMargins="0">
    <oddHeader>&amp;C&amp;G</oddHeader>
    <oddFooter>&amp;C&amp;G</oddFooter>
  </headerFooter>
  <legacy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27BCD40-8549-4D89-A9C8-F5847A3D83E5}">
  <sheetPr>
    <pageSetUpPr fitToPage="1"/>
  </sheetPr>
  <dimension ref="B4:Q64"/>
  <sheetViews>
    <sheetView showGridLines="0" view="pageLayout" zoomScaleNormal="100" workbookViewId="0" topLeftCell="A10">
      <selection pane="topLeft" activeCell="E17" sqref="E17"/>
    </sheetView>
  </sheetViews>
  <sheetFormatPr defaultRowHeight="12.75"/>
  <cols>
    <col min="2" max="2" width="4.857142857142857" customWidth="1"/>
    <col min="3" max="3" width="47.285714285714285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3.285714285714286" customWidth="1"/>
    <col min="13" max="13" width="16.571428571428573" bestFit="1" customWidth="1"/>
    <col min="14" max="14" width="10.142857142857142" bestFit="1" customWidth="1"/>
    <col min="15" max="15" width="12.571428571428571" bestFit="1" customWidth="1"/>
    <col min="16" max="16" width="10" bestFit="1" customWidth="1"/>
    <col min="17" max="17" width="23.142857142857142" bestFit="1" customWidth="1"/>
  </cols>
  <sheetData>
    <row r="4" spans="2:6" ht="18">
      <c r="B4" s="1" t="s">
        <v>36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81" t="s">
        <v>11</v>
      </c>
      <c r="D10" s="81"/>
      <c r="E10" s="82">
        <f>G10*C20/(J28)</f>
        <v>-0.07878197388581729</v>
      </c>
      <c r="F10" s="18"/>
      <c r="G10" s="100">
        <v>-5698523</v>
      </c>
      <c r="H10" s="7"/>
      <c r="I10" s="12"/>
      <c r="O10" s="16"/>
    </row>
    <row r="11" spans="3:9" ht="12.75">
      <c r="C11" s="81"/>
      <c r="D11" s="81"/>
      <c r="E11" s="82"/>
      <c r="F11" s="18"/>
      <c r="G11" s="10"/>
      <c r="H11" s="7"/>
      <c r="I11" s="12"/>
    </row>
    <row r="12" spans="3:15" ht="12.75">
      <c r="C12" s="81" t="s">
        <v>2</v>
      </c>
      <c r="D12" s="81"/>
      <c r="E12" s="82">
        <f>G12*C20/(J28)</f>
        <v>0.07878197388581729</v>
      </c>
      <c r="F12" s="18"/>
      <c r="G12" s="100">
        <f>3676284+380104+1642135</f>
        <v>5698523</v>
      </c>
      <c r="H12" s="8"/>
      <c r="I12" s="12"/>
      <c r="O12" s="16"/>
    </row>
    <row r="13" spans="3:15" ht="12.75">
      <c r="C13" s="81" t="s">
        <v>3</v>
      </c>
      <c r="D13" s="81"/>
      <c r="E13" s="82">
        <v>0</v>
      </c>
      <c r="F13" s="18"/>
      <c r="G13" s="100"/>
      <c r="H13" s="8"/>
      <c r="I13" s="12"/>
      <c r="O13" s="16"/>
    </row>
    <row r="14" spans="3:9" ht="15.75">
      <c r="C14" s="81" t="s">
        <v>4</v>
      </c>
      <c r="D14" s="81"/>
      <c r="E14" s="82">
        <f>SUM(E12:E13)</f>
        <v>0.07878197388581729</v>
      </c>
      <c r="F14" s="5"/>
      <c r="G14" s="11"/>
      <c r="H14" s="5"/>
      <c r="I14" s="12"/>
    </row>
    <row r="15" spans="3:14" ht="31.5">
      <c r="C15" s="26" t="s">
        <v>7</v>
      </c>
      <c r="D15" s="26"/>
      <c r="E15" s="11"/>
      <c r="F15" s="26"/>
      <c r="G15" s="11"/>
      <c r="H15" s="5"/>
      <c r="I15" s="27"/>
      <c r="J15" s="83" t="s">
        <v>31</v>
      </c>
      <c r="K15" s="88"/>
      <c r="L15" s="39"/>
      <c r="M15" s="39"/>
      <c r="N15" s="39"/>
    </row>
    <row r="16" spans="3:14" ht="12.75" customHeight="1">
      <c r="C16" s="18" t="s">
        <v>8</v>
      </c>
      <c r="D16" s="18"/>
      <c r="E16" s="8" t="e">
        <f>G44</f>
        <v>#REF!</v>
      </c>
      <c r="F16" s="18"/>
      <c r="G16" s="28"/>
      <c r="H16" s="8"/>
      <c r="I16" s="27"/>
      <c r="J16" s="85">
        <f>34193250*C20</f>
        <v>34193250</v>
      </c>
      <c r="K16" s="84" t="s">
        <v>19</v>
      </c>
      <c r="L16" s="41"/>
      <c r="M16" s="42"/>
      <c r="N16" s="39"/>
    </row>
    <row r="17" spans="3:14" ht="12.75">
      <c r="C17" s="18" t="s">
        <v>10</v>
      </c>
      <c r="D17" s="18"/>
      <c r="E17" s="34">
        <f>-(G42+I45)/I44</f>
        <v>1.4761002656707831</v>
      </c>
      <c r="F17" s="18"/>
      <c r="G17" s="10"/>
      <c r="H17" s="7"/>
      <c r="J17" s="85">
        <f>34193250*C20</f>
        <v>34193250</v>
      </c>
      <c r="K17" s="84" t="s">
        <v>20</v>
      </c>
      <c r="L17" s="41"/>
      <c r="M17" s="42"/>
      <c r="N17" s="43"/>
    </row>
    <row r="18" spans="3:14" ht="12.75">
      <c r="C18" s="18"/>
      <c r="D18" s="18"/>
      <c r="E18" s="18"/>
      <c r="F18" s="18"/>
      <c r="G18" s="7"/>
      <c r="J18" s="85">
        <f>33243002*C20</f>
        <v>33243002</v>
      </c>
      <c r="K18" s="84" t="s">
        <v>21</v>
      </c>
      <c r="L18" s="41"/>
      <c r="M18" s="42"/>
      <c r="N18" s="39"/>
    </row>
    <row r="19" spans="3:14" ht="15.75">
      <c r="C19" s="19" t="s">
        <v>59</v>
      </c>
      <c r="D19" s="20"/>
      <c r="E19" s="20"/>
      <c r="F19" s="20"/>
      <c r="I19" s="21"/>
      <c r="J19" s="85">
        <f>32679377*C20</f>
        <v>32679377</v>
      </c>
      <c r="K19" s="84" t="s">
        <v>22</v>
      </c>
      <c r="L19" s="41"/>
      <c r="M19" s="42"/>
      <c r="N19" s="43"/>
    </row>
    <row r="20" spans="3:14" ht="12.75">
      <c r="C20" s="22">
        <v>1</v>
      </c>
      <c r="D20" s="15"/>
      <c r="E20" s="15"/>
      <c r="F20" s="15"/>
      <c r="G20" s="23"/>
      <c r="H20" s="15"/>
      <c r="I20" s="15"/>
      <c r="J20" s="85">
        <f>32679377*C20</f>
        <v>32679377</v>
      </c>
      <c r="K20" s="84" t="s">
        <v>23</v>
      </c>
      <c r="L20" s="41"/>
      <c r="M20" s="42"/>
      <c r="N20" s="39"/>
    </row>
    <row r="21" spans="3:14" ht="12.75">
      <c r="C21" s="15"/>
      <c r="D21" s="15"/>
      <c r="E21" s="21"/>
      <c r="F21" s="24"/>
      <c r="G21" s="24"/>
      <c r="H21" s="15"/>
      <c r="I21" s="25"/>
      <c r="J21" s="85">
        <f>59038065*C20</f>
        <v>59038065</v>
      </c>
      <c r="K21" s="84" t="s">
        <v>24</v>
      </c>
      <c r="L21" s="41"/>
      <c r="M21" s="42"/>
      <c r="N21" s="39"/>
    </row>
    <row r="22" spans="3:15" ht="12.75">
      <c r="C22" s="15" t="s">
        <v>16</v>
      </c>
      <c r="D22" s="15"/>
      <c r="E22" s="21">
        <v>43857</v>
      </c>
      <c r="F22" s="24"/>
      <c r="G22" s="24">
        <v>-34125000</v>
      </c>
      <c r="H22" s="15"/>
      <c r="I22" s="25"/>
      <c r="J22" s="85">
        <f>58474440*C20</f>
        <v>58474440</v>
      </c>
      <c r="K22" s="84" t="s">
        <v>25</v>
      </c>
      <c r="L22" s="41"/>
      <c r="M22" s="44"/>
      <c r="N22" s="43"/>
      <c r="O22" s="25"/>
    </row>
    <row r="23" spans="3:15" ht="12.75">
      <c r="C23" s="15"/>
      <c r="D23" s="15"/>
      <c r="E23" s="21">
        <v>43985</v>
      </c>
      <c r="F23" s="24"/>
      <c r="G23" s="24">
        <v>-26250000</v>
      </c>
      <c r="H23" s="15"/>
      <c r="I23" s="25"/>
      <c r="J23" s="85">
        <f>58474440*C20</f>
        <v>58474440</v>
      </c>
      <c r="K23" s="84" t="s">
        <v>26</v>
      </c>
      <c r="L23" s="41"/>
      <c r="M23" s="44"/>
      <c r="N23" s="43"/>
      <c r="O23" s="25"/>
    </row>
    <row r="24" spans="3:15" ht="12.75">
      <c r="C24" s="15"/>
      <c r="D24" s="15"/>
      <c r="E24" s="21">
        <v>44076</v>
      </c>
      <c r="F24" s="24"/>
      <c r="G24" s="24">
        <v>-32625000</v>
      </c>
      <c r="H24" s="15"/>
      <c r="I24" s="25"/>
      <c r="J24" s="85">
        <f>91095475*C20</f>
        <v>91095475</v>
      </c>
      <c r="K24" s="84" t="s">
        <v>27</v>
      </c>
      <c r="L24" s="41"/>
      <c r="M24" s="44"/>
      <c r="N24" s="43"/>
      <c r="O24" s="25"/>
    </row>
    <row r="25" spans="3:15" ht="12.75">
      <c r="C25" s="15"/>
      <c r="D25" s="15"/>
      <c r="E25" s="21">
        <v>44117</v>
      </c>
      <c r="F25" s="24"/>
      <c r="G25" s="24">
        <v>-46500000</v>
      </c>
      <c r="H25" s="15"/>
      <c r="I25" s="25"/>
      <c r="J25" s="85">
        <f>135900685*C20</f>
        <v>135900685</v>
      </c>
      <c r="K25" s="84" t="s">
        <v>28</v>
      </c>
      <c r="L25" s="41"/>
      <c r="M25" s="44"/>
      <c r="N25" s="43"/>
      <c r="O25" s="25"/>
    </row>
    <row r="26" spans="3:15" ht="12.75">
      <c r="C26" s="15"/>
      <c r="D26" s="15"/>
      <c r="E26" s="21">
        <v>44141</v>
      </c>
      <c r="F26" s="24"/>
      <c r="G26" s="24">
        <v>-34425000</v>
      </c>
      <c r="H26" s="15"/>
      <c r="I26" s="25"/>
      <c r="J26" s="86">
        <f>180110402*C20</f>
        <v>180110402</v>
      </c>
      <c r="K26" s="84" t="s">
        <v>29</v>
      </c>
      <c r="L26" s="41"/>
      <c r="M26" s="44"/>
      <c r="N26" s="43"/>
      <c r="O26" s="25"/>
    </row>
    <row r="27" spans="3:15" ht="12.75">
      <c r="C27" s="15"/>
      <c r="D27" s="15"/>
      <c r="E27" s="21">
        <v>44187</v>
      </c>
      <c r="F27" s="24"/>
      <c r="G27" s="24">
        <v>-14400000</v>
      </c>
      <c r="H27" s="15"/>
      <c r="I27" s="25"/>
      <c r="J27" s="86">
        <f>G42</f>
        <v>1.1791217809E8</v>
      </c>
      <c r="K27" s="84" t="s">
        <v>30</v>
      </c>
      <c r="L27" s="39"/>
      <c r="M27" s="44"/>
      <c r="N27" s="43"/>
      <c r="O27" s="25"/>
    </row>
    <row r="28" spans="3:15" ht="12.75">
      <c r="C28" s="15" t="s">
        <v>41</v>
      </c>
      <c r="D28" s="15"/>
      <c r="E28" s="21">
        <v>44250</v>
      </c>
      <c r="F28" s="24"/>
      <c r="G28" s="24">
        <v>22500000</v>
      </c>
      <c r="H28" s="15"/>
      <c r="I28" s="25"/>
      <c r="J28" s="86">
        <f>SUM(J16:J27)/12</f>
        <v>7.233282842416666E7</v>
      </c>
      <c r="K28" s="84" t="s">
        <v>12</v>
      </c>
      <c r="M28" s="30"/>
      <c r="N28" s="45"/>
      <c r="O28" s="25"/>
    </row>
    <row r="29" spans="3:15" ht="12.75">
      <c r="C29" s="15"/>
      <c r="D29" s="15"/>
      <c r="E29" s="21">
        <v>44319</v>
      </c>
      <c r="F29" s="24"/>
      <c r="G29" s="24">
        <v>53325000</v>
      </c>
      <c r="H29" s="15"/>
      <c r="I29" s="25"/>
      <c r="J29" s="25"/>
      <c r="K29" s="15"/>
      <c r="M29" s="30"/>
      <c r="N29" s="45"/>
      <c r="O29" s="25"/>
    </row>
    <row r="30" spans="3:15" ht="12.75">
      <c r="C30" s="15"/>
      <c r="D30" s="15"/>
      <c r="E30" s="21">
        <v>44344</v>
      </c>
      <c r="F30" s="24"/>
      <c r="G30" s="107">
        <f>24750000+6835746.71</f>
        <v>3.158574671E7</v>
      </c>
      <c r="H30" s="15"/>
      <c r="I30" s="25"/>
      <c r="J30" s="25"/>
      <c r="K30" s="15"/>
      <c r="M30" s="30"/>
      <c r="N30" s="45"/>
      <c r="O30" s="25"/>
    </row>
    <row r="31" spans="3:17" ht="12.75">
      <c r="C31" s="15"/>
      <c r="D31" s="15"/>
      <c r="E31" s="21">
        <v>44375</v>
      </c>
      <c r="F31" s="24"/>
      <c r="G31" s="24">
        <f>-7253666.2</f>
        <v>-7253666.2</v>
      </c>
      <c r="H31" s="15"/>
      <c r="I31" s="25"/>
      <c r="J31" s="25"/>
      <c r="K31" s="15"/>
      <c r="M31" s="30"/>
      <c r="N31" s="45"/>
      <c r="O31" s="25"/>
      <c r="Q31" s="45"/>
    </row>
    <row r="32" spans="3:17" ht="12.75">
      <c r="C32" s="15"/>
      <c r="D32" s="15"/>
      <c r="E32" s="21">
        <v>44405</v>
      </c>
      <c r="F32" s="24"/>
      <c r="G32" s="24">
        <v>-4087644.22</v>
      </c>
      <c r="H32" s="15"/>
      <c r="I32" s="25"/>
      <c r="J32" s="25"/>
      <c r="K32" s="15"/>
      <c r="M32" s="30"/>
      <c r="N32" s="45"/>
      <c r="O32" s="25"/>
      <c r="Q32" s="45"/>
    </row>
    <row r="33" spans="3:17" ht="12.75">
      <c r="C33" s="15"/>
      <c r="D33" s="15"/>
      <c r="E33" s="21">
        <v>44468</v>
      </c>
      <c r="F33" s="24"/>
      <c r="G33" s="24">
        <v>-1919732.90</v>
      </c>
      <c r="H33" s="15"/>
      <c r="I33" s="25"/>
      <c r="J33" s="25"/>
      <c r="K33" s="15"/>
      <c r="M33" s="30"/>
      <c r="N33" s="45"/>
      <c r="O33" s="25"/>
      <c r="Q33" s="45"/>
    </row>
    <row r="34" spans="3:17" ht="12.75">
      <c r="C34" s="15"/>
      <c r="D34" s="15"/>
      <c r="E34" s="21">
        <v>44475</v>
      </c>
      <c r="F34" s="24"/>
      <c r="G34" s="24">
        <v>-4671593.37</v>
      </c>
      <c r="H34" s="15"/>
      <c r="I34" s="25"/>
      <c r="J34" s="25"/>
      <c r="K34" s="15"/>
      <c r="M34" s="30"/>
      <c r="N34" s="45"/>
      <c r="O34" s="25"/>
      <c r="Q34" s="45"/>
    </row>
    <row r="35" spans="3:17" ht="12.75">
      <c r="C35" s="15"/>
      <c r="D35" s="15"/>
      <c r="E35" s="21">
        <v>44483</v>
      </c>
      <c r="F35" s="24"/>
      <c r="G35" s="24">
        <v>-5459924.75</v>
      </c>
      <c r="H35" s="15"/>
      <c r="I35" s="25"/>
      <c r="J35" s="25"/>
      <c r="K35" s="15"/>
      <c r="M35" s="30"/>
      <c r="N35" s="45"/>
      <c r="O35" s="25"/>
      <c r="Q35" s="45"/>
    </row>
    <row r="36" spans="3:15" ht="12.75">
      <c r="C36" s="15"/>
      <c r="D36" s="15"/>
      <c r="E36" s="21">
        <v>44505</v>
      </c>
      <c r="F36" s="24"/>
      <c r="G36" s="24">
        <v>-4905173.03</v>
      </c>
      <c r="H36" s="15"/>
      <c r="I36" s="25"/>
      <c r="J36" s="25"/>
      <c r="K36" s="15"/>
      <c r="M36" s="30"/>
      <c r="N36" s="45"/>
      <c r="O36" s="25"/>
    </row>
    <row r="37" spans="3:15" ht="12.75">
      <c r="C37" s="15"/>
      <c r="D37" s="15"/>
      <c r="E37" s="21">
        <v>44551</v>
      </c>
      <c r="F37" s="24"/>
      <c r="G37" s="24">
        <v>-3000038.87</v>
      </c>
      <c r="H37" s="15"/>
      <c r="I37" s="25"/>
      <c r="J37" s="25"/>
      <c r="K37" s="15"/>
      <c r="M37" s="30"/>
      <c r="N37" s="45"/>
      <c r="O37" s="25"/>
    </row>
    <row r="38" spans="3:15" ht="12.75">
      <c r="C38" s="15"/>
      <c r="D38" s="15"/>
      <c r="E38" s="21">
        <v>44558</v>
      </c>
      <c r="F38" s="24"/>
      <c r="G38" s="24">
        <v>4.772402423E7</v>
      </c>
      <c r="H38" s="15"/>
      <c r="I38" s="25"/>
      <c r="J38" s="25"/>
      <c r="K38" s="15"/>
      <c r="M38" s="30"/>
      <c r="N38" s="45"/>
      <c r="O38" s="25"/>
    </row>
    <row r="39" spans="3:15" ht="12.75">
      <c r="C39" s="15"/>
      <c r="D39" s="15"/>
      <c r="E39" s="21"/>
      <c r="F39" s="24"/>
      <c r="G39" s="24"/>
      <c r="H39" s="15"/>
      <c r="I39" s="25"/>
      <c r="J39" s="25"/>
      <c r="K39" s="15"/>
      <c r="M39" s="30"/>
      <c r="N39" s="45"/>
      <c r="O39" s="25"/>
    </row>
    <row r="40" spans="3:15" ht="12.75">
      <c r="C40" s="15"/>
      <c r="D40" s="15"/>
      <c r="E40" s="21"/>
      <c r="F40" s="24"/>
      <c r="G40" s="24"/>
      <c r="H40" s="15"/>
      <c r="I40" s="25"/>
      <c r="J40" s="25"/>
      <c r="K40" s="15"/>
      <c r="M40" s="30"/>
      <c r="N40" s="45"/>
      <c r="O40" s="25"/>
    </row>
    <row r="41" spans="3:15" ht="12.75">
      <c r="C41" s="15"/>
      <c r="D41" s="15"/>
      <c r="E41" s="21"/>
      <c r="F41" s="15"/>
      <c r="G41" s="24"/>
      <c r="H41" s="15"/>
      <c r="I41" s="25"/>
      <c r="J41" s="25"/>
      <c r="K41" s="15"/>
      <c r="M41" s="30"/>
      <c r="N41" s="45"/>
      <c r="O41" s="25"/>
    </row>
    <row r="42" spans="3:15" ht="12.75">
      <c r="C42" s="15" t="s">
        <v>5</v>
      </c>
      <c r="D42" s="15"/>
      <c r="E42" s="21" t="e">
        <f>+E8</f>
        <v>#REF!</v>
      </c>
      <c r="F42" s="15"/>
      <c r="G42" s="46">
        <v>1.1791217809E8</v>
      </c>
      <c r="H42" s="15"/>
      <c r="I42" s="25"/>
      <c r="J42" s="25"/>
      <c r="K42" s="15"/>
      <c r="N42" s="30"/>
      <c r="O42" s="31"/>
    </row>
    <row r="43" spans="3:15" ht="4.5" customHeight="1">
      <c r="C43" s="15"/>
      <c r="D43" s="15"/>
      <c r="E43" s="15"/>
      <c r="F43" s="15"/>
      <c r="G43" s="15"/>
      <c r="H43" s="15"/>
      <c r="I43" s="25"/>
      <c r="J43" s="25"/>
      <c r="O43" s="31"/>
    </row>
    <row r="44" spans="3:13" ht="12.75">
      <c r="C44" s="14" t="s">
        <v>0</v>
      </c>
      <c r="G44" s="29" t="e">
        <f>+XIRR(G22:G42,E22:E42,0.1)</f>
        <v>#REF!</v>
      </c>
      <c r="H44" s="15"/>
      <c r="I44" s="24">
        <f>+SUMIF($G$22:$G$41,"&lt;0",$G$22:$G$41)+G28+G29+G30</f>
        <v>-1.1221202663E8</v>
      </c>
      <c r="J44" s="15" t="s">
        <v>14</v>
      </c>
      <c r="M44" s="31"/>
    </row>
    <row r="45" spans="3:13" ht="12.75">
      <c r="C45" s="15"/>
      <c r="D45" s="15"/>
      <c r="E45" s="15"/>
      <c r="F45" s="15"/>
      <c r="G45" s="15"/>
      <c r="H45" s="15"/>
      <c r="I45" s="24">
        <f>+SUMIF($G$22:$G$41,"&gt;0",$G$22:$G$41)-G28-G29-G30</f>
        <v>4.772402423E7</v>
      </c>
      <c r="J45" s="15" t="s">
        <v>15</v>
      </c>
      <c r="M45" s="31"/>
    </row>
    <row r="46" spans="3:13" ht="12.75">
      <c r="C46" s="15"/>
      <c r="D46" s="15"/>
      <c r="E46" s="15"/>
      <c r="F46" s="15"/>
      <c r="G46" s="15"/>
      <c r="H46" s="15"/>
      <c r="M46" s="35"/>
    </row>
    <row r="47" spans="3:8" ht="12.75">
      <c r="C47" s="52"/>
      <c r="D47" s="52"/>
      <c r="E47" s="53"/>
      <c r="F47" s="52"/>
      <c r="G47" s="53"/>
      <c r="H47" s="15"/>
    </row>
    <row r="48" spans="3:13" ht="12.75">
      <c r="C48" s="52"/>
      <c r="D48" s="52"/>
      <c r="E48" s="53"/>
      <c r="F48" s="52"/>
      <c r="G48" s="53"/>
      <c r="H48" s="15"/>
      <c r="M48" s="35"/>
    </row>
    <row r="49" spans="3:13" ht="12.75">
      <c r="C49" s="52"/>
      <c r="D49" s="52"/>
      <c r="E49" s="53"/>
      <c r="F49" s="52"/>
      <c r="G49" s="53"/>
      <c r="H49" s="15"/>
      <c r="M49" s="35"/>
    </row>
    <row r="50" spans="3:13" ht="12.75">
      <c r="C50" s="52"/>
      <c r="D50" s="52"/>
      <c r="E50" s="53"/>
      <c r="F50" s="52"/>
      <c r="G50" s="53"/>
      <c r="H50" s="15"/>
      <c r="M50" s="35"/>
    </row>
    <row r="51" spans="3:13" ht="12.75">
      <c r="C51" s="52"/>
      <c r="D51" s="52"/>
      <c r="E51" s="53"/>
      <c r="F51" s="53"/>
      <c r="G51" s="53"/>
      <c r="H51" s="15"/>
      <c r="M51" s="35"/>
    </row>
    <row r="52" spans="3:8" ht="12.75">
      <c r="C52" s="52"/>
      <c r="D52" s="52"/>
      <c r="E52" s="52"/>
      <c r="F52" s="52"/>
      <c r="G52" s="52"/>
      <c r="H52" s="14"/>
    </row>
    <row r="53" spans="3:8" ht="13.5" thickBot="1">
      <c r="C53" s="74" t="s">
        <v>9</v>
      </c>
      <c r="D53" s="74"/>
      <c r="E53" s="75">
        <f>E10</f>
        <v>-0.07878197388581729</v>
      </c>
      <c r="F53" s="54"/>
      <c r="G53" s="58"/>
      <c r="H53" s="14"/>
    </row>
    <row r="54" spans="3:17" ht="13.5" thickTop="1">
      <c r="C54" s="74"/>
      <c r="D54" s="74"/>
      <c r="E54" s="87"/>
      <c r="F54" s="54"/>
      <c r="G54" s="58"/>
      <c r="H54" s="14"/>
      <c r="Q54" s="38"/>
    </row>
    <row r="55" spans="3:17" ht="12.75">
      <c r="C55" s="74" t="s">
        <v>6</v>
      </c>
      <c r="D55" s="74"/>
      <c r="E55" s="76"/>
      <c r="F55" s="54"/>
      <c r="G55" s="58"/>
      <c r="H55" s="14"/>
      <c r="Q55" s="38"/>
    </row>
    <row r="56" spans="3:17" ht="12.75">
      <c r="C56" s="77" t="s">
        <v>2</v>
      </c>
      <c r="D56" s="74"/>
      <c r="E56" s="76">
        <f>E12</f>
        <v>0.07878197388581729</v>
      </c>
      <c r="F56" s="54"/>
      <c r="G56" s="58"/>
      <c r="H56" s="14"/>
      <c r="Q56" s="38"/>
    </row>
    <row r="57" spans="3:17" ht="12.75">
      <c r="C57" s="77" t="s">
        <v>17</v>
      </c>
      <c r="D57" s="74"/>
      <c r="E57" s="76">
        <f>E11</f>
        <v>0</v>
      </c>
      <c r="F57" s="54"/>
      <c r="G57" s="70"/>
      <c r="H57" s="14"/>
      <c r="Q57" s="38"/>
    </row>
    <row r="58" spans="3:17" ht="13.5" thickBot="1">
      <c r="C58" s="78" t="s">
        <v>18</v>
      </c>
      <c r="D58" s="74"/>
      <c r="E58" s="79">
        <f>SUM(E56:E57)</f>
        <v>0.07878197388581729</v>
      </c>
      <c r="F58" s="54"/>
      <c r="G58" s="58"/>
      <c r="H58" s="14"/>
      <c r="Q58" s="38"/>
    </row>
    <row r="59" spans="3:17" ht="13.5" thickTop="1">
      <c r="C59" s="74"/>
      <c r="D59" s="74"/>
      <c r="E59" s="76"/>
      <c r="F59" s="54"/>
      <c r="G59" s="70"/>
      <c r="H59" s="14"/>
      <c r="Q59" s="38"/>
    </row>
    <row r="60" spans="3:17" ht="13.5" thickBot="1">
      <c r="C60" s="74" t="s">
        <v>13</v>
      </c>
      <c r="D60" s="74"/>
      <c r="E60" s="80" t="e">
        <f>+E16</f>
        <v>#REF!</v>
      </c>
      <c r="F60" s="54"/>
      <c r="G60" s="70"/>
      <c r="H60" s="14"/>
      <c r="Q60" s="38"/>
    </row>
    <row r="61" spans="3:17" ht="13.5" thickTop="1">
      <c r="C61" s="36"/>
      <c r="D61" s="14"/>
      <c r="E61" s="33"/>
      <c r="F61" s="33"/>
      <c r="G61" s="71"/>
      <c r="H61" s="14"/>
      <c r="Q61" s="38"/>
    </row>
    <row r="62" spans="3:8" ht="12.75">
      <c r="C62" s="36"/>
      <c r="D62" s="14"/>
      <c r="E62" s="37"/>
      <c r="F62" s="37"/>
      <c r="G62" s="37"/>
      <c r="H62" s="14"/>
    </row>
    <row r="63" spans="8:8" ht="5.1" customHeight="1">
      <c r="H63" s="14"/>
    </row>
    <row r="64" spans="8:8" ht="12.75">
      <c r="H64" s="14"/>
    </row>
  </sheetData>
  <pageMargins left="0.75" right="0.33" top="1" bottom="1" header="0.5" footer="0.5"/>
  <pageSetup orientation="landscape" paperSize="1" scale="58" r:id="rId4"/>
  <headerFooter alignWithMargins="0">
    <oddHeader>&amp;C&amp;G</oddHeader>
    <oddFooter>&amp;C&amp;G</oddFooter>
  </headerFooter>
  <legacyDrawing r:id="rId2"/>
  <legacyDrawingHF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8C649F-6462-4CE9-ABE5-A8480A4462B8}">
  <sheetPr>
    <pageSetUpPr fitToPage="1"/>
  </sheetPr>
  <dimension ref="B4:Q64"/>
  <sheetViews>
    <sheetView showGridLines="0" view="pageLayout" zoomScaleNormal="100" workbookViewId="0" topLeftCell="A10">
      <selection pane="topLeft" activeCell="G32" sqref="G32"/>
    </sheetView>
  </sheetViews>
  <sheetFormatPr defaultRowHeight="12.75"/>
  <cols>
    <col min="2" max="2" width="4.857142857142857" customWidth="1"/>
    <col min="3" max="3" width="47.285714285714285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3.285714285714286" customWidth="1"/>
    <col min="13" max="13" width="16.571428571428573" bestFit="1" customWidth="1"/>
    <col min="14" max="14" width="10.142857142857142" bestFit="1" customWidth="1"/>
    <col min="15" max="15" width="12.571428571428571" bestFit="1" customWidth="1"/>
    <col min="16" max="16" width="10" bestFit="1" customWidth="1"/>
    <col min="17" max="17" width="23.142857142857142" bestFit="1" customWidth="1"/>
  </cols>
  <sheetData>
    <row r="4" spans="2:6" ht="18">
      <c r="B4" s="1" t="s">
        <v>36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81" t="s">
        <v>11</v>
      </c>
      <c r="D10" s="81"/>
      <c r="E10" s="82">
        <f>G10*C20/(J28)</f>
        <v>-0.07618098414973751</v>
      </c>
      <c r="F10" s="18"/>
      <c r="G10" s="100">
        <v>-5698523</v>
      </c>
      <c r="H10" s="7"/>
      <c r="I10" s="12"/>
      <c r="O10" s="16"/>
    </row>
    <row r="11" spans="3:9" ht="12.75">
      <c r="C11" s="81"/>
      <c r="D11" s="81"/>
      <c r="E11" s="82"/>
      <c r="F11" s="18"/>
      <c r="G11" s="10"/>
      <c r="H11" s="7"/>
      <c r="I11" s="12"/>
    </row>
    <row r="12" spans="3:15" ht="12.75">
      <c r="C12" s="81" t="s">
        <v>2</v>
      </c>
      <c r="D12" s="81"/>
      <c r="E12" s="82">
        <f>G12*C20/(J28)</f>
        <v>0.07618098414973751</v>
      </c>
      <c r="F12" s="18"/>
      <c r="G12" s="100">
        <f>3676284+380104+1642135</f>
        <v>5698523</v>
      </c>
      <c r="H12" s="8"/>
      <c r="I12" s="12"/>
      <c r="O12" s="16"/>
    </row>
    <row r="13" spans="3:15" ht="12.75">
      <c r="C13" s="81" t="s">
        <v>3</v>
      </c>
      <c r="D13" s="81"/>
      <c r="E13" s="82">
        <v>0</v>
      </c>
      <c r="F13" s="18"/>
      <c r="G13" s="100"/>
      <c r="H13" s="8"/>
      <c r="I13" s="12"/>
      <c r="O13" s="16"/>
    </row>
    <row r="14" spans="3:9" ht="15.75">
      <c r="C14" s="81" t="s">
        <v>4</v>
      </c>
      <c r="D14" s="81"/>
      <c r="E14" s="82">
        <f>SUM(E12:E13)</f>
        <v>0.07618098414973751</v>
      </c>
      <c r="F14" s="5"/>
      <c r="G14" s="11"/>
      <c r="H14" s="5"/>
      <c r="I14" s="12"/>
    </row>
    <row r="15" spans="3:14" ht="31.5">
      <c r="C15" s="26" t="s">
        <v>7</v>
      </c>
      <c r="D15" s="26"/>
      <c r="E15" s="11"/>
      <c r="F15" s="26"/>
      <c r="G15" s="11"/>
      <c r="H15" s="5"/>
      <c r="I15" s="27"/>
      <c r="J15" s="83" t="s">
        <v>31</v>
      </c>
      <c r="K15" s="88"/>
      <c r="L15" s="39"/>
      <c r="M15" s="39"/>
      <c r="N15" s="39"/>
    </row>
    <row r="16" spans="3:14" ht="12.75" customHeight="1">
      <c r="C16" s="18" t="s">
        <v>8</v>
      </c>
      <c r="D16" s="18"/>
      <c r="E16" s="8" t="e">
        <f>G46</f>
        <v>#REF!</v>
      </c>
      <c r="F16" s="18"/>
      <c r="G16" s="28"/>
      <c r="H16" s="8"/>
      <c r="I16" s="27"/>
      <c r="J16" s="85">
        <f>34193250*C20</f>
        <v>34193250</v>
      </c>
      <c r="K16" s="84" t="s">
        <v>19</v>
      </c>
      <c r="L16" s="41"/>
      <c r="M16" s="42"/>
      <c r="N16" s="39"/>
    </row>
    <row r="17" spans="3:14" ht="12.75">
      <c r="C17" s="18" t="s">
        <v>10</v>
      </c>
      <c r="D17" s="18"/>
      <c r="E17" s="34">
        <f>-(G44+I45)/I44</f>
        <v>1.4544333222658823</v>
      </c>
      <c r="F17" s="18"/>
      <c r="G17" s="10"/>
      <c r="H17" s="7"/>
      <c r="J17" s="85">
        <f>34193250*C20</f>
        <v>34193250</v>
      </c>
      <c r="K17" s="84" t="s">
        <v>20</v>
      </c>
      <c r="L17" s="41"/>
      <c r="M17" s="42"/>
      <c r="N17" s="43"/>
    </row>
    <row r="18" spans="3:14" ht="12.75">
      <c r="C18" s="18"/>
      <c r="D18" s="18"/>
      <c r="E18" s="18"/>
      <c r="F18" s="18"/>
      <c r="G18" s="7"/>
      <c r="J18" s="85">
        <f>33243002*C20</f>
        <v>33243002</v>
      </c>
      <c r="K18" s="84" t="s">
        <v>21</v>
      </c>
      <c r="L18" s="41"/>
      <c r="M18" s="42"/>
      <c r="N18" s="39"/>
    </row>
    <row r="19" spans="3:14" ht="15.75">
      <c r="C19" s="19"/>
      <c r="D19" s="20"/>
      <c r="E19" s="20"/>
      <c r="F19" s="20"/>
      <c r="I19" s="21"/>
      <c r="J19" s="85">
        <f>32679377*C20</f>
        <v>32679377</v>
      </c>
      <c r="K19" s="84" t="s">
        <v>22</v>
      </c>
      <c r="L19" s="41"/>
      <c r="M19" s="42"/>
      <c r="N19" s="43"/>
    </row>
    <row r="20" spans="3:14" ht="12.75">
      <c r="C20" s="22">
        <v>1</v>
      </c>
      <c r="D20" s="15"/>
      <c r="E20" s="15"/>
      <c r="F20" s="15"/>
      <c r="G20" s="23"/>
      <c r="H20" s="15"/>
      <c r="I20" s="15"/>
      <c r="J20" s="85">
        <f>32679377*C20</f>
        <v>32679377</v>
      </c>
      <c r="K20" s="84" t="s">
        <v>23</v>
      </c>
      <c r="L20" s="41"/>
      <c r="M20" s="42"/>
      <c r="N20" s="39"/>
    </row>
    <row r="21" spans="3:14" ht="12.75">
      <c r="C21" s="15"/>
      <c r="D21" s="15"/>
      <c r="E21" s="21"/>
      <c r="F21" s="24"/>
      <c r="G21" s="24"/>
      <c r="H21" s="15"/>
      <c r="I21" s="25"/>
      <c r="J21" s="85">
        <f>59038065*C20</f>
        <v>59038065</v>
      </c>
      <c r="K21" s="84" t="s">
        <v>24</v>
      </c>
      <c r="L21" s="41"/>
      <c r="M21" s="42"/>
      <c r="N21" s="39"/>
    </row>
    <row r="22" spans="3:15" ht="12.75">
      <c r="C22" s="15" t="s">
        <v>16</v>
      </c>
      <c r="D22" s="15"/>
      <c r="E22" s="21">
        <v>43857</v>
      </c>
      <c r="F22" s="24"/>
      <c r="G22" s="24">
        <v>-34193250</v>
      </c>
      <c r="H22" s="15"/>
      <c r="I22" s="25"/>
      <c r="J22" s="85">
        <f>58474440*C20</f>
        <v>58474440</v>
      </c>
      <c r="K22" s="84" t="s">
        <v>25</v>
      </c>
      <c r="L22" s="41"/>
      <c r="M22" s="44"/>
      <c r="N22" s="43"/>
      <c r="O22" s="25"/>
    </row>
    <row r="23" spans="3:15" ht="12.75">
      <c r="C23" s="15"/>
      <c r="D23" s="15"/>
      <c r="E23" s="21">
        <v>43985</v>
      </c>
      <c r="F23" s="24"/>
      <c r="G23" s="24">
        <v>-26302500</v>
      </c>
      <c r="H23" s="15"/>
      <c r="I23" s="25"/>
      <c r="J23" s="85">
        <f>58474440*C20</f>
        <v>58474440</v>
      </c>
      <c r="K23" s="84" t="s">
        <v>26</v>
      </c>
      <c r="L23" s="41"/>
      <c r="M23" s="44"/>
      <c r="N23" s="43"/>
      <c r="O23" s="25"/>
    </row>
    <row r="24" spans="3:15" ht="12.75">
      <c r="C24" s="15"/>
      <c r="D24" s="15"/>
      <c r="E24" s="21">
        <v>44076</v>
      </c>
      <c r="F24" s="24"/>
      <c r="G24" s="24">
        <v>-32690250</v>
      </c>
      <c r="H24" s="15"/>
      <c r="I24" s="25"/>
      <c r="J24" s="85">
        <f>91095475*C20</f>
        <v>91095475</v>
      </c>
      <c r="K24" s="84" t="s">
        <v>27</v>
      </c>
      <c r="L24" s="41"/>
      <c r="M24" s="44"/>
      <c r="N24" s="43"/>
      <c r="O24" s="25"/>
    </row>
    <row r="25" spans="3:15" ht="12.75">
      <c r="C25" s="15"/>
      <c r="D25" s="15"/>
      <c r="E25" s="21">
        <v>44117</v>
      </c>
      <c r="F25" s="24"/>
      <c r="G25" s="24">
        <v>-46500000</v>
      </c>
      <c r="H25" s="15"/>
      <c r="I25" s="25"/>
      <c r="J25" s="85">
        <f>135900685*C20</f>
        <v>135900685</v>
      </c>
      <c r="K25" s="84" t="s">
        <v>28</v>
      </c>
      <c r="L25" s="41"/>
      <c r="M25" s="44"/>
      <c r="N25" s="43"/>
      <c r="O25" s="25"/>
    </row>
    <row r="26" spans="3:15" ht="12.75">
      <c r="C26" s="15"/>
      <c r="D26" s="15"/>
      <c r="E26" s="21">
        <v>44141</v>
      </c>
      <c r="F26" s="24"/>
      <c r="G26" s="24">
        <v>-34470900</v>
      </c>
      <c r="H26" s="15"/>
      <c r="I26" s="25"/>
      <c r="J26" s="86">
        <f>180110402*C20</f>
        <v>180110402</v>
      </c>
      <c r="K26" s="84" t="s">
        <v>29</v>
      </c>
      <c r="L26" s="41"/>
      <c r="M26" s="44"/>
      <c r="N26" s="43"/>
      <c r="O26" s="25"/>
    </row>
    <row r="27" spans="3:15" ht="12.75">
      <c r="C27" s="15"/>
      <c r="D27" s="15"/>
      <c r="E27" s="21">
        <v>44148</v>
      </c>
      <c r="F27" s="24"/>
      <c r="G27" s="24">
        <v>-14261850</v>
      </c>
      <c r="H27" s="15"/>
      <c r="I27" s="25"/>
      <c r="J27" s="86">
        <f>G44</f>
        <v>1.4754743887E8</v>
      </c>
      <c r="K27" s="84" t="s">
        <v>30</v>
      </c>
      <c r="L27" s="39"/>
      <c r="M27" s="44"/>
      <c r="N27" s="43"/>
      <c r="O27" s="25"/>
    </row>
    <row r="28" spans="3:15" ht="12.75">
      <c r="C28" s="15"/>
      <c r="D28" s="15"/>
      <c r="E28" s="21">
        <v>44187</v>
      </c>
      <c r="F28" s="24"/>
      <c r="G28" s="24">
        <v>-15600000</v>
      </c>
      <c r="H28" s="15"/>
      <c r="I28" s="25"/>
      <c r="J28" s="86">
        <f>SUM(J16:J27)/12</f>
        <v>7.480243348916666E7</v>
      </c>
      <c r="K28" s="84" t="s">
        <v>12</v>
      </c>
      <c r="M28" s="30"/>
      <c r="N28" s="45"/>
      <c r="O28" s="25"/>
    </row>
    <row r="29" spans="3:15" ht="12.75">
      <c r="C29" s="15" t="s">
        <v>41</v>
      </c>
      <c r="D29" s="15"/>
      <c r="E29" s="21">
        <v>44250</v>
      </c>
      <c r="F29" s="24"/>
      <c r="G29" s="24">
        <v>24375000</v>
      </c>
      <c r="H29" s="15"/>
      <c r="I29" s="25"/>
      <c r="J29" s="25"/>
      <c r="K29" s="15"/>
      <c r="M29" s="30"/>
      <c r="N29" s="45"/>
      <c r="O29" s="25"/>
    </row>
    <row r="30" spans="3:15" ht="12.75">
      <c r="C30" s="15"/>
      <c r="D30" s="15"/>
      <c r="E30" s="21">
        <v>44307</v>
      </c>
      <c r="F30" s="24"/>
      <c r="G30" s="24">
        <v>-24078600</v>
      </c>
      <c r="H30" s="15"/>
      <c r="I30" s="25"/>
      <c r="J30" s="25"/>
      <c r="K30" s="15"/>
      <c r="M30" s="30"/>
      <c r="N30" s="45"/>
      <c r="O30" s="25"/>
    </row>
    <row r="31" spans="3:17" ht="12.75">
      <c r="C31" s="15"/>
      <c r="D31" s="15"/>
      <c r="E31" s="21">
        <v>44319</v>
      </c>
      <c r="F31" s="24"/>
      <c r="G31" s="24">
        <v>62947350</v>
      </c>
      <c r="H31" s="15"/>
      <c r="I31" s="25"/>
      <c r="J31" s="25"/>
      <c r="K31" s="15"/>
      <c r="M31" s="30"/>
      <c r="N31" s="45"/>
      <c r="O31" s="25"/>
      <c r="Q31" s="45"/>
    </row>
    <row r="32" spans="3:17" ht="12.75">
      <c r="C32" s="15"/>
      <c r="D32" s="15"/>
      <c r="E32" s="21">
        <v>44344</v>
      </c>
      <c r="F32" s="24"/>
      <c r="G32" s="107">
        <f>30970500+7070162.56-608146.04</f>
        <v>3.743251652E7</v>
      </c>
      <c r="H32" s="15"/>
      <c r="I32" s="25"/>
      <c r="J32" s="25"/>
      <c r="K32" s="15"/>
      <c r="M32" s="30"/>
      <c r="N32" s="45"/>
      <c r="O32" s="25"/>
      <c r="Q32" s="45"/>
    </row>
    <row r="33" spans="3:17" ht="12.75">
      <c r="C33" s="15"/>
      <c r="D33" s="15"/>
      <c r="E33" s="21">
        <v>44375</v>
      </c>
      <c r="F33" s="24"/>
      <c r="G33" s="24">
        <v>-9076754.3</v>
      </c>
      <c r="H33" s="15"/>
      <c r="I33" s="25"/>
      <c r="J33" s="25"/>
      <c r="K33" s="15"/>
      <c r="M33" s="30"/>
      <c r="N33" s="45"/>
      <c r="O33" s="25"/>
      <c r="Q33" s="45"/>
    </row>
    <row r="34" spans="3:17" ht="12.75">
      <c r="C34" s="15"/>
      <c r="D34" s="15"/>
      <c r="E34" s="21">
        <v>44405</v>
      </c>
      <c r="F34" s="24"/>
      <c r="G34" s="24">
        <v>-5115005.47</v>
      </c>
      <c r="H34" s="15"/>
      <c r="I34" s="25"/>
      <c r="J34" s="25"/>
      <c r="K34" s="15"/>
      <c r="M34" s="30"/>
      <c r="N34" s="45"/>
      <c r="O34" s="25"/>
      <c r="Q34" s="45"/>
    </row>
    <row r="35" spans="3:17" ht="12.75">
      <c r="C35" s="15"/>
      <c r="D35" s="15"/>
      <c r="E35" s="21">
        <v>44468</v>
      </c>
      <c r="F35" s="24"/>
      <c r="G35" s="24">
        <v>-2402225.76</v>
      </c>
      <c r="H35" s="15"/>
      <c r="I35" s="25"/>
      <c r="J35" s="25"/>
      <c r="K35" s="15"/>
      <c r="M35" s="30"/>
      <c r="N35" s="45"/>
      <c r="O35" s="25"/>
      <c r="Q35" s="45"/>
    </row>
    <row r="36" spans="3:15" ht="12.75">
      <c r="C36" s="15"/>
      <c r="D36" s="15"/>
      <c r="E36" s="21">
        <v>44475</v>
      </c>
      <c r="F36" s="24"/>
      <c r="G36" s="24">
        <v>-5845720.5</v>
      </c>
      <c r="H36" s="15"/>
      <c r="I36" s="25"/>
      <c r="J36" s="25"/>
      <c r="K36" s="15"/>
      <c r="M36" s="30"/>
      <c r="N36" s="45"/>
      <c r="O36" s="25"/>
    </row>
    <row r="37" spans="3:15" ht="12.75">
      <c r="C37" s="15"/>
      <c r="D37" s="15"/>
      <c r="E37" s="21">
        <v>44483</v>
      </c>
      <c r="F37" s="24"/>
      <c r="G37" s="24">
        <v>-6832185.85</v>
      </c>
      <c r="H37" s="15"/>
      <c r="I37" s="25"/>
      <c r="J37" s="25"/>
      <c r="K37" s="15"/>
      <c r="M37" s="30"/>
      <c r="N37" s="45"/>
      <c r="O37" s="25"/>
    </row>
    <row r="38" spans="3:15" ht="12.75">
      <c r="C38" s="15"/>
      <c r="D38" s="15"/>
      <c r="E38" s="21">
        <v>44505</v>
      </c>
      <c r="F38" s="24"/>
      <c r="G38" s="24">
        <v>-6138006.53</v>
      </c>
      <c r="H38" s="15"/>
      <c r="I38" s="25"/>
      <c r="J38" s="25"/>
      <c r="K38" s="15"/>
      <c r="M38" s="30"/>
      <c r="N38" s="45"/>
      <c r="O38" s="25"/>
    </row>
    <row r="39" spans="3:15" ht="12.75">
      <c r="C39" s="15"/>
      <c r="D39" s="15"/>
      <c r="E39" s="21">
        <v>44551</v>
      </c>
      <c r="F39" s="24"/>
      <c r="G39" s="24">
        <v>-3754048.64</v>
      </c>
      <c r="H39" s="15"/>
      <c r="I39" s="25"/>
      <c r="J39" s="25"/>
      <c r="K39" s="15"/>
      <c r="M39" s="30"/>
      <c r="N39" s="45"/>
      <c r="O39" s="25"/>
    </row>
    <row r="40" spans="3:15" ht="12.75">
      <c r="C40" s="15"/>
      <c r="D40" s="15"/>
      <c r="E40" s="21">
        <v>44558</v>
      </c>
      <c r="F40" s="24"/>
      <c r="G40" s="24">
        <v>5.971866233E7</v>
      </c>
      <c r="H40" s="15"/>
      <c r="I40" s="25"/>
      <c r="J40" s="25"/>
      <c r="K40" s="15"/>
      <c r="M40" s="30"/>
      <c r="N40" s="45"/>
      <c r="O40" s="25"/>
    </row>
    <row r="41" spans="3:15" ht="12.75">
      <c r="C41" s="15"/>
      <c r="D41" s="15"/>
      <c r="E41" s="21"/>
      <c r="F41" s="24"/>
      <c r="G41" s="24"/>
      <c r="H41" s="15"/>
      <c r="I41" s="25"/>
      <c r="J41" s="25"/>
      <c r="K41" s="15"/>
      <c r="M41" s="30"/>
      <c r="N41" s="45"/>
      <c r="O41" s="25"/>
    </row>
    <row r="42" spans="3:15" ht="7.5" customHeight="1">
      <c r="C42" s="15"/>
      <c r="D42" s="15"/>
      <c r="E42" s="21"/>
      <c r="F42" s="24"/>
      <c r="G42" s="24"/>
      <c r="H42" s="15"/>
      <c r="I42" s="25"/>
      <c r="J42" s="25"/>
      <c r="K42" s="15"/>
      <c r="N42" s="30"/>
      <c r="O42" s="31"/>
    </row>
    <row r="43" spans="3:15" ht="4.5" customHeight="1">
      <c r="C43" s="15"/>
      <c r="D43" s="15"/>
      <c r="E43" s="21"/>
      <c r="F43" s="15"/>
      <c r="G43" s="24"/>
      <c r="H43" s="15"/>
      <c r="I43" s="25"/>
      <c r="J43" s="25"/>
      <c r="O43" s="31"/>
    </row>
    <row r="44" spans="3:13" ht="12.75">
      <c r="C44" s="15" t="s">
        <v>5</v>
      </c>
      <c r="D44" s="15"/>
      <c r="E44" s="21" t="e">
        <f>+E8</f>
        <v>#REF!</v>
      </c>
      <c r="F44" s="15"/>
      <c r="G44" s="46">
        <v>1.4754743887E8</v>
      </c>
      <c r="H44" s="15"/>
      <c r="I44" s="24">
        <f>+SUMIF($G$22:$G$43,"&lt;0",$G$22:$G$43)+G29+G31+G32</f>
        <v>-1.4250643052999997E8</v>
      </c>
      <c r="J44" s="15" t="s">
        <v>14</v>
      </c>
      <c r="M44" s="31"/>
    </row>
    <row r="45" spans="3:13" ht="12.75">
      <c r="C45" s="15"/>
      <c r="D45" s="15"/>
      <c r="E45" s="15"/>
      <c r="F45" s="15"/>
      <c r="G45" s="15"/>
      <c r="H45" s="15"/>
      <c r="I45" s="24">
        <f>+SUMIF($G$22:$G$43,"&gt;0",$G$22:$G$43)-G29-G31-G32</f>
        <v>5.971866233000002E7</v>
      </c>
      <c r="J45" s="15" t="s">
        <v>15</v>
      </c>
      <c r="M45" s="31"/>
    </row>
    <row r="46" spans="3:13" ht="12.75">
      <c r="C46" s="14" t="s">
        <v>0</v>
      </c>
      <c r="G46" s="29" t="e">
        <f>+XIRR(G22:G44,E22:E44,0.1)</f>
        <v>#REF!</v>
      </c>
      <c r="H46" s="15"/>
      <c r="M46" s="35"/>
    </row>
    <row r="47" spans="3:8" ht="12.75">
      <c r="C47" s="15"/>
      <c r="D47" s="15"/>
      <c r="E47" s="15"/>
      <c r="F47" s="15"/>
      <c r="G47" s="15"/>
      <c r="H47" s="15"/>
    </row>
    <row r="48" spans="3:13" ht="12.75">
      <c r="C48" s="15"/>
      <c r="D48" s="15"/>
      <c r="E48" s="15"/>
      <c r="F48" s="15"/>
      <c r="G48" s="15"/>
      <c r="H48" s="15"/>
      <c r="M48" s="35"/>
    </row>
    <row r="49" spans="3:13" ht="12.75">
      <c r="C49" s="52"/>
      <c r="D49" s="52"/>
      <c r="E49" s="53"/>
      <c r="F49" s="52"/>
      <c r="G49" s="53"/>
      <c r="H49" s="15"/>
      <c r="M49" s="35"/>
    </row>
    <row r="50" spans="3:13" ht="12.75">
      <c r="C50" s="52"/>
      <c r="D50" s="52"/>
      <c r="E50" s="53"/>
      <c r="F50" s="52"/>
      <c r="G50" s="53"/>
      <c r="H50" s="15"/>
      <c r="M50" s="35"/>
    </row>
    <row r="51" spans="3:13" ht="12.75">
      <c r="C51" s="52"/>
      <c r="D51" s="52"/>
      <c r="E51" s="53"/>
      <c r="F51" s="52"/>
      <c r="G51" s="53"/>
      <c r="H51" s="15"/>
      <c r="M51" s="35"/>
    </row>
    <row r="52" spans="3:8" ht="12.75">
      <c r="C52" s="52"/>
      <c r="D52" s="52"/>
      <c r="E52" s="53"/>
      <c r="F52" s="52"/>
      <c r="G52" s="53"/>
      <c r="H52" s="14"/>
    </row>
    <row r="53" spans="3:8" ht="12.75">
      <c r="C53" s="52"/>
      <c r="D53" s="52"/>
      <c r="E53" s="53"/>
      <c r="F53" s="53"/>
      <c r="G53" s="53"/>
      <c r="H53" s="14"/>
    </row>
    <row r="54" spans="3:17" ht="12.75">
      <c r="C54" s="52"/>
      <c r="D54" s="52"/>
      <c r="E54" s="52"/>
      <c r="F54" s="52"/>
      <c r="G54" s="52"/>
      <c r="H54" s="14"/>
      <c r="Q54" s="38"/>
    </row>
    <row r="55" spans="3:17" ht="13.5" thickBot="1">
      <c r="C55" s="74" t="s">
        <v>9</v>
      </c>
      <c r="D55" s="74"/>
      <c r="E55" s="75">
        <f>E10</f>
        <v>-0.07618098414973751</v>
      </c>
      <c r="F55" s="54"/>
      <c r="G55" s="58"/>
      <c r="H55" s="14"/>
      <c r="Q55" s="38"/>
    </row>
    <row r="56" spans="3:17" ht="13.5" thickTop="1">
      <c r="C56" s="74"/>
      <c r="D56" s="74"/>
      <c r="E56" s="87"/>
      <c r="F56" s="54"/>
      <c r="G56" s="58"/>
      <c r="H56" s="14"/>
      <c r="Q56" s="38"/>
    </row>
    <row r="57" spans="3:17" ht="12.75">
      <c r="C57" s="74" t="s">
        <v>6</v>
      </c>
      <c r="D57" s="74"/>
      <c r="E57" s="76"/>
      <c r="F57" s="54"/>
      <c r="G57" s="58"/>
      <c r="H57" s="14"/>
      <c r="Q57" s="38"/>
    </row>
    <row r="58" spans="3:17" ht="12.75">
      <c r="C58" s="77" t="s">
        <v>2</v>
      </c>
      <c r="D58" s="74"/>
      <c r="E58" s="76">
        <f>E12</f>
        <v>0.07618098414973751</v>
      </c>
      <c r="F58" s="54"/>
      <c r="G58" s="58"/>
      <c r="H58" s="14"/>
      <c r="Q58" s="38"/>
    </row>
    <row r="59" spans="3:17" ht="12.75">
      <c r="C59" s="77" t="s">
        <v>17</v>
      </c>
      <c r="D59" s="74"/>
      <c r="E59" s="76">
        <f>E11</f>
        <v>0</v>
      </c>
      <c r="F59" s="54"/>
      <c r="G59" s="70"/>
      <c r="H59" s="14"/>
      <c r="Q59" s="38"/>
    </row>
    <row r="60" spans="3:17" ht="13.5" thickBot="1">
      <c r="C60" s="78" t="s">
        <v>18</v>
      </c>
      <c r="D60" s="74"/>
      <c r="E60" s="79">
        <f>SUM(E58:E59)</f>
        <v>0.07618098414973751</v>
      </c>
      <c r="F60" s="54"/>
      <c r="G60" s="58"/>
      <c r="H60" s="14"/>
      <c r="Q60" s="38"/>
    </row>
    <row r="61" spans="3:17" ht="13.5" thickTop="1">
      <c r="C61" s="74"/>
      <c r="D61" s="74"/>
      <c r="E61" s="76"/>
      <c r="F61" s="54"/>
      <c r="G61" s="70"/>
      <c r="H61" s="14"/>
      <c r="Q61" s="38"/>
    </row>
    <row r="62" spans="3:8" ht="13.5" thickBot="1">
      <c r="C62" s="74" t="s">
        <v>13</v>
      </c>
      <c r="D62" s="74"/>
      <c r="E62" s="80" t="e">
        <f>+E16</f>
        <v>#REF!</v>
      </c>
      <c r="F62" s="54"/>
      <c r="G62" s="70"/>
      <c r="H62" s="14"/>
    </row>
    <row r="63" spans="3:8" ht="5.1" customHeight="1" thickTop="1">
      <c r="C63" s="36"/>
      <c r="D63" s="14"/>
      <c r="E63" s="33"/>
      <c r="F63" s="33"/>
      <c r="G63" s="71"/>
      <c r="H63" s="14"/>
    </row>
    <row r="64" spans="3:8" ht="12.75">
      <c r="C64" s="36"/>
      <c r="D64" s="14"/>
      <c r="E64" s="37"/>
      <c r="F64" s="37"/>
      <c r="G64" s="37"/>
      <c r="H64" s="14"/>
    </row>
  </sheetData>
  <pageMargins left="0.75" right="0.33" top="1" bottom="1" header="0.5" footer="0.5"/>
  <pageSetup orientation="landscape" paperSize="1" scale="57" r:id="rId4"/>
  <headerFooter alignWithMargins="0">
    <oddHeader>&amp;C&amp;G</oddHeader>
    <oddFooter>&amp;C&amp;G</oddFooter>
  </headerFooter>
  <legacyDrawing r:id="rId2"/>
  <legacyDrawingHF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D977FE-019E-48A4-ABAE-BCC46ED31CF8}">
  <dimension ref="B4:Q70"/>
  <sheetViews>
    <sheetView view="pageLayout" zoomScaleNormal="100" workbookViewId="0" topLeftCell="A25">
      <selection pane="topLeft" activeCell="G52" sqref="G52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4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31.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1-(20000000/213814409.75)</f>
        <v>0.9064609348669027</v>
      </c>
      <c r="J9" s="55" t="s">
        <v>31</v>
      </c>
      <c r="M9" s="35"/>
    </row>
    <row r="10" spans="3:15" ht="12.75">
      <c r="C10" s="62" t="s">
        <v>11</v>
      </c>
      <c r="D10" s="62"/>
      <c r="E10" s="63">
        <f>I10/(J35)</f>
        <v>-0.07122805460874201</v>
      </c>
      <c r="F10" s="18"/>
      <c r="G10" s="100">
        <f>-6132648-J10</f>
        <v>-748190</v>
      </c>
      <c r="H10" s="7"/>
      <c r="I10" s="12">
        <f>(G10*$I$9)+J10</f>
        <v>-6062663.006858068</v>
      </c>
      <c r="J10" s="100">
        <v>-5384458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>
        <f>I13/(J35)</f>
        <v>0.0722201472787185</v>
      </c>
      <c r="F13" s="18"/>
      <c r="G13" s="100">
        <f>6225805-J13</f>
        <v>841347</v>
      </c>
      <c r="H13" s="8"/>
      <c r="I13" s="12">
        <f>G13*$I$9+J13</f>
        <v>6147106.188167464</v>
      </c>
      <c r="J13" s="56">
        <f>-J10</f>
        <v>5384458</v>
      </c>
      <c r="O13" s="16"/>
    </row>
    <row r="14" spans="3:9" ht="12.75">
      <c r="C14" s="62" t="s">
        <v>3</v>
      </c>
      <c r="D14" s="62"/>
      <c r="E14" s="67">
        <f>(G14)/(J35)</f>
        <v>0.12101808082173905</v>
      </c>
      <c r="F14" s="18"/>
      <c r="G14" s="100">
        <v>10300602</v>
      </c>
      <c r="H14" s="9"/>
      <c r="I14" s="12"/>
    </row>
    <row r="15" spans="3:9" ht="12.75">
      <c r="C15" s="62" t="s">
        <v>4</v>
      </c>
      <c r="D15" s="62"/>
      <c r="E15" s="63">
        <f>E13+E14</f>
        <v>0.19323822810045754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G52</f>
        <v>0.38163323998451226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-(G50+I51)/I50</f>
        <v>1.3913422963972764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/>
      <c r="K21" s="60"/>
      <c r="L21" s="41"/>
      <c r="M21" s="42"/>
      <c r="N21" s="43"/>
      <c r="O21" s="45"/>
    </row>
    <row r="22" spans="3:15" ht="12.75">
      <c r="C22" s="22"/>
      <c r="D22" s="15"/>
      <c r="E22" s="15"/>
      <c r="F22" s="15"/>
      <c r="G22" s="23"/>
      <c r="H22" s="15"/>
      <c r="I22" s="15"/>
      <c r="J22" s="59"/>
      <c r="K22" s="60"/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/>
      <c r="K23" s="60"/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-1.0992251219787156E7</v>
      </c>
      <c r="H24" s="15"/>
      <c r="I24" s="25"/>
      <c r="J24" s="59"/>
      <c r="K24" s="60"/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-1.1769353789024685E7</v>
      </c>
      <c r="H25" s="15"/>
      <c r="I25" s="25"/>
      <c r="J25" s="59"/>
      <c r="K25" s="60"/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-1.3435937009192565E7</v>
      </c>
      <c r="H26" s="15"/>
      <c r="I26" s="25"/>
      <c r="J26" s="59"/>
      <c r="K26" s="60"/>
      <c r="L26" s="41"/>
      <c r="M26" s="42"/>
      <c r="N26" s="39"/>
      <c r="O26" s="25"/>
      <c r="P26" s="45"/>
    </row>
    <row r="27" spans="3:16" ht="12.75">
      <c r="C27" s="15"/>
      <c r="D27" s="15"/>
      <c r="E27" s="21">
        <v>44117</v>
      </c>
      <c r="F27" s="24"/>
      <c r="G27" s="24">
        <v>-1.3397416972221864E7</v>
      </c>
      <c r="H27" s="15"/>
      <c r="I27" s="25"/>
      <c r="J27" s="59"/>
      <c r="K27" s="60"/>
      <c r="L27" s="41"/>
      <c r="M27" s="42"/>
      <c r="N27" s="39"/>
      <c r="O27" s="25"/>
      <c r="P27" s="45"/>
    </row>
    <row r="28" spans="3:16" ht="12.75">
      <c r="C28" s="15"/>
      <c r="D28" s="15"/>
      <c r="E28" s="21">
        <v>44141</v>
      </c>
      <c r="F28" s="24"/>
      <c r="G28" s="24">
        <v>-1.1964169055004999E7</v>
      </c>
      <c r="H28" s="15"/>
      <c r="I28" s="25"/>
      <c r="J28" s="59"/>
      <c r="K28" s="60"/>
      <c r="L28" s="41"/>
      <c r="M28" s="42"/>
      <c r="N28" s="39"/>
      <c r="O28" s="25"/>
      <c r="P28" s="45"/>
    </row>
    <row r="29" spans="3:16" ht="12.75">
      <c r="C29" s="15"/>
      <c r="D29" s="15"/>
      <c r="E29" s="21">
        <v>44148</v>
      </c>
      <c r="F29" s="24"/>
      <c r="G29" s="24">
        <v>-6240759.3479131</v>
      </c>
      <c r="H29" s="15"/>
      <c r="I29" s="25"/>
      <c r="J29" s="59"/>
      <c r="K29" s="60"/>
      <c r="L29" s="41"/>
      <c r="M29" s="42"/>
      <c r="N29" s="39"/>
      <c r="O29" s="25"/>
      <c r="P29" s="45"/>
    </row>
    <row r="30" spans="3:15" ht="12.75">
      <c r="C30" s="15"/>
      <c r="D30" s="15"/>
      <c r="E30" s="21">
        <v>44187</v>
      </c>
      <c r="F30" s="24"/>
      <c r="G30" s="24">
        <v>-5690823.512091472</v>
      </c>
      <c r="H30" s="15"/>
      <c r="I30" s="25"/>
      <c r="J30" s="59">
        <v>23429675</v>
      </c>
      <c r="K30" s="60" t="s">
        <v>53</v>
      </c>
      <c r="L30" s="41"/>
      <c r="M30" s="42"/>
      <c r="N30" s="39"/>
      <c r="O30" s="25"/>
    </row>
    <row r="31" spans="3:16" ht="12.75">
      <c r="C31" s="15" t="s">
        <v>41</v>
      </c>
      <c r="D31" s="15"/>
      <c r="E31" s="21">
        <v>44203</v>
      </c>
      <c r="F31" s="24"/>
      <c r="G31" s="24">
        <v>-2.4348915083041277E7</v>
      </c>
      <c r="H31" s="15"/>
      <c r="I31" s="25"/>
      <c r="J31" s="59">
        <v>60571194</v>
      </c>
      <c r="K31" s="60" t="s">
        <v>54</v>
      </c>
      <c r="L31" s="41"/>
      <c r="M31" s="42"/>
      <c r="N31" s="39"/>
      <c r="P31" s="45"/>
    </row>
    <row r="32" spans="3:16" ht="12.75">
      <c r="C32" s="15"/>
      <c r="D32" s="15"/>
      <c r="E32" s="21">
        <v>44217</v>
      </c>
      <c r="F32" s="24"/>
      <c r="G32" s="24">
        <v>-3184235.3429311444</v>
      </c>
      <c r="H32" s="15"/>
      <c r="I32" s="25"/>
      <c r="J32" s="59">
        <v>9.559377379E7</v>
      </c>
      <c r="K32" s="60" t="s">
        <v>55</v>
      </c>
      <c r="L32" s="41"/>
      <c r="M32" s="42"/>
      <c r="N32" s="39"/>
      <c r="P32" s="45"/>
    </row>
    <row r="33" spans="3:14" ht="12.75">
      <c r="C33" s="15"/>
      <c r="D33" s="15"/>
      <c r="E33" s="21">
        <v>44250</v>
      </c>
      <c r="F33" s="24"/>
      <c r="G33" s="24">
        <v>1.1502590369859572E7</v>
      </c>
      <c r="H33" s="15"/>
      <c r="I33" s="25"/>
      <c r="J33" s="61">
        <v>9.843903523E7</v>
      </c>
      <c r="K33" s="60" t="s">
        <v>56</v>
      </c>
      <c r="L33" s="39"/>
      <c r="M33" s="39"/>
      <c r="N33" s="39"/>
    </row>
    <row r="34" spans="3:15" ht="12.75">
      <c r="C34" s="15"/>
      <c r="D34" s="15"/>
      <c r="E34" s="21">
        <v>44265</v>
      </c>
      <c r="F34" s="24"/>
      <c r="G34" s="24">
        <v>-7169892.59</v>
      </c>
      <c r="H34" s="15"/>
      <c r="I34" s="25"/>
      <c r="J34" s="61">
        <f>G50</f>
        <v>1.4754743887E8</v>
      </c>
      <c r="K34" s="60" t="s">
        <v>57</v>
      </c>
      <c r="L34" s="39"/>
      <c r="M34" s="39"/>
      <c r="N34" s="39"/>
      <c r="O34" s="45"/>
    </row>
    <row r="35" spans="3:14" ht="12.75">
      <c r="C35" s="15"/>
      <c r="D35" s="15"/>
      <c r="E35" s="21">
        <v>44291</v>
      </c>
      <c r="F35" s="24"/>
      <c r="G35" s="24">
        <v>-1.7042926116015848E7</v>
      </c>
      <c r="H35" s="15"/>
      <c r="I35" s="25"/>
      <c r="J35" s="61">
        <f>SUM(J30:J34)/5</f>
        <v>8.5116223378E7</v>
      </c>
      <c r="K35" s="60" t="s">
        <v>12</v>
      </c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v>-3.8653049179740384E7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v>3.916738636970249E7</v>
      </c>
      <c r="H37" s="15"/>
      <c r="I37" s="25"/>
      <c r="J37" s="98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v>-1.851265258592552E7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24">
        <v>2.137965788E7</v>
      </c>
      <c r="H39" s="15"/>
      <c r="I39" s="25"/>
      <c r="J39" s="25"/>
      <c r="K39" s="15"/>
      <c r="L39" s="39"/>
      <c r="M39" s="39"/>
      <c r="N39" s="39"/>
    </row>
    <row r="40" spans="3:14" ht="12.75">
      <c r="C40" s="15"/>
      <c r="D40" s="15"/>
      <c r="E40" s="21">
        <v>44361</v>
      </c>
      <c r="F40" s="24"/>
      <c r="G40" s="24">
        <v>548247.19</v>
      </c>
      <c r="H40" s="15"/>
      <c r="I40" s="25"/>
      <c r="J40" s="97"/>
      <c r="K40" s="15"/>
      <c r="L40" s="39"/>
      <c r="M40" s="39"/>
      <c r="N40" s="39"/>
    </row>
    <row r="41" spans="3:14" ht="12.75">
      <c r="C41" s="15"/>
      <c r="D41" s="15"/>
      <c r="E41" s="21">
        <v>44375</v>
      </c>
      <c r="F41" s="24"/>
      <c r="G41" s="24">
        <v>-9076754.3</v>
      </c>
      <c r="H41" s="15"/>
      <c r="I41" s="25"/>
      <c r="J41" s="98"/>
      <c r="K41" s="15"/>
      <c r="L41" s="39"/>
      <c r="M41" s="39"/>
      <c r="N41" s="39"/>
    </row>
    <row r="42" spans="3:14" ht="12.75">
      <c r="C42" s="15"/>
      <c r="D42" s="15"/>
      <c r="E42" s="21">
        <v>44405</v>
      </c>
      <c r="F42" s="24"/>
      <c r="G42" s="24">
        <v>-5115005.47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44468</v>
      </c>
      <c r="F43" s="24"/>
      <c r="G43" s="24">
        <v>-2402225.76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44475</v>
      </c>
      <c r="F44" s="24"/>
      <c r="G44" s="24">
        <v>-5845720.5</v>
      </c>
      <c r="H44" s="15"/>
      <c r="I44" s="25"/>
      <c r="J44" s="25"/>
      <c r="K44" s="15"/>
      <c r="L44" s="39"/>
      <c r="M44" s="39"/>
      <c r="N44" s="39"/>
    </row>
    <row r="45" spans="3:14" ht="12.75">
      <c r="C45" s="15"/>
      <c r="D45" s="15"/>
      <c r="E45" s="21">
        <v>44483</v>
      </c>
      <c r="F45" s="24"/>
      <c r="G45" s="24">
        <v>-6832185.85</v>
      </c>
      <c r="H45" s="15"/>
      <c r="I45" s="25"/>
      <c r="J45" s="25"/>
      <c r="K45" s="15"/>
      <c r="L45" s="39"/>
      <c r="M45" s="39"/>
      <c r="N45" s="39"/>
    </row>
    <row r="46" spans="3:14" ht="12.75">
      <c r="C46" s="15"/>
      <c r="D46" s="15"/>
      <c r="E46" s="21">
        <v>44505</v>
      </c>
      <c r="F46" s="24"/>
      <c r="G46" s="24">
        <v>-6138006.53</v>
      </c>
      <c r="H46" s="15"/>
      <c r="I46" s="25"/>
      <c r="J46" s="25"/>
      <c r="K46" s="15"/>
      <c r="L46" s="39"/>
      <c r="M46" s="39"/>
      <c r="N46" s="39"/>
    </row>
    <row r="47" spans="3:14" ht="12.75">
      <c r="C47" s="15"/>
      <c r="D47" s="15"/>
      <c r="E47" s="21">
        <v>44551</v>
      </c>
      <c r="F47" s="24"/>
      <c r="G47" s="24">
        <v>-3754048.64</v>
      </c>
      <c r="H47" s="15"/>
      <c r="I47" s="25"/>
      <c r="J47" s="25"/>
      <c r="K47" s="15"/>
      <c r="L47" s="39"/>
      <c r="M47" s="39"/>
      <c r="N47" s="39"/>
    </row>
    <row r="48" spans="3:14" ht="12.75">
      <c r="C48" s="15"/>
      <c r="D48" s="15"/>
      <c r="E48" s="21">
        <v>44558</v>
      </c>
      <c r="F48" s="24"/>
      <c r="G48" s="24">
        <v>5.971866233E7</v>
      </c>
      <c r="H48" s="15"/>
      <c r="I48" s="25"/>
      <c r="J48" s="25"/>
      <c r="K48" s="15"/>
      <c r="L48" s="39"/>
      <c r="M48" s="39"/>
      <c r="N48" s="39"/>
    </row>
    <row r="49" spans="3:15" ht="4.5" customHeight="1">
      <c r="C49" s="15"/>
      <c r="D49" s="15"/>
      <c r="E49" s="21"/>
      <c r="F49" s="15"/>
      <c r="G49" s="24"/>
      <c r="H49" s="15"/>
      <c r="I49" s="25"/>
      <c r="J49" s="25"/>
      <c r="O49" s="31"/>
    </row>
    <row r="50" spans="3:13" ht="12.75">
      <c r="C50" s="15" t="s">
        <v>5</v>
      </c>
      <c r="D50" s="15"/>
      <c r="E50" s="21">
        <f>+E8</f>
        <v>44561</v>
      </c>
      <c r="F50" s="15"/>
      <c r="G50" s="46">
        <v>1.4754743887E8</v>
      </c>
      <c r="H50" s="15"/>
      <c r="I50" s="24">
        <f>+SUMIF($G$24:$G$49,"&lt;0",$G$24:$G$49)+G33+G37+G39+G40</f>
        <v>-1.4896844704332796E8</v>
      </c>
      <c r="J50" s="15" t="s">
        <v>14</v>
      </c>
      <c r="M50" s="31"/>
    </row>
    <row r="51" spans="3:15" ht="12.75">
      <c r="C51" s="15"/>
      <c r="D51" s="15"/>
      <c r="E51" s="15"/>
      <c r="F51" s="15"/>
      <c r="G51" s="15"/>
      <c r="H51" s="15"/>
      <c r="I51" s="24">
        <f>+SUMIF($G$24:$G$49,"&gt;0",$G$24:$G$49)-G33-G37-G39-G40</f>
        <v>5.971866233E7</v>
      </c>
      <c r="J51" s="15" t="s">
        <v>15</v>
      </c>
      <c r="M51" s="31"/>
      <c r="O51" s="45"/>
    </row>
    <row r="52" spans="3:13" ht="12.75">
      <c r="C52" s="14" t="s">
        <v>0</v>
      </c>
      <c r="G52" s="29">
        <f>+XIRR(G24:G50,E24:E50,0.1)</f>
        <v>0.38163323998451226</v>
      </c>
      <c r="H52" s="15"/>
      <c r="M52" s="35"/>
    </row>
    <row r="53" spans="3:15" ht="12.75">
      <c r="C53" s="15"/>
      <c r="D53" s="15"/>
      <c r="E53" s="15"/>
      <c r="F53" s="15"/>
      <c r="G53" s="15"/>
      <c r="H53" s="15"/>
      <c r="I53" s="96" t="e">
        <f>I50-#REF!</f>
        <v>#REF!</v>
      </c>
      <c r="O53" s="45"/>
    </row>
    <row r="54" spans="3:13" ht="12.75">
      <c r="C54" s="15"/>
      <c r="D54" s="15"/>
      <c r="E54" s="15"/>
      <c r="F54" s="15"/>
      <c r="G54" s="15"/>
      <c r="H54" s="15"/>
      <c r="M54" s="35"/>
    </row>
    <row r="55" spans="3:15" ht="12.75">
      <c r="C55" s="52"/>
      <c r="D55" s="52"/>
      <c r="E55" s="53"/>
      <c r="F55" s="52"/>
      <c r="G55" s="53"/>
      <c r="H55" s="15"/>
      <c r="I55" s="35"/>
      <c r="M55" s="35"/>
      <c r="O55" s="45"/>
    </row>
    <row r="56" spans="3:15" ht="12.75">
      <c r="C56" s="52"/>
      <c r="D56" s="52"/>
      <c r="E56" s="53"/>
      <c r="F56" s="52"/>
      <c r="G56" s="53"/>
      <c r="H56" s="15"/>
      <c r="M56" s="35"/>
      <c r="O56" s="45"/>
    </row>
    <row r="57" spans="3:15" ht="12.75">
      <c r="C57" s="52"/>
      <c r="D57" s="52"/>
      <c r="E57" s="53"/>
      <c r="F57" s="52"/>
      <c r="G57" s="53"/>
      <c r="H57" s="15"/>
      <c r="M57" s="35"/>
      <c r="O57" s="45"/>
    </row>
    <row r="58" spans="3:8" ht="12.75">
      <c r="C58" s="52"/>
      <c r="D58" s="52"/>
      <c r="E58" s="53"/>
      <c r="F58" s="52"/>
      <c r="G58" s="53"/>
      <c r="H58" s="14"/>
    </row>
    <row r="59" spans="3:8" ht="12.75">
      <c r="C59" s="52"/>
      <c r="D59" s="52"/>
      <c r="E59" s="53"/>
      <c r="F59" s="53"/>
      <c r="G59" s="53"/>
      <c r="H59" s="14"/>
    </row>
    <row r="60" spans="3:17" ht="12.75">
      <c r="C60" s="52"/>
      <c r="D60" s="52"/>
      <c r="E60" s="52"/>
      <c r="F60" s="52"/>
      <c r="G60" s="52"/>
      <c r="H60" s="14"/>
      <c r="O60" s="45"/>
      <c r="Q60" s="38"/>
    </row>
    <row r="61" spans="3:17" ht="13.5" thickBot="1">
      <c r="C61" s="47" t="s">
        <v>9</v>
      </c>
      <c r="D61" s="47"/>
      <c r="E61" s="48">
        <f>E10</f>
        <v>-0.07122805460874201</v>
      </c>
      <c r="F61" s="70"/>
      <c r="G61" s="58"/>
      <c r="H61" s="14"/>
      <c r="O61" s="45"/>
      <c r="Q61" s="38"/>
    </row>
    <row r="62" spans="3:17" ht="13.5" thickTop="1">
      <c r="C62" s="47"/>
      <c r="D62" s="47"/>
      <c r="E62" s="49"/>
      <c r="F62" s="70"/>
      <c r="G62" s="70"/>
      <c r="H62" s="14"/>
      <c r="Q62" s="38"/>
    </row>
    <row r="63" spans="3:17" ht="12.75">
      <c r="C63" s="47" t="s">
        <v>6</v>
      </c>
      <c r="D63" s="47"/>
      <c r="E63" s="49"/>
      <c r="F63" s="70"/>
      <c r="G63" s="70"/>
      <c r="H63" s="14"/>
      <c r="Q63" s="38"/>
    </row>
    <row r="64" spans="3:17" ht="12.75">
      <c r="C64" s="68" t="s">
        <v>2</v>
      </c>
      <c r="D64" s="47"/>
      <c r="E64" s="49">
        <f>E13</f>
        <v>0.0722201472787185</v>
      </c>
      <c r="F64" s="70"/>
      <c r="G64" s="70"/>
      <c r="H64" s="14"/>
      <c r="Q64" s="38"/>
    </row>
    <row r="65" spans="3:17" ht="12.75">
      <c r="C65" s="68" t="s">
        <v>17</v>
      </c>
      <c r="D65" s="47"/>
      <c r="E65" s="49">
        <f>E14</f>
        <v>0.12101808082173905</v>
      </c>
      <c r="F65" s="70"/>
      <c r="G65" s="70"/>
      <c r="H65" s="14"/>
      <c r="Q65" s="38"/>
    </row>
    <row r="66" spans="3:17" ht="13.5" thickBot="1">
      <c r="C66" s="69" t="s">
        <v>18</v>
      </c>
      <c r="D66" s="47"/>
      <c r="E66" s="50">
        <f>SUM(E64:E65)</f>
        <v>0.19323822810045754</v>
      </c>
      <c r="F66" s="70"/>
      <c r="G66" s="70"/>
      <c r="H66" s="14"/>
      <c r="Q66" s="38"/>
    </row>
    <row r="67" spans="3:17" ht="13.5" thickTop="1">
      <c r="C67" s="47"/>
      <c r="D67" s="47"/>
      <c r="E67" s="49"/>
      <c r="F67" s="70"/>
      <c r="G67" s="70"/>
      <c r="H67" s="14"/>
      <c r="Q67" s="38"/>
    </row>
    <row r="68" spans="3:8" ht="13.5" thickBot="1">
      <c r="C68" s="47" t="s">
        <v>13</v>
      </c>
      <c r="D68" s="47"/>
      <c r="E68" s="51">
        <f>+E18</f>
        <v>0.38163323998451226</v>
      </c>
      <c r="F68" s="70"/>
      <c r="G68" s="70"/>
      <c r="H68" s="14"/>
    </row>
    <row r="69" spans="3:8" ht="5.1" customHeight="1" thickTop="1">
      <c r="C69" s="36"/>
      <c r="D69" s="14"/>
      <c r="E69" s="33"/>
      <c r="F69" s="33"/>
      <c r="G69" s="33"/>
      <c r="H69" s="14"/>
    </row>
    <row r="70" spans="3:8" ht="12.75">
      <c r="C70" s="36"/>
      <c r="D70" s="14"/>
      <c r="E70" s="37"/>
      <c r="F70" s="37"/>
      <c r="G70" s="37"/>
      <c r="H70" s="14"/>
    </row>
  </sheetData>
  <pageMargins left="0.7" right="0.7" top="0.75" bottom="0.75" header="0.3" footer="0.3"/>
  <headerFooter>
    <oddHeader>&amp;C&amp;G</oddHeader>
    <oddFooter>&amp;C&amp;G</oddFooter>
  </headerFooter>
  <legacyDrawing r:id="rId2"/>
  <legacyDrawingHF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8DD9F1B-C351-430D-8C46-91D6F19148EA}">
  <dimension ref="B4:Q70"/>
  <sheetViews>
    <sheetView view="pageLayout" zoomScaleNormal="100" workbookViewId="0" topLeftCell="A13">
      <selection pane="topLeft" activeCell="G25" sqref="G25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4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 t="s">
        <v>33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31.5">
      <c r="C8" s="5"/>
      <c r="D8" s="5"/>
      <c r="E8" s="17">
        <v>44561</v>
      </c>
      <c r="F8" s="32"/>
      <c r="G8" s="6"/>
      <c r="H8" s="6"/>
      <c r="I8" s="55" t="s">
        <v>31</v>
      </c>
    </row>
    <row r="9" spans="3:13" ht="15.75">
      <c r="C9" s="5"/>
      <c r="D9" s="5"/>
      <c r="E9" s="5"/>
      <c r="F9" s="5"/>
      <c r="G9" s="55" t="s">
        <v>31</v>
      </c>
      <c r="I9" s="101">
        <f>1-(20000000/213814409.75)</f>
        <v>0.9064609348669027</v>
      </c>
      <c r="J9" s="55" t="s">
        <v>31</v>
      </c>
      <c r="M9" s="35"/>
    </row>
    <row r="10" spans="3:15" ht="12.75">
      <c r="C10" s="62" t="s">
        <v>11</v>
      </c>
      <c r="D10" s="62"/>
      <c r="E10" s="63">
        <f>I10/(J35)</f>
        <v>-0.07122805460874201</v>
      </c>
      <c r="F10" s="18"/>
      <c r="G10" s="100">
        <f>-6132648-J10</f>
        <v>-748190</v>
      </c>
      <c r="H10" s="7"/>
      <c r="I10" s="12">
        <f>(G10*$I$9)+J10</f>
        <v>-6062663.006858068</v>
      </c>
      <c r="J10" s="100">
        <v>-5384458</v>
      </c>
      <c r="K10" t="s">
        <v>40</v>
      </c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9" ht="15.75">
      <c r="C12" s="64" t="s">
        <v>1</v>
      </c>
      <c r="D12" s="64"/>
      <c r="E12" s="65"/>
      <c r="F12" s="26"/>
      <c r="G12" s="11"/>
      <c r="H12" s="5"/>
      <c r="I12" s="12"/>
    </row>
    <row r="13" spans="3:15" ht="12.75">
      <c r="C13" s="62" t="s">
        <v>2</v>
      </c>
      <c r="D13" s="62"/>
      <c r="E13" s="66">
        <f>I13/(J35)</f>
        <v>0.0722201472787185</v>
      </c>
      <c r="F13" s="18"/>
      <c r="G13" s="100">
        <f>6225805-J13</f>
        <v>841347</v>
      </c>
      <c r="H13" s="8"/>
      <c r="I13" s="12">
        <f>G13*$I$9+J13</f>
        <v>6147106.188167464</v>
      </c>
      <c r="J13" s="56">
        <f>-J10</f>
        <v>5384458</v>
      </c>
      <c r="O13" s="16"/>
    </row>
    <row r="14" spans="3:9" ht="12.75">
      <c r="C14" s="62" t="s">
        <v>3</v>
      </c>
      <c r="D14" s="62"/>
      <c r="E14" s="67">
        <f>(G14)/(J35)</f>
        <v>0.12101808082173905</v>
      </c>
      <c r="F14" s="18"/>
      <c r="G14" s="100">
        <v>10300602</v>
      </c>
      <c r="H14" s="9"/>
      <c r="I14" s="12"/>
    </row>
    <row r="15" spans="3:9" ht="12.75">
      <c r="C15" s="62" t="s">
        <v>4</v>
      </c>
      <c r="D15" s="62"/>
      <c r="E15" s="63">
        <f>E13+E14</f>
        <v>0.19323822810045754</v>
      </c>
      <c r="F15" s="18"/>
      <c r="G15" s="10"/>
      <c r="H15" s="7"/>
      <c r="I15" s="12"/>
    </row>
    <row r="16" spans="3:9" ht="15.75">
      <c r="C16" s="5"/>
      <c r="D16" s="5"/>
      <c r="E16" s="11"/>
      <c r="F16" s="5"/>
      <c r="G16" s="11"/>
      <c r="H16" s="5"/>
      <c r="I16" s="12"/>
    </row>
    <row r="17" spans="3:15" ht="15.75">
      <c r="C17" s="26" t="s">
        <v>7</v>
      </c>
      <c r="D17" s="26"/>
      <c r="E17" s="11"/>
      <c r="F17" s="26"/>
      <c r="G17" s="11"/>
      <c r="H17" s="5"/>
      <c r="I17" s="27"/>
      <c r="J17" s="39"/>
      <c r="K17" s="39"/>
      <c r="L17" s="39"/>
      <c r="M17" s="39"/>
      <c r="N17" s="39"/>
      <c r="O17" s="45"/>
    </row>
    <row r="18" spans="3:15" ht="12.75" customHeight="1">
      <c r="C18" s="18" t="s">
        <v>8</v>
      </c>
      <c r="D18" s="18"/>
      <c r="E18" s="8">
        <f>G52</f>
        <v>0.43163177371025097</v>
      </c>
      <c r="F18" s="18"/>
      <c r="G18" s="28"/>
      <c r="H18" s="8"/>
      <c r="I18" s="27"/>
      <c r="J18" s="40"/>
      <c r="K18" s="39"/>
      <c r="L18" s="41"/>
      <c r="M18" s="42"/>
      <c r="N18" s="39"/>
      <c r="O18" s="45"/>
    </row>
    <row r="19" spans="3:14" ht="15.75">
      <c r="C19" s="18" t="s">
        <v>10</v>
      </c>
      <c r="D19" s="18"/>
      <c r="E19" s="34">
        <f>-(G50+I51)/I50</f>
        <v>1.4544333223339774</v>
      </c>
      <c r="F19" s="18"/>
      <c r="G19" s="10"/>
      <c r="H19" s="7"/>
      <c r="J19" s="55"/>
      <c r="K19" s="39"/>
      <c r="L19" s="41"/>
      <c r="M19" s="42"/>
      <c r="N19" s="43"/>
    </row>
    <row r="20" spans="3:14" ht="15.75">
      <c r="C20" s="18"/>
      <c r="D20" s="18"/>
      <c r="E20" s="18"/>
      <c r="F20" s="18"/>
      <c r="G20" s="7"/>
      <c r="J20" s="55" t="s">
        <v>31</v>
      </c>
      <c r="K20" s="39"/>
      <c r="L20" s="41"/>
      <c r="M20" s="42"/>
      <c r="N20" s="39"/>
    </row>
    <row r="21" spans="3:15" ht="15.75">
      <c r="C21" s="19"/>
      <c r="D21" s="20"/>
      <c r="E21" s="20"/>
      <c r="F21" s="20"/>
      <c r="I21" s="21"/>
      <c r="J21" s="59"/>
      <c r="K21" s="60"/>
      <c r="L21" s="41"/>
      <c r="M21" s="42"/>
      <c r="N21" s="43"/>
      <c r="O21" s="45"/>
    </row>
    <row r="22" spans="3:15" ht="12.75">
      <c r="C22" s="22"/>
      <c r="D22" s="15"/>
      <c r="E22" s="15"/>
      <c r="F22" s="15"/>
      <c r="G22" s="23"/>
      <c r="H22" s="15"/>
      <c r="I22" s="15"/>
      <c r="J22" s="59"/>
      <c r="K22" s="60"/>
      <c r="L22" s="41"/>
      <c r="M22" s="42"/>
      <c r="N22" s="39"/>
      <c r="O22" s="45"/>
    </row>
    <row r="23" spans="3:15" ht="12.75">
      <c r="C23" s="15"/>
      <c r="D23" s="15"/>
      <c r="E23" s="21"/>
      <c r="F23" s="24"/>
      <c r="G23" s="24"/>
      <c r="H23" s="15"/>
      <c r="I23" s="25"/>
      <c r="J23" s="59"/>
      <c r="K23" s="60"/>
      <c r="L23" s="41"/>
      <c r="M23" s="42"/>
      <c r="N23" s="39"/>
      <c r="O23" s="45"/>
    </row>
    <row r="24" spans="3:16" ht="12.75">
      <c r="C24" s="15" t="s">
        <v>16</v>
      </c>
      <c r="D24" s="15"/>
      <c r="E24" s="21">
        <v>43857</v>
      </c>
      <c r="F24" s="24"/>
      <c r="G24" s="24">
        <v>-1.0992251219787156E7</v>
      </c>
      <c r="H24" s="15"/>
      <c r="I24" s="25"/>
      <c r="J24" s="59"/>
      <c r="K24" s="60"/>
      <c r="L24" s="41"/>
      <c r="M24" s="42"/>
      <c r="N24" s="39"/>
      <c r="O24" s="25"/>
      <c r="P24" s="45"/>
    </row>
    <row r="25" spans="3:15" ht="12.75">
      <c r="C25" s="15"/>
      <c r="D25" s="15"/>
      <c r="E25" s="21">
        <v>43985</v>
      </c>
      <c r="F25" s="24"/>
      <c r="G25" s="24">
        <v>-1.1769353789024685E7</v>
      </c>
      <c r="H25" s="15"/>
      <c r="I25" s="25"/>
      <c r="J25" s="59"/>
      <c r="K25" s="60"/>
      <c r="L25" s="41"/>
      <c r="M25" s="42"/>
      <c r="N25" s="39"/>
      <c r="O25" s="25"/>
    </row>
    <row r="26" spans="3:16" ht="12.75">
      <c r="C26" s="15"/>
      <c r="D26" s="15"/>
      <c r="E26" s="21">
        <v>44076</v>
      </c>
      <c r="F26" s="24"/>
      <c r="G26" s="24">
        <v>-1.3435937009192565E7</v>
      </c>
      <c r="H26" s="15"/>
      <c r="I26" s="25"/>
      <c r="J26" s="59"/>
      <c r="K26" s="60"/>
      <c r="L26" s="41"/>
      <c r="M26" s="42"/>
      <c r="N26" s="39"/>
      <c r="O26" s="25"/>
      <c r="P26" s="45"/>
    </row>
    <row r="27" spans="3:16" ht="12.75">
      <c r="C27" s="15"/>
      <c r="D27" s="15"/>
      <c r="E27" s="21">
        <v>44117</v>
      </c>
      <c r="F27" s="24"/>
      <c r="G27" s="24">
        <v>-1.3397416972221864E7</v>
      </c>
      <c r="H27" s="15"/>
      <c r="I27" s="25"/>
      <c r="J27" s="59"/>
      <c r="K27" s="60"/>
      <c r="L27" s="41"/>
      <c r="M27" s="42"/>
      <c r="N27" s="39"/>
      <c r="O27" s="25"/>
      <c r="P27" s="45"/>
    </row>
    <row r="28" spans="3:16" ht="12.75">
      <c r="C28" s="15"/>
      <c r="D28" s="15"/>
      <c r="E28" s="21">
        <v>44141</v>
      </c>
      <c r="F28" s="24"/>
      <c r="G28" s="24">
        <v>-1.1964169055004999E7</v>
      </c>
      <c r="H28" s="15"/>
      <c r="I28" s="25"/>
      <c r="J28" s="59"/>
      <c r="K28" s="60"/>
      <c r="L28" s="41"/>
      <c r="M28" s="42"/>
      <c r="N28" s="39"/>
      <c r="O28" s="25"/>
      <c r="P28" s="45"/>
    </row>
    <row r="29" spans="3:16" ht="12.75">
      <c r="C29" s="15"/>
      <c r="D29" s="15"/>
      <c r="E29" s="21">
        <v>44148</v>
      </c>
      <c r="F29" s="24"/>
      <c r="G29" s="24">
        <v>-6240759.3479131</v>
      </c>
      <c r="H29" s="15"/>
      <c r="I29" s="25"/>
      <c r="J29" s="59"/>
      <c r="K29" s="60"/>
      <c r="L29" s="41"/>
      <c r="M29" s="42"/>
      <c r="N29" s="39"/>
      <c r="O29" s="25"/>
      <c r="P29" s="45"/>
    </row>
    <row r="30" spans="3:15" ht="12.75">
      <c r="C30" s="15"/>
      <c r="D30" s="15"/>
      <c r="E30" s="21">
        <v>44187</v>
      </c>
      <c r="F30" s="24"/>
      <c r="G30" s="24">
        <v>-5690823.512091472</v>
      </c>
      <c r="H30" s="15"/>
      <c r="I30" s="25"/>
      <c r="J30" s="59">
        <v>23429675</v>
      </c>
      <c r="K30" s="60" t="s">
        <v>53</v>
      </c>
      <c r="L30" s="41"/>
      <c r="M30" s="42"/>
      <c r="N30" s="39"/>
      <c r="O30" s="25"/>
    </row>
    <row r="31" spans="3:16" ht="12.75">
      <c r="C31" s="15" t="s">
        <v>41</v>
      </c>
      <c r="D31" s="15"/>
      <c r="E31" s="21">
        <v>44203</v>
      </c>
      <c r="F31" s="24"/>
      <c r="G31" s="24">
        <v>-2.4348915083041277E7</v>
      </c>
      <c r="H31" s="15"/>
      <c r="I31" s="25"/>
      <c r="J31" s="59">
        <v>60571194</v>
      </c>
      <c r="K31" s="60" t="s">
        <v>54</v>
      </c>
      <c r="L31" s="41"/>
      <c r="M31" s="42"/>
      <c r="N31" s="39"/>
      <c r="P31" s="45"/>
    </row>
    <row r="32" spans="3:16" ht="12.75">
      <c r="C32" s="15"/>
      <c r="D32" s="15"/>
      <c r="E32" s="21">
        <v>44217</v>
      </c>
      <c r="F32" s="24"/>
      <c r="G32" s="24">
        <v>-3184235.3429311444</v>
      </c>
      <c r="H32" s="15"/>
      <c r="I32" s="25"/>
      <c r="J32" s="59">
        <v>9.559377379E7</v>
      </c>
      <c r="K32" s="60" t="s">
        <v>55</v>
      </c>
      <c r="L32" s="41"/>
      <c r="M32" s="42"/>
      <c r="N32" s="39"/>
      <c r="P32" s="45"/>
    </row>
    <row r="33" spans="3:14" ht="12.75">
      <c r="C33" s="15"/>
      <c r="D33" s="15"/>
      <c r="E33" s="21">
        <v>44250</v>
      </c>
      <c r="F33" s="24"/>
      <c r="G33" s="24">
        <v>1.1502590369859572E7</v>
      </c>
      <c r="H33" s="15"/>
      <c r="I33" s="25"/>
      <c r="J33" s="61">
        <v>9.843903523E7</v>
      </c>
      <c r="K33" s="60" t="s">
        <v>56</v>
      </c>
      <c r="L33" s="39"/>
      <c r="M33" s="39"/>
      <c r="N33" s="39"/>
    </row>
    <row r="34" spans="3:15" ht="12.75">
      <c r="C34" s="15"/>
      <c r="D34" s="15"/>
      <c r="E34" s="21">
        <v>44265</v>
      </c>
      <c r="F34" s="24"/>
      <c r="G34" s="24">
        <v>-7169892.59</v>
      </c>
      <c r="H34" s="15"/>
      <c r="I34" s="25"/>
      <c r="J34" s="61">
        <f>G50</f>
        <v>1.4754743887E8</v>
      </c>
      <c r="K34" s="60" t="s">
        <v>57</v>
      </c>
      <c r="L34" s="39"/>
      <c r="M34" s="39"/>
      <c r="N34" s="39"/>
      <c r="O34" s="45"/>
    </row>
    <row r="35" spans="3:14" ht="12.75">
      <c r="C35" s="15"/>
      <c r="D35" s="15"/>
      <c r="E35" s="21">
        <v>44291</v>
      </c>
      <c r="F35" s="24"/>
      <c r="G35" s="24">
        <v>-1.7042926116015848E7</v>
      </c>
      <c r="H35" s="15"/>
      <c r="I35" s="25"/>
      <c r="J35" s="61">
        <f>SUM(J30:J34)/5</f>
        <v>8.5116223378E7</v>
      </c>
      <c r="K35" s="60" t="s">
        <v>12</v>
      </c>
      <c r="L35" s="39"/>
      <c r="M35" s="39"/>
      <c r="N35" s="39"/>
    </row>
    <row r="36" spans="3:14" ht="12.75">
      <c r="C36" s="15"/>
      <c r="D36" s="15"/>
      <c r="E36" s="21">
        <v>44307</v>
      </c>
      <c r="F36" s="24"/>
      <c r="G36" s="24">
        <v>-3.8653049179740384E7</v>
      </c>
      <c r="H36" s="15"/>
      <c r="I36" s="25"/>
      <c r="J36" s="25"/>
      <c r="K36" s="15"/>
      <c r="L36" s="39"/>
      <c r="M36" s="39"/>
      <c r="N36" s="39"/>
    </row>
    <row r="37" spans="3:14" ht="12.75">
      <c r="C37" s="15"/>
      <c r="D37" s="15"/>
      <c r="E37" s="21">
        <v>44319</v>
      </c>
      <c r="F37" s="24"/>
      <c r="G37" s="24">
        <v>3.916738636970249E7</v>
      </c>
      <c r="H37" s="15"/>
      <c r="I37" s="25"/>
      <c r="J37" s="98"/>
      <c r="K37" s="15"/>
      <c r="L37" s="39"/>
      <c r="M37" s="39"/>
      <c r="N37" s="39"/>
    </row>
    <row r="38" spans="3:14" ht="12.75">
      <c r="C38" s="15"/>
      <c r="D38" s="15"/>
      <c r="E38" s="21">
        <v>44335</v>
      </c>
      <c r="F38" s="24"/>
      <c r="G38" s="24">
        <v>-1.851265258592552E7</v>
      </c>
      <c r="H38" s="15"/>
      <c r="I38" s="25"/>
      <c r="J38" s="25"/>
      <c r="K38" s="15"/>
      <c r="L38" s="39"/>
      <c r="M38" s="39"/>
      <c r="N38" s="39"/>
    </row>
    <row r="39" spans="3:14" ht="12.75">
      <c r="C39" s="15"/>
      <c r="D39" s="15"/>
      <c r="E39" s="21">
        <v>44344</v>
      </c>
      <c r="F39" s="24"/>
      <c r="G39" s="107">
        <f>21379657.88+7070162.56-608146.04</f>
        <v>2.78416744E7</v>
      </c>
      <c r="H39" s="15"/>
      <c r="I39" s="25"/>
      <c r="J39" s="25"/>
      <c r="K39" s="15"/>
      <c r="L39" s="39"/>
      <c r="M39" s="39"/>
      <c r="N39" s="39"/>
    </row>
    <row r="40" spans="3:14" ht="12.75">
      <c r="C40" s="15"/>
      <c r="D40" s="15"/>
      <c r="E40" s="21">
        <v>44361</v>
      </c>
      <c r="F40" s="24"/>
      <c r="G40" s="24">
        <v>548247.19</v>
      </c>
      <c r="H40" s="15"/>
      <c r="I40" s="25"/>
      <c r="J40" s="97"/>
      <c r="K40" s="15"/>
      <c r="L40" s="39"/>
      <c r="M40" s="39"/>
      <c r="N40" s="39"/>
    </row>
    <row r="41" spans="3:14" ht="12.75">
      <c r="C41" s="15"/>
      <c r="D41" s="15"/>
      <c r="E41" s="21">
        <v>44375</v>
      </c>
      <c r="F41" s="24"/>
      <c r="G41" s="24">
        <v>-9076754.3</v>
      </c>
      <c r="H41" s="15"/>
      <c r="I41" s="25"/>
      <c r="J41" s="98"/>
      <c r="K41" s="15"/>
      <c r="L41" s="39"/>
      <c r="M41" s="39"/>
      <c r="N41" s="39"/>
    </row>
    <row r="42" spans="3:14" ht="12.75">
      <c r="C42" s="15"/>
      <c r="D42" s="15"/>
      <c r="E42" s="21">
        <v>44405</v>
      </c>
      <c r="F42" s="24"/>
      <c r="G42" s="24">
        <v>-5115005.47</v>
      </c>
      <c r="H42" s="15"/>
      <c r="I42" s="25"/>
      <c r="J42" s="25"/>
      <c r="K42" s="15"/>
      <c r="L42" s="39"/>
      <c r="M42" s="43"/>
      <c r="N42" s="39"/>
    </row>
    <row r="43" spans="3:14" ht="12.75">
      <c r="C43" s="15"/>
      <c r="D43" s="15"/>
      <c r="E43" s="21">
        <v>44468</v>
      </c>
      <c r="F43" s="24"/>
      <c r="G43" s="24">
        <v>-2402225.76</v>
      </c>
      <c r="H43" s="15"/>
      <c r="I43" s="25"/>
      <c r="J43" s="25"/>
      <c r="K43" s="15"/>
      <c r="L43" s="39"/>
      <c r="M43" s="43"/>
      <c r="N43" s="39"/>
    </row>
    <row r="44" spans="3:14" ht="12.75">
      <c r="C44" s="15"/>
      <c r="D44" s="15"/>
      <c r="E44" s="21">
        <v>44475</v>
      </c>
      <c r="F44" s="24"/>
      <c r="G44" s="24">
        <v>-5845720.5</v>
      </c>
      <c r="H44" s="15"/>
      <c r="I44" s="25"/>
      <c r="J44" s="25"/>
      <c r="K44" s="15"/>
      <c r="L44" s="39"/>
      <c r="M44" s="39"/>
      <c r="N44" s="39"/>
    </row>
    <row r="45" spans="3:14" ht="12.75">
      <c r="C45" s="15"/>
      <c r="D45" s="15"/>
      <c r="E45" s="21">
        <v>44483</v>
      </c>
      <c r="F45" s="24"/>
      <c r="G45" s="24">
        <v>-6832185.85</v>
      </c>
      <c r="H45" s="15"/>
      <c r="I45" s="25"/>
      <c r="J45" s="25"/>
      <c r="K45" s="15"/>
      <c r="L45" s="39"/>
      <c r="M45" s="39"/>
      <c r="N45" s="39"/>
    </row>
    <row r="46" spans="3:14" ht="12.75">
      <c r="C46" s="15"/>
      <c r="D46" s="15"/>
      <c r="E46" s="21">
        <v>44505</v>
      </c>
      <c r="F46" s="24"/>
      <c r="G46" s="24">
        <v>-6138006.53</v>
      </c>
      <c r="H46" s="15"/>
      <c r="I46" s="25"/>
      <c r="J46" s="25"/>
      <c r="K46" s="15"/>
      <c r="L46" s="39"/>
      <c r="M46" s="39"/>
      <c r="N46" s="39"/>
    </row>
    <row r="47" spans="3:14" ht="12.75">
      <c r="C47" s="15"/>
      <c r="D47" s="15"/>
      <c r="E47" s="21">
        <v>44551</v>
      </c>
      <c r="F47" s="24"/>
      <c r="G47" s="24">
        <v>-3754048.64</v>
      </c>
      <c r="H47" s="15"/>
      <c r="I47" s="25"/>
      <c r="J47" s="25"/>
      <c r="K47" s="15"/>
      <c r="L47" s="39"/>
      <c r="M47" s="39"/>
      <c r="N47" s="39"/>
    </row>
    <row r="48" spans="3:14" ht="12.75">
      <c r="C48" s="15"/>
      <c r="D48" s="15"/>
      <c r="E48" s="21">
        <v>44558</v>
      </c>
      <c r="F48" s="24"/>
      <c r="G48" s="24">
        <v>5.971866233E7</v>
      </c>
      <c r="H48" s="15"/>
      <c r="I48" s="25"/>
      <c r="J48" s="25"/>
      <c r="K48" s="15"/>
      <c r="L48" s="39"/>
      <c r="M48" s="39"/>
      <c r="N48" s="39"/>
    </row>
    <row r="49" spans="3:15" ht="4.5" customHeight="1">
      <c r="C49" s="15"/>
      <c r="D49" s="15"/>
      <c r="E49" s="21"/>
      <c r="F49" s="15"/>
      <c r="G49" s="24"/>
      <c r="H49" s="15"/>
      <c r="I49" s="25"/>
      <c r="J49" s="25"/>
      <c r="O49" s="31"/>
    </row>
    <row r="50" spans="3:13" ht="12.75">
      <c r="C50" s="15" t="s">
        <v>5</v>
      </c>
      <c r="D50" s="15"/>
      <c r="E50" s="21">
        <f>+E8</f>
        <v>44561</v>
      </c>
      <c r="F50" s="15"/>
      <c r="G50" s="46">
        <v>1.4754743887E8</v>
      </c>
      <c r="H50" s="15"/>
      <c r="I50" s="24">
        <f>+SUMIF($G$24:$G$49,"&lt;0",$G$24:$G$49)+G33+G37+G39+G40</f>
        <v>-1.4250643052332795E8</v>
      </c>
      <c r="J50" s="15" t="s">
        <v>14</v>
      </c>
      <c r="M50" s="31"/>
    </row>
    <row r="51" spans="3:15" ht="12.75">
      <c r="C51" s="15"/>
      <c r="D51" s="15"/>
      <c r="E51" s="15"/>
      <c r="F51" s="15"/>
      <c r="G51" s="15"/>
      <c r="H51" s="15"/>
      <c r="I51" s="24">
        <f>+SUMIF($G$24:$G$49,"&gt;0",$G$24:$G$49)-G33-G37-G39-G40</f>
        <v>5.971866232999999E7</v>
      </c>
      <c r="J51" s="15" t="s">
        <v>15</v>
      </c>
      <c r="M51" s="31"/>
      <c r="O51" s="45"/>
    </row>
    <row r="52" spans="3:13" ht="12.75">
      <c r="C52" s="14" t="s">
        <v>0</v>
      </c>
      <c r="G52" s="29">
        <f>+XIRR(G24:G50,E24:E50,0.1)</f>
        <v>0.43163177371025097</v>
      </c>
      <c r="H52" s="15"/>
      <c r="M52" s="35"/>
    </row>
    <row r="53" spans="3:15" ht="12.75">
      <c r="C53" s="15"/>
      <c r="D53" s="15"/>
      <c r="E53" s="15"/>
      <c r="F53" s="15"/>
      <c r="G53" s="15"/>
      <c r="H53" s="15"/>
      <c r="I53" s="96" t="e">
        <f>I50-#REF!</f>
        <v>#REF!</v>
      </c>
      <c r="O53" s="45"/>
    </row>
    <row r="54" spans="3:13" ht="12.75">
      <c r="C54" s="15"/>
      <c r="D54" s="15"/>
      <c r="E54" s="15"/>
      <c r="F54" s="15"/>
      <c r="G54" s="15"/>
      <c r="H54" s="15"/>
      <c r="M54" s="35"/>
    </row>
    <row r="55" spans="3:15" ht="12.75">
      <c r="C55" s="52"/>
      <c r="D55" s="52"/>
      <c r="E55" s="53"/>
      <c r="F55" s="52"/>
      <c r="G55" s="53"/>
      <c r="H55" s="15"/>
      <c r="I55" s="35"/>
      <c r="M55" s="35"/>
      <c r="O55" s="45"/>
    </row>
    <row r="56" spans="3:15" ht="12.75">
      <c r="C56" s="52"/>
      <c r="D56" s="52"/>
      <c r="E56" s="53"/>
      <c r="F56" s="52"/>
      <c r="G56" s="53"/>
      <c r="H56" s="15"/>
      <c r="M56" s="35"/>
      <c r="O56" s="45"/>
    </row>
    <row r="57" spans="3:15" ht="12.75">
      <c r="C57" s="52"/>
      <c r="D57" s="52"/>
      <c r="E57" s="53"/>
      <c r="F57" s="52"/>
      <c r="G57" s="53"/>
      <c r="H57" s="15"/>
      <c r="M57" s="35"/>
      <c r="O57" s="45"/>
    </row>
    <row r="58" spans="3:8" ht="12.75">
      <c r="C58" s="52"/>
      <c r="D58" s="52"/>
      <c r="E58" s="53"/>
      <c r="F58" s="52"/>
      <c r="G58" s="53"/>
      <c r="H58" s="14"/>
    </row>
    <row r="59" spans="3:8" ht="12.75">
      <c r="C59" s="52"/>
      <c r="D59" s="52"/>
      <c r="E59" s="53"/>
      <c r="F59" s="53"/>
      <c r="G59" s="53"/>
      <c r="H59" s="14"/>
    </row>
    <row r="60" spans="3:17" ht="12.75">
      <c r="C60" s="52"/>
      <c r="D60" s="52"/>
      <c r="E60" s="52"/>
      <c r="F60" s="52"/>
      <c r="G60" s="52"/>
      <c r="H60" s="14"/>
      <c r="O60" s="45"/>
      <c r="Q60" s="38"/>
    </row>
    <row r="61" spans="3:17" ht="13.5" thickBot="1">
      <c r="C61" s="47" t="s">
        <v>9</v>
      </c>
      <c r="D61" s="47"/>
      <c r="E61" s="48">
        <f>E10</f>
        <v>-0.07122805460874201</v>
      </c>
      <c r="F61" s="70"/>
      <c r="G61" s="58"/>
      <c r="H61" s="14"/>
      <c r="O61" s="45"/>
      <c r="Q61" s="38"/>
    </row>
    <row r="62" spans="3:17" ht="13.5" thickTop="1">
      <c r="C62" s="47"/>
      <c r="D62" s="47"/>
      <c r="E62" s="49"/>
      <c r="F62" s="70"/>
      <c r="G62" s="70"/>
      <c r="H62" s="14"/>
      <c r="Q62" s="38"/>
    </row>
    <row r="63" spans="3:17" ht="12.75">
      <c r="C63" s="47" t="s">
        <v>6</v>
      </c>
      <c r="D63" s="47"/>
      <c r="E63" s="49"/>
      <c r="F63" s="70"/>
      <c r="G63" s="70"/>
      <c r="H63" s="14"/>
      <c r="Q63" s="38"/>
    </row>
    <row r="64" spans="3:17" ht="12.75">
      <c r="C64" s="68" t="s">
        <v>2</v>
      </c>
      <c r="D64" s="47"/>
      <c r="E64" s="49">
        <f>E13</f>
        <v>0.0722201472787185</v>
      </c>
      <c r="F64" s="70"/>
      <c r="G64" s="70"/>
      <c r="H64" s="14"/>
      <c r="Q64" s="38"/>
    </row>
    <row r="65" spans="3:17" ht="12.75">
      <c r="C65" s="68" t="s">
        <v>17</v>
      </c>
      <c r="D65" s="47"/>
      <c r="E65" s="49">
        <f>E14</f>
        <v>0.12101808082173905</v>
      </c>
      <c r="F65" s="70"/>
      <c r="G65" s="70"/>
      <c r="H65" s="14"/>
      <c r="Q65" s="38"/>
    </row>
    <row r="66" spans="3:17" ht="13.5" thickBot="1">
      <c r="C66" s="69" t="s">
        <v>18</v>
      </c>
      <c r="D66" s="47"/>
      <c r="E66" s="50">
        <f>SUM(E64:E65)</f>
        <v>0.19323822810045754</v>
      </c>
      <c r="F66" s="70"/>
      <c r="G66" s="70"/>
      <c r="H66" s="14"/>
      <c r="Q66" s="38"/>
    </row>
    <row r="67" spans="3:17" ht="13.5" thickTop="1">
      <c r="C67" s="47"/>
      <c r="D67" s="47"/>
      <c r="E67" s="49"/>
      <c r="F67" s="70"/>
      <c r="G67" s="70"/>
      <c r="H67" s="14"/>
      <c r="Q67" s="38"/>
    </row>
    <row r="68" spans="3:8" ht="13.5" thickBot="1">
      <c r="C68" s="47" t="s">
        <v>13</v>
      </c>
      <c r="D68" s="47"/>
      <c r="E68" s="51">
        <f>+E18</f>
        <v>0.43163177371025097</v>
      </c>
      <c r="F68" s="70"/>
      <c r="G68" s="70"/>
      <c r="H68" s="14"/>
    </row>
    <row r="69" spans="3:8" ht="5.1" customHeight="1" thickTop="1">
      <c r="C69" s="36"/>
      <c r="D69" s="14"/>
      <c r="E69" s="33"/>
      <c r="F69" s="33"/>
      <c r="G69" s="33"/>
      <c r="H69" s="14"/>
    </row>
    <row r="70" spans="3:8" ht="12.75">
      <c r="C70" s="36"/>
      <c r="D70" s="14"/>
      <c r="E70" s="37"/>
      <c r="F70" s="37"/>
      <c r="G70" s="37"/>
      <c r="H70" s="14"/>
    </row>
  </sheetData>
  <pageMargins left="0.7" right="0.7" top="0.75" bottom="0.75" header="0.3" footer="0.3"/>
  <headerFooter>
    <oddHeader>&amp;C&amp;G</oddHeader>
    <oddFooter>&amp;C&amp;G</oddFooter>
  </headerFooter>
  <legacyDrawing r:id="rId2"/>
  <legacyDrawingHF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D73927-E525-4658-9553-766729FC0DB8}">
  <sheetPr>
    <tabColor rgb="FF92D050"/>
  </sheetPr>
  <dimension ref="B4:Q67"/>
  <sheetViews>
    <sheetView view="pageLayout" zoomScaleNormal="100" workbookViewId="0" topLeftCell="A16">
      <selection pane="topLeft" activeCell="K37" sqref="K37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37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/>
    </row>
    <row r="10" spans="3:15" ht="12.75">
      <c r="C10" s="18"/>
      <c r="D10" s="18"/>
      <c r="E10" s="10"/>
      <c r="F10" s="18"/>
      <c r="G10" s="57"/>
      <c r="H10" s="7"/>
      <c r="I10" s="12"/>
      <c r="O10" s="16"/>
    </row>
    <row r="11" spans="3:9" ht="12.75">
      <c r="C11" s="18"/>
      <c r="D11" s="18"/>
      <c r="E11" s="10"/>
      <c r="F11" s="18"/>
      <c r="G11" s="10"/>
      <c r="H11" s="7"/>
      <c r="I11" s="12"/>
    </row>
    <row r="12" spans="3:15" ht="12.75">
      <c r="C12" s="18"/>
      <c r="D12" s="18"/>
      <c r="E12" s="10"/>
      <c r="F12" s="18"/>
      <c r="G12" s="57"/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9" ht="15.75">
      <c r="C14" s="26" t="s">
        <v>7</v>
      </c>
      <c r="D14" s="26"/>
      <c r="E14" s="11"/>
      <c r="F14" s="26"/>
      <c r="G14" s="11"/>
      <c r="H14" s="5"/>
      <c r="I14" s="27"/>
    </row>
    <row r="15" spans="3:9" ht="12.75" customHeight="1">
      <c r="C15" s="18" t="s">
        <v>8</v>
      </c>
      <c r="D15" s="18"/>
      <c r="E15" s="8" t="e">
        <f>G51</f>
        <v>#REF!</v>
      </c>
      <c r="F15" s="18"/>
      <c r="G15" s="28"/>
      <c r="H15" s="8"/>
      <c r="I15" s="27"/>
    </row>
    <row r="16" spans="3:8" ht="12.75">
      <c r="C16" s="18" t="s">
        <v>10</v>
      </c>
      <c r="D16" s="18"/>
      <c r="E16" s="34" t="e">
        <f>-(G49+I50)/I49</f>
        <v>#REF!</v>
      </c>
      <c r="F16" s="18"/>
      <c r="G16" s="10"/>
      <c r="H16" s="7"/>
    </row>
    <row r="17" spans="3:7" ht="12.75">
      <c r="C17" s="18"/>
      <c r="D17" s="18"/>
      <c r="E17" s="18"/>
      <c r="F17" s="18"/>
      <c r="G17" s="7"/>
    </row>
    <row r="18" spans="3:9" ht="15.75">
      <c r="C18" s="19"/>
      <c r="D18" s="20"/>
      <c r="E18" s="20"/>
      <c r="F18" s="20"/>
      <c r="I18" s="21"/>
    </row>
    <row r="19" spans="3:9" ht="12.75">
      <c r="C19" s="22">
        <v>1</v>
      </c>
      <c r="D19" s="15"/>
      <c r="E19" s="15"/>
      <c r="F19" s="15"/>
      <c r="G19" s="23"/>
      <c r="H19" s="15"/>
      <c r="I19" s="15"/>
    </row>
    <row r="20" spans="3:9" ht="12.75">
      <c r="C20" s="15"/>
      <c r="D20" s="15"/>
      <c r="E20" s="21"/>
      <c r="F20" s="24"/>
      <c r="G20" s="24"/>
      <c r="H20" s="15"/>
      <c r="I20" s="25"/>
    </row>
    <row r="21" spans="3:15" ht="12.75">
      <c r="C21" s="15" t="s">
        <v>16</v>
      </c>
      <c r="D21" s="15"/>
      <c r="E21" s="21">
        <v>43857</v>
      </c>
      <c r="F21" s="24"/>
      <c r="G21" s="24">
        <v>-1916207.2081885647</v>
      </c>
      <c r="H21" s="15"/>
      <c r="I21" s="25"/>
      <c r="O21" s="25"/>
    </row>
    <row r="22" spans="3:15" ht="12.75">
      <c r="C22" s="15"/>
      <c r="D22" s="15"/>
      <c r="E22" s="21">
        <v>43985</v>
      </c>
      <c r="F22" s="24"/>
      <c r="G22" s="24">
        <v>-2051674.4127584798</v>
      </c>
      <c r="H22" s="15"/>
      <c r="I22" s="25"/>
      <c r="O22" s="25"/>
    </row>
    <row r="23" spans="3:15" ht="12.75">
      <c r="C23" s="15"/>
      <c r="D23" s="15"/>
      <c r="E23" s="21">
        <v>44076</v>
      </c>
      <c r="F23" s="24"/>
      <c r="G23" s="24">
        <v>-1929279.0074128106</v>
      </c>
      <c r="H23" s="15"/>
      <c r="I23" s="25"/>
      <c r="O23" s="25"/>
    </row>
    <row r="24" spans="3:15" ht="12.75">
      <c r="C24" s="15"/>
      <c r="D24" s="15"/>
      <c r="E24" s="21">
        <v>44117</v>
      </c>
      <c r="F24" s="24"/>
      <c r="G24" s="24">
        <v>-2335484.0114158574</v>
      </c>
      <c r="H24" s="15"/>
      <c r="I24" s="25"/>
      <c r="O24" s="25"/>
    </row>
    <row r="25" spans="3:15" ht="12.75">
      <c r="C25" s="15"/>
      <c r="D25" s="15"/>
      <c r="E25" s="21">
        <v>44141</v>
      </c>
      <c r="F25" s="24"/>
      <c r="G25" s="24">
        <v>-2085635.2829635444</v>
      </c>
      <c r="H25" s="15"/>
      <c r="I25" s="25"/>
      <c r="O25" s="24"/>
    </row>
    <row r="26" spans="3:15" ht="12.75">
      <c r="C26" s="15"/>
      <c r="D26" s="15"/>
      <c r="E26" s="21">
        <v>44148</v>
      </c>
      <c r="F26" s="24"/>
      <c r="G26" s="24">
        <v>-1087910.7298343573</v>
      </c>
      <c r="H26" s="15"/>
      <c r="I26" s="25"/>
      <c r="O26" s="24"/>
    </row>
    <row r="27" spans="3:15" ht="12.75">
      <c r="C27" s="15"/>
      <c r="D27" s="15"/>
      <c r="E27" s="21">
        <v>44187</v>
      </c>
      <c r="F27" s="24"/>
      <c r="G27" s="24">
        <v>-928393.2652129922</v>
      </c>
      <c r="H27" s="15"/>
      <c r="I27" s="25"/>
      <c r="O27" s="24"/>
    </row>
    <row r="28" spans="3:15" ht="12.75">
      <c r="C28" s="15" t="s">
        <v>41</v>
      </c>
      <c r="D28" s="15"/>
      <c r="E28" s="21">
        <v>44203</v>
      </c>
      <c r="F28" s="24"/>
      <c r="G28" s="24">
        <v>-4138326.1023331373</v>
      </c>
      <c r="H28" s="15"/>
      <c r="I28" s="25"/>
      <c r="O28" s="24"/>
    </row>
    <row r="29" spans="3:15" ht="12.75">
      <c r="C29" s="15"/>
      <c r="D29" s="15"/>
      <c r="E29" s="21">
        <v>44217</v>
      </c>
      <c r="F29" s="24"/>
      <c r="G29" s="24">
        <v>-555086.9057386402</v>
      </c>
      <c r="H29" s="15"/>
      <c r="I29" s="25"/>
      <c r="O29" s="24"/>
    </row>
    <row r="30" spans="3:15" ht="12.75">
      <c r="C30" s="15"/>
      <c r="D30" s="15"/>
      <c r="E30" s="21">
        <v>44250</v>
      </c>
      <c r="F30" s="24"/>
      <c r="G30" s="24">
        <v>2005171.2919268664</v>
      </c>
      <c r="H30" s="15"/>
      <c r="I30" s="25"/>
      <c r="O30" s="24"/>
    </row>
    <row r="31" spans="3:15" ht="12.75">
      <c r="C31" s="15"/>
      <c r="D31" s="15"/>
      <c r="E31" s="21">
        <v>44265</v>
      </c>
      <c r="F31" s="24"/>
      <c r="G31" s="24">
        <f>-1062803.51988888-153507.440563768</f>
        <v>-1216310.9604526479</v>
      </c>
      <c r="H31" s="15"/>
      <c r="I31" s="25"/>
      <c r="O31" s="24"/>
    </row>
    <row r="32" spans="3:15" ht="12.75">
      <c r="C32" s="15"/>
      <c r="D32" s="15"/>
      <c r="E32" s="21">
        <v>44291</v>
      </c>
      <c r="F32" s="24"/>
      <c r="G32" s="24">
        <v>-2912929.384160229</v>
      </c>
      <c r="H32" s="15"/>
      <c r="I32" s="25"/>
      <c r="O32" s="24"/>
    </row>
    <row r="33" spans="3:15" ht="12.75">
      <c r="C33" s="15"/>
      <c r="D33" s="15"/>
      <c r="E33" s="21">
        <v>44307</v>
      </c>
      <c r="F33" s="24"/>
      <c r="G33" s="24">
        <v>-6566393.245552678</v>
      </c>
      <c r="H33" s="15"/>
      <c r="I33" s="25"/>
      <c r="O33" s="24"/>
    </row>
    <row r="34" spans="3:15" ht="12.75">
      <c r="C34" s="15"/>
      <c r="D34" s="15"/>
      <c r="E34" s="21">
        <v>44319</v>
      </c>
      <c r="F34" s="24"/>
      <c r="G34" s="24">
        <v>6827794.105763142</v>
      </c>
      <c r="H34" s="15"/>
      <c r="I34" s="25"/>
      <c r="O34" s="24"/>
    </row>
    <row r="35" spans="3:15" ht="12.75">
      <c r="C35" s="15"/>
      <c r="D35" s="15"/>
      <c r="E35" s="21">
        <v>44335</v>
      </c>
      <c r="F35" s="24"/>
      <c r="G35" s="24">
        <v>-3128410.2288678717</v>
      </c>
      <c r="H35" s="15"/>
      <c r="I35" s="25"/>
      <c r="O35" s="24"/>
    </row>
    <row r="36" spans="3:15" ht="12.75">
      <c r="C36" s="15"/>
      <c r="D36" s="15"/>
      <c r="E36" s="21">
        <v>44344</v>
      </c>
      <c r="F36" s="24"/>
      <c r="G36" s="24">
        <f>4007503.70523165-280527.882810231</f>
        <v>3726975.822421419</v>
      </c>
      <c r="H36" s="15"/>
      <c r="I36" s="25"/>
      <c r="O36" s="24"/>
    </row>
    <row r="37" spans="3:15" ht="12.75">
      <c r="C37" s="15"/>
      <c r="D37" s="15"/>
      <c r="E37" s="21">
        <v>44361</v>
      </c>
      <c r="F37" s="24"/>
      <c r="G37" s="24">
        <f>-100076.712331714+195649.057134302</f>
        <v>95572.344802588</v>
      </c>
      <c r="H37" s="15"/>
      <c r="I37" s="25"/>
      <c r="O37" s="24"/>
    </row>
    <row r="38" spans="3:15" ht="12.75">
      <c r="C38" s="15"/>
      <c r="D38" s="15"/>
      <c r="E38" s="21">
        <v>44375</v>
      </c>
      <c r="F38" s="24"/>
      <c r="G38" s="24">
        <v>-1265158.49</v>
      </c>
      <c r="H38" s="15"/>
      <c r="I38" s="25"/>
      <c r="O38" s="24"/>
    </row>
    <row r="39" spans="3:9" ht="12.75">
      <c r="C39" s="15"/>
      <c r="D39" s="15"/>
      <c r="E39" s="21">
        <v>44405</v>
      </c>
      <c r="F39" s="24"/>
      <c r="G39" s="24">
        <v>-889850.64</v>
      </c>
      <c r="H39" s="15"/>
      <c r="I39" s="25"/>
    </row>
    <row r="40" spans="3:9" ht="12.75">
      <c r="C40" s="15"/>
      <c r="D40" s="15"/>
      <c r="E40" s="21">
        <v>44468</v>
      </c>
      <c r="F40" s="24"/>
      <c r="G40" s="24">
        <v>-282147.76</v>
      </c>
      <c r="H40" s="15"/>
      <c r="I40" s="25"/>
    </row>
    <row r="41" spans="3:9" ht="12.75">
      <c r="C41" s="15"/>
      <c r="D41" s="15"/>
      <c r="E41" s="21">
        <v>44475</v>
      </c>
      <c r="F41" s="24"/>
      <c r="G41" s="24">
        <v>-1041776.36</v>
      </c>
      <c r="H41" s="15"/>
      <c r="I41" s="25"/>
    </row>
    <row r="42" spans="3:9" ht="12.75">
      <c r="C42" s="15"/>
      <c r="D42" s="15"/>
      <c r="E42" s="21">
        <v>44483</v>
      </c>
      <c r="F42" s="24"/>
      <c r="G42" s="24">
        <v>-1193702.08</v>
      </c>
      <c r="H42" s="15"/>
      <c r="I42" s="25"/>
    </row>
    <row r="43" spans="3:9" ht="12.75">
      <c r="C43" s="15"/>
      <c r="D43" s="15"/>
      <c r="E43" s="21">
        <v>44505</v>
      </c>
      <c r="F43" s="24"/>
      <c r="G43" s="24">
        <v>-1085183.71</v>
      </c>
      <c r="H43" s="15"/>
      <c r="I43" s="25"/>
    </row>
    <row r="44" spans="3:9" ht="12.75">
      <c r="C44" s="15"/>
      <c r="D44" s="15"/>
      <c r="E44" s="21">
        <v>44551</v>
      </c>
      <c r="F44" s="24"/>
      <c r="G44" s="24">
        <v>-499184.50</v>
      </c>
      <c r="H44" s="15"/>
      <c r="I44" s="25"/>
    </row>
    <row r="45" spans="3:9" ht="12.75">
      <c r="C45" s="15"/>
      <c r="D45" s="15"/>
      <c r="E45" s="21">
        <v>44558</v>
      </c>
      <c r="F45" s="24"/>
      <c r="G45" s="24">
        <v>1.043088485E7</v>
      </c>
      <c r="H45" s="15"/>
      <c r="I45" s="25"/>
    </row>
    <row r="46" spans="3:9" ht="12.75">
      <c r="C46" s="15"/>
      <c r="D46" s="15"/>
      <c r="E46" s="21">
        <v>44599</v>
      </c>
      <c r="F46" s="24"/>
      <c r="G46" s="24">
        <v>-455777.16</v>
      </c>
      <c r="H46" s="15"/>
      <c r="I46" s="25"/>
    </row>
    <row r="47" spans="3:9" ht="12.75">
      <c r="C47" s="15"/>
      <c r="D47" s="15"/>
      <c r="E47" s="21">
        <v>44635</v>
      </c>
      <c r="F47" s="24"/>
      <c r="G47" s="24">
        <v>-1128591.05</v>
      </c>
      <c r="H47" s="15"/>
      <c r="I47" s="25"/>
    </row>
    <row r="48" spans="3:15" ht="4.5" customHeight="1">
      <c r="C48" s="15"/>
      <c r="D48" s="15"/>
      <c r="E48" s="21"/>
      <c r="F48" s="15"/>
      <c r="G48" s="24"/>
      <c r="H48" s="15"/>
      <c r="I48" s="25"/>
      <c r="J48" s="25"/>
      <c r="O48" s="31"/>
    </row>
    <row r="49" spans="3:13" ht="12.75">
      <c r="C49" s="15" t="s">
        <v>5</v>
      </c>
      <c r="D49" s="15"/>
      <c r="E49" s="21" t="e">
        <f>+E8</f>
        <v>#REF!</v>
      </c>
      <c r="F49" s="15"/>
      <c r="G49" s="46" t="e">
        <f>#REF!</f>
        <v>#REF!</v>
      </c>
      <c r="H49" s="15"/>
      <c r="I49" s="24">
        <f>+SUMIF($G$21:$G$48,"&lt;0",$G$21:$G$48)+G30+G34+G36+G37</f>
        <v>-2.6037898929977782E7</v>
      </c>
      <c r="J49" s="15" t="s">
        <v>14</v>
      </c>
      <c r="M49" s="94"/>
    </row>
    <row r="50" spans="3:13" ht="12.75">
      <c r="C50" s="15"/>
      <c r="D50" s="15"/>
      <c r="E50" s="15"/>
      <c r="F50" s="15"/>
      <c r="G50" s="15"/>
      <c r="H50" s="15"/>
      <c r="I50" s="24">
        <f>+SUMIF($G$21:$G$48,"&gt;0",$G$21:$G$48)-G30-G34-G36-G37</f>
        <v>1.0430884850000003E7</v>
      </c>
      <c r="J50" s="15" t="s">
        <v>15</v>
      </c>
      <c r="M50" s="31"/>
    </row>
    <row r="51" spans="3:13" ht="12.75">
      <c r="C51" s="14" t="s">
        <v>0</v>
      </c>
      <c r="G51" s="29" t="e">
        <f>+XIRR(G21:G49,E21:E49,0.1)</f>
        <v>#REF!</v>
      </c>
      <c r="H51" s="15"/>
      <c r="M51" s="35"/>
    </row>
    <row r="52" spans="3:9" ht="12.75">
      <c r="C52" s="15"/>
      <c r="D52" s="15"/>
      <c r="E52" s="15"/>
      <c r="F52" s="15"/>
      <c r="G52" s="112" t="e">
        <f>G49-#REF!</f>
        <v>#REF!</v>
      </c>
      <c r="H52" s="15"/>
      <c r="I52" s="113" t="e">
        <f>I49-#REF!</f>
        <v>#REF!</v>
      </c>
    </row>
    <row r="53" spans="3:13" ht="12.75">
      <c r="C53" s="15"/>
      <c r="D53" s="15"/>
      <c r="E53" s="21"/>
      <c r="F53" s="24"/>
      <c r="G53" s="24"/>
      <c r="H53" s="15"/>
      <c r="I53" s="114" t="e">
        <f>I50-#REF!</f>
        <v>#REF!</v>
      </c>
      <c r="M53" s="35"/>
    </row>
    <row r="54" spans="3:13" ht="12.75">
      <c r="C54" s="52"/>
      <c r="D54" s="52"/>
      <c r="E54" s="21"/>
      <c r="F54" s="24"/>
      <c r="G54" s="24"/>
      <c r="H54" s="15"/>
      <c r="M54" s="35"/>
    </row>
    <row r="55" spans="3:13" ht="12.75">
      <c r="C55" s="52"/>
      <c r="D55" s="52"/>
      <c r="E55" s="21"/>
      <c r="F55" s="24"/>
      <c r="G55" s="24"/>
      <c r="H55" s="15"/>
      <c r="M55" s="35"/>
    </row>
    <row r="56" spans="3:13" ht="12.75">
      <c r="C56" s="52"/>
      <c r="D56" s="52"/>
      <c r="E56" s="53"/>
      <c r="F56" s="52"/>
      <c r="G56" s="53"/>
      <c r="H56" s="15"/>
      <c r="M56" s="35"/>
    </row>
    <row r="57" spans="3:8" ht="12.75">
      <c r="C57" s="52"/>
      <c r="D57" s="52"/>
      <c r="E57" s="53"/>
      <c r="F57" s="52"/>
      <c r="G57" s="53"/>
      <c r="H57" s="14"/>
    </row>
    <row r="58" spans="3:8" ht="12.75">
      <c r="C58" s="52"/>
      <c r="D58" s="52"/>
      <c r="E58" s="53"/>
      <c r="F58" s="53"/>
      <c r="G58" s="53"/>
      <c r="H58" s="14"/>
    </row>
    <row r="59" spans="3:17" ht="12.75">
      <c r="C59" s="52"/>
      <c r="D59" s="52"/>
      <c r="E59" s="53"/>
      <c r="F59" s="52"/>
      <c r="G59" s="52"/>
      <c r="H59" s="14"/>
      <c r="Q59" s="38"/>
    </row>
    <row r="60" spans="3:17" ht="12.75">
      <c r="C60" s="52"/>
      <c r="D60" s="52"/>
      <c r="E60" s="53"/>
      <c r="F60" s="54"/>
      <c r="G60" s="58"/>
      <c r="H60" s="14"/>
      <c r="Q60" s="38"/>
    </row>
    <row r="61" spans="3:17" ht="12.75">
      <c r="C61" s="52"/>
      <c r="D61" s="52"/>
      <c r="E61" s="53"/>
      <c r="F61" s="54"/>
      <c r="G61" s="70"/>
      <c r="H61" s="14"/>
      <c r="Q61" s="38"/>
    </row>
    <row r="62" spans="3:17" ht="12.75">
      <c r="C62" s="52"/>
      <c r="D62" s="52"/>
      <c r="E62" s="53"/>
      <c r="F62" s="54"/>
      <c r="G62" s="58"/>
      <c r="H62" s="14"/>
      <c r="Q62" s="38"/>
    </row>
    <row r="63" spans="3:17" ht="12.75">
      <c r="C63" s="52"/>
      <c r="D63" s="52"/>
      <c r="E63" s="53"/>
      <c r="F63" s="54"/>
      <c r="G63" s="70"/>
      <c r="H63" s="14"/>
      <c r="Q63" s="38"/>
    </row>
    <row r="64" spans="3:8" ht="12.75">
      <c r="C64" s="52"/>
      <c r="D64" s="52"/>
      <c r="E64" s="53"/>
      <c r="F64" s="54"/>
      <c r="G64" s="70"/>
      <c r="H64" s="14"/>
    </row>
    <row r="65" spans="3:8" ht="5.1" customHeight="1">
      <c r="C65" s="52"/>
      <c r="D65" s="52"/>
      <c r="E65" s="53"/>
      <c r="F65" s="33"/>
      <c r="G65" s="71"/>
      <c r="H65" s="14"/>
    </row>
    <row r="66" spans="3:8" ht="12.75">
      <c r="C66" s="52"/>
      <c r="D66" s="52"/>
      <c r="E66" s="53"/>
      <c r="F66" s="37"/>
      <c r="G66" s="72"/>
      <c r="H66" s="14"/>
    </row>
    <row r="67" spans="3:5" ht="12.75">
      <c r="C67" s="52"/>
      <c r="D67" s="52"/>
      <c r="E67" s="53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64049D-DBED-4433-8CD8-606275185A53}">
  <dimension ref="B4:Q64"/>
  <sheetViews>
    <sheetView view="pageLayout" zoomScaleNormal="100" workbookViewId="0" topLeftCell="A22">
      <selection pane="topLeft" activeCell="A22" sqref="A1:XFD1048576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38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62" t="s">
        <v>11</v>
      </c>
      <c r="D10" s="62"/>
      <c r="E10" s="63">
        <f>G10*C19/(J30)</f>
        <v>-0.022605131819987835</v>
      </c>
      <c r="F10" s="18"/>
      <c r="G10" s="100">
        <v>-425383</v>
      </c>
      <c r="H10" s="7"/>
      <c r="I10" s="12"/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15" ht="12.75">
      <c r="C12" s="62" t="s">
        <v>2</v>
      </c>
      <c r="D12" s="62"/>
      <c r="E12" s="63">
        <f>G12*C19/(J30)</f>
        <v>0.023743404678997573</v>
      </c>
      <c r="F12" s="18"/>
      <c r="G12" s="100">
        <v>446803</v>
      </c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14" ht="15.75">
      <c r="C14" s="26" t="s">
        <v>7</v>
      </c>
      <c r="D14" s="26"/>
      <c r="E14" s="11"/>
      <c r="F14" s="26"/>
      <c r="G14" s="11"/>
      <c r="H14" s="5"/>
      <c r="I14" s="27"/>
      <c r="J14" s="39"/>
      <c r="K14" s="39"/>
      <c r="L14" s="39"/>
      <c r="M14" s="39"/>
      <c r="N14" s="39"/>
    </row>
    <row r="15" spans="3:14" ht="12.75" customHeight="1">
      <c r="C15" s="18" t="s">
        <v>8</v>
      </c>
      <c r="D15" s="18"/>
      <c r="E15" s="8" t="e">
        <f>G49</f>
        <v>#REF!</v>
      </c>
      <c r="F15" s="18"/>
      <c r="G15" s="28"/>
      <c r="H15" s="8"/>
      <c r="I15" s="27"/>
      <c r="J15" s="46"/>
      <c r="K15" s="15"/>
      <c r="L15" s="41"/>
      <c r="M15" s="42"/>
      <c r="N15" s="39"/>
    </row>
    <row r="16" spans="3:14" ht="12.75">
      <c r="C16" s="18" t="s">
        <v>10</v>
      </c>
      <c r="D16" s="18"/>
      <c r="E16" s="34">
        <f>-(G47+I48)/I47</f>
        <v>1.566282072819101</v>
      </c>
      <c r="F16" s="18"/>
      <c r="G16" s="10"/>
      <c r="H16" s="7"/>
      <c r="J16" s="46"/>
      <c r="K16" s="15"/>
      <c r="L16" s="41"/>
      <c r="M16" s="42"/>
      <c r="N16" s="43"/>
    </row>
    <row r="17" spans="3:14" ht="12.75">
      <c r="C17" s="18"/>
      <c r="D17" s="18"/>
      <c r="E17" s="18"/>
      <c r="F17" s="18"/>
      <c r="G17" s="7"/>
      <c r="J17" s="46"/>
      <c r="K17" s="15"/>
      <c r="L17" s="41"/>
      <c r="M17" s="42"/>
      <c r="N17" s="39"/>
    </row>
    <row r="18" spans="3:14" ht="15.75">
      <c r="C18" s="19"/>
      <c r="D18" s="20"/>
      <c r="E18" s="20"/>
      <c r="F18" s="20"/>
      <c r="I18" s="21"/>
      <c r="J18" s="46"/>
      <c r="K18" s="15"/>
      <c r="L18" s="41"/>
      <c r="M18" s="42"/>
      <c r="N18" s="43"/>
    </row>
    <row r="19" spans="3:14" ht="12.75">
      <c r="C19" s="22">
        <v>1</v>
      </c>
      <c r="D19" s="15"/>
      <c r="E19" s="15"/>
      <c r="F19" s="15"/>
      <c r="G19" s="23"/>
      <c r="H19" s="15"/>
      <c r="I19" s="15"/>
      <c r="J19" s="46"/>
      <c r="K19" s="15"/>
      <c r="L19" s="41"/>
      <c r="M19" s="42"/>
      <c r="N19" s="39"/>
    </row>
    <row r="20" spans="3:14" ht="12.75">
      <c r="C20" s="15"/>
      <c r="D20" s="15"/>
      <c r="E20" s="21"/>
      <c r="F20" s="24"/>
      <c r="G20" s="24"/>
      <c r="H20" s="15"/>
      <c r="I20" s="25"/>
      <c r="J20" s="46"/>
      <c r="K20" s="15"/>
      <c r="L20" s="41"/>
      <c r="M20" s="42"/>
      <c r="N20" s="39"/>
    </row>
    <row r="21" spans="3:15" ht="12.75">
      <c r="C21" s="15" t="s">
        <v>16</v>
      </c>
      <c r="D21" s="15"/>
      <c r="E21" s="21">
        <v>43857</v>
      </c>
      <c r="F21" s="24"/>
      <c r="G21" s="24">
        <v>-2012378.2533334957</v>
      </c>
      <c r="H21" s="15"/>
      <c r="I21" s="25"/>
      <c r="J21" s="46"/>
      <c r="K21" s="15"/>
      <c r="L21" s="41"/>
      <c r="M21" s="42"/>
      <c r="N21" s="39"/>
      <c r="O21" s="25"/>
    </row>
    <row r="22" spans="3:15" ht="12.75">
      <c r="C22" s="15"/>
      <c r="D22" s="15"/>
      <c r="E22" s="21">
        <v>43985</v>
      </c>
      <c r="F22" s="24"/>
      <c r="G22" s="24">
        <v>-2154644.3169154623</v>
      </c>
      <c r="H22" s="15"/>
      <c r="I22" s="25"/>
      <c r="J22" s="46"/>
      <c r="K22" s="15"/>
      <c r="L22" s="41"/>
      <c r="M22" s="44"/>
      <c r="N22" s="43"/>
      <c r="O22" s="25"/>
    </row>
    <row r="23" spans="3:15" ht="12.75">
      <c r="C23" s="15"/>
      <c r="D23" s="15"/>
      <c r="E23" s="21">
        <v>44076</v>
      </c>
      <c r="F23" s="24"/>
      <c r="G23" s="24">
        <v>-2026106.1019493162</v>
      </c>
      <c r="H23" s="15"/>
      <c r="I23" s="25"/>
      <c r="J23" s="46"/>
      <c r="K23" s="15"/>
      <c r="L23" s="41"/>
      <c r="M23" s="44"/>
      <c r="N23" s="43"/>
      <c r="O23" s="25"/>
    </row>
    <row r="24" spans="3:15" ht="15.75">
      <c r="C24" s="15"/>
      <c r="D24" s="15"/>
      <c r="E24" s="21">
        <v>44117</v>
      </c>
      <c r="F24" s="24"/>
      <c r="G24" s="24">
        <v>-2452697.8165499396</v>
      </c>
      <c r="H24" s="15"/>
      <c r="I24" s="25"/>
      <c r="J24" s="73" t="s">
        <v>31</v>
      </c>
      <c r="K24" s="60"/>
      <c r="L24" s="41"/>
      <c r="M24" s="42"/>
      <c r="N24" s="39"/>
      <c r="O24" s="25"/>
    </row>
    <row r="25" spans="3:15" ht="12.75">
      <c r="C25" s="15"/>
      <c r="D25" s="15"/>
      <c r="E25" s="21">
        <v>44141</v>
      </c>
      <c r="F25" s="24"/>
      <c r="G25" s="24">
        <v>-2190309.623033144</v>
      </c>
      <c r="H25" s="15"/>
      <c r="I25" s="25"/>
      <c r="J25" s="61">
        <v>2474504</v>
      </c>
      <c r="K25" s="60" t="s">
        <v>53</v>
      </c>
      <c r="L25" s="41"/>
      <c r="M25" s="21"/>
      <c r="N25" s="24"/>
      <c r="O25" s="24"/>
    </row>
    <row r="26" spans="3:15" ht="12.75">
      <c r="C26" s="15"/>
      <c r="D26" s="15"/>
      <c r="E26" s="21">
        <v>44148</v>
      </c>
      <c r="F26" s="24"/>
      <c r="G26" s="24">
        <v>-1142511.04208945</v>
      </c>
      <c r="H26" s="15"/>
      <c r="I26" s="25"/>
      <c r="J26" s="61">
        <v>13084702</v>
      </c>
      <c r="K26" s="60" t="s">
        <v>54</v>
      </c>
      <c r="L26" s="41"/>
      <c r="M26" s="21"/>
      <c r="N26" s="24"/>
      <c r="O26" s="24"/>
    </row>
    <row r="27" spans="3:15" ht="12.75">
      <c r="C27" s="15"/>
      <c r="D27" s="15"/>
      <c r="E27" s="21">
        <v>44187</v>
      </c>
      <c r="F27" s="24"/>
      <c r="G27" s="24">
        <v>-974987.6783474844</v>
      </c>
      <c r="H27" s="15"/>
      <c r="I27" s="25"/>
      <c r="J27" s="61">
        <v>2.387586117E7</v>
      </c>
      <c r="K27" s="60" t="s">
        <v>55</v>
      </c>
      <c r="L27" s="41"/>
      <c r="M27" s="21"/>
      <c r="N27" s="24"/>
      <c r="O27" s="24"/>
    </row>
    <row r="28" spans="3:15" ht="12.75">
      <c r="C28" s="15" t="s">
        <v>41</v>
      </c>
      <c r="D28" s="15"/>
      <c r="E28" s="21">
        <v>44203</v>
      </c>
      <c r="F28" s="24"/>
      <c r="G28" s="24">
        <v>-4346021.357935614</v>
      </c>
      <c r="H28" s="15"/>
      <c r="I28" s="25"/>
      <c r="J28" s="61">
        <v>2.53778147E7</v>
      </c>
      <c r="K28" s="60" t="s">
        <v>56</v>
      </c>
      <c r="L28" s="41"/>
      <c r="M28" s="21"/>
      <c r="N28" s="24"/>
      <c r="O28" s="24"/>
    </row>
    <row r="29" spans="3:15" ht="12.75">
      <c r="C29" s="15"/>
      <c r="D29" s="15"/>
      <c r="E29" s="21">
        <v>44217</v>
      </c>
      <c r="F29" s="24"/>
      <c r="G29" s="24">
        <v>-582945.7341800671</v>
      </c>
      <c r="H29" s="15"/>
      <c r="I29" s="25"/>
      <c r="J29" s="61">
        <f>G47</f>
        <v>2.927703616E7</v>
      </c>
      <c r="K29" s="60" t="s">
        <v>57</v>
      </c>
      <c r="L29" s="41"/>
      <c r="M29" s="21"/>
      <c r="N29" s="24"/>
      <c r="O29" s="24"/>
    </row>
    <row r="30" spans="3:15" ht="12.75">
      <c r="C30" s="15"/>
      <c r="D30" s="15"/>
      <c r="E30" s="21">
        <v>44250</v>
      </c>
      <c r="F30" s="24"/>
      <c r="G30" s="24">
        <v>2105807.28683136</v>
      </c>
      <c r="H30" s="15"/>
      <c r="I30" s="25"/>
      <c r="J30" s="61">
        <f>SUM(J25:J29)/5</f>
        <v>1.8817983606E7</v>
      </c>
      <c r="K30" s="60" t="s">
        <v>12</v>
      </c>
      <c r="L30" s="41"/>
      <c r="M30" s="21"/>
      <c r="N30" s="24"/>
      <c r="O30" s="24"/>
    </row>
    <row r="31" spans="3:15" ht="12.75">
      <c r="C31" s="15"/>
      <c r="D31" s="15"/>
      <c r="E31" s="21">
        <v>44265</v>
      </c>
      <c r="F31" s="24"/>
      <c r="G31" s="24">
        <v>-1277355.45</v>
      </c>
      <c r="H31" s="15"/>
      <c r="I31" s="25"/>
      <c r="J31" s="25"/>
      <c r="K31" s="15"/>
      <c r="L31" s="41"/>
      <c r="M31" s="21"/>
      <c r="N31" s="24"/>
      <c r="O31" s="24"/>
    </row>
    <row r="32" spans="3:15" ht="12.75">
      <c r="C32" s="15"/>
      <c r="D32" s="15"/>
      <c r="E32" s="21">
        <v>44291</v>
      </c>
      <c r="F32" s="24"/>
      <c r="G32" s="24">
        <v>-3059124.1494376557</v>
      </c>
      <c r="H32" s="15"/>
      <c r="I32" s="25"/>
      <c r="J32" s="25"/>
      <c r="K32" s="15"/>
      <c r="L32" s="41"/>
      <c r="M32" s="21"/>
      <c r="N32" s="24"/>
      <c r="O32" s="24"/>
    </row>
    <row r="33" spans="3:15" ht="12.75">
      <c r="C33" s="15"/>
      <c r="D33" s="15"/>
      <c r="E33" s="21">
        <v>44307</v>
      </c>
      <c r="F33" s="24"/>
      <c r="G33" s="24">
        <v>-6895948.889492734</v>
      </c>
      <c r="H33" s="15"/>
      <c r="I33" s="25"/>
      <c r="J33" s="25"/>
      <c r="K33" s="15"/>
      <c r="L33" s="41"/>
      <c r="M33" s="21"/>
      <c r="N33" s="24"/>
      <c r="O33" s="24"/>
    </row>
    <row r="34" spans="3:15" ht="12.75">
      <c r="C34" s="15"/>
      <c r="D34" s="15"/>
      <c r="E34" s="21">
        <v>44319</v>
      </c>
      <c r="F34" s="24"/>
      <c r="G34" s="24">
        <v>7170468.996234081</v>
      </c>
      <c r="H34" s="15"/>
      <c r="I34" s="25"/>
      <c r="J34" s="25"/>
      <c r="K34" s="15"/>
      <c r="L34" s="41"/>
      <c r="M34" s="21"/>
      <c r="N34" s="24"/>
      <c r="O34" s="24"/>
    </row>
    <row r="35" spans="3:15" ht="12.75">
      <c r="C35" s="15"/>
      <c r="D35" s="15"/>
      <c r="E35" s="21">
        <v>44335</v>
      </c>
      <c r="F35" s="24"/>
      <c r="G35" s="24">
        <v>-3285419.5959046646</v>
      </c>
      <c r="H35" s="15"/>
      <c r="I35" s="25"/>
      <c r="J35" s="25"/>
      <c r="K35" s="15"/>
      <c r="L35" s="41"/>
      <c r="M35" s="21"/>
      <c r="N35" s="24"/>
      <c r="O35" s="24"/>
    </row>
    <row r="36" spans="3:15" ht="12.75">
      <c r="C36" s="15"/>
      <c r="D36" s="15"/>
      <c r="E36" s="21">
        <v>44344</v>
      </c>
      <c r="F36" s="24"/>
      <c r="G36" s="24">
        <v>3914026.14</v>
      </c>
      <c r="H36" s="15"/>
      <c r="I36" s="25"/>
      <c r="J36" s="25"/>
      <c r="K36" s="15"/>
      <c r="L36" s="41"/>
      <c r="M36" s="21"/>
      <c r="N36" s="24"/>
      <c r="O36" s="24"/>
    </row>
    <row r="37" spans="3:15" ht="12.75">
      <c r="C37" s="15"/>
      <c r="D37" s="15"/>
      <c r="E37" s="21">
        <v>44361</v>
      </c>
      <c r="F37" s="24"/>
      <c r="G37" s="24">
        <v>100368.95</v>
      </c>
      <c r="H37" s="15"/>
      <c r="I37" s="25"/>
      <c r="J37" s="25"/>
      <c r="K37" s="15"/>
      <c r="L37" s="41"/>
      <c r="M37" s="21"/>
      <c r="N37" s="24"/>
      <c r="O37" s="24"/>
    </row>
    <row r="38" spans="3:15" ht="12.75">
      <c r="C38" s="15"/>
      <c r="D38" s="15"/>
      <c r="E38" s="21">
        <v>44375</v>
      </c>
      <c r="F38" s="24"/>
      <c r="G38" s="24">
        <v>-1333769.9</v>
      </c>
      <c r="H38" s="15"/>
      <c r="I38" s="25"/>
      <c r="J38" s="25"/>
      <c r="K38" s="15"/>
      <c r="L38" s="41"/>
      <c r="M38" s="21"/>
      <c r="N38" s="24"/>
      <c r="O38" s="24"/>
    </row>
    <row r="39" spans="3:14" ht="12.75">
      <c r="C39" s="15"/>
      <c r="D39" s="15"/>
      <c r="E39" s="21">
        <v>44405</v>
      </c>
      <c r="F39" s="24"/>
      <c r="G39" s="24">
        <v>-934510.66</v>
      </c>
      <c r="H39" s="15"/>
      <c r="I39" s="25"/>
      <c r="J39" s="25"/>
      <c r="K39" s="15"/>
      <c r="L39" s="41"/>
      <c r="M39" s="42"/>
      <c r="N39" s="39"/>
    </row>
    <row r="40" spans="3:14" ht="12.75">
      <c r="C40" s="15"/>
      <c r="D40" s="15"/>
      <c r="E40" s="21">
        <v>44468</v>
      </c>
      <c r="F40" s="24"/>
      <c r="G40" s="24">
        <v>-296308.27</v>
      </c>
      <c r="H40" s="15"/>
      <c r="I40" s="25"/>
      <c r="J40" s="25"/>
      <c r="K40" s="15"/>
      <c r="L40" s="41"/>
      <c r="M40" s="42"/>
      <c r="N40" s="39"/>
    </row>
    <row r="41" spans="3:14" ht="12.75">
      <c r="C41" s="15"/>
      <c r="D41" s="15"/>
      <c r="E41" s="21">
        <v>44475</v>
      </c>
      <c r="F41" s="24"/>
      <c r="G41" s="24">
        <v>-1094061.26</v>
      </c>
      <c r="H41" s="15"/>
      <c r="I41" s="25"/>
      <c r="L41" s="39"/>
      <c r="M41" s="39"/>
      <c r="N41" s="39"/>
    </row>
    <row r="42" spans="3:14" ht="12.75">
      <c r="C42" s="15"/>
      <c r="D42" s="15"/>
      <c r="E42" s="21">
        <v>44483</v>
      </c>
      <c r="F42" s="24"/>
      <c r="G42" s="24">
        <v>-1253611.87</v>
      </c>
      <c r="H42" s="15"/>
      <c r="I42" s="25"/>
      <c r="L42" s="39"/>
      <c r="M42" s="43"/>
      <c r="N42" s="39"/>
    </row>
    <row r="43" spans="3:14" ht="12.75">
      <c r="C43" s="15"/>
      <c r="D43" s="15"/>
      <c r="E43" s="21">
        <v>44505</v>
      </c>
      <c r="F43" s="24"/>
      <c r="G43" s="24">
        <v>-1139647.16</v>
      </c>
      <c r="H43" s="15"/>
      <c r="I43" s="25"/>
      <c r="L43" s="39"/>
      <c r="M43" s="43"/>
      <c r="N43" s="39"/>
    </row>
    <row r="44" spans="3:14" ht="12.75">
      <c r="C44" s="15"/>
      <c r="D44" s="15"/>
      <c r="E44" s="21">
        <v>44551</v>
      </c>
      <c r="F44" s="24"/>
      <c r="G44" s="24">
        <v>-524237.69</v>
      </c>
      <c r="H44" s="15"/>
      <c r="I44" s="25"/>
      <c r="L44" s="39"/>
      <c r="M44" s="43"/>
      <c r="N44" s="39"/>
    </row>
    <row r="45" spans="3:14" ht="12.75">
      <c r="C45" s="15"/>
      <c r="D45" s="15"/>
      <c r="E45" s="21">
        <v>44558</v>
      </c>
      <c r="F45" s="24"/>
      <c r="G45" s="24">
        <v>1.095436839E7</v>
      </c>
      <c r="H45" s="15"/>
      <c r="I45" s="25"/>
      <c r="L45" s="39"/>
      <c r="M45" s="43"/>
      <c r="N45" s="39"/>
    </row>
    <row r="46" spans="3:15" ht="4.5" customHeight="1">
      <c r="C46" s="15"/>
      <c r="D46" s="15"/>
      <c r="E46" s="21"/>
      <c r="F46" s="15"/>
      <c r="G46" s="24"/>
      <c r="H46" s="15"/>
      <c r="I46" s="25"/>
      <c r="J46" s="25"/>
      <c r="O46" s="31"/>
    </row>
    <row r="47" spans="3:13" ht="12.75">
      <c r="C47" s="15" t="s">
        <v>5</v>
      </c>
      <c r="D47" s="15"/>
      <c r="E47" s="21" t="e">
        <f>+E8</f>
        <v>#REF!</v>
      </c>
      <c r="F47" s="15"/>
      <c r="G47" s="102">
        <v>2.927703616E7</v>
      </c>
      <c r="H47" s="15"/>
      <c r="I47" s="24">
        <f>+SUMIF($G$21:$G$46,"&lt;0",$G$21:$G$46)+G30+G34+G36+G37</f>
        <v>-2.5685925446103577E7</v>
      </c>
      <c r="J47" s="15" t="s">
        <v>14</v>
      </c>
      <c r="M47" s="94"/>
    </row>
    <row r="48" spans="3:13" ht="12.75">
      <c r="C48" s="15"/>
      <c r="D48" s="15"/>
      <c r="E48" s="15"/>
      <c r="F48" s="15"/>
      <c r="G48" s="15"/>
      <c r="H48" s="15"/>
      <c r="I48" s="24">
        <f>+SUMIF($G$21:$G$46,"&gt;0",$G$21:$G$46)-G30-G34-G36-G37</f>
        <v>1.095436839E7</v>
      </c>
      <c r="J48" s="15" t="s">
        <v>15</v>
      </c>
      <c r="M48" s="31"/>
    </row>
    <row r="49" spans="3:13" ht="12.75">
      <c r="C49" s="14" t="s">
        <v>0</v>
      </c>
      <c r="G49" s="29" t="e">
        <f>+XIRR(G21:G47,E21:E47,0.1)</f>
        <v>#REF!</v>
      </c>
      <c r="H49" s="15"/>
      <c r="M49" s="35"/>
    </row>
    <row r="50" spans="3:9" ht="12.75">
      <c r="C50" s="15"/>
      <c r="D50" s="15"/>
      <c r="E50" s="15"/>
      <c r="F50" s="15"/>
      <c r="G50" s="15"/>
      <c r="H50" s="15"/>
      <c r="I50" s="24"/>
    </row>
    <row r="51" spans="3:13" ht="12.75">
      <c r="C51" s="15"/>
      <c r="D51" s="15"/>
      <c r="E51" s="21"/>
      <c r="F51" s="24"/>
      <c r="G51" s="24"/>
      <c r="H51" s="15"/>
      <c r="M51" s="35"/>
    </row>
    <row r="52" spans="3:13" ht="12.75">
      <c r="C52" s="52"/>
      <c r="D52" s="52"/>
      <c r="E52" s="21"/>
      <c r="F52" s="24"/>
      <c r="G52" s="24"/>
      <c r="H52" s="15"/>
      <c r="M52" s="35"/>
    </row>
    <row r="53" spans="3:13" ht="12.75">
      <c r="C53" s="52"/>
      <c r="D53" s="52"/>
      <c r="E53" s="21"/>
      <c r="F53" s="24"/>
      <c r="G53" s="24"/>
      <c r="H53" s="15"/>
      <c r="M53" s="35"/>
    </row>
    <row r="54" spans="3:13" ht="12.75">
      <c r="C54" s="52"/>
      <c r="D54" s="52"/>
      <c r="E54" s="53"/>
      <c r="F54" s="52"/>
      <c r="G54" s="53"/>
      <c r="H54" s="15"/>
      <c r="M54" s="35"/>
    </row>
    <row r="55" spans="3:8" ht="12.75">
      <c r="C55" s="52"/>
      <c r="D55" s="52"/>
      <c r="E55" s="53"/>
      <c r="F55" s="52"/>
      <c r="G55" s="53"/>
      <c r="H55" s="14"/>
    </row>
    <row r="56" spans="3:8" ht="12.75">
      <c r="C56" s="52"/>
      <c r="D56" s="52"/>
      <c r="E56" s="53"/>
      <c r="F56" s="53"/>
      <c r="G56" s="53"/>
      <c r="H56" s="14"/>
    </row>
    <row r="57" spans="3:17" ht="12.75">
      <c r="C57" s="52"/>
      <c r="D57" s="52"/>
      <c r="E57" s="52"/>
      <c r="F57" s="52"/>
      <c r="G57" s="52"/>
      <c r="H57" s="14"/>
      <c r="Q57" s="38"/>
    </row>
    <row r="58" spans="3:17" ht="13.5" thickBot="1">
      <c r="C58" s="47" t="s">
        <v>9</v>
      </c>
      <c r="D58" s="47"/>
      <c r="E58" s="48">
        <f>E10</f>
        <v>-0.022605131819987835</v>
      </c>
      <c r="F58" s="54"/>
      <c r="G58" s="58"/>
      <c r="H58" s="14"/>
      <c r="Q58" s="38"/>
    </row>
    <row r="59" spans="3:17" ht="13.5" thickTop="1">
      <c r="C59" s="47"/>
      <c r="D59" s="47"/>
      <c r="E59" s="49"/>
      <c r="F59" s="54"/>
      <c r="G59" s="70"/>
      <c r="H59" s="14"/>
      <c r="Q59" s="38"/>
    </row>
    <row r="60" spans="3:17" ht="13.5" thickBot="1">
      <c r="C60" s="47" t="s">
        <v>32</v>
      </c>
      <c r="D60" s="47"/>
      <c r="E60" s="48">
        <f>E12</f>
        <v>0.023743404678997573</v>
      </c>
      <c r="F60" s="54"/>
      <c r="G60" s="58"/>
      <c r="H60" s="14"/>
      <c r="Q60" s="38"/>
    </row>
    <row r="61" spans="3:17" ht="13.5" thickTop="1">
      <c r="C61" s="47"/>
      <c r="D61" s="47"/>
      <c r="E61" s="49"/>
      <c r="F61" s="54"/>
      <c r="G61" s="70"/>
      <c r="H61" s="14"/>
      <c r="Q61" s="38"/>
    </row>
    <row r="62" spans="3:8" ht="13.5" thickBot="1">
      <c r="C62" s="47" t="s">
        <v>7</v>
      </c>
      <c r="D62" s="47"/>
      <c r="E62" s="51" t="e">
        <f>+E15</f>
        <v>#REF!</v>
      </c>
      <c r="F62" s="54"/>
      <c r="G62" s="70"/>
      <c r="H62" s="14"/>
    </row>
    <row r="63" spans="3:8" ht="5.1" customHeight="1" thickTop="1">
      <c r="C63" s="36"/>
      <c r="D63" s="14"/>
      <c r="E63" s="33"/>
      <c r="F63" s="33"/>
      <c r="G63" s="71"/>
      <c r="H63" s="14"/>
    </row>
    <row r="64" spans="3:8" ht="12.75">
      <c r="C64" s="36"/>
      <c r="D64" s="14"/>
      <c r="E64" s="37"/>
      <c r="F64" s="37"/>
      <c r="G64" s="72"/>
      <c r="H64" s="14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1A1B55-283C-4B4D-AA67-C9E4EFA7EA82}">
  <dimension ref="B4:Q64"/>
  <sheetViews>
    <sheetView view="pageLayout" zoomScaleNormal="100" workbookViewId="0" topLeftCell="A25">
      <selection pane="topLeft" activeCell="A25" sqref="A1:XFD1048576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42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62" t="s">
        <v>11</v>
      </c>
      <c r="D10" s="62"/>
      <c r="E10" s="63">
        <f>G10*C19/(J30)</f>
        <v>-0.025818613888152122</v>
      </c>
      <c r="F10" s="18"/>
      <c r="G10" s="100">
        <v>-425383</v>
      </c>
      <c r="H10" s="7"/>
      <c r="I10" s="12"/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15" ht="12.75">
      <c r="C12" s="62" t="s">
        <v>2</v>
      </c>
      <c r="D12" s="62"/>
      <c r="E12" s="63">
        <f>G12*C19/(J30)</f>
        <v>0.027118700420722106</v>
      </c>
      <c r="F12" s="18"/>
      <c r="G12" s="100">
        <v>446803</v>
      </c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14" ht="15.75">
      <c r="C14" s="26" t="s">
        <v>7</v>
      </c>
      <c r="D14" s="26"/>
      <c r="E14" s="11"/>
      <c r="F14" s="26"/>
      <c r="G14" s="11"/>
      <c r="H14" s="5"/>
      <c r="I14" s="27"/>
      <c r="J14" s="39"/>
      <c r="K14" s="39"/>
      <c r="L14" s="39"/>
      <c r="M14" s="39"/>
      <c r="N14" s="39"/>
    </row>
    <row r="15" spans="3:14" ht="12.75" customHeight="1">
      <c r="C15" s="18" t="s">
        <v>8</v>
      </c>
      <c r="D15" s="18"/>
      <c r="E15" s="8" t="e">
        <f>G49</f>
        <v>#REF!</v>
      </c>
      <c r="F15" s="18"/>
      <c r="G15" s="28"/>
      <c r="H15" s="8"/>
      <c r="I15" s="27"/>
      <c r="J15" s="46"/>
      <c r="K15" s="15"/>
      <c r="L15" s="41"/>
      <c r="M15" s="42"/>
      <c r="N15" s="39"/>
    </row>
    <row r="16" spans="3:14" ht="12.75">
      <c r="C16" s="18" t="s">
        <v>10</v>
      </c>
      <c r="D16" s="18"/>
      <c r="E16" s="34">
        <f>-(G47+I48)/I47</f>
        <v>1.4612901012600783</v>
      </c>
      <c r="F16" s="18"/>
      <c r="G16" s="10"/>
      <c r="H16" s="7"/>
      <c r="J16" s="46"/>
      <c r="K16" s="15"/>
      <c r="L16" s="41"/>
      <c r="M16" s="42"/>
      <c r="N16" s="43"/>
    </row>
    <row r="17" spans="3:14" ht="12.75">
      <c r="C17" s="18"/>
      <c r="D17" s="18"/>
      <c r="E17" s="18"/>
      <c r="F17" s="18"/>
      <c r="G17" s="7"/>
      <c r="J17" s="46"/>
      <c r="K17" s="15"/>
      <c r="L17" s="41"/>
      <c r="M17" s="42"/>
      <c r="N17" s="39"/>
    </row>
    <row r="18" spans="3:14" ht="15.75">
      <c r="C18" s="19"/>
      <c r="D18" s="20"/>
      <c r="E18" s="20"/>
      <c r="F18" s="20"/>
      <c r="I18" s="21"/>
      <c r="J18" s="46"/>
      <c r="K18" s="15"/>
      <c r="L18" s="41"/>
      <c r="M18" s="42"/>
      <c r="N18" s="43"/>
    </row>
    <row r="19" spans="3:14" ht="12.75">
      <c r="C19" s="22">
        <v>1</v>
      </c>
      <c r="D19" s="15"/>
      <c r="E19" s="15"/>
      <c r="F19" s="15"/>
      <c r="G19" s="23"/>
      <c r="H19" s="15"/>
      <c r="I19" s="15"/>
      <c r="J19" s="46"/>
      <c r="K19" s="15"/>
      <c r="L19" s="41"/>
      <c r="M19" s="42"/>
      <c r="N19" s="39"/>
    </row>
    <row r="20" spans="3:14" ht="12.75">
      <c r="C20" s="15"/>
      <c r="D20" s="15"/>
      <c r="E20" s="21"/>
      <c r="F20" s="24"/>
      <c r="G20" s="24"/>
      <c r="H20" s="15"/>
      <c r="I20" s="25"/>
      <c r="J20" s="46"/>
      <c r="K20" s="15"/>
      <c r="L20" s="41"/>
      <c r="M20" s="42"/>
      <c r="N20" s="39"/>
    </row>
    <row r="21" spans="3:15" ht="12.75">
      <c r="C21" s="15" t="s">
        <v>16</v>
      </c>
      <c r="D21" s="15"/>
      <c r="E21" s="21">
        <v>43857</v>
      </c>
      <c r="F21" s="24"/>
      <c r="G21" s="24">
        <v>-1247558.6797208376</v>
      </c>
      <c r="H21" s="15"/>
      <c r="I21" s="25"/>
      <c r="J21" s="46"/>
      <c r="K21" s="15"/>
      <c r="L21" s="41"/>
      <c r="M21" s="42"/>
      <c r="N21" s="39"/>
      <c r="O21" s="25"/>
    </row>
    <row r="22" spans="3:15" ht="12.75">
      <c r="C22" s="15"/>
      <c r="D22" s="15"/>
      <c r="E22" s="21">
        <v>43985</v>
      </c>
      <c r="F22" s="24"/>
      <c r="G22" s="24">
        <v>-1335755.4499639047</v>
      </c>
      <c r="H22" s="15"/>
      <c r="I22" s="25"/>
      <c r="J22" s="46"/>
      <c r="K22" s="15"/>
      <c r="L22" s="41"/>
      <c r="M22" s="44"/>
      <c r="N22" s="43"/>
      <c r="O22" s="25"/>
    </row>
    <row r="23" spans="3:15" ht="12.75">
      <c r="C23" s="15"/>
      <c r="D23" s="15"/>
      <c r="E23" s="21">
        <v>44076</v>
      </c>
      <c r="F23" s="24"/>
      <c r="G23" s="24">
        <v>-1256069.1554097517</v>
      </c>
      <c r="H23" s="15"/>
      <c r="I23" s="25"/>
      <c r="J23" s="46"/>
      <c r="K23" s="15"/>
      <c r="L23" s="41"/>
      <c r="M23" s="44"/>
      <c r="N23" s="43"/>
      <c r="O23" s="25"/>
    </row>
    <row r="24" spans="3:15" ht="15.75">
      <c r="C24" s="15"/>
      <c r="D24" s="15"/>
      <c r="E24" s="21">
        <v>44117</v>
      </c>
      <c r="F24" s="24"/>
      <c r="G24" s="24">
        <v>-1520531.4630589646</v>
      </c>
      <c r="H24" s="15"/>
      <c r="I24" s="25"/>
      <c r="J24" s="73" t="s">
        <v>31</v>
      </c>
      <c r="K24" s="60"/>
      <c r="L24" s="41"/>
      <c r="M24" s="42"/>
      <c r="N24" s="39"/>
      <c r="O24" s="25"/>
    </row>
    <row r="25" spans="3:15" ht="12.75">
      <c r="C25" s="15"/>
      <c r="D25" s="15"/>
      <c r="E25" s="21">
        <v>44141</v>
      </c>
      <c r="F25" s="24"/>
      <c r="G25" s="24">
        <v>-1357865.8867758259</v>
      </c>
      <c r="H25" s="15"/>
      <c r="I25" s="25"/>
      <c r="J25" s="61">
        <v>2474504</v>
      </c>
      <c r="K25" s="60" t="s">
        <v>53</v>
      </c>
      <c r="L25" s="41"/>
      <c r="M25" s="21"/>
      <c r="N25" s="24"/>
      <c r="O25" s="24"/>
    </row>
    <row r="26" spans="3:15" ht="12.75">
      <c r="C26" s="15"/>
      <c r="D26" s="15"/>
      <c r="E26" s="21">
        <v>44148</v>
      </c>
      <c r="F26" s="24"/>
      <c r="G26" s="24">
        <v>-708291.0804042467</v>
      </c>
      <c r="H26" s="15"/>
      <c r="I26" s="25"/>
      <c r="J26" s="61">
        <v>13084702</v>
      </c>
      <c r="K26" s="60" t="s">
        <v>54</v>
      </c>
      <c r="L26" s="41"/>
      <c r="M26" s="21"/>
      <c r="N26" s="24"/>
      <c r="O26" s="24"/>
    </row>
    <row r="27" spans="3:15" ht="12.75">
      <c r="C27" s="15"/>
      <c r="D27" s="15"/>
      <c r="E27" s="21">
        <v>44187</v>
      </c>
      <c r="F27" s="24"/>
      <c r="G27" s="24">
        <v>-604436.2378953575</v>
      </c>
      <c r="H27" s="15"/>
      <c r="I27" s="25"/>
      <c r="J27" s="61">
        <v>2.387586117E7</v>
      </c>
      <c r="K27" s="60" t="s">
        <v>55</v>
      </c>
      <c r="L27" s="41"/>
      <c r="M27" s="21"/>
      <c r="N27" s="24"/>
      <c r="O27" s="24"/>
    </row>
    <row r="28" spans="3:15" ht="12.75">
      <c r="C28" s="15" t="s">
        <v>41</v>
      </c>
      <c r="D28" s="15"/>
      <c r="E28" s="21">
        <v>44203</v>
      </c>
      <c r="F28" s="24"/>
      <c r="G28" s="24">
        <v>-2694283.07438552</v>
      </c>
      <c r="H28" s="15"/>
      <c r="I28" s="25"/>
      <c r="J28" s="61">
        <v>2.53778147E7</v>
      </c>
      <c r="K28" s="60" t="s">
        <v>56</v>
      </c>
      <c r="L28" s="41"/>
      <c r="M28" s="21"/>
      <c r="N28" s="24"/>
      <c r="O28" s="24"/>
    </row>
    <row r="29" spans="3:15" ht="12.75">
      <c r="C29" s="15"/>
      <c r="D29" s="15"/>
      <c r="E29" s="21">
        <v>44217</v>
      </c>
      <c r="F29" s="24"/>
      <c r="G29" s="24">
        <v>-361392.7994291717</v>
      </c>
      <c r="H29" s="15"/>
      <c r="I29" s="25"/>
      <c r="J29" s="61">
        <f>G47</f>
        <v>1.756625007E7</v>
      </c>
      <c r="K29" s="60" t="s">
        <v>57</v>
      </c>
      <c r="L29" s="41"/>
      <c r="M29" s="21"/>
      <c r="N29" s="24"/>
      <c r="O29" s="24"/>
    </row>
    <row r="30" spans="3:15" ht="12.75">
      <c r="C30" s="15"/>
      <c r="D30" s="15"/>
      <c r="E30" s="21">
        <v>44250</v>
      </c>
      <c r="F30" s="24"/>
      <c r="G30" s="24">
        <v>1305479.3024890032</v>
      </c>
      <c r="H30" s="15"/>
      <c r="I30" s="25"/>
      <c r="J30" s="61">
        <f>SUM(J25:J29)/5</f>
        <v>1.6475826388E7</v>
      </c>
      <c r="K30" s="60" t="s">
        <v>12</v>
      </c>
      <c r="L30" s="41"/>
      <c r="M30" s="21"/>
      <c r="N30" s="24"/>
      <c r="O30" s="24"/>
    </row>
    <row r="31" spans="3:15" ht="12.75">
      <c r="C31" s="15"/>
      <c r="D31" s="15"/>
      <c r="E31" s="21">
        <v>44265</v>
      </c>
      <c r="F31" s="24"/>
      <c r="G31" s="24">
        <v>-791886.85</v>
      </c>
      <c r="H31" s="15"/>
      <c r="I31" s="25"/>
      <c r="J31" s="25"/>
      <c r="K31" s="15"/>
      <c r="L31" s="41"/>
      <c r="M31" s="21"/>
      <c r="N31" s="24"/>
      <c r="O31" s="24"/>
    </row>
    <row r="32" spans="3:15" ht="12.75">
      <c r="C32" s="15"/>
      <c r="D32" s="15"/>
      <c r="E32" s="21">
        <v>44291</v>
      </c>
      <c r="F32" s="24"/>
      <c r="G32" s="24">
        <v>-1896480.8820525655</v>
      </c>
      <c r="H32" s="15"/>
      <c r="I32" s="25"/>
      <c r="J32" s="25"/>
      <c r="K32" s="15"/>
      <c r="L32" s="41"/>
      <c r="M32" s="21"/>
      <c r="N32" s="24"/>
      <c r="O32" s="24"/>
    </row>
    <row r="33" spans="3:15" ht="12.75">
      <c r="C33" s="15"/>
      <c r="D33" s="15"/>
      <c r="E33" s="21">
        <v>44307</v>
      </c>
      <c r="F33" s="24"/>
      <c r="G33" s="24">
        <v>-4275091.363933209</v>
      </c>
      <c r="H33" s="15"/>
      <c r="I33" s="25"/>
      <c r="J33" s="25"/>
      <c r="K33" s="15"/>
      <c r="L33" s="41"/>
      <c r="M33" s="21"/>
      <c r="N33" s="24"/>
      <c r="O33" s="24"/>
    </row>
    <row r="34" spans="3:15" ht="12.75">
      <c r="C34" s="15"/>
      <c r="D34" s="15"/>
      <c r="E34" s="21">
        <v>44319</v>
      </c>
      <c r="F34" s="24"/>
      <c r="G34" s="24">
        <v>4445278.028175208</v>
      </c>
      <c r="H34" s="15"/>
      <c r="I34" s="25"/>
      <c r="J34" s="25"/>
      <c r="K34" s="15"/>
      <c r="L34" s="41"/>
      <c r="M34" s="21"/>
      <c r="N34" s="24"/>
      <c r="O34" s="24"/>
    </row>
    <row r="35" spans="3:15" ht="12.75">
      <c r="C35" s="15"/>
      <c r="D35" s="15"/>
      <c r="E35" s="21">
        <v>44335</v>
      </c>
      <c r="F35" s="24"/>
      <c r="G35" s="24">
        <v>-2036771.0327262618</v>
      </c>
      <c r="H35" s="15"/>
      <c r="I35" s="25"/>
      <c r="J35" s="25"/>
      <c r="K35" s="15"/>
      <c r="L35" s="41"/>
      <c r="M35" s="21"/>
      <c r="N35" s="24"/>
      <c r="O35" s="24"/>
    </row>
    <row r="36" spans="3:15" ht="12.75">
      <c r="C36" s="15"/>
      <c r="D36" s="15"/>
      <c r="E36" s="21">
        <v>44344</v>
      </c>
      <c r="F36" s="24"/>
      <c r="G36" s="24">
        <v>2426470.90</v>
      </c>
      <c r="H36" s="15"/>
      <c r="I36" s="25"/>
      <c r="J36" s="25"/>
      <c r="K36" s="15"/>
      <c r="L36" s="41"/>
      <c r="M36" s="21"/>
      <c r="N36" s="24"/>
      <c r="O36" s="24"/>
    </row>
    <row r="37" spans="3:15" ht="12.75">
      <c r="C37" s="15"/>
      <c r="D37" s="15"/>
      <c r="E37" s="21">
        <v>44361</v>
      </c>
      <c r="F37" s="24"/>
      <c r="G37" s="24">
        <v>62222.97</v>
      </c>
      <c r="H37" s="15"/>
      <c r="I37" s="25"/>
      <c r="J37" s="25"/>
      <c r="K37" s="15"/>
      <c r="L37" s="41"/>
      <c r="M37" s="21"/>
      <c r="N37" s="24"/>
      <c r="O37" s="24"/>
    </row>
    <row r="38" spans="3:15" ht="12.75">
      <c r="C38" s="15"/>
      <c r="D38" s="15"/>
      <c r="E38" s="21">
        <v>44375</v>
      </c>
      <c r="F38" s="24"/>
      <c r="G38" s="24">
        <v>-776499.45</v>
      </c>
      <c r="H38" s="15"/>
      <c r="I38" s="25"/>
      <c r="J38" s="25"/>
      <c r="K38" s="15"/>
      <c r="L38" s="41"/>
      <c r="M38" s="21"/>
      <c r="N38" s="24"/>
      <c r="O38" s="24"/>
    </row>
    <row r="39" spans="3:14" ht="12.75">
      <c r="C39" s="15"/>
      <c r="D39" s="15"/>
      <c r="E39" s="21">
        <v>44405</v>
      </c>
      <c r="F39" s="24"/>
      <c r="G39" s="24">
        <v>-579342.82</v>
      </c>
      <c r="H39" s="15"/>
      <c r="I39" s="25"/>
      <c r="J39" s="25"/>
      <c r="K39" s="15"/>
      <c r="L39" s="41"/>
      <c r="M39" s="42"/>
      <c r="N39" s="39"/>
    </row>
    <row r="40" spans="3:14" ht="12.75">
      <c r="C40" s="15"/>
      <c r="D40" s="15"/>
      <c r="E40" s="21">
        <v>44468</v>
      </c>
      <c r="F40" s="24"/>
      <c r="G40" s="24">
        <v>-183694.06</v>
      </c>
      <c r="H40" s="15"/>
      <c r="I40" s="25"/>
      <c r="J40" s="25"/>
      <c r="K40" s="15"/>
      <c r="L40" s="41"/>
      <c r="M40" s="42"/>
      <c r="N40" s="39"/>
    </row>
    <row r="41" spans="3:14" ht="12.75">
      <c r="C41" s="15"/>
      <c r="D41" s="15"/>
      <c r="E41" s="21">
        <v>44475</v>
      </c>
      <c r="F41" s="24"/>
      <c r="G41" s="24">
        <v>-678255.01</v>
      </c>
      <c r="H41" s="15"/>
      <c r="I41" s="25"/>
      <c r="L41" s="39"/>
      <c r="M41" s="39"/>
      <c r="N41" s="39"/>
    </row>
    <row r="42" spans="3:14" ht="12.75">
      <c r="C42" s="15"/>
      <c r="D42" s="15"/>
      <c r="E42" s="21">
        <v>44483</v>
      </c>
      <c r="F42" s="24"/>
      <c r="G42" s="24">
        <v>-777167.20</v>
      </c>
      <c r="H42" s="15"/>
      <c r="I42" s="25"/>
      <c r="L42" s="39"/>
      <c r="M42" s="43"/>
      <c r="N42" s="39"/>
    </row>
    <row r="43" spans="3:14" ht="12.75">
      <c r="C43" s="15"/>
      <c r="D43" s="15"/>
      <c r="E43" s="21">
        <v>44505</v>
      </c>
      <c r="F43" s="24"/>
      <c r="G43" s="24">
        <v>-706515.64</v>
      </c>
      <c r="H43" s="15"/>
      <c r="I43" s="25"/>
      <c r="L43" s="39"/>
      <c r="M43" s="43"/>
      <c r="N43" s="39"/>
    </row>
    <row r="44" spans="3:14" ht="12.75">
      <c r="C44" s="15"/>
      <c r="D44" s="15"/>
      <c r="E44" s="21">
        <v>44551</v>
      </c>
      <c r="F44" s="24"/>
      <c r="G44" s="24">
        <v>-324997.19</v>
      </c>
      <c r="H44" s="15"/>
      <c r="I44" s="25"/>
      <c r="L44" s="39"/>
      <c r="M44" s="43"/>
      <c r="N44" s="39"/>
    </row>
    <row r="45" spans="3:14" ht="12.75">
      <c r="C45" s="15"/>
      <c r="D45" s="15"/>
      <c r="E45" s="21">
        <v>44558</v>
      </c>
      <c r="F45" s="24"/>
      <c r="G45" s="24">
        <v>5629442.09</v>
      </c>
      <c r="H45" s="15"/>
      <c r="I45" s="25"/>
      <c r="L45" s="39"/>
      <c r="M45" s="43"/>
      <c r="N45" s="39"/>
    </row>
    <row r="46" spans="3:15" ht="4.5" customHeight="1">
      <c r="C46" s="15"/>
      <c r="D46" s="15"/>
      <c r="E46" s="21"/>
      <c r="F46" s="15"/>
      <c r="G46" s="24"/>
      <c r="H46" s="15"/>
      <c r="I46" s="25"/>
      <c r="J46" s="25"/>
      <c r="O46" s="31"/>
    </row>
    <row r="47" spans="3:13" ht="12.75">
      <c r="C47" s="15" t="s">
        <v>5</v>
      </c>
      <c r="D47" s="15"/>
      <c r="E47" s="21" t="e">
        <f>+E8</f>
        <v>#REF!</v>
      </c>
      <c r="F47" s="15"/>
      <c r="G47" s="102">
        <v>1.756625007E7</v>
      </c>
      <c r="H47" s="15"/>
      <c r="I47" s="24">
        <f>+SUMIF($G$21:$G$46,"&lt;0",$G$21:$G$46)+G30+G34+G36+G37</f>
        <v>-1.5873434125091404E7</v>
      </c>
      <c r="J47" s="15" t="s">
        <v>14</v>
      </c>
      <c r="M47" s="94"/>
    </row>
    <row r="48" spans="3:13" ht="12.75">
      <c r="C48" s="15"/>
      <c r="D48" s="15"/>
      <c r="E48" s="15"/>
      <c r="F48" s="15"/>
      <c r="G48" s="15"/>
      <c r="H48" s="15"/>
      <c r="I48" s="24">
        <f>+SUMIF($G$21:$G$46,"&gt;0",$G$21:$G$46)-G30-G34-G36-G37</f>
        <v>5629442.090000001</v>
      </c>
      <c r="J48" s="15" t="s">
        <v>15</v>
      </c>
      <c r="M48" s="31"/>
    </row>
    <row r="49" spans="3:13" ht="12.75">
      <c r="C49" s="14" t="s">
        <v>0</v>
      </c>
      <c r="G49" s="29" t="e">
        <f>+XIRR(G21:G47,E21:E47,0.1)</f>
        <v>#REF!</v>
      </c>
      <c r="H49" s="15"/>
      <c r="M49" s="35"/>
    </row>
    <row r="50" spans="3:9" ht="12.75">
      <c r="C50" s="15"/>
      <c r="D50" s="15"/>
      <c r="E50" s="15"/>
      <c r="F50" s="15"/>
      <c r="G50" s="15"/>
      <c r="H50" s="15"/>
      <c r="I50" s="24"/>
    </row>
    <row r="51" spans="3:13" ht="12.75">
      <c r="C51" s="15"/>
      <c r="D51" s="15"/>
      <c r="E51" s="21"/>
      <c r="F51" s="24"/>
      <c r="G51" s="24"/>
      <c r="H51" s="15"/>
      <c r="M51" s="35"/>
    </row>
    <row r="52" spans="3:13" ht="12.75">
      <c r="C52" s="52"/>
      <c r="D52" s="52"/>
      <c r="E52" s="21"/>
      <c r="F52" s="24"/>
      <c r="G52" s="24"/>
      <c r="H52" s="15"/>
      <c r="M52" s="35"/>
    </row>
    <row r="53" spans="3:13" ht="12.75">
      <c r="C53" s="52"/>
      <c r="D53" s="52"/>
      <c r="E53" s="21"/>
      <c r="F53" s="24"/>
      <c r="G53" s="24"/>
      <c r="H53" s="15"/>
      <c r="M53" s="35"/>
    </row>
    <row r="54" spans="3:13" ht="12.75">
      <c r="C54" s="52"/>
      <c r="D54" s="52"/>
      <c r="E54" s="53"/>
      <c r="F54" s="52"/>
      <c r="G54" s="53"/>
      <c r="H54" s="15"/>
      <c r="M54" s="35"/>
    </row>
    <row r="55" spans="3:8" ht="12.75">
      <c r="C55" s="52"/>
      <c r="D55" s="52"/>
      <c r="E55" s="53"/>
      <c r="F55" s="52"/>
      <c r="G55" s="53"/>
      <c r="H55" s="14"/>
    </row>
    <row r="56" spans="3:8" ht="12.75">
      <c r="C56" s="52"/>
      <c r="D56" s="52"/>
      <c r="E56" s="53"/>
      <c r="F56" s="53"/>
      <c r="G56" s="53"/>
      <c r="H56" s="14"/>
    </row>
    <row r="57" spans="3:17" ht="12.75">
      <c r="C57" s="52"/>
      <c r="D57" s="52"/>
      <c r="E57" s="52"/>
      <c r="F57" s="52"/>
      <c r="G57" s="52"/>
      <c r="H57" s="14"/>
      <c r="Q57" s="38"/>
    </row>
    <row r="58" spans="3:17" ht="13.5" thickBot="1">
      <c r="C58" s="47" t="s">
        <v>9</v>
      </c>
      <c r="D58" s="47"/>
      <c r="E58" s="48">
        <f>E10</f>
        <v>-0.025818613888152122</v>
      </c>
      <c r="F58" s="54"/>
      <c r="G58" s="58"/>
      <c r="H58" s="14"/>
      <c r="Q58" s="38"/>
    </row>
    <row r="59" spans="3:17" ht="13.5" thickTop="1">
      <c r="C59" s="47"/>
      <c r="D59" s="47"/>
      <c r="E59" s="49"/>
      <c r="F59" s="54"/>
      <c r="G59" s="70"/>
      <c r="H59" s="14"/>
      <c r="Q59" s="38"/>
    </row>
    <row r="60" spans="3:17" ht="13.5" thickBot="1">
      <c r="C60" s="47" t="s">
        <v>32</v>
      </c>
      <c r="D60" s="47"/>
      <c r="E60" s="48">
        <f>E12</f>
        <v>0.027118700420722106</v>
      </c>
      <c r="F60" s="54"/>
      <c r="G60" s="58"/>
      <c r="H60" s="14"/>
      <c r="Q60" s="38"/>
    </row>
    <row r="61" spans="3:17" ht="13.5" thickTop="1">
      <c r="C61" s="47"/>
      <c r="D61" s="47"/>
      <c r="E61" s="49"/>
      <c r="F61" s="54"/>
      <c r="G61" s="70"/>
      <c r="H61" s="14"/>
      <c r="Q61" s="38"/>
    </row>
    <row r="62" spans="3:8" ht="13.5" thickBot="1">
      <c r="C62" s="47" t="s">
        <v>7</v>
      </c>
      <c r="D62" s="47"/>
      <c r="E62" s="51" t="e">
        <f>+E15</f>
        <v>#REF!</v>
      </c>
      <c r="F62" s="54"/>
      <c r="G62" s="70"/>
      <c r="H62" s="14"/>
    </row>
    <row r="63" spans="3:8" ht="5.1" customHeight="1" thickTop="1">
      <c r="C63" s="36"/>
      <c r="D63" s="14"/>
      <c r="E63" s="33"/>
      <c r="F63" s="33"/>
      <c r="G63" s="71"/>
      <c r="H63" s="14"/>
    </row>
    <row r="64" spans="3:8" ht="12.75">
      <c r="C64" s="36"/>
      <c r="D64" s="14"/>
      <c r="E64" s="37"/>
      <c r="F64" s="37"/>
      <c r="G64" s="72"/>
      <c r="H64" s="14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382722-268D-452E-985D-FBE4101D4E25}">
  <dimension ref="B4:Q64"/>
  <sheetViews>
    <sheetView view="pageLayout" zoomScaleNormal="100" workbookViewId="0" topLeftCell="A22">
      <selection pane="topLeft" activeCell="A22" sqref="A1:XFD1048576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39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62" t="s">
        <v>11</v>
      </c>
      <c r="D10" s="62"/>
      <c r="E10" s="63">
        <f>G10*C19/(J30)</f>
        <v>-0.018002424123705216</v>
      </c>
      <c r="F10" s="18"/>
      <c r="G10" s="100">
        <v>-425383</v>
      </c>
      <c r="H10" s="7"/>
      <c r="I10" s="12"/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15" ht="12.75">
      <c r="C12" s="62" t="s">
        <v>2</v>
      </c>
      <c r="D12" s="62"/>
      <c r="E12" s="63">
        <f>G12*C19/(J30)</f>
        <v>0.018908929378334022</v>
      </c>
      <c r="F12" s="18"/>
      <c r="G12" s="100">
        <v>446803</v>
      </c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14" ht="15.75">
      <c r="C14" s="26" t="s">
        <v>7</v>
      </c>
      <c r="D14" s="26"/>
      <c r="E14" s="11"/>
      <c r="F14" s="26"/>
      <c r="G14" s="11"/>
      <c r="H14" s="5"/>
      <c r="I14" s="27"/>
      <c r="J14" s="39"/>
      <c r="K14" s="39"/>
      <c r="L14" s="39"/>
      <c r="M14" s="39"/>
      <c r="N14" s="39"/>
    </row>
    <row r="15" spans="3:14" ht="12.75" customHeight="1">
      <c r="C15" s="18" t="s">
        <v>8</v>
      </c>
      <c r="D15" s="18"/>
      <c r="E15" s="8" t="e">
        <f>G49</f>
        <v>#REF!</v>
      </c>
      <c r="F15" s="18"/>
      <c r="G15" s="28"/>
      <c r="H15" s="8"/>
      <c r="I15" s="27"/>
      <c r="J15" s="46"/>
      <c r="K15" s="15"/>
      <c r="L15" s="41"/>
      <c r="M15" s="42"/>
      <c r="N15" s="39"/>
    </row>
    <row r="16" spans="3:14" ht="12.75">
      <c r="C16" s="18" t="s">
        <v>10</v>
      </c>
      <c r="D16" s="18"/>
      <c r="E16" s="34">
        <f>-(G47+I48)/I47</f>
        <v>1.57030850632066</v>
      </c>
      <c r="F16" s="18"/>
      <c r="G16" s="10"/>
      <c r="H16" s="7"/>
      <c r="J16" s="46"/>
      <c r="K16" s="15"/>
      <c r="L16" s="41"/>
      <c r="M16" s="42"/>
      <c r="N16" s="43"/>
    </row>
    <row r="17" spans="3:14" ht="12.75">
      <c r="C17" s="18"/>
      <c r="D17" s="18"/>
      <c r="E17" s="18"/>
      <c r="F17" s="18"/>
      <c r="G17" s="7"/>
      <c r="J17" s="46"/>
      <c r="K17" s="15"/>
      <c r="L17" s="41"/>
      <c r="M17" s="42"/>
      <c r="N17" s="39"/>
    </row>
    <row r="18" spans="3:14" ht="15.75">
      <c r="C18" s="19"/>
      <c r="D18" s="20"/>
      <c r="E18" s="20"/>
      <c r="F18" s="20"/>
      <c r="I18" s="21"/>
      <c r="J18" s="46"/>
      <c r="K18" s="15"/>
      <c r="L18" s="41"/>
      <c r="M18" s="42"/>
      <c r="N18" s="43"/>
    </row>
    <row r="19" spans="3:14" ht="12.75">
      <c r="C19" s="22">
        <v>1</v>
      </c>
      <c r="D19" s="15"/>
      <c r="E19" s="15"/>
      <c r="F19" s="15"/>
      <c r="G19" s="23"/>
      <c r="H19" s="15"/>
      <c r="I19" s="15"/>
      <c r="J19" s="46"/>
      <c r="K19" s="15"/>
      <c r="L19" s="41"/>
      <c r="M19" s="42"/>
      <c r="N19" s="39"/>
    </row>
    <row r="20" spans="3:14" ht="12.75">
      <c r="C20" s="15"/>
      <c r="D20" s="15"/>
      <c r="E20" s="21"/>
      <c r="F20" s="24"/>
      <c r="G20" s="24"/>
      <c r="H20" s="15"/>
      <c r="I20" s="25"/>
      <c r="J20" s="46"/>
      <c r="K20" s="15"/>
      <c r="L20" s="41"/>
      <c r="M20" s="42"/>
      <c r="N20" s="39"/>
    </row>
    <row r="21" spans="3:15" ht="12.75">
      <c r="C21" s="15" t="s">
        <v>16</v>
      </c>
      <c r="D21" s="15"/>
      <c r="E21" s="21">
        <v>43857</v>
      </c>
      <c r="F21" s="24"/>
      <c r="G21" s="24">
        <v>-3652808.958367026</v>
      </c>
      <c r="H21" s="15"/>
      <c r="I21" s="25"/>
      <c r="J21" s="46"/>
      <c r="K21" s="15"/>
      <c r="L21" s="41"/>
      <c r="M21" s="42"/>
      <c r="N21" s="39"/>
      <c r="O21" s="25"/>
    </row>
    <row r="22" spans="3:15" ht="12.75">
      <c r="C22" s="15"/>
      <c r="D22" s="15"/>
      <c r="E22" s="21">
        <v>43985</v>
      </c>
      <c r="F22" s="24"/>
      <c r="G22" s="24">
        <v>-3911046.0719230827</v>
      </c>
      <c r="H22" s="15"/>
      <c r="I22" s="25"/>
      <c r="J22" s="46"/>
      <c r="K22" s="15"/>
      <c r="L22" s="41"/>
      <c r="M22" s="44"/>
      <c r="N22" s="43"/>
      <c r="O22" s="25"/>
    </row>
    <row r="23" spans="3:15" ht="12.75">
      <c r="C23" s="15"/>
      <c r="D23" s="15"/>
      <c r="E23" s="21">
        <v>44076</v>
      </c>
      <c r="F23" s="24"/>
      <c r="G23" s="24">
        <v>-3677727.3399943775</v>
      </c>
      <c r="H23" s="15"/>
      <c r="I23" s="25"/>
      <c r="J23" s="46"/>
      <c r="K23" s="15"/>
      <c r="L23" s="41"/>
      <c r="M23" s="44"/>
      <c r="N23" s="43"/>
      <c r="O23" s="25"/>
    </row>
    <row r="24" spans="3:15" ht="15.75">
      <c r="C24" s="15"/>
      <c r="D24" s="15"/>
      <c r="E24" s="21">
        <v>44117</v>
      </c>
      <c r="F24" s="24"/>
      <c r="G24" s="24">
        <v>-4452063.890881313</v>
      </c>
      <c r="H24" s="15"/>
      <c r="I24" s="25"/>
      <c r="J24" s="73" t="s">
        <v>31</v>
      </c>
      <c r="K24" s="60"/>
      <c r="L24" s="41"/>
      <c r="M24" s="42"/>
      <c r="N24" s="39"/>
      <c r="O24" s="25"/>
    </row>
    <row r="25" spans="3:15" ht="12.75">
      <c r="C25" s="15"/>
      <c r="D25" s="15"/>
      <c r="E25" s="21">
        <v>44141</v>
      </c>
      <c r="F25" s="24"/>
      <c r="G25" s="24">
        <v>-3975784.6713756276</v>
      </c>
      <c r="H25" s="15"/>
      <c r="I25" s="25"/>
      <c r="J25" s="61">
        <v>2474504</v>
      </c>
      <c r="K25" s="60" t="s">
        <v>53</v>
      </c>
      <c r="L25" s="41"/>
      <c r="M25" s="21"/>
      <c r="N25" s="24"/>
      <c r="O25" s="24"/>
    </row>
    <row r="26" spans="3:15" ht="12.75">
      <c r="C26" s="15"/>
      <c r="D26" s="15"/>
      <c r="E26" s="21">
        <v>44148</v>
      </c>
      <c r="F26" s="24"/>
      <c r="G26" s="24">
        <v>-2073851.9523675097</v>
      </c>
      <c r="H26" s="15"/>
      <c r="I26" s="25"/>
      <c r="J26" s="61">
        <v>13084702</v>
      </c>
      <c r="K26" s="60" t="s">
        <v>54</v>
      </c>
      <c r="L26" s="41"/>
      <c r="M26" s="21"/>
      <c r="N26" s="24"/>
      <c r="O26" s="24"/>
    </row>
    <row r="27" spans="3:15" ht="12.75">
      <c r="C27" s="15"/>
      <c r="D27" s="15"/>
      <c r="E27" s="21">
        <v>44187</v>
      </c>
      <c r="F27" s="24"/>
      <c r="G27" s="24">
        <v>-1769768.5412785446</v>
      </c>
      <c r="H27" s="15"/>
      <c r="I27" s="25"/>
      <c r="J27" s="61">
        <v>2.387586117E7</v>
      </c>
      <c r="K27" s="60" t="s">
        <v>55</v>
      </c>
      <c r="L27" s="41"/>
      <c r="M27" s="21"/>
      <c r="N27" s="24"/>
      <c r="O27" s="24"/>
    </row>
    <row r="28" spans="3:15" ht="12.75">
      <c r="C28" s="15" t="s">
        <v>41</v>
      </c>
      <c r="D28" s="15"/>
      <c r="E28" s="21">
        <v>44203</v>
      </c>
      <c r="F28" s="24"/>
      <c r="G28" s="24">
        <v>-7888768.288692275</v>
      </c>
      <c r="H28" s="15"/>
      <c r="I28" s="25"/>
      <c r="J28" s="61">
        <v>2.53778147E7</v>
      </c>
      <c r="K28" s="60" t="s">
        <v>56</v>
      </c>
      <c r="L28" s="41"/>
      <c r="M28" s="21"/>
      <c r="N28" s="24"/>
      <c r="O28" s="24"/>
    </row>
    <row r="29" spans="3:15" ht="12.75">
      <c r="C29" s="15"/>
      <c r="D29" s="15"/>
      <c r="E29" s="21">
        <v>44217</v>
      </c>
      <c r="F29" s="24"/>
      <c r="G29" s="24">
        <v>-1058145.7022443311</v>
      </c>
      <c r="H29" s="15"/>
      <c r="I29" s="25"/>
      <c r="J29" s="61">
        <f>G47</f>
        <v>5.333315143E7</v>
      </c>
      <c r="K29" s="60" t="s">
        <v>57</v>
      </c>
      <c r="L29" s="41"/>
      <c r="M29" s="21"/>
      <c r="N29" s="24"/>
      <c r="O29" s="24"/>
    </row>
    <row r="30" spans="3:15" ht="12.75">
      <c r="C30" s="15"/>
      <c r="D30" s="15"/>
      <c r="E30" s="21">
        <v>44250</v>
      </c>
      <c r="F30" s="24"/>
      <c r="G30" s="24">
        <v>3822398.552155989</v>
      </c>
      <c r="H30" s="15"/>
      <c r="I30" s="25"/>
      <c r="J30" s="61">
        <f>SUM(J25:J29)/5</f>
        <v>2.3629206660000004E7</v>
      </c>
      <c r="K30" s="60" t="s">
        <v>12</v>
      </c>
      <c r="L30" s="41"/>
      <c r="M30" s="21"/>
      <c r="N30" s="24"/>
      <c r="O30" s="24"/>
    </row>
    <row r="31" spans="3:15" ht="12.75">
      <c r="C31" s="15"/>
      <c r="D31" s="15"/>
      <c r="E31" s="21">
        <v>44265</v>
      </c>
      <c r="F31" s="24"/>
      <c r="G31" s="24">
        <v>-2318617.50</v>
      </c>
      <c r="H31" s="15"/>
      <c r="I31" s="25"/>
      <c r="J31" s="25"/>
      <c r="K31" s="15"/>
      <c r="L31" s="41"/>
      <c r="M31" s="21"/>
      <c r="N31" s="24"/>
      <c r="O31" s="24"/>
    </row>
    <row r="32" spans="3:15" ht="12.75">
      <c r="C32" s="15"/>
      <c r="D32" s="15"/>
      <c r="E32" s="21">
        <v>44291</v>
      </c>
      <c r="F32" s="24"/>
      <c r="G32" s="24">
        <v>-5552830.875327673</v>
      </c>
      <c r="H32" s="15"/>
      <c r="I32" s="25"/>
      <c r="J32" s="25"/>
      <c r="K32" s="15"/>
      <c r="L32" s="41"/>
      <c r="M32" s="21"/>
      <c r="N32" s="24"/>
      <c r="O32" s="24"/>
    </row>
    <row r="33" spans="3:15" ht="12.75">
      <c r="C33" s="15"/>
      <c r="D33" s="15"/>
      <c r="E33" s="21">
        <v>44307</v>
      </c>
      <c r="F33" s="24"/>
      <c r="G33" s="24">
        <v>-1.251732065710054E7</v>
      </c>
      <c r="H33" s="15"/>
      <c r="I33" s="25"/>
      <c r="J33" s="25"/>
      <c r="K33" s="15"/>
      <c r="L33" s="41"/>
      <c r="M33" s="21"/>
      <c r="N33" s="24"/>
      <c r="O33" s="24"/>
    </row>
    <row r="34" spans="3:15" ht="12.75">
      <c r="C34" s="15"/>
      <c r="D34" s="15"/>
      <c r="E34" s="21">
        <v>44319</v>
      </c>
      <c r="F34" s="24"/>
      <c r="G34" s="24">
        <v>1.3015621363304513E7</v>
      </c>
      <c r="H34" s="15"/>
      <c r="I34" s="25"/>
      <c r="J34" s="25"/>
      <c r="K34" s="15"/>
      <c r="L34" s="41"/>
      <c r="M34" s="21"/>
      <c r="N34" s="24"/>
      <c r="O34" s="24"/>
    </row>
    <row r="35" spans="3:15" ht="12.75">
      <c r="C35" s="15"/>
      <c r="D35" s="15"/>
      <c r="E35" s="21">
        <v>44335</v>
      </c>
      <c r="F35" s="24"/>
      <c r="G35" s="24">
        <v>-5963595.617398935</v>
      </c>
      <c r="H35" s="15"/>
      <c r="I35" s="25"/>
      <c r="J35" s="25"/>
      <c r="K35" s="15"/>
      <c r="L35" s="41"/>
      <c r="M35" s="21"/>
      <c r="N35" s="24"/>
      <c r="O35" s="24"/>
    </row>
    <row r="36" spans="3:15" ht="12.75">
      <c r="C36" s="15"/>
      <c r="D36" s="15"/>
      <c r="E36" s="21">
        <v>44344</v>
      </c>
      <c r="F36" s="24"/>
      <c r="G36" s="24">
        <v>7104623.45</v>
      </c>
      <c r="H36" s="15"/>
      <c r="I36" s="25"/>
      <c r="J36" s="25"/>
      <c r="K36" s="15"/>
      <c r="L36" s="41"/>
      <c r="M36" s="21"/>
      <c r="N36" s="24"/>
      <c r="O36" s="24"/>
    </row>
    <row r="37" spans="3:15" ht="12.75">
      <c r="C37" s="15"/>
      <c r="D37" s="15"/>
      <c r="E37" s="21">
        <v>44361</v>
      </c>
      <c r="F37" s="24"/>
      <c r="G37" s="24">
        <v>182186.73</v>
      </c>
      <c r="H37" s="15"/>
      <c r="I37" s="25"/>
      <c r="J37" s="25"/>
      <c r="K37" s="15"/>
      <c r="L37" s="41"/>
      <c r="M37" s="21"/>
      <c r="N37" s="24"/>
      <c r="O37" s="24"/>
    </row>
    <row r="38" spans="3:15" ht="12.75">
      <c r="C38" s="15"/>
      <c r="D38" s="15"/>
      <c r="E38" s="21">
        <v>44375</v>
      </c>
      <c r="F38" s="24"/>
      <c r="G38" s="24">
        <v>-2424572.16</v>
      </c>
      <c r="H38" s="15"/>
      <c r="I38" s="25"/>
      <c r="J38" s="25"/>
      <c r="K38" s="15"/>
      <c r="L38" s="41"/>
      <c r="M38" s="21"/>
      <c r="N38" s="24"/>
      <c r="O38" s="24"/>
    </row>
    <row r="39" spans="3:14" ht="12.75">
      <c r="C39" s="15"/>
      <c r="D39" s="15"/>
      <c r="E39" s="21">
        <v>44405</v>
      </c>
      <c r="F39" s="24"/>
      <c r="G39" s="24">
        <v>-1696295.88</v>
      </c>
      <c r="H39" s="15"/>
      <c r="I39" s="25"/>
      <c r="J39" s="25"/>
      <c r="K39" s="15"/>
      <c r="L39" s="41"/>
      <c r="M39" s="42"/>
      <c r="N39" s="39"/>
    </row>
    <row r="40" spans="3:14" ht="12.75">
      <c r="C40" s="15"/>
      <c r="D40" s="15"/>
      <c r="E40" s="21">
        <v>44468</v>
      </c>
      <c r="F40" s="24"/>
      <c r="G40" s="24">
        <v>-537849.91</v>
      </c>
      <c r="H40" s="15"/>
      <c r="I40" s="25"/>
      <c r="J40" s="25"/>
      <c r="K40" s="15"/>
      <c r="L40" s="41"/>
      <c r="M40" s="42"/>
      <c r="N40" s="39"/>
    </row>
    <row r="41" spans="3:14" ht="12.75">
      <c r="C41" s="15"/>
      <c r="D41" s="15"/>
      <c r="E41" s="21">
        <v>44475</v>
      </c>
      <c r="F41" s="24"/>
      <c r="G41" s="24">
        <v>-1985907.37</v>
      </c>
      <c r="H41" s="15"/>
      <c r="I41" s="25"/>
      <c r="L41" s="39"/>
      <c r="M41" s="39"/>
      <c r="N41" s="39"/>
    </row>
    <row r="42" spans="3:14" ht="12.75">
      <c r="C42" s="15"/>
      <c r="D42" s="15"/>
      <c r="E42" s="21">
        <v>44483</v>
      </c>
      <c r="F42" s="24"/>
      <c r="G42" s="24">
        <v>-2275518.85</v>
      </c>
      <c r="H42" s="15"/>
      <c r="I42" s="25"/>
      <c r="L42" s="39"/>
      <c r="M42" s="43"/>
      <c r="N42" s="39"/>
    </row>
    <row r="43" spans="3:14" ht="12.75">
      <c r="C43" s="15"/>
      <c r="D43" s="15"/>
      <c r="E43" s="21">
        <v>44505</v>
      </c>
      <c r="F43" s="24"/>
      <c r="G43" s="24">
        <v>-2068653.49</v>
      </c>
      <c r="H43" s="15"/>
      <c r="I43" s="25"/>
      <c r="L43" s="39"/>
      <c r="M43" s="43"/>
      <c r="N43" s="39"/>
    </row>
    <row r="44" spans="3:14" ht="12.75">
      <c r="C44" s="15"/>
      <c r="D44" s="15"/>
      <c r="E44" s="21">
        <v>44551</v>
      </c>
      <c r="F44" s="24"/>
      <c r="G44" s="24">
        <v>-951580.62</v>
      </c>
      <c r="H44" s="15"/>
      <c r="I44" s="25"/>
      <c r="L44" s="39"/>
      <c r="M44" s="43"/>
      <c r="N44" s="39"/>
    </row>
    <row r="45" spans="3:14" ht="12.75">
      <c r="C45" s="15"/>
      <c r="D45" s="15"/>
      <c r="E45" s="21">
        <v>44558</v>
      </c>
      <c r="F45" s="24"/>
      <c r="G45" s="24">
        <v>1.988700242E7</v>
      </c>
      <c r="H45" s="15"/>
      <c r="I45" s="25"/>
      <c r="L45" s="39"/>
      <c r="M45" s="43"/>
      <c r="N45" s="39"/>
    </row>
    <row r="46" spans="3:15" ht="4.5" customHeight="1">
      <c r="C46" s="15"/>
      <c r="D46" s="15"/>
      <c r="E46" s="21"/>
      <c r="F46" s="15"/>
      <c r="G46" s="24"/>
      <c r="H46" s="15"/>
      <c r="I46" s="25"/>
      <c r="J46" s="25"/>
      <c r="O46" s="31"/>
    </row>
    <row r="47" spans="3:13" ht="12.75">
      <c r="C47" s="15" t="s">
        <v>5</v>
      </c>
      <c r="D47" s="15"/>
      <c r="E47" s="21" t="e">
        <f>+E8</f>
        <v>#REF!</v>
      </c>
      <c r="F47" s="15"/>
      <c r="G47" s="102">
        <v>5.333315143E7</v>
      </c>
      <c r="H47" s="15"/>
      <c r="I47" s="24">
        <f>+SUMIF($G$21:$G$46,"&lt;0",$G$21:$G$46)+G30+G34+G36+G37</f>
        <v>-4.6627878251490735E7</v>
      </c>
      <c r="J47" s="15" t="s">
        <v>14</v>
      </c>
      <c r="M47" s="94"/>
    </row>
    <row r="48" spans="3:13" ht="12.75">
      <c r="C48" s="15"/>
      <c r="D48" s="15"/>
      <c r="E48" s="15"/>
      <c r="F48" s="15"/>
      <c r="G48" s="15"/>
      <c r="H48" s="15"/>
      <c r="I48" s="24">
        <f>+SUMIF($G$21:$G$46,"&gt;0",$G$21:$G$46)-G30-G34-G36-G37</f>
        <v>1.988700242000001E7</v>
      </c>
      <c r="J48" s="15" t="s">
        <v>15</v>
      </c>
      <c r="M48" s="31"/>
    </row>
    <row r="49" spans="3:13" ht="12.75">
      <c r="C49" s="14" t="s">
        <v>0</v>
      </c>
      <c r="G49" s="29" t="e">
        <f>+XIRR(G21:G47,E21:E47,0.1)</f>
        <v>#REF!</v>
      </c>
      <c r="H49" s="15"/>
      <c r="M49" s="35"/>
    </row>
    <row r="50" spans="3:9" ht="12.75">
      <c r="C50" s="15"/>
      <c r="D50" s="15"/>
      <c r="E50" s="15"/>
      <c r="F50" s="15"/>
      <c r="G50" s="15"/>
      <c r="H50" s="15"/>
      <c r="I50" s="24"/>
    </row>
    <row r="51" spans="3:13" ht="12.75">
      <c r="C51" s="15"/>
      <c r="D51" s="15"/>
      <c r="E51" s="21"/>
      <c r="F51" s="24"/>
      <c r="G51" s="24"/>
      <c r="H51" s="15"/>
      <c r="M51" s="35"/>
    </row>
    <row r="52" spans="3:13" ht="12.75">
      <c r="C52" s="52"/>
      <c r="D52" s="52"/>
      <c r="E52" s="21"/>
      <c r="F52" s="24"/>
      <c r="G52" s="24"/>
      <c r="H52" s="15"/>
      <c r="M52" s="35"/>
    </row>
    <row r="53" spans="3:13" ht="12.75">
      <c r="C53" s="52"/>
      <c r="D53" s="52"/>
      <c r="E53" s="21"/>
      <c r="F53" s="24"/>
      <c r="G53" s="24"/>
      <c r="H53" s="15"/>
      <c r="M53" s="35"/>
    </row>
    <row r="54" spans="3:13" ht="12.75">
      <c r="C54" s="52"/>
      <c r="D54" s="52"/>
      <c r="E54" s="53"/>
      <c r="F54" s="52"/>
      <c r="G54" s="53"/>
      <c r="H54" s="15"/>
      <c r="M54" s="35"/>
    </row>
    <row r="55" spans="3:8" ht="12.75">
      <c r="C55" s="52"/>
      <c r="D55" s="52"/>
      <c r="E55" s="53"/>
      <c r="F55" s="52"/>
      <c r="G55" s="53"/>
      <c r="H55" s="14"/>
    </row>
    <row r="56" spans="3:8" ht="12.75">
      <c r="C56" s="52"/>
      <c r="D56" s="52"/>
      <c r="E56" s="53"/>
      <c r="F56" s="53"/>
      <c r="G56" s="53"/>
      <c r="H56" s="14"/>
    </row>
    <row r="57" spans="3:17" ht="12.75">
      <c r="C57" s="52"/>
      <c r="D57" s="52"/>
      <c r="E57" s="52"/>
      <c r="F57" s="52"/>
      <c r="G57" s="52"/>
      <c r="H57" s="14"/>
      <c r="Q57" s="38"/>
    </row>
    <row r="58" spans="3:17" ht="13.5" thickBot="1">
      <c r="C58" s="47" t="s">
        <v>9</v>
      </c>
      <c r="D58" s="47"/>
      <c r="E58" s="48">
        <f>E10</f>
        <v>-0.018002424123705216</v>
      </c>
      <c r="F58" s="54"/>
      <c r="G58" s="58"/>
      <c r="H58" s="14"/>
      <c r="Q58" s="38"/>
    </row>
    <row r="59" spans="3:17" ht="13.5" thickTop="1">
      <c r="C59" s="47"/>
      <c r="D59" s="47"/>
      <c r="E59" s="49"/>
      <c r="F59" s="54"/>
      <c r="G59" s="70"/>
      <c r="H59" s="14"/>
      <c r="Q59" s="38"/>
    </row>
    <row r="60" spans="3:17" ht="13.5" thickBot="1">
      <c r="C60" s="47" t="s">
        <v>32</v>
      </c>
      <c r="D60" s="47"/>
      <c r="E60" s="48">
        <f>E12</f>
        <v>0.018908929378334022</v>
      </c>
      <c r="F60" s="54"/>
      <c r="G60" s="58"/>
      <c r="H60" s="14"/>
      <c r="Q60" s="38"/>
    </row>
    <row r="61" spans="3:17" ht="13.5" thickTop="1">
      <c r="C61" s="47"/>
      <c r="D61" s="47"/>
      <c r="E61" s="49"/>
      <c r="F61" s="54"/>
      <c r="G61" s="70"/>
      <c r="H61" s="14"/>
      <c r="Q61" s="38"/>
    </row>
    <row r="62" spans="3:8" ht="13.5" thickBot="1">
      <c r="C62" s="47" t="s">
        <v>7</v>
      </c>
      <c r="D62" s="47"/>
      <c r="E62" s="51" t="e">
        <f>+E15</f>
        <v>#REF!</v>
      </c>
      <c r="F62" s="54"/>
      <c r="G62" s="70"/>
      <c r="H62" s="14"/>
    </row>
    <row r="63" spans="3:8" ht="5.1" customHeight="1" thickTop="1">
      <c r="C63" s="36"/>
      <c r="D63" s="14"/>
      <c r="E63" s="33"/>
      <c r="F63" s="33"/>
      <c r="G63" s="71"/>
      <c r="H63" s="14"/>
    </row>
    <row r="64" spans="3:8" ht="12.75">
      <c r="C64" s="36"/>
      <c r="D64" s="14"/>
      <c r="E64" s="37"/>
      <c r="F64" s="37"/>
      <c r="G64" s="72"/>
      <c r="H64" s="14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91110F-AFA9-44F7-8923-6CB93AEC12D8}">
  <sheetPr>
    <tabColor rgb="FF92D050"/>
  </sheetPr>
  <dimension ref="B4:Q63"/>
  <sheetViews>
    <sheetView view="pageLayout" zoomScaleNormal="100" workbookViewId="0" topLeftCell="A13">
      <selection pane="topLeft" activeCell="G46" sqref="G46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43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/>
    </row>
    <row r="10" spans="3:15" ht="12.75">
      <c r="C10" s="18"/>
      <c r="D10" s="18"/>
      <c r="E10" s="10"/>
      <c r="F10" s="18"/>
      <c r="G10" s="57"/>
      <c r="H10" s="7"/>
      <c r="I10" s="12"/>
      <c r="O10" s="16"/>
    </row>
    <row r="11" spans="3:9" ht="12.75">
      <c r="C11" s="18"/>
      <c r="D11" s="18"/>
      <c r="E11" s="10"/>
      <c r="F11" s="18"/>
      <c r="G11" s="10"/>
      <c r="H11" s="7"/>
      <c r="I11" s="12"/>
    </row>
    <row r="12" spans="3:15" ht="12.75">
      <c r="C12" s="18"/>
      <c r="D12" s="18"/>
      <c r="E12" s="10"/>
      <c r="F12" s="18"/>
      <c r="G12" s="57"/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9" ht="15.75">
      <c r="C14" s="26" t="s">
        <v>7</v>
      </c>
      <c r="D14" s="26"/>
      <c r="E14" s="11"/>
      <c r="F14" s="26"/>
      <c r="G14" s="11"/>
      <c r="H14" s="5"/>
      <c r="I14" s="27"/>
    </row>
    <row r="15" spans="3:9" ht="12.75" customHeight="1">
      <c r="C15" s="18" t="s">
        <v>8</v>
      </c>
      <c r="D15" s="18"/>
      <c r="E15" s="8" t="e">
        <f>G48</f>
        <v>#REF!</v>
      </c>
      <c r="F15" s="18"/>
      <c r="G15" s="28"/>
      <c r="H15" s="8"/>
      <c r="I15" s="27"/>
    </row>
    <row r="16" spans="3:8" ht="12.75">
      <c r="C16" s="18" t="s">
        <v>10</v>
      </c>
      <c r="D16" s="18"/>
      <c r="E16" s="34" t="e">
        <f>-(G46+I47)/I46</f>
        <v>#REF!</v>
      </c>
      <c r="F16" s="18"/>
      <c r="G16" s="10"/>
      <c r="H16" s="7"/>
    </row>
    <row r="17" spans="3:7" ht="12.75">
      <c r="C17" s="18"/>
      <c r="D17" s="18"/>
      <c r="E17" s="18"/>
      <c r="F17" s="18"/>
      <c r="G17" s="7"/>
    </row>
    <row r="18" spans="3:9" ht="15.75">
      <c r="C18" s="19"/>
      <c r="D18" s="20"/>
      <c r="E18" s="20"/>
      <c r="F18" s="20"/>
      <c r="I18" s="21"/>
    </row>
    <row r="19" spans="3:9" ht="12.75">
      <c r="C19" s="22">
        <v>1</v>
      </c>
      <c r="D19" s="15"/>
      <c r="E19" s="15"/>
      <c r="F19" s="15"/>
      <c r="G19" s="23"/>
      <c r="H19" s="15"/>
      <c r="I19" s="15"/>
    </row>
    <row r="20" spans="3:9" ht="12.75">
      <c r="C20" s="15"/>
      <c r="D20" s="15"/>
      <c r="E20" s="21"/>
      <c r="F20" s="24"/>
      <c r="G20" s="24"/>
      <c r="H20" s="15"/>
      <c r="I20" s="25"/>
    </row>
    <row r="21" spans="3:15" ht="12.75">
      <c r="C21" s="15" t="s">
        <v>16</v>
      </c>
      <c r="D21" s="15"/>
      <c r="E21" s="21">
        <v>43857</v>
      </c>
      <c r="F21" s="24"/>
      <c r="G21" s="24">
        <v>-4082817.717628563</v>
      </c>
      <c r="H21" s="15"/>
      <c r="I21" s="25"/>
      <c r="O21" s="25"/>
    </row>
    <row r="22" spans="3:15" ht="12.75">
      <c r="C22" s="15"/>
      <c r="D22" s="15"/>
      <c r="E22" s="21">
        <v>43985</v>
      </c>
      <c r="F22" s="24"/>
      <c r="G22" s="24">
        <v>-4371454.510461896</v>
      </c>
      <c r="H22" s="15"/>
      <c r="I22" s="25"/>
      <c r="O22" s="25"/>
    </row>
    <row r="23" spans="3:15" ht="12.75">
      <c r="C23" s="15"/>
      <c r="D23" s="15"/>
      <c r="E23" s="21">
        <v>44076</v>
      </c>
      <c r="F23" s="24"/>
      <c r="G23" s="24">
        <v>-3958564.9204578595</v>
      </c>
      <c r="H23" s="15"/>
      <c r="I23" s="25"/>
      <c r="O23" s="25"/>
    </row>
    <row r="24" spans="3:15" ht="12.75">
      <c r="C24" s="15"/>
      <c r="D24" s="15"/>
      <c r="E24" s="21">
        <v>44117</v>
      </c>
      <c r="F24" s="24"/>
      <c r="G24" s="24">
        <v>-4976160.9602026725</v>
      </c>
      <c r="H24" s="15"/>
      <c r="I24" s="25"/>
      <c r="O24" s="25"/>
    </row>
    <row r="25" spans="3:15" ht="12.75">
      <c r="C25" s="15"/>
      <c r="D25" s="15"/>
      <c r="E25" s="21">
        <v>44141</v>
      </c>
      <c r="F25" s="24"/>
      <c r="G25" s="24">
        <v>-4443814.139413713</v>
      </c>
      <c r="H25" s="15"/>
      <c r="I25" s="25"/>
      <c r="O25" s="25"/>
    </row>
    <row r="26" spans="3:15" ht="12.75">
      <c r="C26" s="15"/>
      <c r="D26" s="15"/>
      <c r="E26" s="21">
        <v>44148</v>
      </c>
      <c r="F26" s="24"/>
      <c r="G26" s="24">
        <v>-2317985.8545490056</v>
      </c>
      <c r="H26" s="15"/>
      <c r="I26" s="25"/>
      <c r="O26" s="25"/>
    </row>
    <row r="27" spans="3:15" ht="12.75">
      <c r="C27" s="15"/>
      <c r="D27" s="15"/>
      <c r="E27" s="21">
        <v>44187</v>
      </c>
      <c r="F27" s="24"/>
      <c r="G27" s="24">
        <v>-1954659.1346228386</v>
      </c>
      <c r="H27" s="15"/>
      <c r="I27" s="25"/>
      <c r="O27" s="25"/>
    </row>
    <row r="28" spans="3:15" ht="12.75">
      <c r="C28" s="15" t="s">
        <v>41</v>
      </c>
      <c r="D28" s="15"/>
      <c r="E28" s="21">
        <v>44203</v>
      </c>
      <c r="F28" s="24"/>
      <c r="G28" s="24">
        <v>-8778291.665679384</v>
      </c>
      <c r="H28" s="15"/>
      <c r="I28" s="25"/>
      <c r="O28" s="25"/>
    </row>
    <row r="29" spans="3:15" ht="12.75">
      <c r="C29" s="15"/>
      <c r="D29" s="15"/>
      <c r="E29" s="21">
        <v>44217</v>
      </c>
      <c r="F29" s="24"/>
      <c r="G29" s="24">
        <v>-1223795.9202524198</v>
      </c>
      <c r="H29" s="15"/>
      <c r="I29" s="25"/>
      <c r="O29" s="25"/>
    </row>
    <row r="30" spans="3:15" ht="12.75">
      <c r="C30" s="15"/>
      <c r="D30" s="15"/>
      <c r="E30" s="21">
        <v>44250</v>
      </c>
      <c r="F30" s="24"/>
      <c r="G30" s="24">
        <v>4272371.402515644</v>
      </c>
      <c r="H30" s="15"/>
      <c r="I30" s="25"/>
      <c r="O30" s="25"/>
    </row>
    <row r="31" spans="3:15" ht="12.75">
      <c r="C31" s="15"/>
      <c r="D31" s="15"/>
      <c r="E31" s="21">
        <v>44265</v>
      </c>
      <c r="F31" s="24"/>
      <c r="G31" s="24">
        <f>-2252124.74360582-327074.700190716</f>
        <v>-2579199.443796536</v>
      </c>
      <c r="H31" s="15"/>
      <c r="I31" s="25"/>
      <c r="O31" s="25"/>
    </row>
    <row r="32" spans="3:15" ht="12.75">
      <c r="C32" s="15"/>
      <c r="D32" s="15"/>
      <c r="E32" s="21">
        <v>44291</v>
      </c>
      <c r="F32" s="24"/>
      <c r="G32" s="24">
        <v>-6226211.173772299</v>
      </c>
      <c r="H32" s="15"/>
      <c r="I32" s="25"/>
      <c r="O32" s="25"/>
    </row>
    <row r="33" spans="3:15" ht="12.75">
      <c r="C33" s="15"/>
      <c r="D33" s="15"/>
      <c r="E33" s="21">
        <v>44307</v>
      </c>
      <c r="F33" s="24"/>
      <c r="G33" s="24">
        <v>-1.3927597293312676E7</v>
      </c>
      <c r="H33" s="15"/>
      <c r="I33" s="25"/>
      <c r="O33" s="25"/>
    </row>
    <row r="34" spans="3:15" ht="12.75">
      <c r="C34" s="15"/>
      <c r="D34" s="15"/>
      <c r="E34" s="21">
        <v>44319</v>
      </c>
      <c r="F34" s="24"/>
      <c r="G34" s="24">
        <v>1.4547820626184816E7</v>
      </c>
      <c r="H34" s="15"/>
      <c r="I34" s="25"/>
      <c r="O34" s="25"/>
    </row>
    <row r="35" spans="3:15" ht="12.75">
      <c r="C35" s="15"/>
      <c r="D35" s="15"/>
      <c r="E35" s="21">
        <v>44335</v>
      </c>
      <c r="F35" s="24"/>
      <c r="G35" s="24">
        <v>-6629243.555628181</v>
      </c>
      <c r="H35" s="15"/>
      <c r="I35" s="25"/>
      <c r="O35" s="25"/>
    </row>
    <row r="36" spans="3:15" ht="12.75">
      <c r="C36" s="15"/>
      <c r="D36" s="15"/>
      <c r="E36" s="21">
        <v>44344</v>
      </c>
      <c r="F36" s="24"/>
      <c r="G36" s="24">
        <f>8538694.07299078-597714.174819936</f>
        <v>7940979.898170845</v>
      </c>
      <c r="H36" s="15"/>
      <c r="I36" s="25"/>
      <c r="O36" s="25"/>
    </row>
    <row r="37" spans="3:15" ht="12.75">
      <c r="C37" s="15"/>
      <c r="D37" s="15"/>
      <c r="E37" s="21">
        <v>44361</v>
      </c>
      <c r="F37" s="24"/>
      <c r="G37" s="24">
        <f>-213231.101774318+416864.853389408</f>
        <v>203633.75161508998</v>
      </c>
      <c r="H37" s="15"/>
      <c r="I37" s="25"/>
      <c r="O37" s="25"/>
    </row>
    <row r="38" spans="3:9" ht="12.75">
      <c r="C38" s="15"/>
      <c r="D38" s="15"/>
      <c r="E38" s="21">
        <v>44375</v>
      </c>
      <c r="F38" s="24"/>
      <c r="G38" s="24">
        <v>-2219396.18</v>
      </c>
      <c r="H38" s="15"/>
      <c r="I38" s="25"/>
    </row>
    <row r="39" spans="3:9" ht="12.75">
      <c r="C39" s="15"/>
      <c r="D39" s="15"/>
      <c r="E39" s="21">
        <v>44475</v>
      </c>
      <c r="F39" s="24"/>
      <c r="G39" s="24">
        <v>-2122900.69</v>
      </c>
      <c r="H39" s="15"/>
      <c r="I39" s="25"/>
    </row>
    <row r="40" spans="3:9" ht="12.75">
      <c r="C40" s="15"/>
      <c r="D40" s="15"/>
      <c r="E40" s="21">
        <v>44483</v>
      </c>
      <c r="F40" s="24"/>
      <c r="G40" s="24">
        <v>-418147.10</v>
      </c>
      <c r="H40" s="15"/>
      <c r="I40" s="25"/>
    </row>
    <row r="41" spans="3:9" ht="12.75">
      <c r="C41" s="15"/>
      <c r="D41" s="15"/>
      <c r="E41" s="21">
        <v>44505</v>
      </c>
      <c r="F41" s="24"/>
      <c r="G41" s="24">
        <v>-2052526.75</v>
      </c>
      <c r="H41" s="15"/>
      <c r="I41" s="25"/>
    </row>
    <row r="42" spans="3:9" ht="12.75">
      <c r="C42" s="15"/>
      <c r="D42" s="15"/>
      <c r="E42" s="21">
        <v>44551</v>
      </c>
      <c r="F42" s="24"/>
      <c r="G42" s="24">
        <v>-1190110.99</v>
      </c>
      <c r="H42" s="15"/>
      <c r="I42" s="25"/>
    </row>
    <row r="43" spans="3:9" ht="12.75">
      <c r="C43" s="15" t="s">
        <v>71</v>
      </c>
      <c r="D43" s="15"/>
      <c r="E43" s="21">
        <v>44558</v>
      </c>
      <c r="F43" s="24"/>
      <c r="G43" s="24">
        <v>2.074633583E7</v>
      </c>
      <c r="H43" s="15"/>
      <c r="I43" s="25"/>
    </row>
    <row r="44" spans="3:9" ht="12.75">
      <c r="C44" s="15" t="s">
        <v>72</v>
      </c>
      <c r="D44" s="15"/>
      <c r="E44" s="21">
        <v>44635</v>
      </c>
      <c r="F44" s="24"/>
      <c r="G44" s="24">
        <v>-2283726.50</v>
      </c>
      <c r="H44" s="15"/>
      <c r="I44" s="25"/>
    </row>
    <row r="45" spans="3:15" ht="4.5" customHeight="1">
      <c r="C45" s="15"/>
      <c r="D45" s="15"/>
      <c r="E45" s="21"/>
      <c r="F45" s="15"/>
      <c r="G45" s="24"/>
      <c r="H45" s="15"/>
      <c r="I45" s="25"/>
      <c r="J45" s="25"/>
      <c r="O45" s="31"/>
    </row>
    <row r="46" spans="3:13" ht="12.75">
      <c r="C46" s="15" t="s">
        <v>5</v>
      </c>
      <c r="D46" s="15"/>
      <c r="E46" s="21" t="e">
        <f>+E8</f>
        <v>#REF!</v>
      </c>
      <c r="F46" s="15"/>
      <c r="G46" s="46" t="e">
        <f>#REF!</f>
        <v>#REF!</v>
      </c>
      <c r="H46" s="15"/>
      <c r="I46" s="24">
        <f>+SUMIF($G$21:$G$45,"&lt;0",$G$21:$G$45)+G30+G34+G36+G37</f>
        <v>-4.879179882129163E7</v>
      </c>
      <c r="J46" s="15" t="s">
        <v>14</v>
      </c>
      <c r="M46" s="31"/>
    </row>
    <row r="47" spans="3:14" ht="12.75">
      <c r="C47" s="15"/>
      <c r="D47" s="15"/>
      <c r="E47" s="15"/>
      <c r="F47" s="15"/>
      <c r="G47" s="15"/>
      <c r="H47" s="15"/>
      <c r="I47" s="24">
        <f>+SUMIF($G$21:$G$45,"&gt;0",$G$21:$G$45)-G30-G34-G36-G37</f>
        <v>2.0746335830000002E7</v>
      </c>
      <c r="J47" s="15" t="s">
        <v>15</v>
      </c>
      <c r="M47" s="31"/>
      <c r="N47" s="45"/>
    </row>
    <row r="48" spans="3:13" ht="12.75">
      <c r="C48" s="14" t="s">
        <v>0</v>
      </c>
      <c r="G48" s="29" t="e">
        <f>+XIRR(G21:G46,E21:E46,0.1)</f>
        <v>#REF!</v>
      </c>
      <c r="H48" s="15"/>
      <c r="M48" s="35"/>
    </row>
    <row r="49" spans="3:9" ht="12.75">
      <c r="C49" s="15"/>
      <c r="D49" s="15"/>
      <c r="E49" s="15"/>
      <c r="F49" s="15"/>
      <c r="G49" s="112" t="e">
        <f>G46-#REF!</f>
        <v>#REF!</v>
      </c>
      <c r="H49" s="15"/>
      <c r="I49" s="114" t="e">
        <f>I46-#REF!</f>
        <v>#REF!</v>
      </c>
    </row>
    <row r="50" spans="3:13" ht="12.75">
      <c r="C50" s="15"/>
      <c r="D50" s="15"/>
      <c r="E50" s="15"/>
      <c r="F50" s="15"/>
      <c r="G50" s="15"/>
      <c r="H50" s="15"/>
      <c r="I50" s="114" t="e">
        <f>I47-#REF!</f>
        <v>#REF!</v>
      </c>
      <c r="M50" s="35"/>
    </row>
    <row r="51" spans="3:13" ht="12.75">
      <c r="C51" s="52"/>
      <c r="D51" s="52"/>
      <c r="E51" s="53"/>
      <c r="F51" s="52"/>
      <c r="G51" s="53"/>
      <c r="H51" s="15"/>
      <c r="M51" s="35"/>
    </row>
    <row r="52" spans="3:13" ht="12.75">
      <c r="C52" s="52"/>
      <c r="D52" s="52"/>
      <c r="E52" s="53"/>
      <c r="F52" s="52"/>
      <c r="G52" s="53"/>
      <c r="H52" s="15"/>
      <c r="M52" s="35"/>
    </row>
    <row r="53" spans="3:13" ht="12.75">
      <c r="C53" s="52"/>
      <c r="D53" s="52"/>
      <c r="E53" s="53"/>
      <c r="F53" s="52"/>
      <c r="G53" s="53"/>
      <c r="H53" s="15"/>
      <c r="M53" s="35"/>
    </row>
    <row r="54" spans="3:8" ht="12.75">
      <c r="C54" s="52"/>
      <c r="D54" s="52"/>
      <c r="E54" s="53"/>
      <c r="F54" s="52"/>
      <c r="G54" s="53"/>
      <c r="H54" s="14"/>
    </row>
    <row r="55" spans="3:8" ht="12.75">
      <c r="C55" s="52"/>
      <c r="D55" s="52"/>
      <c r="E55" s="53"/>
      <c r="F55" s="53"/>
      <c r="G55" s="53"/>
      <c r="H55" s="14"/>
    </row>
    <row r="56" spans="3:17" ht="12.75">
      <c r="C56" s="52"/>
      <c r="D56" s="52"/>
      <c r="E56" s="52"/>
      <c r="F56" s="52"/>
      <c r="G56" s="52"/>
      <c r="H56" s="14"/>
      <c r="Q56" s="38"/>
    </row>
    <row r="57" spans="3:17" ht="12.75">
      <c r="C57" s="52"/>
      <c r="D57" s="52"/>
      <c r="E57" s="58"/>
      <c r="F57" s="54"/>
      <c r="G57" s="58"/>
      <c r="H57" s="14"/>
      <c r="Q57" s="38"/>
    </row>
    <row r="58" spans="3:17" ht="12.75">
      <c r="C58" s="52"/>
      <c r="D58" s="52"/>
      <c r="E58" s="70"/>
      <c r="F58" s="54"/>
      <c r="G58" s="70"/>
      <c r="H58" s="14"/>
      <c r="Q58" s="38"/>
    </row>
    <row r="59" spans="3:17" ht="12.75">
      <c r="C59" s="52"/>
      <c r="D59" s="52"/>
      <c r="E59" s="58"/>
      <c r="F59" s="54"/>
      <c r="G59" s="58"/>
      <c r="H59" s="14"/>
      <c r="Q59" s="38"/>
    </row>
    <row r="60" spans="3:17" ht="12.75">
      <c r="C60" s="52"/>
      <c r="D60" s="52"/>
      <c r="E60" s="70"/>
      <c r="F60" s="54"/>
      <c r="G60" s="70"/>
      <c r="H60" s="14"/>
      <c r="Q60" s="38"/>
    </row>
    <row r="61" spans="3:8" ht="12.75">
      <c r="C61" s="52"/>
      <c r="D61" s="52"/>
      <c r="E61" s="70"/>
      <c r="F61" s="54"/>
      <c r="G61" s="70"/>
      <c r="H61" s="14"/>
    </row>
    <row r="62" spans="3:8" ht="5.1" customHeight="1">
      <c r="C62" s="36"/>
      <c r="D62" s="14"/>
      <c r="E62" s="33"/>
      <c r="F62" s="33"/>
      <c r="G62" s="71"/>
      <c r="H62" s="14"/>
    </row>
    <row r="63" spans="3:8" ht="12.75">
      <c r="C63" s="36"/>
      <c r="D63" s="14"/>
      <c r="E63" s="37"/>
      <c r="F63" s="37"/>
      <c r="G63" s="72"/>
      <c r="H63" s="14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A79F5F-1988-40DE-9508-482FB0B87CF9}">
  <dimension ref="B4:Q62"/>
  <sheetViews>
    <sheetView view="pageLayout" zoomScaleNormal="100" workbookViewId="0" topLeftCell="A34">
      <selection pane="topLeft" activeCell="G45" sqref="G45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44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62" t="s">
        <v>11</v>
      </c>
      <c r="D10" s="62"/>
      <c r="E10" s="63">
        <f>G10*C19/(J30)</f>
        <v>-0.016114941622877195</v>
      </c>
      <c r="F10" s="18"/>
      <c r="G10" s="100">
        <v>-425383</v>
      </c>
      <c r="H10" s="7"/>
      <c r="I10" s="12"/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15" ht="12.75">
      <c r="C12" s="62" t="s">
        <v>2</v>
      </c>
      <c r="D12" s="62"/>
      <c r="E12" s="63">
        <f>G12*C19/(J30)</f>
        <v>0.01692640341040051</v>
      </c>
      <c r="F12" s="18"/>
      <c r="G12" s="100">
        <v>446803</v>
      </c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14" ht="15.75">
      <c r="C14" s="26" t="s">
        <v>7</v>
      </c>
      <c r="D14" s="26"/>
      <c r="E14" s="11"/>
      <c r="F14" s="26"/>
      <c r="G14" s="11"/>
      <c r="H14" s="5"/>
      <c r="I14" s="27"/>
      <c r="J14" s="39"/>
      <c r="K14" s="39"/>
      <c r="L14" s="39"/>
      <c r="M14" s="39"/>
      <c r="N14" s="39"/>
    </row>
    <row r="15" spans="3:14" ht="12.75" customHeight="1">
      <c r="C15" s="18" t="s">
        <v>8</v>
      </c>
      <c r="D15" s="18"/>
      <c r="E15" s="8" t="e">
        <f>G47</f>
        <v>#REF!</v>
      </c>
      <c r="F15" s="18"/>
      <c r="G15" s="28"/>
      <c r="H15" s="8"/>
      <c r="I15" s="27"/>
      <c r="J15" s="46"/>
      <c r="K15" s="15"/>
      <c r="L15" s="41"/>
      <c r="M15" s="42"/>
      <c r="N15" s="39"/>
    </row>
    <row r="16" spans="3:14" ht="12.75">
      <c r="C16" s="18" t="s">
        <v>10</v>
      </c>
      <c r="D16" s="18"/>
      <c r="E16" s="34">
        <f>-(G45+I46)/I45</f>
        <v>1.6542475911669423</v>
      </c>
      <c r="F16" s="18"/>
      <c r="G16" s="10"/>
      <c r="H16" s="7"/>
      <c r="J16" s="46"/>
      <c r="K16" s="15"/>
      <c r="L16" s="41"/>
      <c r="M16" s="42"/>
      <c r="N16" s="43"/>
    </row>
    <row r="17" spans="3:14" ht="12.75">
      <c r="C17" s="18"/>
      <c r="D17" s="18"/>
      <c r="E17" s="18"/>
      <c r="F17" s="18"/>
      <c r="G17" s="7"/>
      <c r="J17" s="46"/>
      <c r="K17" s="15"/>
      <c r="L17" s="41"/>
      <c r="M17" s="42"/>
      <c r="N17" s="39"/>
    </row>
    <row r="18" spans="3:14" ht="15.75">
      <c r="C18" s="19"/>
      <c r="D18" s="20"/>
      <c r="E18" s="20"/>
      <c r="F18" s="20"/>
      <c r="I18" s="21"/>
      <c r="J18" s="46"/>
      <c r="K18" s="15"/>
      <c r="L18" s="41"/>
      <c r="M18" s="42"/>
      <c r="N18" s="43"/>
    </row>
    <row r="19" spans="3:14" ht="12.75">
      <c r="C19" s="22">
        <v>1</v>
      </c>
      <c r="D19" s="15"/>
      <c r="E19" s="15"/>
      <c r="F19" s="15"/>
      <c r="G19" s="23"/>
      <c r="H19" s="15"/>
      <c r="I19" s="15"/>
      <c r="J19" s="46"/>
      <c r="K19" s="15"/>
      <c r="L19" s="41"/>
      <c r="M19" s="42"/>
      <c r="N19" s="39"/>
    </row>
    <row r="20" spans="3:14" ht="12.75">
      <c r="C20" s="15"/>
      <c r="D20" s="15"/>
      <c r="E20" s="21"/>
      <c r="F20" s="24"/>
      <c r="G20" s="24"/>
      <c r="H20" s="15"/>
      <c r="I20" s="25"/>
      <c r="J20" s="46"/>
      <c r="K20" s="15"/>
      <c r="L20" s="41"/>
      <c r="M20" s="42"/>
      <c r="N20" s="39"/>
    </row>
    <row r="21" spans="3:15" ht="12.75">
      <c r="C21" s="15" t="s">
        <v>16</v>
      </c>
      <c r="D21" s="15"/>
      <c r="E21" s="21">
        <v>43857</v>
      </c>
      <c r="F21" s="24"/>
      <c r="G21" s="24">
        <v>-4880810.25257281</v>
      </c>
      <c r="H21" s="15"/>
      <c r="I21" s="25"/>
      <c r="J21" s="46"/>
      <c r="K21" s="15"/>
      <c r="L21" s="41"/>
      <c r="M21" s="42"/>
      <c r="N21" s="39"/>
      <c r="O21" s="25"/>
    </row>
    <row r="22" spans="3:15" ht="12.75">
      <c r="C22" s="15"/>
      <c r="D22" s="15"/>
      <c r="E22" s="21">
        <v>43985</v>
      </c>
      <c r="F22" s="24"/>
      <c r="G22" s="24">
        <v>-5225861.517449982</v>
      </c>
      <c r="H22" s="15"/>
      <c r="I22" s="25"/>
      <c r="J22" s="46"/>
      <c r="K22" s="15"/>
      <c r="L22" s="41"/>
      <c r="M22" s="44"/>
      <c r="N22" s="43"/>
      <c r="O22" s="25"/>
    </row>
    <row r="23" spans="3:15" ht="12.75">
      <c r="C23" s="15"/>
      <c r="D23" s="15"/>
      <c r="E23" s="21">
        <v>44076</v>
      </c>
      <c r="F23" s="24"/>
      <c r="G23" s="24">
        <v>-4732272.069316893</v>
      </c>
      <c r="H23" s="15"/>
      <c r="I23" s="25"/>
      <c r="J23" s="46"/>
      <c r="K23" s="15"/>
      <c r="L23" s="41"/>
      <c r="M23" s="44"/>
      <c r="N23" s="43"/>
      <c r="O23" s="25"/>
    </row>
    <row r="24" spans="3:15" ht="15.75">
      <c r="C24" s="15"/>
      <c r="D24" s="15"/>
      <c r="E24" s="21">
        <v>44117</v>
      </c>
      <c r="F24" s="24"/>
      <c r="G24" s="24">
        <v>-5948758.703613363</v>
      </c>
      <c r="H24" s="15"/>
      <c r="I24" s="25"/>
      <c r="J24" s="73" t="s">
        <v>31</v>
      </c>
      <c r="K24" s="60"/>
      <c r="L24" s="41"/>
      <c r="M24" s="42"/>
      <c r="N24" s="39"/>
      <c r="O24" s="25"/>
    </row>
    <row r="25" spans="3:15" ht="12.75">
      <c r="C25" s="15"/>
      <c r="D25" s="15"/>
      <c r="E25" s="21">
        <v>44141</v>
      </c>
      <c r="F25" s="24"/>
      <c r="G25" s="24">
        <v>-5312363.938886893</v>
      </c>
      <c r="H25" s="15"/>
      <c r="I25" s="25"/>
      <c r="J25" s="61">
        <v>2474504</v>
      </c>
      <c r="K25" s="60" t="s">
        <v>53</v>
      </c>
      <c r="L25" s="41"/>
      <c r="M25" s="21"/>
      <c r="N25" s="24"/>
      <c r="O25" s="24"/>
    </row>
    <row r="26" spans="3:15" ht="12.75">
      <c r="C26" s="15"/>
      <c r="D26" s="15"/>
      <c r="E26" s="21">
        <v>44148</v>
      </c>
      <c r="F26" s="24"/>
      <c r="G26" s="24">
        <v>-2771039.489554503</v>
      </c>
      <c r="H26" s="15"/>
      <c r="I26" s="25"/>
      <c r="J26" s="61">
        <v>13084702</v>
      </c>
      <c r="K26" s="60" t="s">
        <v>54</v>
      </c>
      <c r="L26" s="41"/>
      <c r="M26" s="21"/>
      <c r="N26" s="24"/>
      <c r="O26" s="24"/>
    </row>
    <row r="27" spans="3:15" ht="12.75">
      <c r="C27" s="15"/>
      <c r="D27" s="15"/>
      <c r="E27" s="21">
        <v>44187</v>
      </c>
      <c r="F27" s="24"/>
      <c r="G27" s="24">
        <v>-2336700.0450104796</v>
      </c>
      <c r="H27" s="15"/>
      <c r="I27" s="25"/>
      <c r="J27" s="61">
        <v>2.387586117E7</v>
      </c>
      <c r="K27" s="60" t="s">
        <v>55</v>
      </c>
      <c r="L27" s="41"/>
      <c r="M27" s="21"/>
      <c r="N27" s="24"/>
      <c r="O27" s="24"/>
    </row>
    <row r="28" spans="3:15" ht="12.75">
      <c r="C28" s="15" t="s">
        <v>41</v>
      </c>
      <c r="D28" s="15"/>
      <c r="E28" s="21">
        <v>44203</v>
      </c>
      <c r="F28" s="24"/>
      <c r="G28" s="24">
        <v>-1.049402126794147E7</v>
      </c>
      <c r="H28" s="15"/>
      <c r="I28" s="25"/>
      <c r="J28" s="61">
        <v>2.53778147E7</v>
      </c>
      <c r="K28" s="60" t="s">
        <v>56</v>
      </c>
      <c r="L28" s="41"/>
      <c r="M28" s="21"/>
      <c r="N28" s="24"/>
      <c r="O28" s="24"/>
    </row>
    <row r="29" spans="3:15" ht="12.75">
      <c r="C29" s="15"/>
      <c r="D29" s="15"/>
      <c r="E29" s="21">
        <v>44217</v>
      </c>
      <c r="F29" s="24"/>
      <c r="G29" s="24">
        <v>-1462988.5753318314</v>
      </c>
      <c r="H29" s="15"/>
      <c r="I29" s="25"/>
      <c r="J29" s="61">
        <f>G45</f>
        <v>6.717115194E7</v>
      </c>
      <c r="K29" s="60" t="s">
        <v>57</v>
      </c>
      <c r="L29" s="41"/>
      <c r="M29" s="21"/>
      <c r="N29" s="24"/>
      <c r="O29" s="24"/>
    </row>
    <row r="30" spans="3:15" ht="12.75">
      <c r="C30" s="15"/>
      <c r="D30" s="15"/>
      <c r="E30" s="21">
        <v>44250</v>
      </c>
      <c r="F30" s="24"/>
      <c r="G30" s="24">
        <v>5107412.475007367</v>
      </c>
      <c r="H30" s="15"/>
      <c r="I30" s="25"/>
      <c r="J30" s="61">
        <f>SUM(J25:J29)/5</f>
        <v>2.6396806762000002E7</v>
      </c>
      <c r="K30" s="60" t="s">
        <v>12</v>
      </c>
      <c r="L30" s="41"/>
      <c r="M30" s="21"/>
      <c r="N30" s="24"/>
      <c r="O30" s="24"/>
    </row>
    <row r="31" spans="3:15" ht="12.75">
      <c r="C31" s="15"/>
      <c r="D31" s="15"/>
      <c r="E31" s="21">
        <v>44265</v>
      </c>
      <c r="F31" s="24"/>
      <c r="G31" s="24">
        <v>-3083307.65</v>
      </c>
      <c r="H31" s="15"/>
      <c r="I31" s="25"/>
      <c r="J31" s="25"/>
      <c r="K31" s="15"/>
      <c r="L31" s="41"/>
      <c r="M31" s="21"/>
      <c r="N31" s="24"/>
      <c r="O31" s="24"/>
    </row>
    <row r="32" spans="3:15" ht="12.75">
      <c r="C32" s="15"/>
      <c r="D32" s="15"/>
      <c r="E32" s="21">
        <v>44291</v>
      </c>
      <c r="F32" s="24"/>
      <c r="G32" s="24">
        <v>-7443133.011265153</v>
      </c>
      <c r="H32" s="15"/>
      <c r="I32" s="25"/>
      <c r="J32" s="25"/>
      <c r="K32" s="15"/>
      <c r="L32" s="41"/>
      <c r="M32" s="21"/>
      <c r="N32" s="24"/>
      <c r="O32" s="24"/>
    </row>
    <row r="33" spans="3:15" ht="12.75">
      <c r="C33" s="15"/>
      <c r="D33" s="15"/>
      <c r="E33" s="21">
        <v>44307</v>
      </c>
      <c r="F33" s="24"/>
      <c r="G33" s="24">
        <v>-1.6649766010712253E7</v>
      </c>
      <c r="H33" s="15"/>
      <c r="I33" s="25"/>
      <c r="J33" s="25"/>
      <c r="K33" s="15"/>
      <c r="L33" s="41"/>
      <c r="M33" s="21"/>
      <c r="N33" s="24"/>
      <c r="O33" s="24"/>
    </row>
    <row r="34" spans="3:15" ht="12.75">
      <c r="C34" s="15"/>
      <c r="D34" s="15"/>
      <c r="E34" s="21">
        <v>44319</v>
      </c>
      <c r="F34" s="24"/>
      <c r="G34" s="24">
        <v>1.739121287690385E7</v>
      </c>
      <c r="H34" s="15"/>
      <c r="I34" s="25"/>
      <c r="J34" s="25"/>
      <c r="K34" s="15"/>
      <c r="L34" s="41"/>
      <c r="M34" s="21"/>
      <c r="N34" s="24"/>
      <c r="O34" s="24"/>
    </row>
    <row r="35" spans="3:15" ht="12.75">
      <c r="C35" s="15"/>
      <c r="D35" s="15"/>
      <c r="E35" s="21">
        <v>44335</v>
      </c>
      <c r="F35" s="24"/>
      <c r="G35" s="24">
        <v>-7924938.645535651</v>
      </c>
      <c r="H35" s="15"/>
      <c r="I35" s="25"/>
      <c r="J35" s="25"/>
      <c r="K35" s="15"/>
      <c r="L35" s="41"/>
      <c r="M35" s="21"/>
      <c r="N35" s="24"/>
      <c r="O35" s="24"/>
    </row>
    <row r="36" spans="3:15" ht="12.75">
      <c r="C36" s="15"/>
      <c r="D36" s="15"/>
      <c r="E36" s="21">
        <v>44344</v>
      </c>
      <c r="F36" s="24"/>
      <c r="G36" s="24">
        <v>9493055.72</v>
      </c>
      <c r="H36" s="15"/>
      <c r="I36" s="25"/>
      <c r="J36" s="25"/>
      <c r="K36" s="15"/>
      <c r="L36" s="41"/>
      <c r="M36" s="21"/>
      <c r="N36" s="24"/>
      <c r="O36" s="24"/>
    </row>
    <row r="37" spans="3:15" ht="12.75">
      <c r="C37" s="15"/>
      <c r="D37" s="15"/>
      <c r="E37" s="21">
        <v>44361</v>
      </c>
      <c r="F37" s="24"/>
      <c r="G37" s="24">
        <v>243434.26</v>
      </c>
      <c r="H37" s="15"/>
      <c r="I37" s="25"/>
      <c r="J37" s="25"/>
      <c r="K37" s="15"/>
      <c r="L37" s="41"/>
      <c r="M37" s="21"/>
      <c r="N37" s="24"/>
      <c r="O37" s="24"/>
    </row>
    <row r="38" spans="3:15" ht="12.75">
      <c r="C38" s="15"/>
      <c r="D38" s="15"/>
      <c r="E38" s="21">
        <v>44375</v>
      </c>
      <c r="F38" s="24"/>
      <c r="G38" s="24">
        <v>-2653180.32</v>
      </c>
      <c r="H38" s="15"/>
      <c r="I38" s="25"/>
      <c r="J38" s="25"/>
      <c r="K38" s="15"/>
      <c r="L38" s="41"/>
      <c r="M38" s="21"/>
      <c r="N38" s="24"/>
      <c r="O38" s="24"/>
    </row>
    <row r="39" spans="3:14" ht="12.75">
      <c r="C39" s="15"/>
      <c r="D39" s="15"/>
      <c r="E39" s="21">
        <v>44475</v>
      </c>
      <c r="F39" s="24"/>
      <c r="G39" s="24">
        <v>-2537824.66</v>
      </c>
      <c r="H39" s="15"/>
      <c r="I39" s="25"/>
      <c r="L39" s="39"/>
      <c r="M39" s="39"/>
      <c r="N39" s="39"/>
    </row>
    <row r="40" spans="3:14" ht="12.75">
      <c r="C40" s="15"/>
      <c r="D40" s="15"/>
      <c r="E40" s="21">
        <v>44483</v>
      </c>
      <c r="F40" s="24"/>
      <c r="G40" s="24">
        <v>-499874.56</v>
      </c>
      <c r="H40" s="15"/>
      <c r="I40" s="25"/>
      <c r="L40" s="39"/>
      <c r="M40" s="43"/>
      <c r="N40" s="39"/>
    </row>
    <row r="41" spans="3:14" ht="12.75">
      <c r="C41" s="15"/>
      <c r="D41" s="15"/>
      <c r="E41" s="21">
        <v>44505</v>
      </c>
      <c r="F41" s="24"/>
      <c r="G41" s="24">
        <v>-2453305.31</v>
      </c>
      <c r="H41" s="15"/>
      <c r="I41" s="25"/>
      <c r="L41" s="39"/>
      <c r="M41" s="43"/>
      <c r="N41" s="39"/>
    </row>
    <row r="42" spans="3:14" ht="12.75">
      <c r="C42" s="15"/>
      <c r="D42" s="15"/>
      <c r="E42" s="21">
        <v>44551</v>
      </c>
      <c r="F42" s="24"/>
      <c r="G42" s="24">
        <v>-1422719.89</v>
      </c>
      <c r="H42" s="15"/>
      <c r="I42" s="25"/>
      <c r="L42" s="39"/>
      <c r="M42" s="43"/>
      <c r="N42" s="39"/>
    </row>
    <row r="43" spans="3:14" ht="12.75">
      <c r="C43" s="15"/>
      <c r="D43" s="15"/>
      <c r="E43" s="21">
        <v>44558</v>
      </c>
      <c r="F43" s="24"/>
      <c r="G43" s="24">
        <v>2.480129304E7</v>
      </c>
      <c r="H43" s="15"/>
      <c r="I43" s="25"/>
      <c r="L43" s="39"/>
      <c r="M43" s="43"/>
      <c r="N43" s="39"/>
    </row>
    <row r="44" spans="3:15" ht="4.5" customHeight="1">
      <c r="C44" s="15"/>
      <c r="D44" s="15"/>
      <c r="E44" s="21"/>
      <c r="F44" s="15"/>
      <c r="G44" s="24"/>
      <c r="H44" s="15"/>
      <c r="I44" s="25"/>
      <c r="J44" s="25"/>
      <c r="O44" s="31"/>
    </row>
    <row r="45" spans="3:13" ht="12.75">
      <c r="C45" s="15" t="s">
        <v>5</v>
      </c>
      <c r="D45" s="15"/>
      <c r="E45" s="21" t="e">
        <f>+E8</f>
        <v>#REF!</v>
      </c>
      <c r="F45" s="15"/>
      <c r="G45" s="102">
        <v>6.717115194E7</v>
      </c>
      <c r="H45" s="15"/>
      <c r="I45" s="24">
        <f>+SUMIF($G$21:$G$44,"&lt;0",$G$21:$G$44)+G30+G34+G36+G37</f>
        <v>-5.559775058528005E7</v>
      </c>
      <c r="J45" s="15" t="s">
        <v>14</v>
      </c>
      <c r="M45" s="94"/>
    </row>
    <row r="46" spans="3:13" ht="12.75">
      <c r="C46" s="15"/>
      <c r="D46" s="15"/>
      <c r="E46" s="15"/>
      <c r="F46" s="15"/>
      <c r="G46" s="15"/>
      <c r="H46" s="15"/>
      <c r="I46" s="24">
        <f>+SUMIF($G$21:$G$44,"&gt;0",$G$21:$G$44)-G30-G34-G36-G37</f>
        <v>2.4801293039999995E7</v>
      </c>
      <c r="J46" s="15" t="s">
        <v>15</v>
      </c>
      <c r="M46" s="31"/>
    </row>
    <row r="47" spans="3:13" ht="12.75">
      <c r="C47" s="14" t="s">
        <v>0</v>
      </c>
      <c r="G47" s="29" t="e">
        <f>+XIRR(G21:G45,E21:E45,0.1)</f>
        <v>#REF!</v>
      </c>
      <c r="H47" s="15"/>
      <c r="M47" s="35"/>
    </row>
    <row r="48" spans="3:9" ht="12.75">
      <c r="C48" s="15"/>
      <c r="D48" s="15"/>
      <c r="E48" s="15"/>
      <c r="F48" s="15"/>
      <c r="G48" s="15"/>
      <c r="H48" s="15"/>
      <c r="I48" s="24"/>
    </row>
    <row r="49" spans="3:13" ht="12.75">
      <c r="C49" s="15"/>
      <c r="D49" s="15"/>
      <c r="E49" s="21"/>
      <c r="F49" s="24"/>
      <c r="G49" s="24"/>
      <c r="H49" s="15"/>
      <c r="M49" s="35"/>
    </row>
    <row r="50" spans="3:13" ht="12.75">
      <c r="C50" s="52"/>
      <c r="D50" s="52"/>
      <c r="E50" s="21"/>
      <c r="F50" s="24"/>
      <c r="G50" s="24"/>
      <c r="H50" s="15"/>
      <c r="M50" s="35"/>
    </row>
    <row r="51" spans="3:13" ht="12.75">
      <c r="C51" s="52"/>
      <c r="D51" s="52"/>
      <c r="E51" s="21"/>
      <c r="F51" s="24"/>
      <c r="G51" s="24"/>
      <c r="H51" s="15"/>
      <c r="M51" s="35"/>
    </row>
    <row r="52" spans="3:13" ht="12.75">
      <c r="C52" s="52"/>
      <c r="D52" s="52"/>
      <c r="E52" s="53"/>
      <c r="F52" s="52"/>
      <c r="G52" s="53"/>
      <c r="H52" s="15"/>
      <c r="M52" s="35"/>
    </row>
    <row r="53" spans="3:8" ht="12.75">
      <c r="C53" s="52"/>
      <c r="D53" s="52"/>
      <c r="E53" s="53"/>
      <c r="F53" s="52"/>
      <c r="G53" s="53"/>
      <c r="H53" s="14"/>
    </row>
    <row r="54" spans="3:8" ht="12.75">
      <c r="C54" s="52"/>
      <c r="D54" s="52"/>
      <c r="E54" s="53"/>
      <c r="F54" s="53"/>
      <c r="G54" s="53"/>
      <c r="H54" s="14"/>
    </row>
    <row r="55" spans="3:17" ht="12.75">
      <c r="C55" s="52"/>
      <c r="D55" s="52"/>
      <c r="E55" s="52"/>
      <c r="F55" s="52"/>
      <c r="G55" s="52"/>
      <c r="H55" s="14"/>
      <c r="Q55" s="38"/>
    </row>
    <row r="56" spans="3:17" ht="13.5" thickBot="1">
      <c r="C56" s="47" t="s">
        <v>9</v>
      </c>
      <c r="D56" s="47"/>
      <c r="E56" s="48">
        <f>E10</f>
        <v>-0.016114941622877195</v>
      </c>
      <c r="F56" s="54"/>
      <c r="G56" s="58"/>
      <c r="H56" s="14"/>
      <c r="Q56" s="38"/>
    </row>
    <row r="57" spans="3:17" ht="13.5" thickTop="1">
      <c r="C57" s="47"/>
      <c r="D57" s="47"/>
      <c r="E57" s="49"/>
      <c r="F57" s="54"/>
      <c r="G57" s="70"/>
      <c r="H57" s="14"/>
      <c r="Q57" s="38"/>
    </row>
    <row r="58" spans="3:17" ht="13.5" thickBot="1">
      <c r="C58" s="47" t="s">
        <v>32</v>
      </c>
      <c r="D58" s="47"/>
      <c r="E58" s="48">
        <f>E12</f>
        <v>0.01692640341040051</v>
      </c>
      <c r="F58" s="54"/>
      <c r="G58" s="58"/>
      <c r="H58" s="14"/>
      <c r="Q58" s="38"/>
    </row>
    <row r="59" spans="3:17" ht="13.5" thickTop="1">
      <c r="C59" s="47"/>
      <c r="D59" s="47"/>
      <c r="E59" s="49"/>
      <c r="F59" s="54"/>
      <c r="G59" s="70"/>
      <c r="H59" s="14"/>
      <c r="Q59" s="38"/>
    </row>
    <row r="60" spans="3:8" ht="13.5" thickBot="1">
      <c r="C60" s="47" t="s">
        <v>7</v>
      </c>
      <c r="D60" s="47"/>
      <c r="E60" s="51" t="e">
        <f>+E15</f>
        <v>#REF!</v>
      </c>
      <c r="F60" s="54"/>
      <c r="G60" s="70"/>
      <c r="H60" s="14"/>
    </row>
    <row r="61" spans="3:8" ht="5.1" customHeight="1" thickTop="1">
      <c r="C61" s="36"/>
      <c r="D61" s="14"/>
      <c r="E61" s="33"/>
      <c r="F61" s="33"/>
      <c r="G61" s="71"/>
      <c r="H61" s="14"/>
    </row>
    <row r="62" spans="3:8" ht="12.75">
      <c r="C62" s="36"/>
      <c r="D62" s="14"/>
      <c r="E62" s="37"/>
      <c r="F62" s="37"/>
      <c r="G62" s="72"/>
      <c r="H62" s="14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FCE644-CC7E-4DD3-ACB5-80B2B15F97EC}">
  <dimension ref="B4:Q62"/>
  <sheetViews>
    <sheetView view="pageLayout" zoomScaleNormal="100" workbookViewId="0" topLeftCell="A25">
      <selection pane="topLeft" activeCell="G38" sqref="G38"/>
    </sheetView>
  </sheetViews>
  <sheetFormatPr defaultRowHeight="12.75"/>
  <cols>
    <col min="2" max="2" width="4.857142857142857" customWidth="1"/>
    <col min="3" max="3" width="45.42857142857143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2.571428571428571" bestFit="1" customWidth="1"/>
    <col min="10" max="10" width="16.285714285714285" customWidth="1"/>
    <col min="13" max="13" width="16.571428571428573" bestFit="1" customWidth="1"/>
    <col min="14" max="14" width="10.142857142857142" bestFit="1" customWidth="1"/>
    <col min="15" max="15" width="11.714285714285714" bestFit="1" customWidth="1"/>
    <col min="16" max="16" width="10" bestFit="1" customWidth="1"/>
  </cols>
  <sheetData>
    <row r="4" spans="2:6" ht="18">
      <c r="B4" s="1" t="s">
        <v>45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7" t="e">
        <f>#REF!</f>
        <v>#REF!</v>
      </c>
      <c r="F8" s="32"/>
      <c r="G8" s="6"/>
      <c r="H8" s="6"/>
      <c r="I8" s="13"/>
    </row>
    <row r="9" spans="3:7" ht="15.75">
      <c r="C9" s="5"/>
      <c r="D9" s="5"/>
      <c r="E9" s="5"/>
      <c r="F9" s="5"/>
      <c r="G9" s="55" t="s">
        <v>31</v>
      </c>
    </row>
    <row r="10" spans="3:15" ht="12.75">
      <c r="C10" s="62" t="s">
        <v>11</v>
      </c>
      <c r="D10" s="62"/>
      <c r="E10" s="63">
        <f>G10*C19/(J30)</f>
        <v>-0.01864489547507047</v>
      </c>
      <c r="F10" s="18"/>
      <c r="G10" s="100">
        <v>-425383</v>
      </c>
      <c r="H10" s="7"/>
      <c r="I10" s="12"/>
      <c r="O10" s="16"/>
    </row>
    <row r="11" spans="3:9" ht="12.75">
      <c r="C11" s="62"/>
      <c r="D11" s="62"/>
      <c r="E11" s="63"/>
      <c r="F11" s="18"/>
      <c r="G11" s="10"/>
      <c r="H11" s="7"/>
      <c r="I11" s="12"/>
    </row>
    <row r="12" spans="3:15" ht="12.75">
      <c r="C12" s="62" t="s">
        <v>2</v>
      </c>
      <c r="D12" s="62"/>
      <c r="E12" s="63">
        <f>G12*C19/(J30)</f>
        <v>0.019583752131486006</v>
      </c>
      <c r="F12" s="18"/>
      <c r="G12" s="100">
        <v>446803</v>
      </c>
      <c r="H12" s="8"/>
      <c r="I12" s="12"/>
      <c r="O12" s="16"/>
    </row>
    <row r="13" spans="3:9" ht="15.75">
      <c r="C13" s="5"/>
      <c r="D13" s="5"/>
      <c r="E13" s="11"/>
      <c r="F13" s="5"/>
      <c r="G13" s="11"/>
      <c r="H13" s="5"/>
      <c r="I13" s="12"/>
    </row>
    <row r="14" spans="3:14" ht="15.75">
      <c r="C14" s="26" t="s">
        <v>7</v>
      </c>
      <c r="D14" s="26"/>
      <c r="E14" s="11"/>
      <c r="F14" s="26"/>
      <c r="G14" s="11"/>
      <c r="H14" s="5"/>
      <c r="I14" s="27"/>
      <c r="J14" s="39"/>
      <c r="K14" s="39"/>
      <c r="L14" s="39"/>
      <c r="M14" s="39"/>
      <c r="N14" s="39"/>
    </row>
    <row r="15" spans="3:14" ht="12.75" customHeight="1">
      <c r="C15" s="18" t="s">
        <v>8</v>
      </c>
      <c r="D15" s="18"/>
      <c r="E15" s="8" t="e">
        <f>G47</f>
        <v>#REF!</v>
      </c>
      <c r="F15" s="18"/>
      <c r="G15" s="28"/>
      <c r="H15" s="8"/>
      <c r="I15" s="27"/>
      <c r="J15" s="46"/>
      <c r="K15" s="15"/>
      <c r="L15" s="41"/>
      <c r="M15" s="42"/>
      <c r="N15" s="39"/>
    </row>
    <row r="16" spans="3:14" ht="12.75">
      <c r="C16" s="18" t="s">
        <v>10</v>
      </c>
      <c r="D16" s="18"/>
      <c r="E16" s="34">
        <f>-(G45+I46)/I45</f>
        <v>1.535454127902651</v>
      </c>
      <c r="F16" s="18"/>
      <c r="G16" s="10"/>
      <c r="H16" s="7"/>
      <c r="J16" s="46"/>
      <c r="K16" s="15"/>
      <c r="L16" s="41"/>
      <c r="M16" s="42"/>
      <c r="N16" s="43"/>
    </row>
    <row r="17" spans="3:14" ht="12.75">
      <c r="C17" s="18"/>
      <c r="D17" s="18"/>
      <c r="E17" s="18"/>
      <c r="F17" s="18"/>
      <c r="G17" s="7"/>
      <c r="J17" s="46"/>
      <c r="K17" s="15"/>
      <c r="L17" s="41"/>
      <c r="M17" s="42"/>
      <c r="N17" s="39"/>
    </row>
    <row r="18" spans="3:14" ht="15.75">
      <c r="C18" s="19"/>
      <c r="D18" s="20"/>
      <c r="E18" s="20"/>
      <c r="F18" s="20"/>
      <c r="I18" s="21"/>
      <c r="J18" s="46"/>
      <c r="K18" s="15"/>
      <c r="L18" s="41"/>
      <c r="M18" s="42"/>
      <c r="N18" s="43"/>
    </row>
    <row r="19" spans="3:14" ht="12.75">
      <c r="C19" s="22">
        <v>1</v>
      </c>
      <c r="D19" s="15"/>
      <c r="E19" s="15"/>
      <c r="F19" s="15"/>
      <c r="G19" s="23"/>
      <c r="H19" s="15"/>
      <c r="I19" s="15"/>
      <c r="J19" s="46"/>
      <c r="K19" s="15"/>
      <c r="L19" s="41"/>
      <c r="M19" s="42"/>
      <c r="N19" s="39"/>
    </row>
    <row r="20" spans="3:14" ht="12.75">
      <c r="C20" s="15"/>
      <c r="D20" s="15"/>
      <c r="E20" s="21"/>
      <c r="F20" s="24"/>
      <c r="G20" s="24"/>
      <c r="H20" s="15"/>
      <c r="I20" s="25"/>
      <c r="J20" s="46"/>
      <c r="K20" s="15"/>
      <c r="L20" s="41"/>
      <c r="M20" s="42"/>
      <c r="N20" s="39"/>
    </row>
    <row r="21" spans="3:15" ht="12.75">
      <c r="C21" s="15" t="s">
        <v>16</v>
      </c>
      <c r="D21" s="15"/>
      <c r="E21" s="21">
        <v>43857</v>
      </c>
      <c r="F21" s="24"/>
      <c r="G21" s="24">
        <v>-3729663.33747616</v>
      </c>
      <c r="H21" s="15"/>
      <c r="I21" s="25"/>
      <c r="J21" s="46"/>
      <c r="K21" s="15"/>
      <c r="L21" s="41"/>
      <c r="M21" s="42"/>
      <c r="N21" s="39"/>
      <c r="O21" s="25"/>
    </row>
    <row r="22" spans="3:15" ht="12.75">
      <c r="C22" s="15"/>
      <c r="D22" s="15"/>
      <c r="E22" s="21">
        <v>43985</v>
      </c>
      <c r="F22" s="24"/>
      <c r="G22" s="24">
        <v>-3993333.708903484</v>
      </c>
      <c r="H22" s="15"/>
      <c r="I22" s="25"/>
      <c r="J22" s="46"/>
      <c r="K22" s="15"/>
      <c r="L22" s="41"/>
      <c r="M22" s="44"/>
      <c r="N22" s="43"/>
      <c r="O22" s="25"/>
    </row>
    <row r="23" spans="3:15" ht="12.75">
      <c r="C23" s="15"/>
      <c r="D23" s="15"/>
      <c r="E23" s="21">
        <v>44076</v>
      </c>
      <c r="F23" s="24"/>
      <c r="G23" s="24">
        <v>-3616158.1226375205</v>
      </c>
      <c r="H23" s="15"/>
      <c r="I23" s="25"/>
      <c r="J23" s="46"/>
      <c r="K23" s="15"/>
      <c r="L23" s="41"/>
      <c r="M23" s="44"/>
      <c r="N23" s="43"/>
      <c r="O23" s="25"/>
    </row>
    <row r="24" spans="3:15" ht="15.75">
      <c r="C24" s="15"/>
      <c r="D24" s="15"/>
      <c r="E24" s="21">
        <v>44117</v>
      </c>
      <c r="F24" s="24"/>
      <c r="G24" s="24">
        <v>-4545734.435929703</v>
      </c>
      <c r="H24" s="15"/>
      <c r="I24" s="25"/>
      <c r="J24" s="73" t="s">
        <v>31</v>
      </c>
      <c r="K24" s="60"/>
      <c r="L24" s="41"/>
      <c r="M24" s="42"/>
      <c r="N24" s="39"/>
      <c r="O24" s="25"/>
    </row>
    <row r="25" spans="3:15" ht="12.75">
      <c r="C25" s="15"/>
      <c r="D25" s="15"/>
      <c r="E25" s="21">
        <v>44141</v>
      </c>
      <c r="F25" s="24"/>
      <c r="G25" s="24">
        <v>-4059434.3957036096</v>
      </c>
      <c r="H25" s="15"/>
      <c r="I25" s="25"/>
      <c r="J25" s="61">
        <v>2474504</v>
      </c>
      <c r="K25" s="60" t="s">
        <v>53</v>
      </c>
      <c r="L25" s="41"/>
      <c r="M25" s="21"/>
      <c r="N25" s="24"/>
      <c r="O25" s="24"/>
    </row>
    <row r="26" spans="3:15" ht="12.75">
      <c r="C26" s="15"/>
      <c r="D26" s="15"/>
      <c r="E26" s="21">
        <v>44148</v>
      </c>
      <c r="F26" s="24"/>
      <c r="G26" s="24">
        <v>-2117485.387890708</v>
      </c>
      <c r="H26" s="15"/>
      <c r="I26" s="25"/>
      <c r="J26" s="61">
        <v>13084702</v>
      </c>
      <c r="K26" s="60" t="s">
        <v>54</v>
      </c>
      <c r="L26" s="41"/>
      <c r="M26" s="21"/>
      <c r="N26" s="24"/>
      <c r="O26" s="24"/>
    </row>
    <row r="27" spans="3:15" ht="12.75">
      <c r="C27" s="15"/>
      <c r="D27" s="15"/>
      <c r="E27" s="21">
        <v>44187</v>
      </c>
      <c r="F27" s="24"/>
      <c r="G27" s="24">
        <v>-1785585.596973475</v>
      </c>
      <c r="H27" s="15"/>
      <c r="I27" s="25"/>
      <c r="J27" s="61">
        <v>2.387586117E7</v>
      </c>
      <c r="K27" s="60" t="s">
        <v>55</v>
      </c>
      <c r="L27" s="41"/>
      <c r="M27" s="21"/>
      <c r="N27" s="24"/>
      <c r="O27" s="24"/>
    </row>
    <row r="28" spans="3:15" ht="12.75">
      <c r="C28" s="15" t="s">
        <v>41</v>
      </c>
      <c r="D28" s="15"/>
      <c r="E28" s="21">
        <v>44203</v>
      </c>
      <c r="F28" s="24"/>
      <c r="G28" s="24">
        <v>-8018989.544841462</v>
      </c>
      <c r="H28" s="15"/>
      <c r="I28" s="25"/>
      <c r="J28" s="61">
        <v>2.53778147E7</v>
      </c>
      <c r="K28" s="60" t="s">
        <v>56</v>
      </c>
      <c r="L28" s="41"/>
      <c r="M28" s="21"/>
      <c r="N28" s="24"/>
      <c r="O28" s="24"/>
    </row>
    <row r="29" spans="3:15" ht="12.75">
      <c r="C29" s="15"/>
      <c r="D29" s="15"/>
      <c r="E29" s="21">
        <v>44217</v>
      </c>
      <c r="F29" s="24"/>
      <c r="G29" s="24">
        <v>-1117940.3764899687</v>
      </c>
      <c r="H29" s="15"/>
      <c r="I29" s="25"/>
      <c r="J29" s="61">
        <f>G45</f>
        <v>4.926204029E7</v>
      </c>
      <c r="K29" s="60" t="s">
        <v>57</v>
      </c>
      <c r="L29" s="41"/>
      <c r="M29" s="21"/>
      <c r="N29" s="24"/>
      <c r="O29" s="24"/>
    </row>
    <row r="30" spans="3:15" ht="12.75">
      <c r="C30" s="15"/>
      <c r="D30" s="15"/>
      <c r="E30" s="21">
        <v>44250</v>
      </c>
      <c r="F30" s="24"/>
      <c r="G30" s="24">
        <v>3902821.062827045</v>
      </c>
      <c r="H30" s="15"/>
      <c r="I30" s="25"/>
      <c r="J30" s="61">
        <f>SUM(J25:J29)/5</f>
        <v>2.2814984432E7</v>
      </c>
      <c r="K30" s="60" t="s">
        <v>12</v>
      </c>
      <c r="L30" s="41"/>
      <c r="M30" s="21"/>
      <c r="N30" s="24"/>
      <c r="O30" s="24"/>
    </row>
    <row r="31" spans="3:15" ht="12.75">
      <c r="C31" s="15"/>
      <c r="D31" s="15"/>
      <c r="E31" s="21">
        <v>44265</v>
      </c>
      <c r="F31" s="24"/>
      <c r="G31" s="24">
        <v>-2356104.60</v>
      </c>
      <c r="H31" s="15"/>
      <c r="I31" s="25"/>
      <c r="J31" s="25"/>
      <c r="K31" s="15"/>
      <c r="L31" s="41"/>
      <c r="M31" s="21"/>
      <c r="N31" s="24"/>
      <c r="O31" s="24"/>
    </row>
    <row r="32" spans="3:15" ht="12.75">
      <c r="C32" s="15"/>
      <c r="D32" s="15"/>
      <c r="E32" s="21">
        <v>44291</v>
      </c>
      <c r="F32" s="24"/>
      <c r="G32" s="24">
        <v>-5687658.169505082</v>
      </c>
      <c r="H32" s="15"/>
      <c r="I32" s="25"/>
      <c r="J32" s="25"/>
      <c r="K32" s="15"/>
      <c r="L32" s="41"/>
      <c r="M32" s="21"/>
      <c r="N32" s="24"/>
      <c r="O32" s="24"/>
    </row>
    <row r="33" spans="3:15" ht="12.75">
      <c r="C33" s="15"/>
      <c r="D33" s="15"/>
      <c r="E33" s="21">
        <v>44307</v>
      </c>
      <c r="F33" s="24"/>
      <c r="G33" s="24">
        <v>-1.272289203108779E7</v>
      </c>
      <c r="H33" s="15"/>
      <c r="I33" s="25"/>
      <c r="J33" s="25"/>
      <c r="K33" s="15"/>
      <c r="L33" s="41"/>
      <c r="M33" s="21"/>
      <c r="N33" s="24"/>
      <c r="O33" s="24"/>
    </row>
    <row r="34" spans="3:15" ht="12.75">
      <c r="C34" s="15"/>
      <c r="D34" s="15"/>
      <c r="E34" s="21">
        <v>44319</v>
      </c>
      <c r="F34" s="24"/>
      <c r="G34" s="24">
        <v>1.32894674663987E7</v>
      </c>
      <c r="H34" s="15"/>
      <c r="I34" s="25"/>
      <c r="J34" s="25"/>
      <c r="K34" s="15"/>
      <c r="L34" s="41"/>
      <c r="M34" s="21"/>
      <c r="N34" s="24"/>
      <c r="O34" s="24"/>
    </row>
    <row r="35" spans="3:15" ht="12.75">
      <c r="C35" s="15"/>
      <c r="D35" s="15"/>
      <c r="E35" s="21">
        <v>44335</v>
      </c>
      <c r="F35" s="24"/>
      <c r="G35" s="24">
        <v>-6055829.173531544</v>
      </c>
      <c r="H35" s="15"/>
      <c r="I35" s="25"/>
      <c r="J35" s="25"/>
      <c r="K35" s="15"/>
      <c r="L35" s="41"/>
      <c r="M35" s="21"/>
      <c r="N35" s="24"/>
      <c r="O35" s="24"/>
    </row>
    <row r="36" spans="3:15" ht="12.75">
      <c r="C36" s="15"/>
      <c r="D36" s="15"/>
      <c r="E36" s="21">
        <v>44344</v>
      </c>
      <c r="F36" s="24"/>
      <c r="G36" s="24">
        <v>7254103.33</v>
      </c>
      <c r="H36" s="15"/>
      <c r="I36" s="25"/>
      <c r="J36" s="25"/>
      <c r="K36" s="15"/>
      <c r="L36" s="41"/>
      <c r="M36" s="21"/>
      <c r="N36" s="24"/>
      <c r="O36" s="24"/>
    </row>
    <row r="37" spans="3:15" ht="12.75">
      <c r="C37" s="15"/>
      <c r="D37" s="15"/>
      <c r="E37" s="21">
        <v>44361</v>
      </c>
      <c r="F37" s="24"/>
      <c r="G37" s="24">
        <v>186019.90</v>
      </c>
      <c r="H37" s="15"/>
      <c r="I37" s="25"/>
      <c r="J37" s="25"/>
      <c r="K37" s="15"/>
      <c r="L37" s="41"/>
      <c r="M37" s="21"/>
      <c r="N37" s="24"/>
      <c r="O37" s="24"/>
    </row>
    <row r="38" spans="3:15" ht="12.75">
      <c r="C38" s="15"/>
      <c r="D38" s="15"/>
      <c r="E38" s="21">
        <v>44375</v>
      </c>
      <c r="F38" s="24"/>
      <c r="G38" s="24">
        <v>-2027423.50</v>
      </c>
      <c r="H38" s="15"/>
      <c r="I38" s="25"/>
      <c r="J38" s="25"/>
      <c r="K38" s="15"/>
      <c r="L38" s="41"/>
      <c r="M38" s="21"/>
      <c r="N38" s="24"/>
      <c r="O38" s="24"/>
    </row>
    <row r="39" spans="3:14" ht="12.75">
      <c r="C39" s="15"/>
      <c r="D39" s="15"/>
      <c r="E39" s="21">
        <v>44475</v>
      </c>
      <c r="F39" s="24"/>
      <c r="G39" s="24">
        <v>-1939274.65</v>
      </c>
      <c r="H39" s="15"/>
      <c r="I39" s="25"/>
      <c r="L39" s="39"/>
      <c r="M39" s="39"/>
      <c r="N39" s="39"/>
    </row>
    <row r="40" spans="3:14" ht="12.75">
      <c r="C40" s="15"/>
      <c r="D40" s="15"/>
      <c r="E40" s="21">
        <v>44483</v>
      </c>
      <c r="F40" s="24"/>
      <c r="G40" s="24">
        <v>-381978.34</v>
      </c>
      <c r="H40" s="15"/>
      <c r="I40" s="25"/>
      <c r="L40" s="39"/>
      <c r="M40" s="43"/>
      <c r="N40" s="39"/>
    </row>
    <row r="41" spans="3:14" ht="12.75">
      <c r="C41" s="15"/>
      <c r="D41" s="15"/>
      <c r="E41" s="21">
        <v>44505</v>
      </c>
      <c r="F41" s="24"/>
      <c r="G41" s="24">
        <v>-1894167.94</v>
      </c>
      <c r="H41" s="15"/>
      <c r="I41" s="25"/>
      <c r="L41" s="39"/>
      <c r="M41" s="43"/>
      <c r="N41" s="39"/>
    </row>
    <row r="42" spans="3:14" ht="12.75">
      <c r="C42" s="15"/>
      <c r="D42" s="15"/>
      <c r="E42" s="21">
        <v>44551</v>
      </c>
      <c r="F42" s="24"/>
      <c r="G42" s="24">
        <v>-1087169.12</v>
      </c>
      <c r="H42" s="15"/>
      <c r="I42" s="25"/>
      <c r="L42" s="39"/>
      <c r="M42" s="43"/>
      <c r="N42" s="39"/>
    </row>
    <row r="43" spans="3:14" ht="12.75">
      <c r="C43" s="15"/>
      <c r="D43" s="15"/>
      <c r="E43" s="21">
        <v>44558</v>
      </c>
      <c r="F43" s="24"/>
      <c r="G43" s="24">
        <v>1.600153253E7</v>
      </c>
      <c r="H43" s="15"/>
      <c r="I43" s="25"/>
      <c r="L43" s="39"/>
      <c r="M43" s="43"/>
      <c r="N43" s="39"/>
    </row>
    <row r="44" spans="3:15" ht="4.5" customHeight="1">
      <c r="C44" s="15"/>
      <c r="D44" s="15"/>
      <c r="E44" s="21"/>
      <c r="F44" s="15"/>
      <c r="G44" s="24"/>
      <c r="H44" s="15"/>
      <c r="I44" s="25"/>
      <c r="J44" s="25"/>
      <c r="O44" s="31"/>
    </row>
    <row r="45" spans="3:13" ht="12.75">
      <c r="C45" s="15" t="s">
        <v>5</v>
      </c>
      <c r="D45" s="15"/>
      <c r="E45" s="21" t="e">
        <f>+E8</f>
        <v>#REF!</v>
      </c>
      <c r="F45" s="15"/>
      <c r="G45" s="102">
        <v>4.926204029E7</v>
      </c>
      <c r="H45" s="15"/>
      <c r="I45" s="24">
        <f>+SUMIF($G$21:$G$44,"&lt;0",$G$21:$G$44)+G30+G34+G36+G37</f>
        <v>-4.2504410671744764E7</v>
      </c>
      <c r="J45" s="15" t="s">
        <v>14</v>
      </c>
      <c r="M45" s="94"/>
    </row>
    <row r="46" spans="3:13" ht="12.75">
      <c r="C46" s="15"/>
      <c r="D46" s="15"/>
      <c r="E46" s="15"/>
      <c r="F46" s="15"/>
      <c r="G46" s="15"/>
      <c r="H46" s="15"/>
      <c r="I46" s="24">
        <f>+SUMIF($G$21:$G$44,"&gt;0",$G$21:$G$44)-G30-G34-G36-G37</f>
        <v>1.6001532529999997E7</v>
      </c>
      <c r="J46" s="15" t="s">
        <v>15</v>
      </c>
      <c r="M46" s="31"/>
    </row>
    <row r="47" spans="3:13" ht="12.75">
      <c r="C47" s="14" t="s">
        <v>0</v>
      </c>
      <c r="G47" s="29" t="e">
        <f>+XIRR(G21:G45,E21:E45,0.1)</f>
        <v>#REF!</v>
      </c>
      <c r="H47" s="15"/>
      <c r="M47" s="35"/>
    </row>
    <row r="48" spans="3:9" ht="12.75">
      <c r="C48" s="15"/>
      <c r="D48" s="15"/>
      <c r="E48" s="15"/>
      <c r="F48" s="15"/>
      <c r="G48" s="15"/>
      <c r="H48" s="15"/>
      <c r="I48" s="24"/>
    </row>
    <row r="49" spans="3:13" ht="12.75">
      <c r="C49" s="15"/>
      <c r="D49" s="15"/>
      <c r="E49" s="21"/>
      <c r="F49" s="24"/>
      <c r="G49" s="24"/>
      <c r="H49" s="15"/>
      <c r="M49" s="35"/>
    </row>
    <row r="50" spans="3:13" ht="12.75">
      <c r="C50" s="52"/>
      <c r="D50" s="52"/>
      <c r="E50" s="21"/>
      <c r="F50" s="24"/>
      <c r="G50" s="24"/>
      <c r="H50" s="15"/>
      <c r="M50" s="35"/>
    </row>
    <row r="51" spans="3:13" ht="12.75">
      <c r="C51" s="52"/>
      <c r="D51" s="52"/>
      <c r="E51" s="21"/>
      <c r="F51" s="24"/>
      <c r="G51" s="24"/>
      <c r="H51" s="15"/>
      <c r="M51" s="35"/>
    </row>
    <row r="52" spans="3:13" ht="12.75">
      <c r="C52" s="52"/>
      <c r="D52" s="52"/>
      <c r="E52" s="53"/>
      <c r="F52" s="52"/>
      <c r="G52" s="53"/>
      <c r="H52" s="15"/>
      <c r="M52" s="35"/>
    </row>
    <row r="53" spans="3:8" ht="12.75">
      <c r="C53" s="52"/>
      <c r="D53" s="52"/>
      <c r="E53" s="53"/>
      <c r="F53" s="52"/>
      <c r="G53" s="53"/>
      <c r="H53" s="14"/>
    </row>
    <row r="54" spans="3:8" ht="12.75">
      <c r="C54" s="52"/>
      <c r="D54" s="52"/>
      <c r="E54" s="53"/>
      <c r="F54" s="53"/>
      <c r="G54" s="53"/>
      <c r="H54" s="14"/>
    </row>
    <row r="55" spans="3:17" ht="12.75">
      <c r="C55" s="52"/>
      <c r="D55" s="52"/>
      <c r="E55" s="52"/>
      <c r="F55" s="52"/>
      <c r="G55" s="52"/>
      <c r="H55" s="14"/>
      <c r="Q55" s="38"/>
    </row>
    <row r="56" spans="3:17" ht="13.5" thickBot="1">
      <c r="C56" s="47" t="s">
        <v>9</v>
      </c>
      <c r="D56" s="47"/>
      <c r="E56" s="48">
        <f>E10</f>
        <v>-0.01864489547507047</v>
      </c>
      <c r="F56" s="54"/>
      <c r="G56" s="58"/>
      <c r="H56" s="14"/>
      <c r="Q56" s="38"/>
    </row>
    <row r="57" spans="3:17" ht="13.5" thickTop="1">
      <c r="C57" s="47"/>
      <c r="D57" s="47"/>
      <c r="E57" s="49"/>
      <c r="F57" s="54"/>
      <c r="G57" s="70"/>
      <c r="H57" s="14"/>
      <c r="Q57" s="38"/>
    </row>
    <row r="58" spans="3:17" ht="13.5" thickBot="1">
      <c r="C58" s="47" t="s">
        <v>32</v>
      </c>
      <c r="D58" s="47"/>
      <c r="E58" s="48">
        <f>E12</f>
        <v>0.019583752131486006</v>
      </c>
      <c r="F58" s="54"/>
      <c r="G58" s="58"/>
      <c r="H58" s="14"/>
      <c r="Q58" s="38"/>
    </row>
    <row r="59" spans="3:17" ht="13.5" thickTop="1">
      <c r="C59" s="47"/>
      <c r="D59" s="47"/>
      <c r="E59" s="49"/>
      <c r="F59" s="54"/>
      <c r="G59" s="70"/>
      <c r="H59" s="14"/>
      <c r="Q59" s="38"/>
    </row>
    <row r="60" spans="3:8" ht="13.5" thickBot="1">
      <c r="C60" s="47" t="s">
        <v>7</v>
      </c>
      <c r="D60" s="47"/>
      <c r="E60" s="51" t="e">
        <f>+E15</f>
        <v>#REF!</v>
      </c>
      <c r="F60" s="54"/>
      <c r="G60" s="70"/>
      <c r="H60" s="14"/>
    </row>
    <row r="61" spans="3:8" ht="5.1" customHeight="1" thickTop="1">
      <c r="C61" s="36"/>
      <c r="D61" s="14"/>
      <c r="E61" s="33"/>
      <c r="F61" s="33"/>
      <c r="G61" s="71"/>
      <c r="H61" s="14"/>
    </row>
    <row r="62" spans="3:8" ht="12.75">
      <c r="C62" s="36"/>
      <c r="D62" s="14"/>
      <c r="E62" s="37"/>
      <c r="F62" s="37"/>
      <c r="G62" s="72"/>
      <c r="H62" s="14"/>
    </row>
  </sheetData>
  <pageMargins left="0.7" right="0.7" top="0.75" bottom="0.75" header="0.3" footer="0.3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306E34-D27B-45FD-88DB-6D44CEFC5BAF}"/>
</file>

<file path=customXml/itemProps2.xml><?xml version="1.0" encoding="utf-8"?>
<ds:datastoreItem xmlns:ds="http://schemas.openxmlformats.org/officeDocument/2006/customXml" ds:itemID="{1291B339-A3C8-4A7F-9C2D-DC35695E33CA}"/>
</file>

<file path=customXml/itemProps3.xml><?xml version="1.0" encoding="utf-8"?>
<ds:datastoreItem xmlns:ds="http://schemas.openxmlformats.org/officeDocument/2006/customXml" ds:itemID="{03A3911B-FEC5-478C-8D88-3ACB6D5A8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Combined A Funds</vt:lpstr>
      <vt:lpstr>Combined A Hypo</vt:lpstr>
      <vt:lpstr>ETF Main Co A funds hypo</vt:lpstr>
      <vt:lpstr>ETF A funds Combined hypo</vt:lpstr>
      <vt:lpstr>Actual Hypo %s</vt:lpstr>
      <vt:lpstr>EETF I-A w INT</vt:lpstr>
      <vt:lpstr>EETF I-A 1st close LP</vt:lpstr>
      <vt:lpstr>EETF I-A 1st close LP w INT</vt:lpstr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EETF I-A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  <vt:lpstr>EETF I-A hypo w INT</vt:lpstr>
      <vt:lpstr>EETF I-B hypo</vt:lpstr>
      <vt:lpstr>EETF I-C hypo</vt:lpstr>
      <vt:lpstr>EETF I-E 1st close LP</vt:lpstr>
      <vt:lpstr>EETF I-E 1st close LP w INT</vt:lpstr>
      <vt:lpstr>EETF I-E w INT</vt:lpstr>
      <vt:lpstr>EETF I-E hypo</vt:lpstr>
      <vt:lpstr>EETF I-E hypo w INT</vt:lpstr>
      <vt:lpstr>EETF Co Inv I-A Hypo</vt:lpstr>
      <vt:lpstr>EETF Co Inv I-B hypo</vt:lpstr>
      <vt:lpstr>EETF Co Inv I-C hypo</vt:lpstr>
      <vt:lpstr>EETF Co Inv I-E hypo</vt:lpstr>
      <vt:lpstr>EETF Sidecar I-A Hypo</vt:lpstr>
      <vt:lpstr>EETF Sidecar I-B hypo</vt:lpstr>
      <vt:lpstr>EETF Sidecar I-C hypo</vt:lpstr>
    </vt:vector>
  </TitlesOfParts>
  <Template/>
  <Manager/>
  <Company>PricewaterhouseCoopers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mgreenstei002</dc:creator>
  <cp:keywords/>
  <dc:description/>
  <cp:lastModifiedBy>Cole Sanches</cp:lastModifiedBy>
  <cp:lastPrinted>2022-03-15T14:50:01Z</cp:lastPrinted>
  <dcterms:created xsi:type="dcterms:W3CDTF">2002-01-08T18:22:21Z</dcterms:created>
  <dcterms:modified xsi:type="dcterms:W3CDTF">2023-08-30T22:10:18Z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