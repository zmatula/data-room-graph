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mployees\Cole\2022\Q3\Net returns\"/>
    </mc:Choice>
  </mc:AlternateContent>
  <bookViews>
    <workbookView xWindow="28680" yWindow="-120" windowWidth="29040" windowHeight="15840" activeTab="0"/>
  </bookViews>
  <sheets>
    <sheet name="VI LP" sheetId="3" r:id="rId3"/>
    <sheet name="VI-B LP" sheetId="5" r:id="rId4"/>
    <sheet name="VII" sheetId="9" r:id="rId5"/>
    <sheet name="VII-B" sheetId="10" r:id="rId6"/>
    <sheet name="VIII" sheetId="20" r:id="rId7"/>
    <sheet name="VIII-B" sheetId="21" r:id="rId8"/>
    <sheet name="VIII-C" sheetId="22" r:id="rId9"/>
    <sheet name="VIII-D" sheetId="23" r:id="rId10"/>
    <sheet name="Fund IX" sheetId="15" r:id="rId11"/>
    <sheet name="Fund IX-C" sheetId="16" r:id="rId12"/>
    <sheet name="Fund IX-D" sheetId="17" r:id="rId13"/>
    <sheet name="Fund X" sheetId="11" r:id="rId14"/>
    <sheet name="Fund X-C" sheetId="12" r:id="rId15"/>
    <sheet name="Fund X-D" sheetId="13" r:id="rId16"/>
    <sheet name="Fund XI" sheetId="6" r:id="rId17"/>
    <sheet name="Fund XI-C" sheetId="7" r:id="rId18"/>
    <sheet name="Fund XI-D" sheetId="8" r:id="rId19"/>
    <sheet name="EETF I-A" sheetId="14" r:id="rId20"/>
    <sheet name="EEIF" sheetId="18" r:id="rId21"/>
    <sheet name="EEIF Feeder" sheetId="19" r:id="rId22"/>
    <sheet name="EFM II" sheetId="30" r:id="rId23"/>
    <sheet name="EFM II-C" sheetId="31" r:id="rId24"/>
    <sheet name="EFM II-D" sheetId="32" r:id="rId25"/>
    <sheet name="EFM III" sheetId="24" r:id="rId26"/>
    <sheet name="EFM III-C" sheetId="25" r:id="rId27"/>
    <sheet name="EFM III-D" sheetId="26" r:id="rId28"/>
    <sheet name="EFM IV" sheetId="27" r:id="rId29"/>
    <sheet name="EFM IV-C" sheetId="28" r:id="rId30"/>
    <sheet name="EFM IV-D" sheetId="29" r:id="rId31"/>
  </sheets>
  <definedNames>
    <definedName name="CY_FiHis_FF1">'Fund XI-C'!$C$102:$E$113</definedName>
    <definedName name="CY_FiHis_FF2">'Fund XI-D'!$C$102:$E$113</definedName>
    <definedName name="CY_FiHis_FF3">'VIII-D'!$C$142:$E$153</definedName>
    <definedName name="CY_FiHis_MF">'Fund XI'!$C$102:$E$113</definedName>
    <definedName name="_xlnm.Print_Area" localSheetId="20">'EFM II'!$A$1:$J$113</definedName>
    <definedName name="_xlnm.Print_Area" localSheetId="23">'EFM III'!$A$1:$O$126</definedName>
    <definedName name="_xlnm.Print_Area" localSheetId="26">'EFM IV'!$A$1:$O$76</definedName>
    <definedName name="_xlnm.Print_Area" localSheetId="11">'Fund X'!$A$1:$J$156</definedName>
    <definedName name="_xlnm.Print_Area" localSheetId="14">'Fund XI'!$A$1:$J$109</definedName>
    <definedName name="_xlnm.Print_Area" localSheetId="15">'Fund XI-C'!$A$1:$J$109</definedName>
    <definedName name="_xlnm.Print_Area" localSheetId="16">'Fund XI-D'!$A$1:$J$109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3" l="1"/>
</calcChain>
</file>

<file path=xl/sharedStrings.xml><?xml version="1.0" encoding="utf-8"?>
<sst xmlns="http://schemas.openxmlformats.org/spreadsheetml/2006/main" count="698" uniqueCount="51">
  <si>
    <t>Total return</t>
  </si>
  <si>
    <t xml:space="preserve">  Contributions 2007</t>
  </si>
  <si>
    <t xml:space="preserve">  Contributions 2006</t>
  </si>
  <si>
    <t xml:space="preserve">  Contributions 2008</t>
  </si>
  <si>
    <t>Distributions 2008</t>
  </si>
  <si>
    <t>Net assets</t>
  </si>
  <si>
    <t xml:space="preserve">  Contributions 2009</t>
  </si>
  <si>
    <t>Distributions 2009</t>
  </si>
  <si>
    <t xml:space="preserve">  Contributions 2010</t>
  </si>
  <si>
    <t>Distributions 2010</t>
  </si>
  <si>
    <t>Contributions 2011</t>
  </si>
  <si>
    <t>Distributions 2011</t>
  </si>
  <si>
    <t>Contributions 2012</t>
  </si>
  <si>
    <t>Distributions 2012</t>
  </si>
  <si>
    <t>Distributions 2013</t>
  </si>
  <si>
    <t>Internal rate of return</t>
  </si>
  <si>
    <t>Internal rate of return after incentive allocation</t>
  </si>
  <si>
    <t>ROI</t>
  </si>
  <si>
    <t>Contributions 2013</t>
  </si>
  <si>
    <t>Internal rate of return net of incentive allocation</t>
  </si>
  <si>
    <t>check figure-Contributions</t>
  </si>
  <si>
    <t>check figure-Distributions</t>
  </si>
  <si>
    <t>Distributions 2014</t>
  </si>
  <si>
    <t>Contributions 2014</t>
  </si>
  <si>
    <t>Distributions 2015</t>
  </si>
  <si>
    <t>Distributions 2016</t>
  </si>
  <si>
    <t>Distributions 2018</t>
  </si>
  <si>
    <t>Distributions 2019</t>
  </si>
  <si>
    <t>Distributions 2021</t>
  </si>
  <si>
    <t>Distributions 2022</t>
  </si>
  <si>
    <t>Contributions 2017</t>
  </si>
  <si>
    <t>Contributions 2018</t>
  </si>
  <si>
    <t>Contributions 2019</t>
  </si>
  <si>
    <t>Contributions 2020</t>
  </si>
  <si>
    <t>Contributions 2021</t>
  </si>
  <si>
    <t>Contributions 2022</t>
  </si>
  <si>
    <t>Contributions 2007</t>
  </si>
  <si>
    <t xml:space="preserve">Contributions 2008 </t>
  </si>
  <si>
    <t>Distribution 2008</t>
  </si>
  <si>
    <t>Contributions 2009</t>
  </si>
  <si>
    <t>Contributions 2010</t>
  </si>
  <si>
    <t>Distribution 2010</t>
  </si>
  <si>
    <t>Distribution 2011</t>
  </si>
  <si>
    <t>Distribution 2012</t>
  </si>
  <si>
    <t>Contributions 2015</t>
  </si>
  <si>
    <t>Contributions 2016</t>
  </si>
  <si>
    <t>Distributions 2017</t>
  </si>
  <si>
    <t>Distributions 2020</t>
  </si>
  <si>
    <t xml:space="preserve">  Contributions 2008 </t>
  </si>
  <si>
    <t xml:space="preserve">  Contributions 2011</t>
  </si>
  <si>
    <t>Sample Investor Ownership Percentage (Pro-rata share of commitments - to calculate fund level amounts divide the cash flows in column G by the ownership % below)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</si>
</sst>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0000%"/>
    <numFmt numFmtId="167" formatCode="mm/dd/yy;@"/>
    <numFmt numFmtId="168" formatCode="0.00%_);\(0.00%\)"/>
    <numFmt numFmtId="169" formatCode="0.000000%"/>
    <numFmt numFmtId="170" formatCode="0.0_);\(0.0\)"/>
    <numFmt numFmtId="171" formatCode="0.0000000%"/>
    <numFmt numFmtId="172" formatCode="_(* #,##0.000000_);_(* \(#,##0.000000\);_(* &quot;-&quot;??_);_(@_)"/>
    <numFmt numFmtId="173" formatCode="_(* #,##0.00000_);_(* \(#,##0.00000\);_(* &quot;-&quot;??_);_(@_)"/>
    <numFmt numFmtId="174" formatCode="m/d;@"/>
    <numFmt numFmtId="175" formatCode="_(* #,##0_);_(* \(#,##0\);_(* &quot;—&quot;_);_(@_)"/>
  </numFmts>
  <fonts count="47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sz val="10"/>
      <color indexed="8"/>
      <name val="Helv"/>
      <family val="2"/>
    </font>
    <font>
      <b/>
      <sz val="10"/>
      <color indexed="8"/>
      <name val="Helv"/>
      <family val="2"/>
    </font>
    <font>
      <sz val="12"/>
      <name val="Times New Roman"/>
      <family val="1"/>
    </font>
    <font>
      <u val="double"/>
      <sz val="10"/>
      <color indexed="8"/>
      <name val="Helv"/>
      <family val="2"/>
    </font>
    <font>
      <u val="single"/>
      <sz val="10"/>
      <color indexed="8"/>
      <name val="Helv"/>
      <family val="2"/>
    </font>
    <font>
      <sz val="12"/>
      <color indexed="8"/>
      <name val="Helv"/>
      <family val="2"/>
    </font>
    <font>
      <b/>
      <sz val="12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0"/>
      <name val="Helv"/>
      <family val="2"/>
    </font>
    <font>
      <sz val="10"/>
      <name val="MS Sans Serif"/>
      <family val="2"/>
    </font>
    <font>
      <sz val="10"/>
      <color theme="1"/>
      <name val="Calibri"/>
      <family val="2"/>
      <scheme val="minor"/>
    </font>
    <font>
      <i/>
      <sz val="9"/>
      <name val="Arial"/>
      <family val="2"/>
    </font>
    <font>
      <b/>
      <sz val="9"/>
      <color indexed="8"/>
      <name val="Helv"/>
      <family val="2"/>
    </font>
    <font>
      <sz val="8"/>
      <name val="CG Times (W1)"/>
      <family val="1"/>
    </font>
    <font>
      <sz val="8"/>
      <color indexed="8"/>
      <name val="Helv"/>
      <family val="2"/>
    </font>
    <font>
      <u val="double"/>
      <sz val="8"/>
      <color indexed="8"/>
      <name val="Helv"/>
      <family val="2"/>
    </font>
    <font>
      <sz val="8"/>
      <name val="Times New Roman"/>
      <family val="1"/>
    </font>
    <font>
      <sz val="7"/>
      <name val="CG Times (W1)"/>
      <family val="2"/>
    </font>
    <font>
      <i/>
      <sz val="8"/>
      <name val="Arial"/>
      <family val="2"/>
    </font>
    <font>
      <i/>
      <sz val="10"/>
      <color rgb="FFFF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</border>
    <border>
      <left/>
      <right/>
      <top/>
      <bottom style="thick">
        <color theme="4" tint="0.49998000264167786"/>
      </bottom>
    </border>
    <border>
      <left/>
      <right/>
      <top/>
      <bottom style="medium">
        <color theme="4" tint="0.39998000860214233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/>
      <bottom style="double">
        <color rgb="FFFF8001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</borders>
  <cellStyleXfs count="9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" applyNumberFormat="0" applyFill="0" applyAlignment="0" applyProtection="0"/>
    <xf numFmtId="0" fontId="20" fillId="0" borderId="2" applyNumberFormat="0" applyFill="0" applyAlignment="0" applyProtection="0"/>
    <xf numFmtId="0" fontId="21" fillId="0" borderId="3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4" applyNumberFormat="0" applyAlignment="0" applyProtection="0"/>
    <xf numFmtId="0" fontId="26" fillId="6" borderId="5" applyNumberFormat="0" applyAlignment="0" applyProtection="0"/>
    <xf numFmtId="0" fontId="27" fillId="6" borderId="4" applyNumberFormat="0" applyAlignment="0" applyProtection="0"/>
    <xf numFmtId="0" fontId="28" fillId="0" borderId="6" applyNumberFormat="0" applyFill="0" applyAlignment="0" applyProtection="0"/>
    <xf numFmtId="0" fontId="29" fillId="7" borderId="7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8" applyNumberFormat="0" applyFill="0" applyAlignment="0" applyProtection="0"/>
    <xf numFmtId="0" fontId="33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33" fillId="15" borderId="0" applyNumberFormat="0" applyBorder="0" applyAlignment="0" applyProtection="0"/>
    <xf numFmtId="0" fontId="33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33" fillId="19" borderId="0" applyNumberFormat="0" applyBorder="0" applyAlignment="0" applyProtection="0"/>
    <xf numFmtId="0" fontId="33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33" fillId="23" borderId="0" applyNumberFormat="0" applyBorder="0" applyAlignment="0" applyProtection="0"/>
    <xf numFmtId="0" fontId="33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33" fillId="31" borderId="0" applyNumberFormat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0" fontId="2" fillId="0" borderId="0">
      <alignment/>
      <protection/>
    </xf>
    <xf numFmtId="0" fontId="0" fillId="0" borderId="0">
      <alignment/>
      <protection/>
    </xf>
    <xf numFmtId="0" fontId="2" fillId="32" borderId="9" applyNumberFormat="0" applyFont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15" fontId="36" fillId="0" borderId="0" applyFont="0" applyFill="0" applyBorder="0" applyAlignment="0" applyProtection="0"/>
    <xf numFmtId="4" fontId="36" fillId="0" borderId="0" applyFont="0" applyFill="0" applyBorder="0" applyAlignment="0" applyProtection="0"/>
    <xf numFmtId="0" fontId="2" fillId="0" borderId="0">
      <alignment/>
      <protection/>
    </xf>
    <xf numFmtId="43" fontId="2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2" fillId="0" borderId="0">
      <alignment/>
      <protection/>
    </xf>
    <xf numFmtId="43" fontId="2" fillId="0" borderId="0" applyFont="0" applyFill="0" applyBorder="0" applyAlignment="0" applyProtection="0"/>
    <xf numFmtId="0" fontId="2" fillId="0" borderId="0">
      <alignment/>
      <protection/>
    </xf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7" fillId="0" borderId="0" applyFont="0" applyFill="0" applyBorder="0" applyAlignment="0" applyProtection="0"/>
    <xf numFmtId="44" fontId="37" fillId="0" borderId="0" applyFont="0" applyFill="0" applyBorder="0" applyAlignment="0" applyProtection="0"/>
    <xf numFmtId="0" fontId="37" fillId="0" borderId="0">
      <alignment/>
      <protection/>
    </xf>
    <xf numFmtId="9" fontId="2" fillId="0" borderId="0" applyFont="0" applyFill="0" applyBorder="0" applyAlignment="0" applyProtection="0"/>
    <xf numFmtId="0" fontId="2" fillId="0" borderId="0">
      <alignment/>
      <protection/>
    </xf>
    <xf numFmtId="43" fontId="2" fillId="0" borderId="0" applyFont="0" applyFill="0" applyBorder="0" applyAlignment="0" applyProtection="0"/>
    <xf numFmtId="0" fontId="2" fillId="0" borderId="0">
      <alignment/>
      <protection/>
    </xf>
    <xf numFmtId="43" fontId="2" fillId="0" borderId="0" applyFont="0" applyFill="0" applyBorder="0" applyAlignment="0" applyProtection="0"/>
    <xf numFmtId="0" fontId="2" fillId="0" borderId="0">
      <alignment/>
      <protection/>
    </xf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04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 vertical="top" wrapText="1"/>
    </xf>
    <xf numFmtId="0" fontId="5" fillId="0" borderId="0" xfId="0" applyFont="1" applyAlignment="1">
      <alignment vertical="top" wrapText="1"/>
    </xf>
    <xf numFmtId="0" fontId="10" fillId="0" borderId="0" xfId="0" applyFont="1"/>
    <xf numFmtId="0" fontId="4" fillId="0" borderId="0" xfId="0" applyFont="1" applyBorder="1"/>
    <xf numFmtId="165" fontId="8" fillId="0" borderId="0" xfId="0" applyNumberFormat="1" applyFont="1" applyAlignment="1">
      <alignment horizontal="right" vertical="top" wrapText="1"/>
    </xf>
    <xf numFmtId="165" fontId="7" fillId="0" borderId="0" xfId="0" applyNumberFormat="1" applyFont="1" applyAlignment="1">
      <alignment horizontal="right" vertical="top" wrapText="1"/>
    </xf>
    <xf numFmtId="165" fontId="5" fillId="0" borderId="0" xfId="0" applyNumberFormat="1" applyFont="1" applyAlignment="1">
      <alignment horizontal="right" vertical="top" wrapText="1"/>
    </xf>
    <xf numFmtId="165" fontId="9" fillId="0" borderId="0" xfId="0" applyNumberFormat="1" applyFont="1" applyAlignment="1">
      <alignment horizontal="right" vertical="top" wrapText="1"/>
    </xf>
    <xf numFmtId="0" fontId="11" fillId="0" borderId="0" xfId="0" applyFont="1" applyAlignment="1">
      <alignment horizontal="right" vertical="top" wrapText="1"/>
    </xf>
    <xf numFmtId="165" fontId="8" fillId="0" borderId="0" xfId="0" applyNumberFormat="1" applyFont="1" applyBorder="1" applyAlignment="1">
      <alignment horizontal="right" vertical="top" wrapText="1"/>
    </xf>
    <xf numFmtId="0" fontId="0" fillId="0" borderId="0" xfId="0" applyFont="1"/>
    <xf numFmtId="166" fontId="12" fillId="0" borderId="0" xfId="15" applyNumberFormat="1" applyFont="1"/>
    <xf numFmtId="0" fontId="12" fillId="0" borderId="0" xfId="0" applyFont="1"/>
    <xf numFmtId="0" fontId="13" fillId="0" borderId="0" xfId="0" applyFont="1" applyAlignment="1">
      <alignment/>
    </xf>
    <xf numFmtId="0" fontId="12" fillId="0" borderId="0" xfId="0" applyFont="1" applyAlignment="1">
      <alignment/>
    </xf>
    <xf numFmtId="0" fontId="12" fillId="0" borderId="0" xfId="0" applyFont="1" applyBorder="1"/>
    <xf numFmtId="167" fontId="12" fillId="0" borderId="0" xfId="0" applyNumberFormat="1" applyFont="1" applyBorder="1"/>
    <xf numFmtId="43" fontId="12" fillId="0" borderId="0" xfId="18" applyFont="1" applyBorder="1"/>
    <xf numFmtId="167" fontId="12" fillId="0" borderId="0" xfId="0" applyNumberFormat="1" applyFont="1" applyBorder="1" applyAlignment="1">
      <alignment horizontal="right"/>
    </xf>
    <xf numFmtId="164" fontId="12" fillId="0" borderId="0" xfId="18" applyNumberFormat="1" applyFont="1"/>
    <xf numFmtId="43" fontId="12" fillId="0" borderId="0" xfId="0" applyNumberFormat="1" applyFont="1"/>
    <xf numFmtId="164" fontId="12" fillId="0" borderId="0" xfId="0" applyNumberFormat="1" applyFont="1"/>
    <xf numFmtId="43" fontId="14" fillId="0" borderId="0" xfId="18" applyFont="1"/>
    <xf numFmtId="0" fontId="15" fillId="0" borderId="0" xfId="0" applyFont="1"/>
    <xf numFmtId="43" fontId="14" fillId="0" borderId="0" xfId="18" applyFont="1" applyBorder="1"/>
    <xf numFmtId="0" fontId="14" fillId="0" borderId="0" xfId="0" applyFont="1"/>
    <xf numFmtId="168" fontId="14" fillId="0" borderId="0" xfId="20" applyNumberFormat="1" applyFont="1" applyAlignment="1">
      <alignment horizontal="right" wrapText="1"/>
    </xf>
    <xf numFmtId="165" fontId="17" fillId="0" borderId="0" xfId="0" applyNumberFormat="1" applyFont="1" applyAlignment="1">
      <alignment horizontal="right" vertical="top" wrapText="1"/>
    </xf>
    <xf numFmtId="165" fontId="15" fillId="0" borderId="0" xfId="0" applyNumberFormat="1" applyFont="1" applyAlignment="1">
      <alignment horizontal="right" vertical="top" wrapText="1"/>
    </xf>
    <xf numFmtId="14" fontId="12" fillId="0" borderId="0" xfId="0" applyNumberFormat="1" applyFont="1"/>
    <xf numFmtId="16" fontId="12" fillId="0" borderId="0" xfId="0" applyNumberFormat="1" applyFont="1"/>
    <xf numFmtId="165" fontId="17" fillId="0" borderId="0" xfId="0" applyNumberFormat="1" applyFont="1" applyBorder="1" applyAlignment="1">
      <alignment horizontal="right" vertical="top" wrapText="1"/>
    </xf>
    <xf numFmtId="165" fontId="15" fillId="0" borderId="0" xfId="0" applyNumberFormat="1" applyFont="1" applyBorder="1" applyAlignment="1">
      <alignment horizontal="right" vertical="top" wrapText="1"/>
    </xf>
    <xf numFmtId="165" fontId="0" fillId="0" borderId="0" xfId="0" applyNumberFormat="1" applyFont="1" applyAlignment="1">
      <alignment horizontal="right" vertical="top" wrapText="1"/>
    </xf>
    <xf numFmtId="10" fontId="5" fillId="0" borderId="0" xfId="0" applyNumberFormat="1" applyFont="1" applyFill="1" applyBorder="1" applyAlignment="1">
      <alignment horizontal="right" vertical="top" wrapText="1"/>
    </xf>
    <xf numFmtId="14" fontId="12" fillId="0" borderId="0" xfId="0" applyNumberFormat="1" applyFont="1" applyFill="1"/>
    <xf numFmtId="0" fontId="12" fillId="0" borderId="0" xfId="0" applyFont="1" applyFill="1"/>
    <xf numFmtId="0" fontId="0" fillId="0" borderId="0" xfId="0" applyFill="1"/>
    <xf numFmtId="43" fontId="14" fillId="0" borderId="0" xfId="18" applyFont="1" applyFill="1" applyBorder="1"/>
    <xf numFmtId="43" fontId="12" fillId="0" borderId="0" xfId="0" applyNumberFormat="1" applyFont="1" applyFill="1"/>
    <xf numFmtId="43" fontId="12" fillId="0" borderId="0" xfId="18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/>
    <xf numFmtId="167" fontId="12" fillId="0" borderId="0" xfId="0" applyNumberFormat="1" applyFont="1" applyFill="1" applyBorder="1"/>
    <xf numFmtId="0" fontId="17" fillId="0" borderId="0" xfId="0" applyFont="1" applyFill="1" applyAlignment="1">
      <alignment vertical="top" wrapText="1"/>
    </xf>
    <xf numFmtId="0" fontId="15" fillId="0" borderId="0" xfId="0" applyFont="1" applyFill="1"/>
    <xf numFmtId="10" fontId="8" fillId="0" borderId="0" xfId="0" applyNumberFormat="1" applyFont="1" applyFill="1" applyAlignment="1">
      <alignment horizontal="right" vertical="top" wrapText="1"/>
    </xf>
    <xf numFmtId="0" fontId="3" fillId="0" borderId="0" xfId="0" applyFont="1" applyFill="1"/>
    <xf numFmtId="0" fontId="5" fillId="0" borderId="0" xfId="0" applyFont="1" applyFill="1"/>
    <xf numFmtId="0" fontId="6" fillId="0" borderId="0" xfId="0" applyFont="1" applyFill="1"/>
    <xf numFmtId="0" fontId="0" fillId="0" borderId="0" xfId="0" applyFont="1" applyFill="1" applyAlignment="1">
      <alignment horizontal="right" vertical="top" wrapText="1"/>
    </xf>
    <xf numFmtId="0" fontId="16" fillId="0" borderId="0" xfId="0" applyFont="1" applyFill="1" applyBorder="1"/>
    <xf numFmtId="0" fontId="10" fillId="0" borderId="0" xfId="0" applyFont="1" applyFill="1"/>
    <xf numFmtId="0" fontId="13" fillId="0" borderId="0" xfId="0" applyFont="1" applyFill="1" applyAlignment="1">
      <alignment/>
    </xf>
    <xf numFmtId="165" fontId="15" fillId="0" borderId="0" xfId="0" applyNumberFormat="1" applyFont="1" applyFill="1" applyAlignment="1">
      <alignment horizontal="right" vertical="top" wrapText="1"/>
    </xf>
    <xf numFmtId="14" fontId="38" fillId="0" borderId="0" xfId="0" applyNumberFormat="1" applyFont="1" applyFill="1" applyAlignment="1">
      <alignment horizontal="left"/>
    </xf>
    <xf numFmtId="0" fontId="12" fillId="0" borderId="0" xfId="0" applyFont="1" applyFill="1" applyAlignment="1">
      <alignment/>
    </xf>
    <xf numFmtId="43" fontId="35" fillId="0" borderId="0" xfId="0" applyNumberFormat="1" applyFont="1" applyFill="1"/>
    <xf numFmtId="0" fontId="15" fillId="0" borderId="0" xfId="0" applyFont="1" applyFill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7" fillId="0" borderId="0" xfId="0" applyFont="1" applyFill="1" applyAlignment="1">
      <alignment horizontal="right" vertical="top" wrapText="1"/>
    </xf>
    <xf numFmtId="43" fontId="0" fillId="0" borderId="0" xfId="18" applyFont="1" applyFill="1"/>
    <xf numFmtId="43" fontId="0" fillId="0" borderId="0" xfId="0" applyNumberFormat="1" applyFill="1"/>
    <xf numFmtId="0" fontId="14" fillId="0" borderId="0" xfId="0" applyFont="1" applyFill="1"/>
    <xf numFmtId="0" fontId="6" fillId="0" borderId="0" xfId="0" applyFont="1" applyFill="1" applyAlignment="1">
      <alignment horizontal="center" vertical="top" wrapText="1"/>
    </xf>
    <xf numFmtId="165" fontId="7" fillId="0" borderId="0" xfId="0" applyNumberFormat="1" applyFont="1" applyFill="1" applyAlignment="1">
      <alignment horizontal="right" vertical="top" wrapText="1"/>
    </xf>
    <xf numFmtId="165" fontId="5" fillId="0" borderId="0" xfId="0" applyNumberFormat="1" applyFont="1" applyFill="1" applyAlignment="1">
      <alignment horizontal="right" vertical="top" wrapText="1"/>
    </xf>
    <xf numFmtId="168" fontId="12" fillId="0" borderId="0" xfId="20" applyNumberFormat="1" applyFont="1" applyFill="1" applyAlignment="1">
      <alignment horizontal="right" wrapText="1"/>
    </xf>
    <xf numFmtId="43" fontId="14" fillId="0" borderId="0" xfId="18" applyFont="1" applyFill="1"/>
    <xf numFmtId="167" fontId="12" fillId="0" borderId="0" xfId="0" applyNumberFormat="1" applyFont="1" applyFill="1" applyBorder="1" applyAlignment="1">
      <alignment horizontal="right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4" fontId="39" fillId="0" borderId="0" xfId="0" applyNumberFormat="1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wrapText="1"/>
    </xf>
    <xf numFmtId="10" fontId="8" fillId="0" borderId="0" xfId="0" applyNumberFormat="1" applyFont="1" applyAlignment="1">
      <alignment horizontal="right" vertical="top" wrapText="1"/>
    </xf>
    <xf numFmtId="164" fontId="0" fillId="0" borderId="0" xfId="18" applyNumberFormat="1" applyFont="1"/>
    <xf numFmtId="0" fontId="4" fillId="0" borderId="0" xfId="0" applyFont="1"/>
    <xf numFmtId="10" fontId="5" fillId="0" borderId="0" xfId="0" applyNumberFormat="1" applyFont="1" applyAlignment="1">
      <alignment horizontal="right" vertical="top" wrapText="1"/>
    </xf>
    <xf numFmtId="10" fontId="9" fillId="0" borderId="0" xfId="0" applyNumberFormat="1" applyFont="1" applyAlignment="1">
      <alignment horizontal="right" vertical="top" wrapText="1"/>
    </xf>
    <xf numFmtId="164" fontId="0" fillId="0" borderId="0" xfId="18" applyNumberFormat="1" applyFont="1" applyFill="1"/>
    <xf numFmtId="43" fontId="35" fillId="0" borderId="0" xfId="0" applyNumberFormat="1" applyFont="1"/>
    <xf numFmtId="0" fontId="40" fillId="0" borderId="0" xfId="0" applyFont="1"/>
    <xf numFmtId="167" fontId="12" fillId="0" borderId="0" xfId="0" applyNumberFormat="1" applyFont="1"/>
    <xf numFmtId="169" fontId="14" fillId="0" borderId="0" xfId="0" applyNumberFormat="1" applyFont="1"/>
    <xf numFmtId="0" fontId="12" fillId="0" borderId="0" xfId="0" applyFont="1" applyAlignment="1">
      <alignment horizontal="center"/>
    </xf>
    <xf numFmtId="164" fontId="5" fillId="0" borderId="0" xfId="18" applyNumberFormat="1" applyFont="1" applyBorder="1" applyAlignment="1">
      <alignment horizontal="right" vertical="top" wrapText="1"/>
    </xf>
    <xf numFmtId="4" fontId="0" fillId="0" borderId="0" xfId="0" applyNumberFormat="1"/>
    <xf numFmtId="43" fontId="12" fillId="0" borderId="0" xfId="18" applyFont="1" applyFill="1"/>
    <xf numFmtId="43" fontId="0" fillId="0" borderId="0" xfId="0" applyNumberFormat="1"/>
    <xf numFmtId="165" fontId="15" fillId="0" borderId="0" xfId="15" applyNumberFormat="1" applyFont="1" applyFill="1"/>
    <xf numFmtId="165" fontId="15" fillId="0" borderId="0" xfId="15" applyNumberFormat="1" applyFont="1" applyFill="1" applyBorder="1"/>
    <xf numFmtId="165" fontId="0" fillId="0" borderId="0" xfId="15" applyNumberFormat="1" applyFont="1"/>
    <xf numFmtId="165" fontId="0" fillId="0" borderId="0" xfId="15" applyNumberFormat="1" applyFont="1" applyFill="1"/>
    <xf numFmtId="9" fontId="0" fillId="0" borderId="0" xfId="15" applyFont="1"/>
    <xf numFmtId="9" fontId="0" fillId="0" borderId="0" xfId="15" applyFont="1" applyFill="1"/>
    <xf numFmtId="9" fontId="12" fillId="0" borderId="0" xfId="15" applyFont="1"/>
    <xf numFmtId="9" fontId="12" fillId="0" borderId="0" xfId="15" applyFont="1" applyFill="1"/>
    <xf numFmtId="170" fontId="12" fillId="0" borderId="0" xfId="0" applyNumberFormat="1" applyFont="1"/>
    <xf numFmtId="171" fontId="14" fillId="0" borderId="0" xfId="0" applyNumberFormat="1" applyFont="1"/>
    <xf numFmtId="14" fontId="12" fillId="33" borderId="0" xfId="0" applyNumberFormat="1" applyFont="1" applyFill="1"/>
    <xf numFmtId="43" fontId="12" fillId="0" borderId="0" xfId="18" applyFont="1"/>
    <xf numFmtId="167" fontId="12" fillId="33" borderId="0" xfId="0" applyNumberFormat="1" applyFont="1" applyFill="1"/>
    <xf numFmtId="43" fontId="12" fillId="33" borderId="0" xfId="18" applyFont="1" applyFill="1" applyBorder="1"/>
    <xf numFmtId="0" fontId="12" fillId="33" borderId="0" xfId="0" applyFont="1" applyFill="1"/>
    <xf numFmtId="0" fontId="0" fillId="33" borderId="0" xfId="0" applyFill="1"/>
    <xf numFmtId="43" fontId="12" fillId="33" borderId="0" xfId="0" applyNumberFormat="1" applyFont="1" applyFill="1"/>
    <xf numFmtId="4" fontId="0" fillId="33" borderId="0" xfId="0" applyNumberFormat="1" applyFill="1"/>
    <xf numFmtId="164" fontId="0" fillId="0" borderId="0" xfId="0" applyNumberFormat="1"/>
    <xf numFmtId="0" fontId="0" fillId="0" borderId="0" xfId="0" applyAlignment="1">
      <alignment horizontal="center"/>
    </xf>
    <xf numFmtId="168" fontId="12" fillId="0" borderId="0" xfId="20" applyNumberFormat="1" applyFont="1" applyAlignment="1">
      <alignment horizontal="right" wrapText="1"/>
    </xf>
    <xf numFmtId="164" fontId="0" fillId="33" borderId="0" xfId="0" applyNumberFormat="1" applyFill="1"/>
    <xf numFmtId="10" fontId="0" fillId="0" borderId="0" xfId="0" applyNumberFormat="1"/>
    <xf numFmtId="43" fontId="14" fillId="0" borderId="0" xfId="0" applyNumberFormat="1" applyFont="1"/>
    <xf numFmtId="14" fontId="6" fillId="0" borderId="0" xfId="0" applyNumberFormat="1" applyFont="1" applyAlignment="1">
      <alignment horizontal="center" vertical="top" wrapText="1"/>
    </xf>
    <xf numFmtId="0" fontId="0" fillId="33" borderId="0" xfId="0" applyFont="1" applyFill="1"/>
    <xf numFmtId="165" fontId="0" fillId="33" borderId="0" xfId="15" applyNumberFormat="1" applyFont="1" applyFill="1"/>
    <xf numFmtId="171" fontId="0" fillId="0" borderId="0" xfId="15" applyNumberFormat="1" applyFont="1" applyFill="1"/>
    <xf numFmtId="164" fontId="5" fillId="0" borderId="0" xfId="18" applyNumberFormat="1" applyFont="1" applyFill="1" applyBorder="1" applyAlignment="1">
      <alignment horizontal="right" vertical="top" wrapText="1"/>
    </xf>
    <xf numFmtId="0" fontId="0" fillId="0" borderId="0" xfId="0" applyFont="1" applyAlignment="1">
      <alignment horizontal="right"/>
    </xf>
    <xf numFmtId="43" fontId="12" fillId="33" borderId="0" xfId="18" applyFont="1" applyFill="1"/>
    <xf numFmtId="43" fontId="14" fillId="33" borderId="0" xfId="0" applyNumberFormat="1" applyFont="1" applyFill="1"/>
    <xf numFmtId="43" fontId="0" fillId="33" borderId="0" xfId="0" applyNumberFormat="1" applyFill="1"/>
    <xf numFmtId="172" fontId="12" fillId="0" borderId="0" xfId="0" applyNumberFormat="1" applyFont="1"/>
    <xf numFmtId="173" fontId="12" fillId="0" borderId="0" xfId="0" applyNumberFormat="1" applyFont="1"/>
    <xf numFmtId="9" fontId="0" fillId="0" borderId="0" xfId="15" applyFont="1"/>
    <xf numFmtId="0" fontId="15" fillId="0" borderId="0" xfId="0" applyFont="1" applyAlignment="1">
      <alignment horizontal="left" indent="1"/>
    </xf>
    <xf numFmtId="0" fontId="15" fillId="0" borderId="0" xfId="0" applyFont="1" applyAlignment="1">
      <alignment horizontal="left" indent="2"/>
    </xf>
    <xf numFmtId="3" fontId="0" fillId="0" borderId="0" xfId="0" applyNumberFormat="1"/>
    <xf numFmtId="164" fontId="0" fillId="0" borderId="0" xfId="18" applyNumberFormat="1" applyFont="1" applyBorder="1"/>
    <xf numFmtId="0" fontId="15" fillId="33" borderId="0" xfId="0" applyFont="1" applyFill="1" applyAlignment="1">
      <alignment horizontal="center"/>
    </xf>
    <xf numFmtId="0" fontId="15" fillId="33" borderId="0" xfId="0" applyFont="1" applyFill="1"/>
    <xf numFmtId="0" fontId="6" fillId="33" borderId="0" xfId="0" applyFont="1" applyFill="1" applyAlignment="1">
      <alignment horizontal="center" vertical="top" wrapText="1"/>
    </xf>
    <xf numFmtId="10" fontId="8" fillId="33" borderId="0" xfId="0" applyNumberFormat="1" applyFont="1" applyFill="1" applyAlignment="1">
      <alignment horizontal="right" vertical="top" wrapText="1"/>
    </xf>
    <xf numFmtId="0" fontId="7" fillId="33" borderId="0" xfId="0" applyFont="1" applyFill="1" applyAlignment="1">
      <alignment horizontal="right" vertical="top" wrapText="1"/>
    </xf>
    <xf numFmtId="10" fontId="5" fillId="33" borderId="0" xfId="0" applyNumberFormat="1" applyFont="1" applyFill="1" applyAlignment="1">
      <alignment horizontal="right" vertical="top" wrapText="1"/>
    </xf>
    <xf numFmtId="10" fontId="9" fillId="33" borderId="0" xfId="0" applyNumberFormat="1" applyFont="1" applyFill="1" applyAlignment="1">
      <alignment horizontal="right" vertical="top" wrapText="1"/>
    </xf>
    <xf numFmtId="0" fontId="3" fillId="33" borderId="0" xfId="0" applyFont="1" applyFill="1"/>
    <xf numFmtId="0" fontId="5" fillId="33" borderId="0" xfId="0" applyFont="1" applyFill="1"/>
    <xf numFmtId="0" fontId="6" fillId="33" borderId="0" xfId="0" applyFont="1" applyFill="1"/>
    <xf numFmtId="14" fontId="39" fillId="33" borderId="0" xfId="0" applyNumberFormat="1" applyFont="1" applyFill="1" applyAlignment="1">
      <alignment horizontal="center" vertical="top" wrapText="1"/>
    </xf>
    <xf numFmtId="0" fontId="4" fillId="33" borderId="0" xfId="0" applyFont="1" applyFill="1"/>
    <xf numFmtId="0" fontId="5" fillId="33" borderId="0" xfId="0" applyFont="1" applyFill="1" applyAlignment="1">
      <alignment vertical="top" wrapText="1"/>
    </xf>
    <xf numFmtId="0" fontId="10" fillId="33" borderId="0" xfId="0" applyFont="1" applyFill="1"/>
    <xf numFmtId="164" fontId="4" fillId="0" borderId="0" xfId="18" applyNumberFormat="1" applyFont="1"/>
    <xf numFmtId="43" fontId="5" fillId="0" borderId="0" xfId="0" applyNumberFormat="1" applyFont="1" applyAlignment="1">
      <alignment vertical="top" wrapText="1"/>
    </xf>
    <xf numFmtId="0" fontId="0" fillId="0" borderId="0" xfId="0" applyFont="1" applyAlignment="1">
      <alignment horizontal="center"/>
    </xf>
    <xf numFmtId="0" fontId="16" fillId="0" borderId="0" xfId="0" applyFont="1"/>
    <xf numFmtId="9" fontId="14" fillId="0" borderId="0" xfId="0" applyNumberFormat="1" applyFont="1"/>
    <xf numFmtId="14" fontId="39" fillId="0" borderId="0" xfId="0" applyNumberFormat="1" applyFont="1" applyAlignment="1">
      <alignment vertical="top" wrapText="1"/>
    </xf>
    <xf numFmtId="164" fontId="12" fillId="0" borderId="0" xfId="18" applyNumberFormat="1" applyFont="1" applyFill="1"/>
    <xf numFmtId="169" fontId="44" fillId="0" borderId="0" xfId="0" applyNumberFormat="1" applyFont="1" applyAlignment="1">
      <alignment horizontal="right"/>
    </xf>
    <xf numFmtId="43" fontId="45" fillId="0" borderId="0" xfId="18" applyFont="1"/>
    <xf numFmtId="14" fontId="0" fillId="0" borderId="0" xfId="0" applyNumberFormat="1"/>
    <xf numFmtId="165" fontId="0" fillId="0" borderId="0" xfId="0" applyNumberFormat="1"/>
    <xf numFmtId="0" fontId="46" fillId="0" borderId="0" xfId="0" applyFont="1" applyAlignment="1">
      <alignment horizontal="right"/>
    </xf>
    <xf numFmtId="175" fontId="0" fillId="0" borderId="0" xfId="0" applyNumberFormat="1"/>
    <xf numFmtId="0" fontId="46" fillId="0" borderId="0" xfId="0" applyFont="1"/>
    <xf numFmtId="9" fontId="12" fillId="0" borderId="0" xfId="0" applyNumberFormat="1" applyFont="1"/>
    <xf numFmtId="14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/>
    <xf numFmtId="165" fontId="34" fillId="0" borderId="0" xfId="0" applyNumberFormat="1" applyFont="1" applyFill="1" applyBorder="1" applyAlignment="1">
      <alignment horizontal="right" vertical="top" wrapText="1"/>
    </xf>
    <xf numFmtId="0" fontId="0" fillId="0" borderId="0" xfId="0" applyFont="1" applyFill="1" applyBorder="1"/>
    <xf numFmtId="0" fontId="34" fillId="0" borderId="0" xfId="0" applyFont="1" applyFill="1" applyBorder="1" applyAlignment="1">
      <alignment vertical="top" wrapText="1"/>
    </xf>
    <xf numFmtId="165" fontId="0" fillId="0" borderId="0" xfId="0" applyNumberFormat="1" applyFont="1" applyFill="1" applyBorder="1" applyAlignment="1">
      <alignment horizontal="right" vertical="top" wrapText="1"/>
    </xf>
    <xf numFmtId="0" fontId="15" fillId="0" borderId="0" xfId="0" applyFont="1" applyFill="1" applyBorder="1"/>
    <xf numFmtId="0" fontId="15" fillId="0" borderId="0" xfId="0" applyFont="1" applyFill="1" applyBorder="1" applyAlignment="1">
      <alignment horizontal="center"/>
    </xf>
    <xf numFmtId="165" fontId="17" fillId="0" borderId="0" xfId="0" applyNumberFormat="1" applyFont="1" applyFill="1" applyBorder="1" applyAlignment="1">
      <alignment horizontal="right" vertical="top" wrapText="1"/>
    </xf>
    <xf numFmtId="165" fontId="15" fillId="0" borderId="0" xfId="0" applyNumberFormat="1" applyFont="1" applyFill="1" applyBorder="1" applyAlignment="1">
      <alignment horizontal="right" vertical="top" wrapText="1"/>
    </xf>
    <xf numFmtId="0" fontId="15" fillId="0" borderId="0" xfId="0" applyFont="1" applyFill="1" applyBorder="1" applyAlignment="1">
      <alignment horizontal="right" vertical="top" wrapText="1"/>
    </xf>
    <xf numFmtId="0" fontId="17" fillId="0" borderId="0" xfId="0" applyFont="1" applyFill="1" applyBorder="1" applyAlignment="1">
      <alignment vertical="top" wrapText="1"/>
    </xf>
    <xf numFmtId="0" fontId="7" fillId="0" borderId="0" xfId="0" applyFont="1" applyFill="1" applyAlignment="1">
      <alignment horizontal="center" wrapText="1"/>
    </xf>
    <xf numFmtId="0" fontId="5" fillId="0" borderId="0" xfId="0" applyFont="1" applyFill="1" applyAlignment="1">
      <alignment vertical="top" wrapText="1"/>
    </xf>
    <xf numFmtId="165" fontId="8" fillId="0" borderId="0" xfId="0" applyNumberFormat="1" applyFont="1" applyFill="1" applyAlignment="1">
      <alignment horizontal="right" vertical="top" wrapText="1"/>
    </xf>
    <xf numFmtId="0" fontId="4" fillId="0" borderId="0" xfId="0" applyFont="1" applyFill="1"/>
    <xf numFmtId="165" fontId="9" fillId="0" borderId="0" xfId="0" applyNumberFormat="1" applyFont="1" applyFill="1" applyAlignment="1">
      <alignment horizontal="right" vertical="top" wrapText="1"/>
    </xf>
    <xf numFmtId="0" fontId="7" fillId="0" borderId="0" xfId="0" applyFont="1" applyFill="1" applyBorder="1" applyAlignment="1">
      <alignment horizontal="right" vertical="top" wrapText="1"/>
    </xf>
    <xf numFmtId="0" fontId="7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vertical="top" wrapText="1"/>
    </xf>
    <xf numFmtId="165" fontId="8" fillId="0" borderId="0" xfId="0" applyNumberFormat="1" applyFont="1" applyFill="1" applyBorder="1" applyAlignment="1">
      <alignment horizontal="right" vertical="top" wrapText="1"/>
    </xf>
    <xf numFmtId="165" fontId="7" fillId="0" borderId="0" xfId="0" applyNumberFormat="1" applyFont="1" applyFill="1" applyBorder="1" applyAlignment="1">
      <alignment horizontal="right" vertical="top" wrapText="1"/>
    </xf>
    <xf numFmtId="165" fontId="5" fillId="0" borderId="0" xfId="0" applyNumberFormat="1" applyFont="1" applyFill="1" applyBorder="1" applyAlignment="1">
      <alignment horizontal="right" vertical="top" wrapText="1"/>
    </xf>
    <xf numFmtId="165" fontId="9" fillId="0" borderId="0" xfId="0" applyNumberFormat="1" applyFont="1" applyFill="1" applyBorder="1" applyAlignment="1">
      <alignment horizontal="right" vertical="top" wrapText="1"/>
    </xf>
    <xf numFmtId="0" fontId="15" fillId="0" borderId="0" xfId="0" applyFont="1" applyFill="1" applyBorder="1" applyAlignment="1">
      <alignment horizontal="left" indent="1"/>
    </xf>
    <xf numFmtId="0" fontId="15" fillId="0" borderId="0" xfId="0" applyFont="1" applyFill="1" applyBorder="1" applyAlignment="1">
      <alignment horizontal="left" indent="2"/>
    </xf>
    <xf numFmtId="164" fontId="41" fillId="0" borderId="0" xfId="18" applyNumberFormat="1" applyFont="1" applyFill="1" applyBorder="1" applyAlignment="1">
      <alignment horizontal="right" vertical="top" wrapText="1"/>
    </xf>
    <xf numFmtId="165" fontId="42" fillId="0" borderId="0" xfId="0" applyNumberFormat="1" applyFont="1" applyFill="1" applyAlignment="1">
      <alignment horizontal="right" vertical="top" wrapText="1"/>
    </xf>
    <xf numFmtId="165" fontId="43" fillId="0" borderId="0" xfId="0" applyNumberFormat="1" applyFont="1" applyFill="1" applyAlignment="1">
      <alignment horizontal="right" vertical="top" wrapText="1"/>
    </xf>
    <xf numFmtId="165" fontId="42" fillId="0" borderId="0" xfId="0" applyNumberFormat="1" applyFont="1" applyFill="1" applyBorder="1" applyAlignment="1">
      <alignment horizontal="right" vertical="top" wrapText="1"/>
    </xf>
    <xf numFmtId="165" fontId="43" fillId="0" borderId="0" xfId="0" applyNumberFormat="1" applyFont="1" applyFill="1" applyBorder="1" applyAlignment="1">
      <alignment horizontal="right" vertical="top" wrapText="1"/>
    </xf>
    <xf numFmtId="4" fontId="0" fillId="0" borderId="0" xfId="0" applyNumberFormat="1" applyFill="1"/>
    <xf numFmtId="165" fontId="0" fillId="0" borderId="0" xfId="15" applyNumberFormat="1" applyFont="1" applyFill="1" applyBorder="1"/>
    <xf numFmtId="43" fontId="12" fillId="0" borderId="0" xfId="0" applyNumberFormat="1" applyFont="1" applyFill="1" applyBorder="1"/>
    <xf numFmtId="0" fontId="12" fillId="0" borderId="0" xfId="0" applyFont="1" applyFill="1" applyBorder="1"/>
    <xf numFmtId="43" fontId="0" fillId="0" borderId="0" xfId="0" applyNumberFormat="1" applyFill="1" applyBorder="1"/>
    <xf numFmtId="43" fontId="14" fillId="0" borderId="0" xfId="0" applyNumberFormat="1" applyFont="1" applyFill="1"/>
    <xf numFmtId="174" fontId="12" fillId="0" borderId="0" xfId="0" applyNumberFormat="1" applyFont="1" applyFill="1" applyAlignment="1">
      <alignment horizontal="left"/>
    </xf>
    <xf numFmtId="41" fontId="5" fillId="0" borderId="0" xfId="18" applyNumberFormat="1" applyFont="1" applyFill="1" applyBorder="1" applyAlignment="1">
      <alignment horizontal="right" vertical="top" wrapText="1"/>
    </xf>
  </cellXfs>
  <cellStyles count="80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Percent_2006 WPEOF 2006 Deloitte IRR calculation" xfId="20"/>
    <cellStyle name="Title" xfId="21" builtinId="15"/>
    <cellStyle name="Heading 1" xfId="22" builtinId="16"/>
    <cellStyle name="Heading 2" xfId="23" builtinId="17"/>
    <cellStyle name="Heading 3" xfId="24" builtinId="18"/>
    <cellStyle name="Heading 4" xfId="25" builtinId="19"/>
    <cellStyle name="Good" xfId="26" builtinId="26"/>
    <cellStyle name="Bad" xfId="27" builtinId="27"/>
    <cellStyle name="Neutral" xfId="28" builtinId="28"/>
    <cellStyle name="Input" xfId="29" builtinId="20"/>
    <cellStyle name="Output" xfId="30" builtinId="21"/>
    <cellStyle name="Calculation" xfId="31" builtinId="22"/>
    <cellStyle name="Linked Cell" xfId="32" builtinId="24"/>
    <cellStyle name="Check Cell" xfId="33" builtinId="23"/>
    <cellStyle name="Warning Text" xfId="34" builtinId="11"/>
    <cellStyle name="Explanatory Text" xfId="35" builtinId="53"/>
    <cellStyle name="Total" xfId="36" builtinId="25"/>
    <cellStyle name="Accent1" xfId="37" builtinId="29"/>
    <cellStyle name="20% - Accent1" xfId="38" builtinId="30"/>
    <cellStyle name="40% - Accent1" xfId="39" builtinId="31"/>
    <cellStyle name="60% - Accent1" xfId="40" builtinId="32"/>
    <cellStyle name="Accent2" xfId="41" builtinId="33"/>
    <cellStyle name="20% - Accent2" xfId="42" builtinId="34"/>
    <cellStyle name="40% - Accent2" xfId="43" builtinId="35"/>
    <cellStyle name="60% - Accent2" xfId="44" builtinId="36"/>
    <cellStyle name="Accent3" xfId="45" builtinId="37"/>
    <cellStyle name="20% - Accent3" xfId="46" builtinId="38"/>
    <cellStyle name="40% - Accent3" xfId="47" builtinId="39"/>
    <cellStyle name="60% - Accent3" xfId="48" builtinId="40"/>
    <cellStyle name="Accent4" xfId="49" builtinId="41"/>
    <cellStyle name="20% - Accent4" xfId="50" builtinId="42"/>
    <cellStyle name="40% - Accent4" xfId="51" builtinId="43"/>
    <cellStyle name="60% - Accent4" xfId="52" builtinId="44"/>
    <cellStyle name="Accent5" xfId="53" builtinId="45"/>
    <cellStyle name="20% - Accent5" xfId="54" builtinId="46"/>
    <cellStyle name="40% - Accent5" xfId="55" builtinId="47"/>
    <cellStyle name="60% - Accent5" xfId="56" builtinId="48"/>
    <cellStyle name="Accent6" xfId="57" builtinId="49"/>
    <cellStyle name="20% - Accent6" xfId="58" builtinId="50"/>
    <cellStyle name="40% - Accent6" xfId="59" builtinId="51"/>
    <cellStyle name="60% - Accent6" xfId="60" builtinId="52"/>
    <cellStyle name="Comma 4" xfId="61"/>
    <cellStyle name="Comma 2" xfId="62"/>
    <cellStyle name="Comma 3" xfId="63"/>
    <cellStyle name="Currency 2" xfId="64"/>
    <cellStyle name="Normal 2" xfId="65"/>
    <cellStyle name="Normal 3" xfId="66"/>
    <cellStyle name="Note 2" xfId="67"/>
    <cellStyle name="Percent 4" xfId="68"/>
    <cellStyle name="Percent 2" xfId="69"/>
    <cellStyle name="Percent 3" xfId="70"/>
    <cellStyle name="Currency 3" xfId="71"/>
    <cellStyle name="PSDate" xfId="72"/>
    <cellStyle name="PSDec" xfId="73"/>
    <cellStyle name="Normal 2 2" xfId="74"/>
    <cellStyle name="Comma 2 3" xfId="75"/>
    <cellStyle name="Comma 2 2" xfId="76"/>
    <cellStyle name="Normal 4" xfId="77"/>
    <cellStyle name="Comma 3 3" xfId="78"/>
    <cellStyle name="Normal 4 2" xfId="79"/>
    <cellStyle name="Comma 3 2" xfId="80"/>
    <cellStyle name="Percent 2 2" xfId="81"/>
    <cellStyle name="Comma 4 2" xfId="82"/>
    <cellStyle name="Currency 2 2" xfId="83"/>
    <cellStyle name="Normal 5" xfId="84"/>
    <cellStyle name="Percent 2 3" xfId="85"/>
    <cellStyle name="Normal 2 3" xfId="86"/>
    <cellStyle name="Comma 2 4" xfId="87"/>
    <cellStyle name="Normal 4 3" xfId="88"/>
    <cellStyle name="Comma 3 4" xfId="89"/>
    <cellStyle name="Normal 4 2 2" xfId="90"/>
    <cellStyle name="Comma 3 2 2" xfId="91"/>
    <cellStyle name="Percent 2 2 2" xfId="92"/>
    <cellStyle name="Percent 2 4" xfId="9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4.xml"/><Relationship Id="rId13" Type="http://schemas.openxmlformats.org/officeDocument/2006/relationships/worksheet" Target="worksheets/sheet11.xml"/><Relationship Id="rId18" Type="http://schemas.openxmlformats.org/officeDocument/2006/relationships/worksheet" Target="worksheets/sheet16.xml"/><Relationship Id="rId21" Type="http://schemas.openxmlformats.org/officeDocument/2006/relationships/worksheet" Target="worksheets/sheet19.xml"/><Relationship Id="rId3" Type="http://schemas.openxmlformats.org/officeDocument/2006/relationships/worksheet" Target="worksheets/sheet1.xml"/><Relationship Id="rId34" Type="http://schemas.openxmlformats.org/officeDocument/2006/relationships/customXml" Target="../customXml/item1.xml"/><Relationship Id="rId25" Type="http://schemas.openxmlformats.org/officeDocument/2006/relationships/worksheet" Target="worksheets/sheet23.xml"/><Relationship Id="rId7" Type="http://schemas.openxmlformats.org/officeDocument/2006/relationships/worksheet" Target="worksheets/sheet5.xml"/><Relationship Id="rId33" Type="http://schemas.openxmlformats.org/officeDocument/2006/relationships/calcChain" Target="calcChain.xml"/><Relationship Id="rId12" Type="http://schemas.openxmlformats.org/officeDocument/2006/relationships/worksheet" Target="worksheets/sheet10.xml"/><Relationship Id="rId17" Type="http://schemas.openxmlformats.org/officeDocument/2006/relationships/worksheet" Target="worksheets/sheet15.xml"/><Relationship Id="rId20" Type="http://schemas.openxmlformats.org/officeDocument/2006/relationships/worksheet" Target="worksheets/sheet18.xml"/><Relationship Id="rId2" Type="http://schemas.openxmlformats.org/officeDocument/2006/relationships/styles" Target="styles.xml"/><Relationship Id="rId29" Type="http://schemas.openxmlformats.org/officeDocument/2006/relationships/worksheet" Target="worksheets/sheet27.xml"/><Relationship Id="rId16" Type="http://schemas.openxmlformats.org/officeDocument/2006/relationships/worksheet" Target="worksheets/sheet14.xml"/><Relationship Id="rId24" Type="http://schemas.openxmlformats.org/officeDocument/2006/relationships/worksheet" Target="worksheets/sheet22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32" Type="http://schemas.openxmlformats.org/officeDocument/2006/relationships/sharedStrings" Target="sharedStrings.xml"/><Relationship Id="rId23" Type="http://schemas.openxmlformats.org/officeDocument/2006/relationships/worksheet" Target="worksheets/sheet21.xml"/><Relationship Id="rId28" Type="http://schemas.openxmlformats.org/officeDocument/2006/relationships/worksheet" Target="worksheets/sheet26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13.xml"/><Relationship Id="rId36" Type="http://schemas.openxmlformats.org/officeDocument/2006/relationships/customXml" Target="../customXml/item3.xml"/><Relationship Id="rId31" Type="http://schemas.openxmlformats.org/officeDocument/2006/relationships/worksheet" Target="worksheets/sheet29.xml"/><Relationship Id="rId10" Type="http://schemas.openxmlformats.org/officeDocument/2006/relationships/worksheet" Target="worksheets/sheet8.xml"/><Relationship Id="rId19" Type="http://schemas.openxmlformats.org/officeDocument/2006/relationships/worksheet" Target="worksheets/sheet17.xml"/><Relationship Id="rId22" Type="http://schemas.openxmlformats.org/officeDocument/2006/relationships/worksheet" Target="worksheets/sheet20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7" Type="http://schemas.openxmlformats.org/officeDocument/2006/relationships/worksheet" Target="worksheets/sheet25.xml"/><Relationship Id="rId30" Type="http://schemas.openxmlformats.org/officeDocument/2006/relationships/worksheet" Target="worksheets/sheet28.xml"/><Relationship Id="rId14" Type="http://schemas.openxmlformats.org/officeDocument/2006/relationships/worksheet" Target="worksheets/sheet12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6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.vml" /><Relationship Id="rId2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.vml" /><Relationship Id="rId2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7.vml" /><Relationship Id="rId2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8.vml" /><Relationship Id="rId2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9.vml" /><Relationship Id="rId2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0.vml" /><Relationship Id="rId2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1.vml" /><Relationship Id="rId2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2.vml" /><Relationship Id="rId2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3.vml" /><Relationship Id="rId2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4.vml" /><Relationship Id="rId2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5.vml" /><Relationship Id="rId2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6.vml" /><Relationship Id="rId2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7.vml" /><Relationship Id="rId2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8.vml" /><Relationship Id="rId2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9.vml" /><Relationship Id="rId2" Type="http://schemas.openxmlformats.org/officeDocument/2006/relationships/printerSettings" Target="../printerSettings/printerSettings19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0.vml" /><Relationship Id="rId2" Type="http://schemas.openxmlformats.org/officeDocument/2006/relationships/printerSettings" Target="../printerSettings/printerSettings20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1.vml" /><Relationship Id="rId2" Type="http://schemas.openxmlformats.org/officeDocument/2006/relationships/printerSettings" Target="../printerSettings/printerSettings21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2.vml" /><Relationship Id="rId2" Type="http://schemas.openxmlformats.org/officeDocument/2006/relationships/printerSettings" Target="../printerSettings/printerSettings22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3.vml" /><Relationship Id="rId2" Type="http://schemas.openxmlformats.org/officeDocument/2006/relationships/printerSettings" Target="../printerSettings/printerSettings23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4.vml" /><Relationship Id="rId2" Type="http://schemas.openxmlformats.org/officeDocument/2006/relationships/printerSettings" Target="../printerSettings/printerSettings24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5.vml" /><Relationship Id="rId2" Type="http://schemas.openxmlformats.org/officeDocument/2006/relationships/printerSettings" Target="../printerSettings/printerSettings25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6.vml" /><Relationship Id="rId2" Type="http://schemas.openxmlformats.org/officeDocument/2006/relationships/printerSettings" Target="../printerSettings/printerSettings26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7.vml" /><Relationship Id="rId2" Type="http://schemas.openxmlformats.org/officeDocument/2006/relationships/printerSettings" Target="../printerSettings/printerSettings27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8.vml" /><Relationship Id="rId2" Type="http://schemas.openxmlformats.org/officeDocument/2006/relationships/printerSettings" Target="../printerSettings/printerSettings28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9.vml" /><Relationship Id="rId2" Type="http://schemas.openxmlformats.org/officeDocument/2006/relationships/printerSettings" Target="../printerSettings/printerSettings29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4:P148"/>
  <sheetViews>
    <sheetView showGridLines="0" tabSelected="1" view="pageLayout" zoomScaleNormal="100" workbookViewId="0" topLeftCell="A1">
      <selection pane="topLeft" activeCell="C6" sqref="C6"/>
    </sheetView>
  </sheetViews>
  <sheetFormatPr defaultRowHeight="12.75"/>
  <cols>
    <col min="2" max="2" width="4.857142857142857" customWidth="1"/>
    <col min="3" max="3" width="46.714285714285715" customWidth="1"/>
    <col min="4" max="4" width="2" style="42" customWidth="1"/>
    <col min="5" max="5" width="10.714285714285714" bestFit="1" customWidth="1"/>
    <col min="6" max="6" width="2" style="42" customWidth="1"/>
    <col min="7" max="7" width="10.714285714285714" customWidth="1"/>
    <col min="8" max="8" width="2" customWidth="1"/>
    <col min="9" max="9" width="10.285714285714286" customWidth="1"/>
    <col min="10" max="10" width="11.428571428571429" customWidth="1"/>
    <col min="14" max="14" width="16.571428571428573" bestFit="1" customWidth="1"/>
  </cols>
  <sheetData>
    <row r="4" spans="2:6" ht="18">
      <c r="B4" s="1"/>
      <c r="C4" s="1"/>
      <c r="D4" s="52"/>
      <c r="E4" s="1"/>
      <c r="F4" s="52"/>
    </row>
    <row r="7" spans="3:9" ht="12.75">
      <c r="C7" s="2"/>
      <c r="D7" s="53"/>
      <c r="E7" s="2"/>
      <c r="F7" s="53"/>
      <c r="H7" s="15"/>
      <c r="I7" s="15"/>
    </row>
    <row r="8" spans="2:6" ht="12.75">
      <c r="B8" s="4"/>
      <c r="C8" s="3"/>
      <c r="D8" s="54"/>
      <c r="E8" s="3"/>
      <c r="F8" s="54"/>
    </row>
    <row r="9" spans="3:8" ht="15.75">
      <c r="C9" s="28"/>
      <c r="D9" s="50"/>
      <c r="E9" s="76"/>
      <c r="F9" s="76"/>
      <c r="G9" s="76"/>
      <c r="H9" s="13"/>
    </row>
    <row r="10" spans="3:8" s="42" customFormat="1" ht="15.75">
      <c r="C10" s="47"/>
      <c r="D10" s="47"/>
      <c r="E10" s="165">
        <v>44834</v>
      </c>
      <c r="F10" s="63"/>
      <c r="G10" s="64"/>
      <c r="H10" s="65"/>
    </row>
    <row r="11" spans="3:8" s="42" customFormat="1" ht="15.75">
      <c r="C11" s="47"/>
      <c r="D11" s="47"/>
      <c r="E11" s="46"/>
      <c r="F11" s="63"/>
      <c r="G11" s="64"/>
      <c r="H11" s="65"/>
    </row>
    <row r="12" spans="3:8" ht="12.75">
      <c r="C12" s="168"/>
      <c r="D12" s="169"/>
      <c r="E12" s="167"/>
      <c r="F12" s="50"/>
      <c r="G12" s="36"/>
      <c r="H12" s="6"/>
    </row>
    <row r="13" spans="3:8" ht="12.75">
      <c r="C13" s="168"/>
      <c r="D13" s="166"/>
      <c r="E13" s="170"/>
      <c r="F13" s="50"/>
      <c r="G13" s="37"/>
      <c r="H13" s="8"/>
    </row>
    <row r="14" spans="3:8" ht="12.75">
      <c r="C14" s="168"/>
      <c r="D14" s="169"/>
      <c r="E14" s="167"/>
      <c r="F14" s="50"/>
      <c r="G14" s="36"/>
      <c r="H14" s="6"/>
    </row>
    <row r="15" spans="3:8" ht="12.75">
      <c r="C15" s="168"/>
      <c r="D15" s="169"/>
      <c r="E15" s="167"/>
      <c r="F15" s="50"/>
      <c r="G15" s="36"/>
      <c r="H15" s="6"/>
    </row>
    <row r="16" spans="3:8" ht="12.75">
      <c r="C16" s="168"/>
      <c r="D16" s="169"/>
      <c r="E16" s="167"/>
      <c r="F16" s="50"/>
      <c r="G16" s="36"/>
      <c r="H16" s="6"/>
    </row>
    <row r="17" spans="3:8" ht="15.75">
      <c r="C17" s="15"/>
      <c r="D17" s="55"/>
      <c r="E17" s="38"/>
      <c r="F17" s="50"/>
      <c r="G17" s="37"/>
      <c r="H17" s="5"/>
    </row>
    <row r="18" spans="3:8" ht="12.75">
      <c r="C18" s="8" t="s">
        <v>15</v>
      </c>
      <c r="D18" s="56"/>
      <c r="E18" s="33"/>
      <c r="F18" s="50"/>
      <c r="G18" s="33"/>
      <c r="H18" s="8"/>
    </row>
    <row r="19" spans="3:8" ht="12.75">
      <c r="C19" s="6" t="s">
        <v>16</v>
      </c>
      <c r="D19" s="49"/>
      <c r="E19" s="39">
        <f>+G131</f>
        <v>0.23379594683647154</v>
      </c>
      <c r="F19" s="50"/>
      <c r="G19" s="32"/>
      <c r="H19" s="6"/>
    </row>
    <row r="20" spans="3:6" ht="15.75">
      <c r="C20" s="7" t="s">
        <v>17</v>
      </c>
      <c r="D20" s="57"/>
      <c r="E20" s="62">
        <f>(G129+I130)/-I129</f>
        <v>1.73852420237639</v>
      </c>
      <c r="F20" s="57"/>
    </row>
    <row r="22" spans="3:10" ht="12.75">
      <c r="C22" s="88" t="s">
        <v>50</v>
      </c>
      <c r="D22" s="58"/>
      <c r="E22" s="18"/>
      <c r="F22" s="58"/>
      <c r="G22" s="18"/>
      <c r="I22" s="21"/>
      <c r="J22" s="17"/>
    </row>
    <row r="23" spans="3:10" ht="12.75">
      <c r="C23" s="16">
        <v>0.00203</v>
      </c>
      <c r="D23" s="41"/>
      <c r="E23" s="17"/>
      <c r="F23" s="41"/>
      <c r="G23" s="17"/>
      <c r="I23" s="17"/>
      <c r="J23" s="17"/>
    </row>
    <row r="24" spans="3:10" ht="12.75">
      <c r="C24" s="20" t="s">
        <v>2</v>
      </c>
      <c r="D24" s="41"/>
      <c r="E24" s="21">
        <v>38915</v>
      </c>
      <c r="G24" s="29">
        <v>-10429.55</v>
      </c>
      <c r="I24" s="26"/>
      <c r="J24" s="25"/>
    </row>
    <row r="25" spans="3:10" ht="12.75">
      <c r="C25" s="17"/>
      <c r="D25" s="41"/>
      <c r="E25" s="23">
        <v>38950</v>
      </c>
      <c r="G25" s="29">
        <v>-42505.35</v>
      </c>
      <c r="I25" s="26"/>
      <c r="J25" s="25"/>
    </row>
    <row r="26" spans="3:10" ht="12.75">
      <c r="C26" s="17"/>
      <c r="D26" s="41"/>
      <c r="E26" s="23">
        <v>38988</v>
      </c>
      <c r="G26" s="29">
        <v>-13906.07</v>
      </c>
      <c r="I26" s="26"/>
      <c r="J26" s="25"/>
    </row>
    <row r="27" spans="3:10" ht="12.75">
      <c r="C27" s="17"/>
      <c r="D27" s="41"/>
      <c r="E27" s="23">
        <v>39021</v>
      </c>
      <c r="G27" s="29">
        <v>-68218.47</v>
      </c>
      <c r="I27" s="26"/>
      <c r="J27" s="25"/>
    </row>
    <row r="28" spans="3:10" ht="12.75">
      <c r="C28" s="17"/>
      <c r="D28" s="41"/>
      <c r="E28" s="23">
        <v>39055</v>
      </c>
      <c r="G28" s="29">
        <v>-29386.42</v>
      </c>
      <c r="I28" s="26"/>
      <c r="J28" s="25"/>
    </row>
    <row r="29" spans="3:10" ht="12.75">
      <c r="C29" s="17"/>
      <c r="D29" s="41"/>
      <c r="E29" s="23">
        <v>39073</v>
      </c>
      <c r="G29" s="29">
        <v>-10495.15</v>
      </c>
      <c r="I29" s="26"/>
      <c r="J29" s="25"/>
    </row>
    <row r="30" spans="3:10" ht="12.75">
      <c r="C30" s="20" t="s">
        <v>1</v>
      </c>
      <c r="D30" s="41"/>
      <c r="E30" s="21">
        <v>39135</v>
      </c>
      <c r="G30" s="29">
        <v>-42636.54</v>
      </c>
      <c r="I30" s="26"/>
      <c r="J30" s="25"/>
    </row>
    <row r="31" spans="3:10" ht="12.75">
      <c r="C31" s="17"/>
      <c r="D31" s="41"/>
      <c r="E31" s="21">
        <v>39174</v>
      </c>
      <c r="G31" s="29">
        <v>-50376.71</v>
      </c>
      <c r="I31" s="26"/>
      <c r="J31" s="25"/>
    </row>
    <row r="32" spans="3:10" ht="12.75">
      <c r="C32" s="17"/>
      <c r="D32" s="41"/>
      <c r="E32" s="21">
        <v>39237</v>
      </c>
      <c r="G32" s="29">
        <v>-37388.97</v>
      </c>
      <c r="I32" s="26"/>
      <c r="J32" s="25"/>
    </row>
    <row r="33" spans="3:10" ht="12.75">
      <c r="C33" s="17"/>
      <c r="D33" s="41"/>
      <c r="E33" s="21">
        <v>39246</v>
      </c>
      <c r="G33" s="29">
        <v>-111642.32</v>
      </c>
      <c r="I33" s="26"/>
      <c r="J33" s="25"/>
    </row>
    <row r="34" spans="3:10" ht="12.75">
      <c r="C34" s="17"/>
      <c r="D34" s="41"/>
      <c r="E34" s="21">
        <v>39294</v>
      </c>
      <c r="G34" s="29">
        <v>-39619.19</v>
      </c>
      <c r="I34" s="26"/>
      <c r="J34" s="25"/>
    </row>
    <row r="35" spans="3:10" ht="12.75">
      <c r="C35" s="17"/>
      <c r="D35" s="41"/>
      <c r="E35" s="21">
        <v>39321</v>
      </c>
      <c r="G35" s="29">
        <v>-45391.52</v>
      </c>
      <c r="I35" s="26"/>
      <c r="J35" s="25"/>
    </row>
    <row r="36" spans="3:10" ht="12.75">
      <c r="C36" s="17"/>
      <c r="D36" s="41"/>
      <c r="E36" s="21">
        <v>39378</v>
      </c>
      <c r="G36" s="29">
        <v>-42767.73</v>
      </c>
      <c r="I36" s="26"/>
      <c r="J36" s="25"/>
    </row>
    <row r="37" spans="3:10" ht="12.75">
      <c r="C37" s="17"/>
      <c r="D37" s="41"/>
      <c r="E37" s="21">
        <v>39391</v>
      </c>
      <c r="G37" s="29">
        <v>-54705.96</v>
      </c>
      <c r="I37" s="26"/>
      <c r="J37" s="25"/>
    </row>
    <row r="38" spans="3:10" ht="12.75">
      <c r="C38" s="17"/>
      <c r="D38" s="41"/>
      <c r="E38" s="21">
        <v>39422</v>
      </c>
      <c r="G38" s="29">
        <v>-49983.15</v>
      </c>
      <c r="I38" s="26"/>
      <c r="J38" s="25"/>
    </row>
    <row r="39" spans="3:10" ht="12.75">
      <c r="C39" s="20" t="s">
        <v>3</v>
      </c>
      <c r="D39" s="41"/>
      <c r="E39" s="21">
        <v>39451</v>
      </c>
      <c r="G39" s="29">
        <v>-51426.23</v>
      </c>
      <c r="I39" s="26"/>
      <c r="J39" s="25"/>
    </row>
    <row r="40" spans="3:10" ht="12.75">
      <c r="C40" s="17"/>
      <c r="D40" s="41"/>
      <c r="E40" s="21">
        <v>39504</v>
      </c>
      <c r="G40" s="29">
        <v>-61527.81</v>
      </c>
      <c r="I40" s="26"/>
      <c r="J40" s="25"/>
    </row>
    <row r="41" spans="3:10" ht="12.75">
      <c r="C41" s="17"/>
      <c r="D41" s="41"/>
      <c r="E41" s="21">
        <v>39569</v>
      </c>
      <c r="G41" s="29">
        <v>-87896.87</v>
      </c>
      <c r="I41" s="26"/>
      <c r="J41" s="25"/>
    </row>
    <row r="42" spans="3:10" ht="12.75">
      <c r="C42" s="17"/>
      <c r="D42" s="41"/>
      <c r="E42" s="21">
        <v>39623</v>
      </c>
      <c r="G42" s="29">
        <v>-57198.56</v>
      </c>
      <c r="I42" s="26"/>
      <c r="J42" s="25"/>
    </row>
    <row r="43" spans="3:10" ht="12.75">
      <c r="C43" s="17"/>
      <c r="D43" s="41"/>
      <c r="E43" s="21">
        <v>39685</v>
      </c>
      <c r="G43" s="29">
        <v>-72678.9</v>
      </c>
      <c r="I43" s="26"/>
      <c r="J43" s="25"/>
    </row>
    <row r="44" spans="3:10" ht="12.75">
      <c r="C44" s="17"/>
      <c r="D44" s="41"/>
      <c r="E44" s="21">
        <v>39736</v>
      </c>
      <c r="G44" s="29">
        <v>-74384.37</v>
      </c>
      <c r="I44" s="26"/>
      <c r="J44" s="25"/>
    </row>
    <row r="45" spans="3:10" ht="12.75">
      <c r="C45" s="17"/>
      <c r="D45" s="41"/>
      <c r="E45" s="23">
        <v>39783</v>
      </c>
      <c r="G45" s="29">
        <v>-51819.80</v>
      </c>
      <c r="I45" s="26"/>
      <c r="J45" s="25"/>
    </row>
    <row r="46" spans="3:10" ht="12.75">
      <c r="C46" s="17" t="s">
        <v>4</v>
      </c>
      <c r="D46" s="41"/>
      <c r="E46" s="21">
        <v>39511</v>
      </c>
      <c r="G46" s="29">
        <f>-(-2445.26-104792.96)</f>
        <v>107238.22</v>
      </c>
      <c r="I46" s="26"/>
      <c r="J46" s="25"/>
    </row>
    <row r="47" spans="3:10" ht="12.75">
      <c r="C47" s="17"/>
      <c r="D47" s="41"/>
      <c r="E47" s="21">
        <v>39556</v>
      </c>
      <c r="G47" s="29">
        <f>-(-15064.5-19273.34)</f>
        <v>34337.84</v>
      </c>
      <c r="I47" s="26"/>
      <c r="J47" s="25"/>
    </row>
    <row r="48" spans="3:10" ht="12.75">
      <c r="C48" s="17"/>
      <c r="D48" s="41"/>
      <c r="E48" s="21">
        <v>39575</v>
      </c>
      <c r="G48" s="29">
        <f>-(-51.86-13922.07)</f>
        <v>13973.93</v>
      </c>
      <c r="I48" s="26"/>
      <c r="J48" s="25"/>
    </row>
    <row r="49" spans="3:10" ht="12.75">
      <c r="C49" s="17"/>
      <c r="D49" s="41"/>
      <c r="E49" s="21">
        <v>39653</v>
      </c>
      <c r="G49" s="29">
        <v>28215.31</v>
      </c>
      <c r="I49" s="26"/>
      <c r="J49" s="25"/>
    </row>
    <row r="50" spans="3:10" ht="12.75">
      <c r="C50" s="17"/>
      <c r="D50" s="41"/>
      <c r="E50" s="21">
        <v>39807</v>
      </c>
      <c r="G50" s="29">
        <v>25716.32</v>
      </c>
      <c r="I50" s="26"/>
      <c r="J50" s="25"/>
    </row>
    <row r="51" spans="3:10" ht="12.75">
      <c r="C51" s="20" t="s">
        <v>6</v>
      </c>
      <c r="D51" s="41"/>
      <c r="E51" s="21">
        <v>39833</v>
      </c>
      <c r="G51" s="27">
        <v>-56936.18</v>
      </c>
      <c r="I51" s="26"/>
      <c r="J51" s="25"/>
    </row>
    <row r="52" spans="3:10" ht="12.75">
      <c r="C52" s="17"/>
      <c r="D52" s="41"/>
      <c r="E52" s="21">
        <v>39892</v>
      </c>
      <c r="G52" s="27">
        <v>-52869.31</v>
      </c>
      <c r="I52" s="26"/>
      <c r="J52" s="25"/>
    </row>
    <row r="53" spans="3:10" ht="12.75">
      <c r="C53" s="17"/>
      <c r="D53" s="41"/>
      <c r="E53" s="21">
        <v>39918</v>
      </c>
      <c r="G53" s="27">
        <v>-55230.72</v>
      </c>
      <c r="I53" s="26"/>
      <c r="J53" s="25"/>
    </row>
    <row r="54" spans="3:10" ht="12.75">
      <c r="C54" s="17"/>
      <c r="D54" s="41"/>
      <c r="E54" s="21">
        <v>39954</v>
      </c>
      <c r="G54" s="27">
        <v>-72547.72</v>
      </c>
      <c r="I54" s="26"/>
      <c r="J54" s="25"/>
    </row>
    <row r="55" spans="3:10" ht="12.75">
      <c r="C55" s="17"/>
      <c r="D55" s="41"/>
      <c r="E55" s="21">
        <v>39989</v>
      </c>
      <c r="G55" s="27">
        <v>-156246.53</v>
      </c>
      <c r="I55" s="26"/>
      <c r="J55" s="25"/>
    </row>
    <row r="56" spans="3:10" ht="12.75">
      <c r="C56" s="17"/>
      <c r="D56" s="41"/>
      <c r="E56" s="21">
        <v>40077</v>
      </c>
      <c r="G56" s="27">
        <v>-61790.19</v>
      </c>
      <c r="I56" s="26"/>
      <c r="J56" s="25"/>
    </row>
    <row r="57" spans="3:10" ht="12.75">
      <c r="C57" s="17"/>
      <c r="D57" s="41"/>
      <c r="E57" s="21">
        <v>40169</v>
      </c>
      <c r="G57" s="27">
        <v>-85273.08</v>
      </c>
      <c r="I57" s="26"/>
      <c r="J57" s="25"/>
    </row>
    <row r="58" spans="3:10" ht="12.75">
      <c r="C58" s="17" t="s">
        <v>7</v>
      </c>
      <c r="D58" s="41"/>
      <c r="E58" s="21">
        <v>39926</v>
      </c>
      <c r="G58" s="29">
        <v>19830.13</v>
      </c>
      <c r="I58" s="26"/>
      <c r="J58" s="25"/>
    </row>
    <row r="59" spans="3:10" ht="12.75">
      <c r="C59" s="17"/>
      <c r="D59" s="41"/>
      <c r="E59" s="23">
        <v>40099</v>
      </c>
      <c r="G59" s="29">
        <v>116386.34</v>
      </c>
      <c r="I59" s="26"/>
      <c r="J59" s="25"/>
    </row>
    <row r="60" spans="3:10" ht="12.75">
      <c r="C60" s="17"/>
      <c r="D60" s="41"/>
      <c r="E60" s="23">
        <v>40130</v>
      </c>
      <c r="G60" s="29">
        <v>45621.70</v>
      </c>
      <c r="I60" s="26"/>
      <c r="J60" s="25"/>
    </row>
    <row r="61" spans="3:10" ht="12.75">
      <c r="C61" s="17"/>
      <c r="D61" s="41"/>
      <c r="E61" s="23">
        <v>40130</v>
      </c>
      <c r="G61" s="29">
        <v>256</v>
      </c>
      <c r="I61" s="26"/>
      <c r="J61" s="25"/>
    </row>
    <row r="62" spans="3:10" ht="12.75">
      <c r="C62" s="17"/>
      <c r="D62" s="41"/>
      <c r="E62" s="23">
        <v>40155</v>
      </c>
      <c r="G62" s="29">
        <v>12952.47</v>
      </c>
      <c r="I62" s="26"/>
      <c r="J62" s="25"/>
    </row>
    <row r="63" spans="3:10" ht="12.75">
      <c r="C63" s="20" t="s">
        <v>8</v>
      </c>
      <c r="D63" s="41"/>
      <c r="E63" s="21">
        <v>40228</v>
      </c>
      <c r="G63" s="29">
        <v>-39225.62</v>
      </c>
      <c r="I63" s="26"/>
      <c r="J63" s="25"/>
    </row>
    <row r="64" spans="3:10" ht="12.75">
      <c r="C64" s="17"/>
      <c r="D64" s="41"/>
      <c r="E64" s="21">
        <v>40281</v>
      </c>
      <c r="G64" s="29">
        <v>-28468.09</v>
      </c>
      <c r="I64" s="26"/>
      <c r="J64" s="25"/>
    </row>
    <row r="65" spans="3:10" ht="12.75">
      <c r="C65" s="17"/>
      <c r="D65" s="41"/>
      <c r="E65" s="21">
        <v>40305</v>
      </c>
      <c r="G65" s="29">
        <v>-21646.24</v>
      </c>
      <c r="I65" s="26"/>
      <c r="J65" s="25"/>
    </row>
    <row r="66" spans="3:10" ht="12.75">
      <c r="C66" s="17"/>
      <c r="D66" s="41"/>
      <c r="E66" s="23">
        <v>40359</v>
      </c>
      <c r="G66" s="29">
        <v>-27025.01</v>
      </c>
      <c r="I66" s="26"/>
      <c r="J66" s="25"/>
    </row>
    <row r="67" spans="3:10" ht="12.75">
      <c r="C67" s="17"/>
      <c r="D67" s="41"/>
      <c r="E67" s="23">
        <v>40400</v>
      </c>
      <c r="G67" s="29">
        <v>-22302.19</v>
      </c>
      <c r="I67" s="26"/>
      <c r="J67" s="25"/>
    </row>
    <row r="68" spans="3:10" ht="12.75">
      <c r="C68" s="17"/>
      <c r="D68" s="41"/>
      <c r="E68" s="23">
        <v>40450</v>
      </c>
      <c r="G68" s="29">
        <v>-30304.74</v>
      </c>
      <c r="I68" s="26"/>
      <c r="J68" s="25"/>
    </row>
    <row r="69" spans="3:10" ht="12.75">
      <c r="C69" s="17"/>
      <c r="D69" s="41"/>
      <c r="E69" s="23">
        <v>40511</v>
      </c>
      <c r="G69" s="29">
        <v>-31091.88</v>
      </c>
      <c r="I69" s="26"/>
      <c r="J69" s="25"/>
    </row>
    <row r="70" spans="3:10" ht="12.75">
      <c r="C70" s="17" t="s">
        <v>9</v>
      </c>
      <c r="D70" s="41"/>
      <c r="E70" s="21">
        <v>40316</v>
      </c>
      <c r="G70" s="29">
        <v>229530.25</v>
      </c>
      <c r="I70" s="26"/>
      <c r="J70" s="25"/>
    </row>
    <row r="71" spans="3:10" ht="12.75">
      <c r="C71" s="17"/>
      <c r="D71" s="41"/>
      <c r="E71" s="23">
        <v>40316</v>
      </c>
      <c r="G71" s="29">
        <v>1530.82</v>
      </c>
      <c r="I71" s="26"/>
      <c r="J71" s="25"/>
    </row>
    <row r="72" spans="3:10" ht="12.75">
      <c r="C72" s="17"/>
      <c r="D72" s="41"/>
      <c r="E72" s="21">
        <v>40360</v>
      </c>
      <c r="G72" s="29">
        <v>257259.68</v>
      </c>
      <c r="I72" s="26"/>
      <c r="J72" s="25"/>
    </row>
    <row r="73" spans="3:10" ht="12.75">
      <c r="C73" s="17"/>
      <c r="D73" s="41"/>
      <c r="E73" s="23">
        <v>40360</v>
      </c>
      <c r="G73" s="29">
        <v>554.68</v>
      </c>
      <c r="I73" s="26"/>
      <c r="J73" s="25"/>
    </row>
    <row r="74" spans="3:10" ht="12.75">
      <c r="C74" s="17"/>
      <c r="D74" s="41"/>
      <c r="E74" s="23">
        <v>40408</v>
      </c>
      <c r="G74" s="29">
        <v>14738.83</v>
      </c>
      <c r="I74" s="26"/>
      <c r="J74" s="25"/>
    </row>
    <row r="75" spans="3:10" ht="12.75">
      <c r="C75" s="20" t="s">
        <v>10</v>
      </c>
      <c r="D75" s="41"/>
      <c r="E75" s="23">
        <v>40555</v>
      </c>
      <c r="G75" s="29">
        <v>-33190.91</v>
      </c>
      <c r="I75" s="26"/>
      <c r="J75" s="25"/>
    </row>
    <row r="76" spans="3:10" ht="12.75">
      <c r="C76" s="17"/>
      <c r="D76" s="41"/>
      <c r="E76" s="23">
        <v>40585</v>
      </c>
      <c r="G76" s="29">
        <v>-24794.79</v>
      </c>
      <c r="I76" s="26"/>
      <c r="J76" s="25"/>
    </row>
    <row r="77" spans="3:10" ht="12.75">
      <c r="C77" s="17"/>
      <c r="D77" s="41"/>
      <c r="E77" s="23">
        <v>40632</v>
      </c>
      <c r="G77" s="29">
        <v>-37913.72</v>
      </c>
      <c r="I77" s="26"/>
      <c r="J77" s="25"/>
    </row>
    <row r="78" spans="3:10" ht="12.75">
      <c r="C78" s="17"/>
      <c r="D78" s="41"/>
      <c r="E78" s="23">
        <v>40659</v>
      </c>
      <c r="G78" s="29">
        <v>-27287.39</v>
      </c>
      <c r="I78" s="26"/>
      <c r="J78" s="25"/>
    </row>
    <row r="79" spans="3:10" ht="12.75">
      <c r="C79" s="17"/>
      <c r="D79" s="41"/>
      <c r="E79" s="23">
        <v>40774</v>
      </c>
      <c r="G79" s="29">
        <v>-26893.82</v>
      </c>
      <c r="I79" s="26"/>
      <c r="J79" s="25"/>
    </row>
    <row r="80" spans="3:10" ht="12.75">
      <c r="C80" s="17"/>
      <c r="D80" s="41"/>
      <c r="E80" s="23">
        <v>40795</v>
      </c>
      <c r="G80" s="29">
        <v>-24138.84</v>
      </c>
      <c r="I80" s="26"/>
      <c r="J80" s="25"/>
    </row>
    <row r="81" spans="3:10" ht="12.75">
      <c r="C81" s="17"/>
      <c r="D81" s="41"/>
      <c r="E81" s="23">
        <v>40877</v>
      </c>
      <c r="G81" s="29">
        <v>-24270.03</v>
      </c>
      <c r="I81" s="26"/>
      <c r="J81" s="25"/>
    </row>
    <row r="82" spans="3:10" ht="12.75">
      <c r="C82" s="17" t="s">
        <v>11</v>
      </c>
      <c r="D82" s="41"/>
      <c r="E82" s="23">
        <v>40548</v>
      </c>
      <c r="G82" s="29">
        <v>617992.06</v>
      </c>
      <c r="I82" s="26"/>
      <c r="J82" s="25"/>
    </row>
    <row r="83" spans="3:10" ht="12.75">
      <c r="C83" s="17"/>
      <c r="D83" s="41"/>
      <c r="E83" s="23">
        <v>40597</v>
      </c>
      <c r="G83" s="29">
        <v>35303.59</v>
      </c>
      <c r="I83" s="26"/>
      <c r="J83" s="25"/>
    </row>
    <row r="84" spans="3:10" ht="12.75">
      <c r="C84" s="17"/>
      <c r="D84" s="41"/>
      <c r="E84" s="23">
        <v>40626</v>
      </c>
      <c r="G84" s="29">
        <v>90497.90</v>
      </c>
      <c r="I84" s="26"/>
      <c r="J84" s="25"/>
    </row>
    <row r="85" spans="3:10" ht="12.75">
      <c r="C85" s="17"/>
      <c r="D85" s="41"/>
      <c r="E85" s="23">
        <v>40626</v>
      </c>
      <c r="G85" s="29">
        <v>927.08</v>
      </c>
      <c r="I85" s="26"/>
      <c r="J85" s="25"/>
    </row>
    <row r="86" spans="3:10" ht="12.75">
      <c r="C86" s="17"/>
      <c r="D86" s="41"/>
      <c r="E86" s="23">
        <v>40645</v>
      </c>
      <c r="G86" s="29">
        <v>39582.81</v>
      </c>
      <c r="I86" s="26"/>
      <c r="J86" s="25"/>
    </row>
    <row r="87" spans="3:10" ht="12.75">
      <c r="C87" s="17"/>
      <c r="D87" s="41"/>
      <c r="E87" s="23">
        <v>40702</v>
      </c>
      <c r="G87" s="29">
        <v>23026.41</v>
      </c>
      <c r="I87" s="26"/>
      <c r="J87" s="25"/>
    </row>
    <row r="88" spans="3:10" ht="12.75">
      <c r="C88" s="17"/>
      <c r="D88" s="41"/>
      <c r="E88" s="23">
        <v>40787</v>
      </c>
      <c r="G88" s="29">
        <v>281163.07</v>
      </c>
      <c r="I88" s="26"/>
      <c r="J88" s="25"/>
    </row>
    <row r="89" spans="3:10" ht="12.75">
      <c r="C89" s="17"/>
      <c r="D89" s="41"/>
      <c r="E89" s="23">
        <v>40787</v>
      </c>
      <c r="G89" s="29">
        <v>5162.19</v>
      </c>
      <c r="I89" s="26"/>
      <c r="J89" s="25"/>
    </row>
    <row r="90" spans="3:10" ht="12.75">
      <c r="C90" s="17"/>
      <c r="D90" s="41"/>
      <c r="E90" s="23">
        <v>40855</v>
      </c>
      <c r="G90" s="29">
        <v>156101.99</v>
      </c>
      <c r="I90" s="26"/>
      <c r="J90" s="25"/>
    </row>
    <row r="91" spans="3:10" ht="12.75">
      <c r="C91" s="17"/>
      <c r="D91" s="41"/>
      <c r="E91" s="23">
        <v>40855</v>
      </c>
      <c r="G91" s="29">
        <v>-1994.42</v>
      </c>
      <c r="I91" s="26"/>
      <c r="J91" s="25"/>
    </row>
    <row r="92" spans="3:10" ht="12.75">
      <c r="C92" s="17"/>
      <c r="D92" s="41"/>
      <c r="E92" s="23">
        <v>40882</v>
      </c>
      <c r="G92" s="29">
        <v>107393.84</v>
      </c>
      <c r="I92" s="26"/>
      <c r="J92" s="25"/>
    </row>
    <row r="93" spans="3:10" ht="12.75">
      <c r="C93" s="17" t="s">
        <v>12</v>
      </c>
      <c r="D93" s="41"/>
      <c r="E93" s="23">
        <v>40926</v>
      </c>
      <c r="G93" s="29">
        <v>-30173.55</v>
      </c>
      <c r="I93" s="26"/>
      <c r="J93" s="25"/>
    </row>
    <row r="94" spans="3:10" ht="12.75">
      <c r="C94" s="34"/>
      <c r="D94" s="41"/>
      <c r="E94" s="23">
        <v>40994</v>
      </c>
      <c r="G94" s="29">
        <v>-26237.87</v>
      </c>
      <c r="I94" s="26"/>
      <c r="J94" s="25"/>
    </row>
    <row r="95" spans="3:10" ht="12.75">
      <c r="C95" s="35"/>
      <c r="D95" s="41"/>
      <c r="E95" s="23">
        <v>41039</v>
      </c>
      <c r="G95" s="29">
        <v>-26106.68</v>
      </c>
      <c r="I95" s="26"/>
      <c r="J95" s="25"/>
    </row>
    <row r="96" spans="3:10" ht="12.75">
      <c r="C96" s="17"/>
      <c r="D96" s="41"/>
      <c r="E96" s="23">
        <v>41123</v>
      </c>
      <c r="G96" s="29">
        <v>-28336.90</v>
      </c>
      <c r="I96" s="26"/>
      <c r="J96" s="25"/>
    </row>
    <row r="97" spans="3:10" ht="12.75">
      <c r="C97" s="17"/>
      <c r="D97" s="41"/>
      <c r="E97" s="23">
        <v>41163</v>
      </c>
      <c r="G97" s="29">
        <v>-31485.45</v>
      </c>
      <c r="I97" s="26"/>
      <c r="J97" s="25"/>
    </row>
    <row r="98" spans="3:10" ht="12.75">
      <c r="C98" s="17" t="s">
        <v>13</v>
      </c>
      <c r="D98" s="41"/>
      <c r="E98" s="23">
        <v>40912</v>
      </c>
      <c r="G98" s="29">
        <v>103117.32</v>
      </c>
      <c r="I98" s="26"/>
      <c r="J98" s="25"/>
    </row>
    <row r="99" spans="3:10" ht="12.75">
      <c r="C99" s="34"/>
      <c r="D99" s="41"/>
      <c r="E99" s="34">
        <v>40947</v>
      </c>
      <c r="G99" s="29">
        <v>138832.37</v>
      </c>
      <c r="I99" s="26"/>
      <c r="J99" s="25"/>
    </row>
    <row r="100" spans="3:10" ht="12.75">
      <c r="C100" s="34"/>
      <c r="D100" s="41"/>
      <c r="E100" s="34">
        <v>40980</v>
      </c>
      <c r="G100" s="29">
        <v>14346.10</v>
      </c>
      <c r="I100" s="26"/>
      <c r="J100" s="25"/>
    </row>
    <row r="101" spans="3:10" ht="12.75">
      <c r="C101" s="34"/>
      <c r="D101" s="41"/>
      <c r="E101" s="34">
        <v>41031</v>
      </c>
      <c r="G101" s="29">
        <v>347614.27</v>
      </c>
      <c r="I101" s="26"/>
      <c r="J101" s="25"/>
    </row>
    <row r="102" spans="3:10" ht="12.75">
      <c r="C102" s="34"/>
      <c r="D102" s="41"/>
      <c r="E102" s="34">
        <v>41152</v>
      </c>
      <c r="G102" s="29">
        <v>131281.26</v>
      </c>
      <c r="I102" s="26"/>
      <c r="J102" s="25"/>
    </row>
    <row r="103" spans="3:10" ht="12.75">
      <c r="C103" s="34"/>
      <c r="D103" s="41"/>
      <c r="E103" s="34">
        <v>41185</v>
      </c>
      <c r="G103" s="29">
        <v>39433.40</v>
      </c>
      <c r="I103" s="24"/>
      <c r="J103" s="25"/>
    </row>
    <row r="104" spans="3:10" ht="12.75">
      <c r="C104" s="34"/>
      <c r="D104" s="41"/>
      <c r="E104" s="34">
        <v>41257</v>
      </c>
      <c r="G104" s="29">
        <v>156092.07</v>
      </c>
      <c r="I104" s="24"/>
      <c r="J104" s="25"/>
    </row>
    <row r="105" spans="3:10" ht="12.75">
      <c r="C105" s="34"/>
      <c r="D105" s="41"/>
      <c r="E105" s="34">
        <v>41271</v>
      </c>
      <c r="G105" s="29">
        <v>90224.69</v>
      </c>
      <c r="I105" s="24"/>
      <c r="J105" s="25"/>
    </row>
    <row r="106" spans="3:10" ht="12.75">
      <c r="C106" s="34" t="s">
        <v>18</v>
      </c>
      <c r="D106" s="41"/>
      <c r="E106" s="34">
        <v>41544</v>
      </c>
      <c r="G106" s="29">
        <v>-8920.88</v>
      </c>
      <c r="I106" s="24"/>
      <c r="J106" s="25"/>
    </row>
    <row r="107" spans="3:10" ht="12.75">
      <c r="C107" s="34" t="s">
        <v>14</v>
      </c>
      <c r="D107" s="41"/>
      <c r="E107" s="34">
        <v>41339</v>
      </c>
      <c r="G107" s="29">
        <v>13206.09</v>
      </c>
      <c r="I107" s="24"/>
      <c r="J107" s="25"/>
    </row>
    <row r="108" spans="3:10" ht="12.75">
      <c r="C108" s="34"/>
      <c r="D108" s="41"/>
      <c r="E108" s="34">
        <v>41402</v>
      </c>
      <c r="G108" s="29">
        <v>33576.32</v>
      </c>
      <c r="I108" s="44"/>
      <c r="J108" s="41"/>
    </row>
    <row r="109" spans="3:10" ht="12.75">
      <c r="C109" s="34"/>
      <c r="D109" s="41"/>
      <c r="E109" s="34">
        <v>41432</v>
      </c>
      <c r="G109" s="29">
        <v>48608.28</v>
      </c>
      <c r="I109" s="44"/>
      <c r="J109" s="41"/>
    </row>
    <row r="110" spans="3:10" ht="12.75">
      <c r="C110" s="34"/>
      <c r="D110" s="41"/>
      <c r="E110" s="34">
        <v>41534</v>
      </c>
      <c r="G110" s="29">
        <f>152660.31-5132.26</f>
        <v>147528.05</v>
      </c>
      <c r="I110" s="44"/>
      <c r="J110" s="41"/>
    </row>
    <row r="111" spans="3:10" ht="12.75">
      <c r="C111" s="34"/>
      <c r="D111" s="41"/>
      <c r="E111" s="34">
        <v>41548</v>
      </c>
      <c r="G111" s="29">
        <v>47228.17</v>
      </c>
      <c r="I111" s="44"/>
      <c r="J111" s="41"/>
    </row>
    <row r="112" spans="3:10" ht="12.75">
      <c r="C112" s="34"/>
      <c r="D112" s="41"/>
      <c r="E112" s="34">
        <v>41625</v>
      </c>
      <c r="G112" s="29">
        <v>26362.07</v>
      </c>
      <c r="I112" s="44"/>
      <c r="J112" s="41"/>
    </row>
    <row r="113" spans="3:10" s="42" customFormat="1" ht="12.75">
      <c r="C113" s="40" t="s">
        <v>23</v>
      </c>
      <c r="D113" s="41"/>
      <c r="E113" s="40">
        <v>41850</v>
      </c>
      <c r="G113" s="43">
        <v>-8348.15</v>
      </c>
      <c r="I113" s="44"/>
      <c r="J113" s="41"/>
    </row>
    <row r="114" spans="3:10" s="42" customFormat="1" ht="12.75">
      <c r="C114" s="40" t="s">
        <v>22</v>
      </c>
      <c r="D114" s="41"/>
      <c r="E114" s="40">
        <v>41760</v>
      </c>
      <c r="G114" s="43">
        <v>15331.17</v>
      </c>
      <c r="I114" s="44"/>
      <c r="J114" s="41"/>
    </row>
    <row r="115" spans="3:7" s="42" customFormat="1" ht="12.75">
      <c r="C115" s="40"/>
      <c r="D115" s="41"/>
      <c r="E115" s="40">
        <v>41901</v>
      </c>
      <c r="G115" s="43">
        <v>20005.17</v>
      </c>
    </row>
    <row r="116" spans="3:10" s="42" customFormat="1" ht="12.75">
      <c r="C116" s="40" t="s">
        <v>24</v>
      </c>
      <c r="D116" s="41"/>
      <c r="E116" s="40">
        <v>42012</v>
      </c>
      <c r="G116" s="43">
        <v>38956.46</v>
      </c>
      <c r="I116" s="44"/>
      <c r="J116" s="41"/>
    </row>
    <row r="117" spans="3:10" s="42" customFormat="1" ht="12.75">
      <c r="C117" s="40"/>
      <c r="D117" s="41"/>
      <c r="E117" s="40">
        <v>42157</v>
      </c>
      <c r="G117" s="43">
        <v>10698.83</v>
      </c>
      <c r="I117" s="44"/>
      <c r="J117" s="41"/>
    </row>
    <row r="118" spans="3:10" s="42" customFormat="1" ht="12.75">
      <c r="C118" s="40"/>
      <c r="D118" s="41"/>
      <c r="E118" s="40">
        <v>42170</v>
      </c>
      <c r="G118" s="43">
        <v>22992.67</v>
      </c>
      <c r="I118" s="44"/>
      <c r="J118" s="41"/>
    </row>
    <row r="119" spans="3:10" s="42" customFormat="1" ht="12.75">
      <c r="C119" s="40"/>
      <c r="D119" s="41"/>
      <c r="E119" s="40">
        <v>42354</v>
      </c>
      <c r="G119" s="43">
        <v>4247.91</v>
      </c>
      <c r="I119" s="44"/>
      <c r="J119" s="41"/>
    </row>
    <row r="120" spans="3:10" s="42" customFormat="1" ht="12.75">
      <c r="C120" s="40" t="s">
        <v>25</v>
      </c>
      <c r="D120" s="41"/>
      <c r="E120" s="40">
        <v>42543</v>
      </c>
      <c r="G120" s="43">
        <v>4471.03</v>
      </c>
      <c r="I120" s="44"/>
      <c r="J120" s="41"/>
    </row>
    <row r="121" spans="3:10" s="42" customFormat="1" ht="12.75">
      <c r="C121" s="40" t="s">
        <v>26</v>
      </c>
      <c r="D121" s="41"/>
      <c r="E121" s="40">
        <v>43242</v>
      </c>
      <c r="G121" s="43">
        <v>10612.82</v>
      </c>
      <c r="I121" s="44"/>
      <c r="J121" s="41"/>
    </row>
    <row r="122" spans="3:10" s="42" customFormat="1" ht="12.75">
      <c r="C122" s="40"/>
      <c r="D122" s="41"/>
      <c r="E122" s="40">
        <v>43411</v>
      </c>
      <c r="G122" s="43">
        <v>30555.40</v>
      </c>
      <c r="I122" s="44"/>
      <c r="J122" s="41"/>
    </row>
    <row r="123" spans="3:10" s="42" customFormat="1" ht="12.75">
      <c r="C123" s="40"/>
      <c r="D123" s="41"/>
      <c r="E123" s="40">
        <v>43440</v>
      </c>
      <c r="G123" s="43">
        <v>14819.109999999999</v>
      </c>
      <c r="I123" s="44"/>
      <c r="J123" s="41"/>
    </row>
    <row r="124" spans="3:10" s="42" customFormat="1" ht="12.75">
      <c r="C124" s="40" t="s">
        <v>27</v>
      </c>
      <c r="D124" s="41"/>
      <c r="E124" s="40">
        <v>43516</v>
      </c>
      <c r="G124" s="43">
        <v>37899.87</v>
      </c>
      <c r="I124" s="44"/>
      <c r="J124" s="41"/>
    </row>
    <row r="125" spans="3:10" s="42" customFormat="1" ht="12.75">
      <c r="C125" s="40" t="s">
        <v>28</v>
      </c>
      <c r="D125" s="41"/>
      <c r="E125" s="40">
        <v>44316</v>
      </c>
      <c r="G125" s="43">
        <v>12488.92</v>
      </c>
      <c r="I125" s="44"/>
      <c r="J125" s="41"/>
    </row>
    <row r="126" spans="3:10" s="42" customFormat="1" ht="12.75">
      <c r="C126" s="40" t="s">
        <v>29</v>
      </c>
      <c r="D126" s="41"/>
      <c r="E126" s="40">
        <v>44685</v>
      </c>
      <c r="G126" s="43">
        <v>10744.19</v>
      </c>
      <c r="I126" s="44"/>
      <c r="J126" s="41"/>
    </row>
    <row r="127" spans="3:10" s="42" customFormat="1" ht="12.75">
      <c r="C127" s="40"/>
      <c r="D127" s="41"/>
      <c r="E127" s="40">
        <v>44832</v>
      </c>
      <c r="G127" s="43">
        <v>1114.3799999999999</v>
      </c>
      <c r="I127" s="44"/>
      <c r="J127" s="41"/>
    </row>
    <row r="128" spans="3:9" s="42" customFormat="1" ht="4.5" customHeight="1">
      <c r="C128" s="41"/>
      <c r="D128" s="41"/>
      <c r="E128" s="74"/>
      <c r="G128" s="43"/>
      <c r="I128" s="44"/>
    </row>
    <row r="129" spans="3:14" s="42" customFormat="1" ht="12.75">
      <c r="C129" s="41" t="s">
        <v>5</v>
      </c>
      <c r="D129" s="41"/>
      <c r="E129" s="48">
        <f>+E10</f>
        <v>44834</v>
      </c>
      <c r="F129" s="40"/>
      <c r="G129" s="73">
        <f>(0/(1-0.01625))*C23</f>
        <v>0</v>
      </c>
      <c r="I129" s="43">
        <f>+SUMIF($G$24:$G$128,"&lt;0",$G$24:$G$128)</f>
        <v>-2207436.54</v>
      </c>
      <c r="J129" s="17" t="s">
        <v>20</v>
      </c>
      <c r="N129" s="66"/>
    </row>
    <row r="130" spans="3:16" ht="12.75">
      <c r="C130" s="17"/>
      <c r="D130" s="41"/>
      <c r="E130" s="17"/>
      <c r="F130" s="41"/>
      <c r="G130" s="17"/>
      <c r="I130" s="43">
        <f>+SUMIF($G$24:$G$128,"&gt;0",$G$24:$G$128)</f>
        <v>3837681.849999998</v>
      </c>
      <c r="J130" s="17" t="s">
        <v>21</v>
      </c>
      <c r="N130" s="66"/>
      <c r="O130" s="42"/>
      <c r="P130" s="42"/>
    </row>
    <row r="131" spans="3:16" ht="12.75">
      <c r="C131" s="15" t="s">
        <v>0</v>
      </c>
      <c r="G131" s="72">
        <f>XIRR(G24:G129,E24:E129)</f>
        <v>0.23379594683647154</v>
      </c>
      <c r="I131" s="17"/>
      <c r="J131" s="17"/>
      <c r="N131" s="67"/>
      <c r="O131" s="42"/>
      <c r="P131" s="42"/>
    </row>
    <row r="132" spans="3:15" ht="12.75">
      <c r="C132" s="17"/>
      <c r="D132" s="41"/>
      <c r="E132" s="17"/>
      <c r="F132" s="41"/>
      <c r="G132" s="17"/>
      <c r="H132" s="17"/>
      <c r="I132" s="17"/>
      <c r="J132" s="17"/>
      <c r="O132" s="42"/>
    </row>
    <row r="133" spans="3:8" ht="12.75">
      <c r="C133" s="17"/>
      <c r="D133" s="41"/>
      <c r="E133" s="17"/>
      <c r="F133" s="41"/>
      <c r="G133" s="17"/>
      <c r="H133" s="17"/>
    </row>
    <row r="137" spans="3:7" s="42" customFormat="1" ht="12.75">
      <c r="C137" s="171"/>
      <c r="D137" s="171"/>
      <c r="E137" s="172"/>
      <c r="F137" s="172"/>
      <c r="G137" s="172"/>
    </row>
    <row r="138" spans="3:7" s="42" customFormat="1" ht="12.75">
      <c r="C138" s="56"/>
      <c r="D138" s="171"/>
      <c r="E138" s="64"/>
      <c r="F138" s="171"/>
      <c r="G138" s="64"/>
    </row>
    <row r="139" spans="3:7" s="42" customFormat="1" ht="12.75">
      <c r="C139" s="171"/>
      <c r="D139" s="171"/>
      <c r="E139" s="171"/>
      <c r="F139" s="171"/>
      <c r="G139" s="171"/>
    </row>
    <row r="140" spans="3:7" ht="12.75">
      <c r="C140" s="171"/>
      <c r="D140" s="171"/>
      <c r="E140" s="173"/>
      <c r="F140" s="171"/>
      <c r="G140" s="173"/>
    </row>
    <row r="141" spans="3:7" ht="12.75">
      <c r="C141" s="171"/>
      <c r="D141" s="171"/>
      <c r="E141" s="173"/>
      <c r="F141" s="171"/>
      <c r="G141" s="173"/>
    </row>
    <row r="142" spans="3:7" ht="12.75">
      <c r="C142" s="171"/>
      <c r="D142" s="171"/>
      <c r="E142" s="174"/>
      <c r="F142" s="171"/>
      <c r="G142" s="174"/>
    </row>
    <row r="143" spans="3:7" ht="12.75">
      <c r="C143" s="171"/>
      <c r="D143" s="171"/>
      <c r="E143" s="173"/>
      <c r="F143" s="171"/>
      <c r="G143" s="173"/>
    </row>
    <row r="144" spans="3:7" ht="12.75">
      <c r="C144" s="171"/>
      <c r="D144" s="171"/>
      <c r="E144" s="173"/>
      <c r="F144" s="171"/>
      <c r="G144" s="173"/>
    </row>
    <row r="145" spans="3:7" ht="12.75">
      <c r="C145" s="171"/>
      <c r="D145" s="171"/>
      <c r="E145" s="173"/>
      <c r="F145" s="171"/>
      <c r="G145" s="173"/>
    </row>
    <row r="146" spans="3:7" ht="12.75">
      <c r="C146" s="171"/>
      <c r="D146" s="171"/>
      <c r="E146" s="174"/>
      <c r="F146" s="171"/>
      <c r="G146" s="174"/>
    </row>
    <row r="147" spans="3:7" ht="12.75">
      <c r="C147" s="171"/>
      <c r="D147" s="171"/>
      <c r="E147" s="173"/>
      <c r="F147" s="171"/>
      <c r="G147" s="173"/>
    </row>
    <row r="148" spans="3:7" ht="4.5" customHeight="1">
      <c r="C148" s="28"/>
      <c r="D148" s="50"/>
      <c r="E148" s="28"/>
      <c r="F148" s="50"/>
      <c r="G148" s="28"/>
    </row>
  </sheetData>
  <mergeCells count="2">
    <mergeCell ref="E9:G9"/>
    <mergeCell ref="E137:G137"/>
  </mergeCells>
  <pageMargins left="0.75" right="0.33" top="1" bottom="1" header="0.5" footer="0.5"/>
  <pageSetup orientation="portrait" paperSize="1" scale="83" r:id="rId2"/>
  <headerFooter alignWithMargins="0">
    <oddHeader>&amp;C&amp;G</oddHeader>
    <oddFooter>&amp;C&amp;G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4:M134"/>
  <sheetViews>
    <sheetView showGridLines="0" view="pageLayout" zoomScaleNormal="100" workbookViewId="0" topLeftCell="A1">
      <selection pane="topLeft" activeCell="E19" sqref="E19"/>
    </sheetView>
  </sheetViews>
  <sheetFormatPr defaultRowHeight="12.75"/>
  <cols>
    <col min="2" max="2" width="4.857142857142857" customWidth="1"/>
    <col min="3" max="3" width="43" customWidth="1"/>
    <col min="4" max="4" width="2" style="42" customWidth="1"/>
    <col min="5" max="5" width="10.714285714285714" customWidth="1"/>
    <col min="6" max="6" width="2" style="42" customWidth="1"/>
    <col min="7" max="7" width="10.714285714285714" customWidth="1"/>
    <col min="8" max="8" width="3.2857142857142856" customWidth="1"/>
    <col min="9" max="9" width="11.142857142857142" bestFit="1" customWidth="1"/>
    <col min="10" max="10" width="13.571428571428571" bestFit="1" customWidth="1"/>
    <col min="12" max="12" width="10.428571428571429" bestFit="1" customWidth="1"/>
    <col min="13" max="13" width="10.428571428571429" hidden="1" customWidth="1"/>
  </cols>
  <sheetData>
    <row r="4" spans="2:6" ht="18">
      <c r="B4" s="1"/>
      <c r="C4" s="1"/>
      <c r="D4" s="52"/>
      <c r="E4" s="1"/>
      <c r="F4" s="52"/>
    </row>
    <row r="7" spans="3:6" ht="12.75">
      <c r="C7" s="2"/>
      <c r="D7" s="53"/>
      <c r="E7" s="2"/>
      <c r="F7" s="53"/>
    </row>
    <row r="8" spans="2:7" ht="12.75">
      <c r="B8" s="4"/>
      <c r="C8" s="3"/>
      <c r="D8" s="54"/>
      <c r="G8" s="3"/>
    </row>
    <row r="9" spans="3:8" s="42" customFormat="1" ht="13.5" customHeight="1">
      <c r="C9" s="175"/>
      <c r="D9" s="175"/>
      <c r="E9" s="172"/>
      <c r="F9" s="172"/>
      <c r="G9" s="172"/>
      <c r="H9" s="69"/>
    </row>
    <row r="10" spans="3:8" s="42" customFormat="1" ht="13.5" customHeight="1">
      <c r="C10" s="175"/>
      <c r="D10" s="175"/>
      <c r="E10" s="165">
        <v>44834</v>
      </c>
      <c r="F10" s="64"/>
      <c r="G10" s="64"/>
      <c r="H10" s="65"/>
    </row>
    <row r="11" spans="3:8" s="42" customFormat="1" ht="13.5" customHeight="1">
      <c r="C11" s="175"/>
      <c r="D11" s="175"/>
      <c r="E11" s="64"/>
      <c r="F11" s="64"/>
      <c r="G11" s="64"/>
      <c r="H11" s="65"/>
    </row>
    <row r="12" spans="3:8" ht="13.5" customHeight="1">
      <c r="C12" s="171"/>
      <c r="D12" s="176"/>
      <c r="E12" s="173"/>
      <c r="F12" s="171"/>
      <c r="G12" s="173"/>
      <c r="H12" s="14"/>
    </row>
    <row r="13" spans="3:8" s="42" customFormat="1" ht="13.5" customHeight="1">
      <c r="C13" s="171"/>
      <c r="D13" s="56"/>
      <c r="E13" s="173"/>
      <c r="F13" s="171"/>
      <c r="G13" s="173"/>
      <c r="H13" s="70"/>
    </row>
    <row r="14" spans="3:8" s="42" customFormat="1" ht="13.5" customHeight="1">
      <c r="C14" s="171"/>
      <c r="D14" s="176"/>
      <c r="E14" s="171"/>
      <c r="F14" s="171"/>
      <c r="G14" s="174"/>
      <c r="H14" s="71"/>
    </row>
    <row r="15" spans="3:8" ht="13.5" customHeight="1">
      <c r="C15" s="171"/>
      <c r="D15" s="175"/>
      <c r="E15" s="174"/>
      <c r="F15" s="171"/>
      <c r="G15" s="173"/>
      <c r="H15" s="10"/>
    </row>
    <row r="16" spans="3:8" ht="13.5" customHeight="1">
      <c r="C16" s="171"/>
      <c r="D16" s="56"/>
      <c r="E16" s="173"/>
      <c r="F16" s="171"/>
      <c r="G16" s="173"/>
      <c r="H16" s="10"/>
    </row>
    <row r="17" spans="3:8" ht="13.5" customHeight="1">
      <c r="C17" s="171"/>
      <c r="D17" s="176"/>
      <c r="E17" s="173"/>
      <c r="F17" s="171"/>
      <c r="G17" s="173"/>
      <c r="H17" s="11"/>
    </row>
    <row r="18" spans="3:8" ht="13.5" customHeight="1">
      <c r="C18" s="60"/>
      <c r="D18" s="49"/>
      <c r="E18" s="59"/>
      <c r="F18" s="50"/>
      <c r="G18" s="174"/>
      <c r="H18" s="12"/>
    </row>
    <row r="19" spans="3:8" ht="13.5" customHeight="1">
      <c r="C19" s="50" t="s">
        <v>19</v>
      </c>
      <c r="D19" s="49"/>
      <c r="E19" s="173">
        <f>G126</f>
        <v>0.16765121817588804</v>
      </c>
      <c r="F19" s="50"/>
      <c r="G19" s="173"/>
      <c r="H19" s="9"/>
    </row>
    <row r="20" spans="3:8" s="42" customFormat="1" ht="5.1" customHeight="1">
      <c r="C20" s="49"/>
      <c r="D20" s="49"/>
      <c r="E20" s="50"/>
      <c r="F20" s="50"/>
      <c r="G20" s="49"/>
      <c r="H20" s="51"/>
    </row>
    <row r="21" spans="3:6" ht="15.75">
      <c r="C21" s="28" t="s">
        <v>17</v>
      </c>
      <c r="D21" s="57"/>
      <c r="E21" s="62">
        <f>(G124+I125)/-I124</f>
        <v>1.4961896008055307</v>
      </c>
      <c r="F21" s="57"/>
    </row>
    <row r="22" spans="3:12" ht="12.75">
      <c r="C22" s="17"/>
      <c r="D22" s="41"/>
      <c r="E22" s="17"/>
      <c r="F22" s="41"/>
      <c r="G22" s="17"/>
      <c r="H22" s="17"/>
      <c r="I22" s="17"/>
      <c r="J22" s="17"/>
      <c r="K22" s="17"/>
      <c r="L22" s="17"/>
    </row>
    <row r="23" spans="3:12" ht="12.75">
      <c r="C23" s="88" t="s">
        <v>50</v>
      </c>
      <c r="D23" s="61"/>
      <c r="E23" s="19"/>
      <c r="F23" s="61"/>
      <c r="G23" s="19"/>
      <c r="H23" s="19"/>
      <c r="I23" s="21"/>
      <c r="J23" s="17"/>
      <c r="K23" s="17"/>
      <c r="L23" s="17"/>
    </row>
    <row r="24" spans="3:12" ht="12.75">
      <c r="C24" s="16">
        <v>0.025029</v>
      </c>
      <c r="D24" s="41"/>
      <c r="E24" s="17"/>
      <c r="F24" s="41"/>
      <c r="G24" s="17"/>
      <c r="I24" s="17"/>
      <c r="J24" s="17"/>
      <c r="K24" s="17"/>
      <c r="L24" s="17"/>
    </row>
    <row r="25" spans="3:13" ht="12.75">
      <c r="C25" s="20" t="s">
        <v>2</v>
      </c>
      <c r="D25" s="41"/>
      <c r="E25" s="21">
        <v>38915</v>
      </c>
      <c r="G25" s="27">
        <f t="shared" si="0" ref="G25:G51">+M25*-1</f>
        <v>-70388.77</v>
      </c>
      <c r="I25" s="26"/>
      <c r="J25" s="25"/>
      <c r="K25" s="17"/>
      <c r="M25" s="22">
        <v>70388.77</v>
      </c>
    </row>
    <row r="26" spans="3:13" ht="12.75">
      <c r="C26" s="17"/>
      <c r="D26" s="41"/>
      <c r="E26" s="23">
        <v>38950</v>
      </c>
      <c r="G26" s="27">
        <f t="shared" si="0"/>
        <v>-286867.45</v>
      </c>
      <c r="I26" s="26"/>
      <c r="J26" s="25"/>
      <c r="K26" s="17"/>
      <c r="M26" s="22">
        <v>286867.45</v>
      </c>
    </row>
    <row r="27" spans="3:13" ht="12.75">
      <c r="C27" s="17"/>
      <c r="D27" s="41"/>
      <c r="E27" s="23">
        <v>38988</v>
      </c>
      <c r="G27" s="27">
        <f t="shared" si="0"/>
        <v>-93851.70</v>
      </c>
      <c r="I27" s="26"/>
      <c r="J27" s="25"/>
      <c r="K27" s="17"/>
      <c r="M27" s="22">
        <v>93851.70</v>
      </c>
    </row>
    <row r="28" spans="3:13" ht="12.75">
      <c r="C28" s="17"/>
      <c r="D28" s="41"/>
      <c r="E28" s="23">
        <v>39021</v>
      </c>
      <c r="G28" s="27">
        <f t="shared" si="0"/>
        <v>-460404.55</v>
      </c>
      <c r="I28" s="26"/>
      <c r="J28" s="25"/>
      <c r="K28" s="17"/>
      <c r="M28" s="22">
        <v>460404.55</v>
      </c>
    </row>
    <row r="29" spans="3:13" ht="12.75">
      <c r="C29" s="17"/>
      <c r="D29" s="41"/>
      <c r="E29" s="23">
        <v>39055</v>
      </c>
      <c r="G29" s="27">
        <f t="shared" si="0"/>
        <v>-198328.11</v>
      </c>
      <c r="I29" s="26"/>
      <c r="J29" s="25"/>
      <c r="K29" s="17"/>
      <c r="M29" s="22">
        <v>198328.11</v>
      </c>
    </row>
    <row r="30" spans="3:13" ht="12.75">
      <c r="C30" s="17"/>
      <c r="D30" s="41"/>
      <c r="E30" s="23">
        <v>39071</v>
      </c>
      <c r="G30" s="27">
        <f t="shared" si="0"/>
        <v>-70831.47</v>
      </c>
      <c r="I30" s="26"/>
      <c r="J30" s="25"/>
      <c r="K30" s="17"/>
      <c r="M30" s="22">
        <v>70831.47</v>
      </c>
    </row>
    <row r="31" spans="3:13" ht="12.75">
      <c r="C31" s="20" t="s">
        <v>1</v>
      </c>
      <c r="D31" s="41"/>
      <c r="E31" s="21">
        <v>39135</v>
      </c>
      <c r="G31" s="27">
        <f t="shared" si="0"/>
        <v>-287752.84</v>
      </c>
      <c r="I31" s="26"/>
      <c r="J31" s="25"/>
      <c r="K31" s="17"/>
      <c r="M31" s="22">
        <v>287752.84</v>
      </c>
    </row>
    <row r="32" spans="3:13" ht="12.75">
      <c r="C32" s="17"/>
      <c r="D32" s="41"/>
      <c r="E32" s="21">
        <v>39174</v>
      </c>
      <c r="G32" s="27">
        <f t="shared" si="0"/>
        <v>-339991.05</v>
      </c>
      <c r="I32" s="26"/>
      <c r="J32" s="25"/>
      <c r="K32" s="17"/>
      <c r="M32" s="22">
        <v>339991.05</v>
      </c>
    </row>
    <row r="33" spans="3:13" ht="12.75">
      <c r="C33" s="17"/>
      <c r="D33" s="41"/>
      <c r="E33" s="21">
        <v>39237</v>
      </c>
      <c r="G33" s="27">
        <f t="shared" si="0"/>
        <v>-252337.11</v>
      </c>
      <c r="I33" s="26"/>
      <c r="J33" s="25"/>
      <c r="K33" s="17"/>
      <c r="M33" s="22">
        <v>252337.11</v>
      </c>
    </row>
    <row r="34" spans="3:13" ht="12.75">
      <c r="C34" s="17"/>
      <c r="D34" s="41"/>
      <c r="E34" s="21">
        <v>39246</v>
      </c>
      <c r="G34" s="27">
        <f t="shared" si="0"/>
        <v>-753469.75</v>
      </c>
      <c r="I34" s="26"/>
      <c r="J34" s="25"/>
      <c r="K34" s="17"/>
      <c r="M34" s="22">
        <v>753469.75</v>
      </c>
    </row>
    <row r="35" spans="3:13" ht="12.75">
      <c r="C35" s="17"/>
      <c r="D35" s="41"/>
      <c r="E35" s="21">
        <v>39294</v>
      </c>
      <c r="G35" s="27">
        <f t="shared" si="0"/>
        <v>-267388.80</v>
      </c>
      <c r="I35" s="26"/>
      <c r="J35" s="25"/>
      <c r="K35" s="17"/>
      <c r="M35" s="22">
        <v>267388.80</v>
      </c>
    </row>
    <row r="36" spans="3:13" ht="12.75">
      <c r="C36" s="17"/>
      <c r="D36" s="41"/>
      <c r="E36" s="21">
        <v>39321</v>
      </c>
      <c r="G36" s="27">
        <f t="shared" si="0"/>
        <v>-306346</v>
      </c>
      <c r="I36" s="26"/>
      <c r="J36" s="25"/>
      <c r="K36" s="17"/>
      <c r="M36" s="22">
        <v>306346</v>
      </c>
    </row>
    <row r="37" spans="3:13" ht="12.75">
      <c r="C37" s="17"/>
      <c r="D37" s="41"/>
      <c r="E37" s="21">
        <v>39378</v>
      </c>
      <c r="G37" s="27">
        <f t="shared" si="0"/>
        <v>-288638.24</v>
      </c>
      <c r="I37" s="26"/>
      <c r="J37" s="25"/>
      <c r="K37" s="17"/>
      <c r="M37" s="22">
        <v>288638.24</v>
      </c>
    </row>
    <row r="38" spans="3:13" ht="12.75">
      <c r="C38" s="17"/>
      <c r="D38" s="41"/>
      <c r="E38" s="21">
        <v>39391</v>
      </c>
      <c r="G38" s="27">
        <f t="shared" si="0"/>
        <v>-369209.03</v>
      </c>
      <c r="I38" s="26"/>
      <c r="J38" s="25"/>
      <c r="K38" s="17"/>
      <c r="M38" s="22">
        <v>369209.03</v>
      </c>
    </row>
    <row r="39" spans="3:13" ht="12.75">
      <c r="C39" s="17"/>
      <c r="D39" s="41"/>
      <c r="E39" s="21">
        <v>39422</v>
      </c>
      <c r="G39" s="27">
        <f t="shared" si="0"/>
        <v>-337334.87</v>
      </c>
      <c r="I39" s="26"/>
      <c r="J39" s="25"/>
      <c r="K39" s="17"/>
      <c r="M39" s="22">
        <v>337334.87</v>
      </c>
    </row>
    <row r="40" spans="3:13" ht="12.75">
      <c r="C40" s="20" t="s">
        <v>3</v>
      </c>
      <c r="D40" s="41"/>
      <c r="E40" s="21">
        <v>39451</v>
      </c>
      <c r="G40" s="27">
        <f t="shared" si="0"/>
        <v>-347074.20</v>
      </c>
      <c r="I40" s="26"/>
      <c r="J40" s="25"/>
      <c r="K40" s="17"/>
      <c r="M40" s="22">
        <v>347074.20</v>
      </c>
    </row>
    <row r="41" spans="3:13" ht="12.75">
      <c r="C41" s="17"/>
      <c r="D41" s="41"/>
      <c r="E41" s="21">
        <v>39504</v>
      </c>
      <c r="G41" s="27">
        <f t="shared" si="0"/>
        <v>-415249.49</v>
      </c>
      <c r="I41" s="26"/>
      <c r="J41" s="25"/>
      <c r="K41" s="17"/>
      <c r="M41" s="22">
        <v>415249.49</v>
      </c>
    </row>
    <row r="42" spans="3:13" ht="12.75">
      <c r="C42" s="17"/>
      <c r="D42" s="41"/>
      <c r="E42" s="21">
        <v>39569</v>
      </c>
      <c r="G42" s="27">
        <f t="shared" si="0"/>
        <v>-593213.56</v>
      </c>
      <c r="I42" s="26"/>
      <c r="J42" s="25"/>
      <c r="K42" s="17"/>
      <c r="M42" s="22">
        <v>593213.56</v>
      </c>
    </row>
    <row r="43" spans="3:13" ht="12.75">
      <c r="C43" s="17"/>
      <c r="D43" s="41"/>
      <c r="E43" s="21">
        <v>39623</v>
      </c>
      <c r="G43" s="27">
        <f t="shared" si="0"/>
        <v>-386031.51</v>
      </c>
      <c r="I43" s="26"/>
      <c r="J43" s="25"/>
      <c r="K43" s="17"/>
      <c r="M43" s="22">
        <v>386031.51</v>
      </c>
    </row>
    <row r="44" spans="3:13" ht="12.75">
      <c r="C44" s="17"/>
      <c r="D44" s="41"/>
      <c r="E44" s="21">
        <v>39685</v>
      </c>
      <c r="G44" s="27">
        <f t="shared" si="0"/>
        <v>-490507.92</v>
      </c>
      <c r="I44" s="26"/>
      <c r="J44" s="25"/>
      <c r="K44" s="17"/>
      <c r="M44" s="22">
        <v>490507.92</v>
      </c>
    </row>
    <row r="45" spans="3:13" ht="12.75">
      <c r="C45" s="17"/>
      <c r="D45" s="41"/>
      <c r="E45" s="21">
        <v>39736</v>
      </c>
      <c r="G45" s="27">
        <f t="shared" si="0"/>
        <v>-502018.04</v>
      </c>
      <c r="I45" s="26"/>
      <c r="J45" s="25"/>
      <c r="K45" s="17"/>
      <c r="M45" s="22">
        <v>502018.04</v>
      </c>
    </row>
    <row r="46" spans="3:13" ht="12.75">
      <c r="C46" s="17"/>
      <c r="D46" s="41"/>
      <c r="E46" s="23">
        <v>39783</v>
      </c>
      <c r="G46" s="27">
        <f t="shared" si="0"/>
        <v>-349730.38</v>
      </c>
      <c r="I46" s="26"/>
      <c r="J46" s="25"/>
      <c r="K46" s="17"/>
      <c r="M46" s="22">
        <v>349730.38</v>
      </c>
    </row>
    <row r="47" spans="3:13" ht="12.75">
      <c r="C47" s="17" t="s">
        <v>4</v>
      </c>
      <c r="D47" s="41"/>
      <c r="E47" s="21">
        <v>39511</v>
      </c>
      <c r="G47" s="27">
        <f t="shared" si="0"/>
        <v>723724.6000000001</v>
      </c>
      <c r="I47" s="26"/>
      <c r="J47" s="25"/>
      <c r="K47" s="17"/>
      <c r="M47" s="22">
        <f>-16479.79-707244.81</f>
        <v>-723724.6000000001</v>
      </c>
    </row>
    <row r="48" spans="3:13" ht="12.75">
      <c r="C48" s="17"/>
      <c r="D48" s="41"/>
      <c r="E48" s="21">
        <v>39556</v>
      </c>
      <c r="G48" s="27">
        <f t="shared" si="0"/>
        <v>231746.93</v>
      </c>
      <c r="I48" s="26"/>
      <c r="J48" s="25"/>
      <c r="K48" s="17"/>
      <c r="M48" s="22">
        <f>-101671.73-130075.2</f>
        <v>-231746.93</v>
      </c>
    </row>
    <row r="49" spans="3:13" ht="12.75">
      <c r="C49" s="17"/>
      <c r="D49" s="41"/>
      <c r="E49" s="21">
        <v>39575</v>
      </c>
      <c r="G49" s="27">
        <f t="shared" si="0"/>
        <v>94297.15</v>
      </c>
      <c r="I49" s="26"/>
      <c r="J49" s="25"/>
      <c r="K49" s="17"/>
      <c r="M49" s="22">
        <f>-337.45-93959.7</f>
        <v>-94297.15</v>
      </c>
    </row>
    <row r="50" spans="3:13" ht="12.75">
      <c r="C50" s="17"/>
      <c r="D50" s="41"/>
      <c r="E50" s="21">
        <v>39653</v>
      </c>
      <c r="G50" s="27">
        <f t="shared" si="0"/>
        <v>190417.54</v>
      </c>
      <c r="I50" s="26"/>
      <c r="J50" s="25"/>
      <c r="K50" s="17"/>
      <c r="M50" s="22">
        <v>-190417.54</v>
      </c>
    </row>
    <row r="51" spans="3:13" ht="12.75">
      <c r="C51" s="17"/>
      <c r="D51" s="41"/>
      <c r="E51" s="21">
        <v>39807</v>
      </c>
      <c r="G51" s="27">
        <f t="shared" si="0"/>
        <v>146018.56</v>
      </c>
      <c r="I51" s="26"/>
      <c r="J51" s="25"/>
      <c r="K51" s="17"/>
      <c r="M51" s="22">
        <v>-146018.56</v>
      </c>
    </row>
    <row r="52" spans="3:13" ht="12.75">
      <c r="C52" s="20" t="s">
        <v>6</v>
      </c>
      <c r="D52" s="41"/>
      <c r="E52" s="21">
        <v>39833</v>
      </c>
      <c r="F52" s="45"/>
      <c r="G52" s="29">
        <v>-384260.72</v>
      </c>
      <c r="I52" s="26"/>
      <c r="J52" s="25"/>
      <c r="K52" s="17"/>
      <c r="M52" s="22"/>
    </row>
    <row r="53" spans="3:13" ht="12.75">
      <c r="C53" s="17"/>
      <c r="D53" s="41"/>
      <c r="E53" s="23">
        <v>39892</v>
      </c>
      <c r="F53" s="45"/>
      <c r="G53" s="29">
        <v>-356813.53</v>
      </c>
      <c r="I53" s="26"/>
      <c r="J53" s="25"/>
      <c r="K53" s="17"/>
      <c r="M53" s="22"/>
    </row>
    <row r="54" spans="3:13" ht="12.75">
      <c r="C54" s="17"/>
      <c r="D54" s="41"/>
      <c r="E54" s="23">
        <v>39918</v>
      </c>
      <c r="F54" s="45"/>
      <c r="G54" s="29">
        <v>-372750.61</v>
      </c>
      <c r="I54" s="26"/>
      <c r="J54" s="25"/>
      <c r="K54" s="17"/>
      <c r="M54" s="22"/>
    </row>
    <row r="55" spans="3:13" ht="12.75">
      <c r="C55" s="17"/>
      <c r="D55" s="41"/>
      <c r="E55" s="23">
        <v>39954</v>
      </c>
      <c r="F55" s="45"/>
      <c r="G55" s="29">
        <v>-489622.53</v>
      </c>
      <c r="I55" s="26"/>
      <c r="J55" s="25"/>
      <c r="K55" s="17"/>
      <c r="M55" s="22"/>
    </row>
    <row r="56" spans="3:13" ht="12.75">
      <c r="C56" s="17"/>
      <c r="D56" s="41"/>
      <c r="E56" s="23">
        <v>39989</v>
      </c>
      <c r="F56" s="45"/>
      <c r="G56" s="29">
        <v>-1054503.50</v>
      </c>
      <c r="I56" s="26"/>
      <c r="J56" s="25"/>
      <c r="K56" s="17"/>
      <c r="M56" s="22"/>
    </row>
    <row r="57" spans="3:13" ht="12.75">
      <c r="C57" s="17"/>
      <c r="D57" s="41"/>
      <c r="E57" s="23">
        <v>40077</v>
      </c>
      <c r="F57" s="45"/>
      <c r="G57" s="29">
        <v>-417020.28</v>
      </c>
      <c r="I57" s="26"/>
      <c r="J57" s="25"/>
      <c r="K57" s="17"/>
      <c r="M57" s="22"/>
    </row>
    <row r="58" spans="3:13" ht="12.75">
      <c r="C58" s="17"/>
      <c r="D58" s="41"/>
      <c r="E58" s="23">
        <v>40169</v>
      </c>
      <c r="F58" s="45"/>
      <c r="G58" s="29">
        <v>-575505.69</v>
      </c>
      <c r="I58" s="26"/>
      <c r="J58" s="25"/>
      <c r="K58" s="17"/>
      <c r="M58" s="22"/>
    </row>
    <row r="59" spans="3:13" ht="12.75">
      <c r="C59" s="17" t="s">
        <v>7</v>
      </c>
      <c r="D59" s="41"/>
      <c r="E59" s="21">
        <v>39926</v>
      </c>
      <c r="F59" s="45"/>
      <c r="G59" s="29">
        <v>43691.84</v>
      </c>
      <c r="I59" s="26"/>
      <c r="J59" s="25"/>
      <c r="K59" s="17"/>
      <c r="M59" s="22"/>
    </row>
    <row r="60" spans="3:13" ht="12.75">
      <c r="C60" s="17"/>
      <c r="D60" s="41"/>
      <c r="E60" s="23">
        <v>40099</v>
      </c>
      <c r="F60" s="45"/>
      <c r="G60" s="29">
        <v>785698.39</v>
      </c>
      <c r="I60" s="26"/>
      <c r="J60" s="25"/>
      <c r="K60" s="17"/>
      <c r="M60" s="22"/>
    </row>
    <row r="61" spans="3:13" ht="12.75">
      <c r="C61" s="17"/>
      <c r="D61" s="41"/>
      <c r="E61" s="23">
        <v>40130</v>
      </c>
      <c r="F61" s="45"/>
      <c r="G61" s="29">
        <v>309376.77</v>
      </c>
      <c r="I61" s="26"/>
      <c r="J61" s="25"/>
      <c r="K61" s="17"/>
      <c r="M61" s="22"/>
    </row>
    <row r="62" spans="3:13" ht="12.75">
      <c r="C62" s="17"/>
      <c r="D62" s="41"/>
      <c r="E62" s="23">
        <v>40155</v>
      </c>
      <c r="F62" s="45"/>
      <c r="G62" s="29">
        <v>81407.81</v>
      </c>
      <c r="I62" s="26"/>
      <c r="J62" s="25"/>
      <c r="K62" s="17"/>
      <c r="M62" s="22"/>
    </row>
    <row r="63" spans="3:13" ht="12.75">
      <c r="C63" s="20" t="s">
        <v>8</v>
      </c>
      <c r="D63" s="41"/>
      <c r="E63" s="21">
        <v>40228</v>
      </c>
      <c r="F63" s="45"/>
      <c r="G63" s="29">
        <v>-264732.62</v>
      </c>
      <c r="I63" s="26"/>
      <c r="J63" s="25"/>
      <c r="K63" s="17"/>
      <c r="M63" s="22"/>
    </row>
    <row r="64" spans="3:13" ht="12.75">
      <c r="C64" s="17"/>
      <c r="D64" s="41"/>
      <c r="E64" s="21">
        <v>40281</v>
      </c>
      <c r="F64" s="45"/>
      <c r="G64" s="29">
        <v>-192130.36</v>
      </c>
      <c r="I64" s="26"/>
      <c r="J64" s="25"/>
      <c r="K64" s="17"/>
      <c r="M64" s="22"/>
    </row>
    <row r="65" spans="3:13" ht="12.75">
      <c r="C65" s="17"/>
      <c r="D65" s="41"/>
      <c r="E65" s="21">
        <v>40305</v>
      </c>
      <c r="F65" s="45"/>
      <c r="G65" s="29">
        <v>-146089.91</v>
      </c>
      <c r="I65" s="26"/>
      <c r="J65" s="25"/>
      <c r="K65" s="17"/>
      <c r="M65" s="22"/>
    </row>
    <row r="66" spans="3:13" ht="12.75">
      <c r="C66" s="17"/>
      <c r="D66" s="41"/>
      <c r="E66" s="23">
        <v>40359</v>
      </c>
      <c r="F66" s="45"/>
      <c r="G66" s="29">
        <v>-182391.03</v>
      </c>
      <c r="I66" s="26"/>
      <c r="J66" s="25"/>
      <c r="K66" s="17"/>
      <c r="M66" s="22"/>
    </row>
    <row r="67" spans="3:13" ht="12.75">
      <c r="C67" s="17"/>
      <c r="D67" s="41"/>
      <c r="E67" s="23">
        <v>40400</v>
      </c>
      <c r="F67" s="45"/>
      <c r="G67" s="29">
        <v>-150516.87</v>
      </c>
      <c r="I67" s="26"/>
      <c r="J67" s="25"/>
      <c r="K67" s="17"/>
      <c r="M67" s="22"/>
    </row>
    <row r="68" spans="3:13" ht="12.75">
      <c r="C68" s="17"/>
      <c r="D68" s="41"/>
      <c r="E68" s="23">
        <v>40450</v>
      </c>
      <c r="F68" s="45"/>
      <c r="G68" s="29">
        <v>-204525.87</v>
      </c>
      <c r="I68" s="26"/>
      <c r="J68" s="25"/>
      <c r="K68" s="17"/>
      <c r="M68" s="22"/>
    </row>
    <row r="69" spans="3:13" ht="12.75">
      <c r="C69" s="17"/>
      <c r="D69" s="41"/>
      <c r="E69" s="23">
        <v>40511</v>
      </c>
      <c r="F69" s="45"/>
      <c r="G69" s="29">
        <v>-209838.23</v>
      </c>
      <c r="I69" s="26"/>
      <c r="J69" s="25"/>
      <c r="K69" s="17"/>
      <c r="M69" s="22"/>
    </row>
    <row r="70" spans="3:13" ht="12.75">
      <c r="C70" s="17" t="s">
        <v>9</v>
      </c>
      <c r="D70" s="41"/>
      <c r="E70" s="21">
        <v>40316</v>
      </c>
      <c r="F70" s="45"/>
      <c r="G70" s="29">
        <v>1553165.27</v>
      </c>
      <c r="I70" s="26"/>
      <c r="J70" s="25"/>
      <c r="K70" s="17"/>
      <c r="M70" s="22"/>
    </row>
    <row r="71" spans="3:13" ht="12.75">
      <c r="C71" s="17"/>
      <c r="D71" s="41"/>
      <c r="E71" s="21">
        <v>40360</v>
      </c>
      <c r="F71" s="45"/>
      <c r="G71" s="29">
        <v>1531490.41</v>
      </c>
      <c r="I71" s="26"/>
      <c r="J71" s="25"/>
      <c r="K71" s="17"/>
      <c r="M71" s="22"/>
    </row>
    <row r="72" spans="3:13" ht="12.75">
      <c r="C72" s="17"/>
      <c r="D72" s="41"/>
      <c r="E72" s="21">
        <v>40408</v>
      </c>
      <c r="F72" s="45"/>
      <c r="G72" s="29">
        <v>76194.99</v>
      </c>
      <c r="I72" s="26"/>
      <c r="J72" s="25"/>
      <c r="K72" s="17"/>
      <c r="M72" s="22"/>
    </row>
    <row r="73" spans="3:13" ht="12.75">
      <c r="C73" s="20" t="s">
        <v>10</v>
      </c>
      <c r="D73" s="41"/>
      <c r="E73" s="21">
        <v>40555</v>
      </c>
      <c r="F73" s="45"/>
      <c r="G73" s="29">
        <v>-224004.52</v>
      </c>
      <c r="I73" s="26"/>
      <c r="J73" s="25"/>
      <c r="K73" s="17"/>
      <c r="M73" s="22"/>
    </row>
    <row r="74" spans="3:13" ht="12.75">
      <c r="C74" s="17"/>
      <c r="D74" s="41"/>
      <c r="E74" s="21">
        <v>40585</v>
      </c>
      <c r="F74" s="45"/>
      <c r="G74" s="29">
        <v>-167339.35</v>
      </c>
      <c r="I74" s="26"/>
      <c r="J74" s="25"/>
      <c r="K74" s="17"/>
      <c r="M74" s="22"/>
    </row>
    <row r="75" spans="3:13" ht="12.75">
      <c r="C75" s="17"/>
      <c r="D75" s="41"/>
      <c r="E75" s="21">
        <v>40632</v>
      </c>
      <c r="F75" s="45"/>
      <c r="G75" s="29">
        <v>-255878.68</v>
      </c>
      <c r="I75" s="26"/>
      <c r="J75" s="25"/>
      <c r="K75" s="17"/>
      <c r="M75" s="22"/>
    </row>
    <row r="76" spans="3:13" ht="12.75">
      <c r="C76" s="17"/>
      <c r="D76" s="41"/>
      <c r="E76" s="21">
        <v>40659</v>
      </c>
      <c r="F76" s="45"/>
      <c r="G76" s="29">
        <v>-184161.82</v>
      </c>
      <c r="I76" s="26"/>
      <c r="J76" s="25"/>
      <c r="K76" s="17"/>
      <c r="M76" s="22"/>
    </row>
    <row r="77" spans="3:13" ht="12.75">
      <c r="C77" s="17"/>
      <c r="D77" s="41"/>
      <c r="E77" s="21">
        <v>40774</v>
      </c>
      <c r="F77" s="45"/>
      <c r="G77" s="29">
        <v>-181505.64</v>
      </c>
      <c r="I77" s="26"/>
      <c r="J77" s="25"/>
      <c r="K77" s="17"/>
      <c r="M77" s="22"/>
    </row>
    <row r="78" spans="3:13" ht="12.75">
      <c r="C78" s="17"/>
      <c r="D78" s="41"/>
      <c r="E78" s="21">
        <v>40795</v>
      </c>
      <c r="F78" s="45"/>
      <c r="G78" s="29">
        <v>-162912.38</v>
      </c>
      <c r="I78" s="26"/>
      <c r="J78" s="25"/>
      <c r="K78" s="17"/>
      <c r="M78" s="22"/>
    </row>
    <row r="79" spans="3:13" ht="12.75">
      <c r="C79" s="17"/>
      <c r="D79" s="41"/>
      <c r="E79" s="21">
        <v>40877</v>
      </c>
      <c r="F79" s="45"/>
      <c r="G79" s="29">
        <v>-163797.77</v>
      </c>
      <c r="I79" s="26"/>
      <c r="J79" s="25"/>
      <c r="K79" s="17"/>
      <c r="M79" s="22"/>
    </row>
    <row r="80" spans="3:13" ht="12.75">
      <c r="C80" s="17" t="s">
        <v>11</v>
      </c>
      <c r="D80" s="41"/>
      <c r="E80" s="21">
        <v>40548</v>
      </c>
      <c r="F80" s="45"/>
      <c r="G80" s="29">
        <v>3657214.26</v>
      </c>
      <c r="I80" s="26"/>
      <c r="J80" s="25"/>
      <c r="K80" s="17"/>
      <c r="M80" s="22"/>
    </row>
    <row r="81" spans="3:13" ht="12.75">
      <c r="C81" s="17"/>
      <c r="D81" s="41"/>
      <c r="E81" s="21">
        <v>40597</v>
      </c>
      <c r="F81" s="45"/>
      <c r="G81" s="29">
        <v>238262.92</v>
      </c>
      <c r="I81" s="26"/>
      <c r="J81" s="25"/>
      <c r="K81" s="17"/>
      <c r="M81" s="22"/>
    </row>
    <row r="82" spans="3:13" ht="12.75">
      <c r="C82" s="17"/>
      <c r="D82" s="41"/>
      <c r="E82" s="21">
        <v>40626</v>
      </c>
      <c r="F82" s="45"/>
      <c r="G82" s="29">
        <v>441202.67</v>
      </c>
      <c r="I82" s="26"/>
      <c r="J82" s="25"/>
      <c r="K82" s="17"/>
      <c r="M82" s="22"/>
    </row>
    <row r="83" spans="3:13" ht="12.75">
      <c r="C83" s="17"/>
      <c r="D83" s="41"/>
      <c r="E83" s="21">
        <v>40645</v>
      </c>
      <c r="F83" s="45"/>
      <c r="G83" s="29">
        <v>172033.08</v>
      </c>
      <c r="I83" s="26"/>
      <c r="J83" s="25"/>
      <c r="K83" s="17"/>
      <c r="M83" s="22"/>
    </row>
    <row r="84" spans="3:13" ht="12.75">
      <c r="C84" s="17"/>
      <c r="D84" s="41"/>
      <c r="E84" s="21">
        <v>40702</v>
      </c>
      <c r="F84" s="45"/>
      <c r="G84" s="29">
        <v>139434.12</v>
      </c>
      <c r="I84" s="26"/>
      <c r="J84" s="25"/>
      <c r="K84" s="17"/>
      <c r="M84" s="22"/>
    </row>
    <row r="85" spans="3:13" ht="12.75">
      <c r="C85" s="17"/>
      <c r="D85" s="41"/>
      <c r="E85" s="21">
        <v>40787</v>
      </c>
      <c r="F85" s="45"/>
      <c r="G85" s="29">
        <v>1531935.58</v>
      </c>
      <c r="I85" s="26"/>
      <c r="J85" s="25"/>
      <c r="K85" s="17"/>
      <c r="M85" s="22"/>
    </row>
    <row r="86" spans="3:13" ht="12.75">
      <c r="C86" s="17"/>
      <c r="D86" s="41"/>
      <c r="E86" s="21">
        <v>40855</v>
      </c>
      <c r="F86" s="45"/>
      <c r="G86" s="29">
        <v>1455724.21</v>
      </c>
      <c r="I86" s="26"/>
      <c r="J86" s="25"/>
      <c r="K86" s="17"/>
      <c r="M86" s="22"/>
    </row>
    <row r="87" spans="3:13" ht="12.75">
      <c r="C87" s="17"/>
      <c r="D87" s="41"/>
      <c r="E87" s="21">
        <v>40882</v>
      </c>
      <c r="F87" s="45"/>
      <c r="G87" s="29">
        <v>724798.05</v>
      </c>
      <c r="I87" s="26"/>
      <c r="J87" s="25"/>
      <c r="K87" s="17"/>
      <c r="M87" s="22"/>
    </row>
    <row r="88" spans="3:13" ht="12.75">
      <c r="C88" s="17" t="s">
        <v>12</v>
      </c>
      <c r="D88" s="41"/>
      <c r="E88" s="23">
        <v>40926</v>
      </c>
      <c r="F88" s="45"/>
      <c r="G88" s="29">
        <v>-203640.47</v>
      </c>
      <c r="I88" s="26"/>
      <c r="J88" s="25"/>
      <c r="K88" s="17"/>
      <c r="M88" s="22"/>
    </row>
    <row r="89" spans="3:13" ht="12.75">
      <c r="C89" s="34"/>
      <c r="D89" s="41"/>
      <c r="E89" s="23">
        <v>40994</v>
      </c>
      <c r="F89" s="45"/>
      <c r="G89" s="29">
        <v>-177078.67</v>
      </c>
      <c r="I89" s="26"/>
      <c r="J89" s="25"/>
      <c r="K89" s="17"/>
      <c r="M89" s="22"/>
    </row>
    <row r="90" spans="3:13" ht="12.75">
      <c r="C90" s="35"/>
      <c r="D90" s="41"/>
      <c r="E90" s="23">
        <v>41039</v>
      </c>
      <c r="F90" s="45"/>
      <c r="G90" s="29">
        <v>-176193.28</v>
      </c>
      <c r="I90" s="24"/>
      <c r="J90" s="25"/>
      <c r="K90" s="17"/>
      <c r="M90" s="22"/>
    </row>
    <row r="91" spans="3:13" ht="12.75">
      <c r="C91" s="17"/>
      <c r="D91" s="41"/>
      <c r="E91" s="23">
        <v>41123</v>
      </c>
      <c r="F91" s="45"/>
      <c r="G91" s="29">
        <v>-191244.97</v>
      </c>
      <c r="I91" s="26"/>
      <c r="J91" s="25"/>
      <c r="K91" s="17"/>
      <c r="M91" s="22"/>
    </row>
    <row r="92" spans="3:13" ht="12.75">
      <c r="C92" s="17"/>
      <c r="D92" s="41"/>
      <c r="E92" s="23">
        <v>41163</v>
      </c>
      <c r="F92" s="45"/>
      <c r="G92" s="29">
        <v>-212494.41</v>
      </c>
      <c r="I92" s="26"/>
      <c r="J92" s="25"/>
      <c r="K92" s="17"/>
      <c r="M92" s="22"/>
    </row>
    <row r="93" spans="3:13" ht="12.75">
      <c r="C93" s="17" t="s">
        <v>13</v>
      </c>
      <c r="D93" s="41"/>
      <c r="E93" s="23">
        <v>40912</v>
      </c>
      <c r="F93" s="45"/>
      <c r="G93" s="29">
        <v>701916.63</v>
      </c>
      <c r="I93" s="26"/>
      <c r="J93" s="25"/>
      <c r="K93" s="17"/>
      <c r="M93" s="22"/>
    </row>
    <row r="94" spans="3:13" ht="12.75">
      <c r="C94" s="34"/>
      <c r="D94" s="41"/>
      <c r="E94" s="34">
        <v>40947</v>
      </c>
      <c r="F94" s="45"/>
      <c r="G94" s="29">
        <v>912124.84</v>
      </c>
      <c r="I94" s="26"/>
      <c r="J94" s="25"/>
      <c r="K94" s="17"/>
      <c r="M94" s="22"/>
    </row>
    <row r="95" spans="3:13" ht="12.75">
      <c r="C95" s="34"/>
      <c r="D95" s="41"/>
      <c r="E95" s="34">
        <v>40980</v>
      </c>
      <c r="F95" s="45"/>
      <c r="G95" s="29">
        <v>96820.96</v>
      </c>
      <c r="I95" s="26"/>
      <c r="J95" s="25"/>
      <c r="K95" s="17"/>
      <c r="M95" s="22"/>
    </row>
    <row r="96" spans="3:13" ht="12.75">
      <c r="C96" s="34"/>
      <c r="D96" s="41"/>
      <c r="E96" s="34">
        <v>41031</v>
      </c>
      <c r="F96" s="45"/>
      <c r="G96" s="29">
        <v>1016975.81</v>
      </c>
      <c r="I96" s="24"/>
      <c r="J96" s="25"/>
      <c r="K96" s="17"/>
      <c r="M96" s="22"/>
    </row>
    <row r="97" spans="3:13" ht="12.75">
      <c r="C97" s="34"/>
      <c r="D97" s="41"/>
      <c r="E97" s="34">
        <v>41152</v>
      </c>
      <c r="F97" s="45"/>
      <c r="G97" s="29">
        <v>886004.73</v>
      </c>
      <c r="I97" s="26"/>
      <c r="J97" s="25"/>
      <c r="K97" s="17"/>
      <c r="M97" s="22"/>
    </row>
    <row r="98" spans="3:13" ht="12.75">
      <c r="C98" s="34"/>
      <c r="D98" s="41"/>
      <c r="E98" s="34">
        <v>41185</v>
      </c>
      <c r="F98" s="45"/>
      <c r="G98" s="29">
        <v>258623.66</v>
      </c>
      <c r="I98" s="24"/>
      <c r="J98" s="25"/>
      <c r="K98" s="17"/>
      <c r="M98" s="22"/>
    </row>
    <row r="99" spans="3:13" ht="12.75">
      <c r="C99" s="34"/>
      <c r="D99" s="41"/>
      <c r="E99" s="34">
        <v>41257</v>
      </c>
      <c r="F99" s="45"/>
      <c r="G99" s="29">
        <v>783137.40</v>
      </c>
      <c r="I99" s="24"/>
      <c r="J99" s="25"/>
      <c r="K99" s="17"/>
      <c r="M99" s="22"/>
    </row>
    <row r="100" spans="3:13" ht="12.75">
      <c r="C100" s="34"/>
      <c r="D100" s="41"/>
      <c r="E100" s="34">
        <v>41271</v>
      </c>
      <c r="F100" s="45"/>
      <c r="G100" s="29">
        <v>413691.70</v>
      </c>
      <c r="I100" s="24"/>
      <c r="J100" s="25"/>
      <c r="K100" s="17"/>
      <c r="M100" s="22"/>
    </row>
    <row r="101" spans="3:13" ht="12.75">
      <c r="C101" s="34" t="s">
        <v>18</v>
      </c>
      <c r="D101" s="41"/>
      <c r="E101" s="34">
        <v>41544</v>
      </c>
      <c r="F101" s="45"/>
      <c r="G101" s="29">
        <v>-60206.75</v>
      </c>
      <c r="I101" s="24"/>
      <c r="J101" s="25"/>
      <c r="K101" s="17"/>
      <c r="M101" s="22"/>
    </row>
    <row r="102" spans="3:13" ht="12.75">
      <c r="C102" s="34" t="s">
        <v>14</v>
      </c>
      <c r="D102" s="41"/>
      <c r="E102" s="34">
        <v>41339</v>
      </c>
      <c r="F102" s="45"/>
      <c r="G102" s="29">
        <v>89126.67</v>
      </c>
      <c r="I102" s="24"/>
      <c r="J102" s="25"/>
      <c r="K102" s="17"/>
      <c r="M102" s="22"/>
    </row>
    <row r="103" spans="3:13" ht="12.75">
      <c r="C103" s="34"/>
      <c r="D103" s="41"/>
      <c r="E103" s="34">
        <v>41402</v>
      </c>
      <c r="F103" s="45"/>
      <c r="G103" s="29">
        <v>143006.52000000002</v>
      </c>
      <c r="I103" s="44"/>
      <c r="J103" s="41"/>
      <c r="K103" s="17"/>
      <c r="M103" s="22"/>
    </row>
    <row r="104" spans="3:13" ht="12.75">
      <c r="C104" s="34"/>
      <c r="D104" s="41"/>
      <c r="E104" s="34">
        <v>41432</v>
      </c>
      <c r="F104" s="45"/>
      <c r="G104" s="29">
        <v>90277.16999999998</v>
      </c>
      <c r="I104" s="44"/>
      <c r="J104" s="41"/>
      <c r="K104" s="17"/>
      <c r="M104" s="22"/>
    </row>
    <row r="105" spans="3:13" ht="12.75">
      <c r="C105" s="34"/>
      <c r="D105" s="41"/>
      <c r="E105" s="34">
        <v>41544</v>
      </c>
      <c r="F105" s="45"/>
      <c r="G105" s="29">
        <v>584996.22</v>
      </c>
      <c r="I105" s="44"/>
      <c r="J105" s="41"/>
      <c r="K105" s="17"/>
      <c r="M105" s="22"/>
    </row>
    <row r="106" spans="3:13" ht="12.75">
      <c r="C106" s="34"/>
      <c r="D106" s="41"/>
      <c r="E106" s="34">
        <v>41548</v>
      </c>
      <c r="F106" s="45"/>
      <c r="G106" s="29">
        <v>218622.42999999993</v>
      </c>
      <c r="I106" s="44"/>
      <c r="J106" s="41"/>
      <c r="K106" s="17"/>
      <c r="M106" s="22"/>
    </row>
    <row r="107" spans="3:13" ht="12.75">
      <c r="C107" s="34"/>
      <c r="D107" s="41"/>
      <c r="E107" s="34">
        <v>41625</v>
      </c>
      <c r="F107" s="45"/>
      <c r="G107" s="29">
        <v>169942</v>
      </c>
      <c r="I107" s="44"/>
      <c r="J107" s="41"/>
      <c r="K107" s="17"/>
      <c r="M107" s="22"/>
    </row>
    <row r="108" spans="3:13" s="42" customFormat="1" ht="12.75">
      <c r="C108" s="40" t="s">
        <v>23</v>
      </c>
      <c r="D108" s="41"/>
      <c r="E108" s="40">
        <v>41850</v>
      </c>
      <c r="F108" s="45"/>
      <c r="G108" s="43">
        <v>-56341.42</v>
      </c>
      <c r="I108" s="44"/>
      <c r="J108" s="41"/>
      <c r="K108" s="41"/>
      <c r="M108" s="45"/>
    </row>
    <row r="109" spans="3:13" s="42" customFormat="1" ht="12.75">
      <c r="C109" s="40" t="s">
        <v>22</v>
      </c>
      <c r="D109" s="41"/>
      <c r="E109" s="40">
        <v>41760</v>
      </c>
      <c r="F109" s="45"/>
      <c r="G109" s="43">
        <v>90954</v>
      </c>
      <c r="I109" s="44"/>
      <c r="J109" s="41"/>
      <c r="K109" s="41"/>
      <c r="M109" s="45"/>
    </row>
    <row r="110" spans="3:13" s="42" customFormat="1" ht="12.75">
      <c r="C110" s="40"/>
      <c r="D110" s="41"/>
      <c r="E110" s="40">
        <v>41901</v>
      </c>
      <c r="F110" s="45"/>
      <c r="G110" s="43">
        <v>135013</v>
      </c>
      <c r="K110" s="41"/>
      <c r="M110" s="45"/>
    </row>
    <row r="111" spans="3:13" s="42" customFormat="1" ht="12.75">
      <c r="C111" s="40" t="s">
        <v>24</v>
      </c>
      <c r="D111" s="41"/>
      <c r="E111" s="40">
        <v>42012</v>
      </c>
      <c r="F111" s="45"/>
      <c r="G111" s="43">
        <v>219863.44</v>
      </c>
      <c r="I111" s="44"/>
      <c r="J111" s="41"/>
      <c r="K111" s="41"/>
      <c r="M111" s="45"/>
    </row>
    <row r="112" spans="3:13" s="42" customFormat="1" ht="12.75">
      <c r="C112" s="40"/>
      <c r="D112" s="41"/>
      <c r="E112" s="40">
        <v>42157</v>
      </c>
      <c r="F112" s="45"/>
      <c r="G112" s="43">
        <v>115255.28</v>
      </c>
      <c r="I112" s="44"/>
      <c r="J112" s="41"/>
      <c r="K112" s="41"/>
      <c r="M112" s="45"/>
    </row>
    <row r="113" spans="3:13" s="42" customFormat="1" ht="12.75">
      <c r="C113" s="40"/>
      <c r="D113" s="41"/>
      <c r="E113" s="40">
        <v>42170</v>
      </c>
      <c r="F113" s="45"/>
      <c r="G113" s="43">
        <v>94605.17</v>
      </c>
      <c r="I113" s="44"/>
      <c r="J113" s="41"/>
      <c r="K113" s="41"/>
      <c r="M113" s="45"/>
    </row>
    <row r="114" spans="3:13" s="42" customFormat="1" ht="12.75">
      <c r="C114" s="40"/>
      <c r="D114" s="41"/>
      <c r="E114" s="40">
        <v>42354</v>
      </c>
      <c r="F114" s="45"/>
      <c r="G114" s="43">
        <v>81336.16</v>
      </c>
      <c r="I114" s="44"/>
      <c r="J114" s="41"/>
      <c r="K114" s="41"/>
      <c r="M114" s="45"/>
    </row>
    <row r="115" spans="3:13" s="42" customFormat="1" ht="12.75">
      <c r="C115" s="40" t="s">
        <v>25</v>
      </c>
      <c r="D115" s="41"/>
      <c r="E115" s="40">
        <v>42543</v>
      </c>
      <c r="F115" s="45"/>
      <c r="G115" s="43">
        <v>117362.81</v>
      </c>
      <c r="I115" s="44"/>
      <c r="J115" s="41"/>
      <c r="K115" s="41"/>
      <c r="M115" s="45"/>
    </row>
    <row r="116" spans="3:13" s="42" customFormat="1" ht="12.75">
      <c r="C116" s="40" t="s">
        <v>26</v>
      </c>
      <c r="D116" s="41"/>
      <c r="E116" s="40">
        <v>43242</v>
      </c>
      <c r="F116" s="45"/>
      <c r="G116" s="43">
        <v>182367.22</v>
      </c>
      <c r="I116" s="44"/>
      <c r="J116" s="41"/>
      <c r="K116" s="41"/>
      <c r="M116" s="45"/>
    </row>
    <row r="117" spans="3:13" s="42" customFormat="1" ht="12.75">
      <c r="C117" s="40"/>
      <c r="D117" s="41"/>
      <c r="E117" s="40">
        <v>43411</v>
      </c>
      <c r="G117" s="43">
        <v>210425.25</v>
      </c>
      <c r="I117" s="44"/>
      <c r="J117" s="41"/>
      <c r="K117" s="41"/>
      <c r="M117" s="45"/>
    </row>
    <row r="118" spans="3:13" s="42" customFormat="1" ht="12.75">
      <c r="C118" s="40"/>
      <c r="D118" s="41"/>
      <c r="E118" s="40">
        <v>43440</v>
      </c>
      <c r="F118" s="45"/>
      <c r="G118" s="43">
        <v>100012.73</v>
      </c>
      <c r="I118" s="44"/>
      <c r="J118" s="41"/>
      <c r="K118" s="41"/>
      <c r="M118" s="45"/>
    </row>
    <row r="119" spans="3:13" s="42" customFormat="1" ht="12.75">
      <c r="C119" s="40" t="s">
        <v>27</v>
      </c>
      <c r="D119" s="41"/>
      <c r="E119" s="40">
        <v>43516</v>
      </c>
      <c r="G119" s="43">
        <v>255782.56</v>
      </c>
      <c r="I119" s="44"/>
      <c r="J119" s="41"/>
      <c r="K119" s="41"/>
      <c r="M119" s="45"/>
    </row>
    <row r="120" spans="3:13" s="42" customFormat="1" ht="12.75">
      <c r="C120" s="40" t="s">
        <v>28</v>
      </c>
      <c r="D120" s="41"/>
      <c r="E120" s="40">
        <v>44316</v>
      </c>
      <c r="G120" s="43">
        <v>94991.50</v>
      </c>
      <c r="I120" s="44"/>
      <c r="J120" s="41"/>
      <c r="K120" s="41"/>
      <c r="M120" s="45"/>
    </row>
    <row r="121" spans="3:13" s="42" customFormat="1" ht="12.75">
      <c r="C121" s="40" t="s">
        <v>29</v>
      </c>
      <c r="D121" s="41"/>
      <c r="E121" s="40">
        <v>44685</v>
      </c>
      <c r="G121" s="43">
        <v>69661.22</v>
      </c>
      <c r="I121" s="44"/>
      <c r="J121" s="41"/>
      <c r="K121" s="41"/>
      <c r="M121" s="45"/>
    </row>
    <row r="122" spans="3:13" s="42" customFormat="1" ht="12.75">
      <c r="C122" s="40"/>
      <c r="D122" s="41"/>
      <c r="E122" s="40">
        <v>44832</v>
      </c>
      <c r="G122" s="43">
        <v>9252.09</v>
      </c>
      <c r="I122" s="44"/>
      <c r="J122" s="41"/>
      <c r="K122" s="41"/>
      <c r="M122" s="45"/>
    </row>
    <row r="123" spans="3:13" s="42" customFormat="1" ht="4.5" customHeight="1">
      <c r="C123" s="41"/>
      <c r="D123" s="41"/>
      <c r="E123" s="48"/>
      <c r="F123" s="45"/>
      <c r="G123" s="43"/>
      <c r="I123" s="44"/>
      <c r="K123" s="41"/>
      <c r="M123" s="45"/>
    </row>
    <row r="124" spans="3:12" s="42" customFormat="1" ht="12.75">
      <c r="C124" s="41" t="s">
        <v>5</v>
      </c>
      <c r="D124" s="41"/>
      <c r="E124" s="48">
        <f>'VI LP'!E129</f>
        <v>44834</v>
      </c>
      <c r="F124" s="41"/>
      <c r="G124" s="73">
        <f>+(0/(1-0.01625))*C24</f>
        <v>0</v>
      </c>
      <c r="I124" s="43">
        <f>+SUMIF($G$25:$G$123,"&lt;0",$G$25:$G$123)</f>
        <v>-1.4884466719999995E7</v>
      </c>
      <c r="J124" s="17" t="s">
        <v>20</v>
      </c>
      <c r="K124" s="41"/>
      <c r="L124" s="41"/>
    </row>
    <row r="125" spans="3:12" ht="12.75">
      <c r="C125" s="17"/>
      <c r="D125" s="41"/>
      <c r="E125" s="17"/>
      <c r="F125" s="41"/>
      <c r="G125" s="30"/>
      <c r="I125" s="43">
        <f>+SUMIF($G$25:$G$123,"&gt;0",$G$25:$G$123)</f>
        <v>2.226998432E7</v>
      </c>
      <c r="J125" s="17" t="s">
        <v>21</v>
      </c>
      <c r="K125" s="17"/>
      <c r="L125" s="17"/>
    </row>
    <row r="126" spans="3:12" ht="12.75">
      <c r="C126" s="15" t="s">
        <v>0</v>
      </c>
      <c r="G126" s="31">
        <f>XIRR(G25:G124,E25:E124)</f>
        <v>0.16765121817588804</v>
      </c>
      <c r="I126" s="17"/>
      <c r="J126" s="17"/>
      <c r="K126" s="17"/>
      <c r="L126" s="17"/>
    </row>
    <row r="127" spans="3:12" ht="12.75">
      <c r="C127" s="17"/>
      <c r="D127" s="41"/>
      <c r="E127" s="17"/>
      <c r="F127" s="41"/>
      <c r="G127" s="30"/>
      <c r="H127" s="17"/>
      <c r="I127" s="17"/>
      <c r="J127" s="17"/>
      <c r="K127" s="17"/>
      <c r="L127" s="17"/>
    </row>
    <row r="128" spans="3:12" ht="12.75">
      <c r="C128" s="17"/>
      <c r="D128" s="41"/>
      <c r="E128" s="17"/>
      <c r="F128" s="41"/>
      <c r="G128" s="30"/>
      <c r="H128" s="17"/>
      <c r="I128" s="17"/>
      <c r="J128" s="17"/>
      <c r="K128" s="17"/>
      <c r="L128" s="17"/>
    </row>
    <row r="129" spans="3:12" ht="12.75">
      <c r="C129" s="17"/>
      <c r="D129" s="41"/>
      <c r="E129" s="17"/>
      <c r="F129" s="41"/>
      <c r="G129" s="68"/>
      <c r="H129" s="17"/>
      <c r="I129" s="17"/>
      <c r="J129" s="17"/>
      <c r="K129" s="17"/>
      <c r="L129" s="17"/>
    </row>
    <row r="130" spans="3:12" ht="12.75">
      <c r="C130" s="17"/>
      <c r="D130" s="41"/>
      <c r="E130" s="17"/>
      <c r="F130" s="41"/>
      <c r="G130" s="17"/>
      <c r="H130" s="17"/>
      <c r="I130" s="17"/>
      <c r="J130" s="17"/>
      <c r="K130" s="17"/>
      <c r="L130" s="17"/>
    </row>
    <row r="131" spans="3:12" ht="12.75">
      <c r="C131" s="17"/>
      <c r="D131" s="41"/>
      <c r="E131" s="17"/>
      <c r="F131" s="41"/>
      <c r="G131" s="17"/>
      <c r="H131" s="17"/>
      <c r="I131" s="17"/>
      <c r="J131" s="17"/>
      <c r="K131" s="17"/>
      <c r="L131" s="17"/>
    </row>
    <row r="132" spans="3:12" ht="12.75">
      <c r="C132" s="17"/>
      <c r="D132" s="41"/>
      <c r="E132" s="17"/>
      <c r="F132" s="41"/>
      <c r="G132" s="17"/>
      <c r="H132" s="17"/>
      <c r="I132" s="17"/>
      <c r="J132" s="17"/>
      <c r="K132" s="17"/>
      <c r="L132" s="17"/>
    </row>
    <row r="133" spans="3:12" ht="12.75">
      <c r="C133" s="17"/>
      <c r="D133" s="41"/>
      <c r="E133" s="17"/>
      <c r="F133" s="41"/>
      <c r="G133" s="17"/>
      <c r="H133" s="17"/>
      <c r="I133" s="17"/>
      <c r="J133" s="17"/>
      <c r="K133" s="17"/>
      <c r="L133" s="17"/>
    </row>
    <row r="134" spans="3:12" ht="12.75">
      <c r="C134" s="17"/>
      <c r="D134" s="41"/>
      <c r="E134" s="17"/>
      <c r="F134" s="41"/>
      <c r="G134" s="17"/>
      <c r="H134" s="17"/>
      <c r="I134" s="17"/>
      <c r="J134" s="17"/>
      <c r="K134" s="17"/>
      <c r="L134" s="17"/>
    </row>
  </sheetData>
  <mergeCells count="1">
    <mergeCell ref="E9:G9"/>
  </mergeCells>
  <pageMargins left="0.75" right="0.33" top="1" bottom="1" header="0.5" footer="0.5"/>
  <pageSetup orientation="portrait" paperSize="1" scale="76" r:id="rId2"/>
  <headerFooter alignWithMargins="0">
    <oddHeader>&amp;C&amp;G</oddHeader>
    <oddFooter>&amp;C&amp;G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B48D567-33DA-4971-A0B0-967C885E6C30}">
  <sheetPr>
    <pageSetUpPr fitToPage="1"/>
  </sheetPr>
  <dimension ref="B4:Z191"/>
  <sheetViews>
    <sheetView showGridLines="0" view="pageLayout" zoomScaleNormal="100" workbookViewId="0" topLeftCell="A1">
      <selection pane="topLeft" activeCell="C1" sqref="C1"/>
    </sheetView>
  </sheetViews>
  <sheetFormatPr defaultRowHeight="12.75"/>
  <cols>
    <col min="2" max="2" width="4.857142857142857" customWidth="1"/>
    <col min="3" max="3" width="50.42857142857143" customWidth="1"/>
    <col min="4" max="4" width="1.4285714285714286" customWidth="1"/>
    <col min="5" max="5" width="10.571428571428571" customWidth="1"/>
    <col min="6" max="6" width="1.4285714285714286" customWidth="1"/>
    <col min="7" max="7" width="11.428571428571429" bestFit="1" customWidth="1"/>
    <col min="8" max="8" width="2.142857142857143" customWidth="1"/>
    <col min="9" max="9" width="11.714285714285714" bestFit="1" customWidth="1"/>
    <col min="10" max="10" width="11.285714285714286" customWidth="1"/>
    <col min="11" max="11" width="10" bestFit="1" customWidth="1"/>
    <col min="12" max="12" width="15.142857142857142" customWidth="1"/>
    <col min="14" max="14" width="16.571428571428573" bestFit="1" customWidth="1"/>
    <col min="15" max="15" width="14.142857142857142" bestFit="1" customWidth="1"/>
    <col min="16" max="16" width="9.571428571428571" bestFit="1" customWidth="1"/>
    <col min="17" max="17" width="19.142857142857142" bestFit="1" customWidth="1"/>
    <col min="18" max="18" width="26.285714285714285" bestFit="1" customWidth="1"/>
    <col min="19" max="19" width="23" bestFit="1" customWidth="1"/>
    <col min="20" max="20" width="26.285714285714285" bestFit="1" customWidth="1"/>
    <col min="21" max="22" width="42.42857142857143" bestFit="1" customWidth="1"/>
    <col min="23" max="23" width="26.285714285714285" bestFit="1" customWidth="1"/>
    <col min="24" max="24" width="30.714285714285715" bestFit="1" customWidth="1"/>
    <col min="25" max="25" width="12.571428571428571" bestFit="1" customWidth="1"/>
    <col min="26" max="26" width="9.714285714285714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77">
        <v>44834</v>
      </c>
      <c r="F8" s="13"/>
      <c r="G8" s="78"/>
      <c r="H8" s="78"/>
      <c r="I8" s="79"/>
    </row>
    <row r="9" spans="3:7" ht="15.75">
      <c r="C9" s="182"/>
      <c r="D9" s="182"/>
      <c r="E9" s="182"/>
      <c r="F9" s="182"/>
      <c r="G9" s="183"/>
    </row>
    <row r="10" spans="3:8" ht="12.75">
      <c r="C10" s="184"/>
      <c r="D10" s="184"/>
      <c r="E10" s="185"/>
      <c r="F10" s="184"/>
      <c r="G10" s="124"/>
      <c r="H10" s="81"/>
    </row>
    <row r="11" spans="3:8" ht="12.75">
      <c r="C11" s="184"/>
      <c r="D11" s="184"/>
      <c r="E11" s="185"/>
      <c r="F11" s="184"/>
      <c r="G11" s="185"/>
      <c r="H11" s="81"/>
    </row>
    <row r="12" spans="3:8" ht="15.75">
      <c r="C12" s="166"/>
      <c r="D12" s="166"/>
      <c r="E12" s="186"/>
      <c r="F12" s="166"/>
      <c r="G12" s="186"/>
      <c r="H12" s="5"/>
    </row>
    <row r="13" spans="3:8" ht="12.75">
      <c r="C13" s="184"/>
      <c r="D13" s="184"/>
      <c r="E13" s="187"/>
      <c r="F13" s="184"/>
      <c r="G13" s="124"/>
      <c r="H13" s="84"/>
    </row>
    <row r="14" spans="3:8" ht="12.75">
      <c r="C14" s="184"/>
      <c r="D14" s="184"/>
      <c r="E14" s="188"/>
      <c r="F14" s="184"/>
      <c r="G14" s="124"/>
      <c r="H14" s="85"/>
    </row>
    <row r="15" spans="3:8" ht="12.75">
      <c r="C15" s="184"/>
      <c r="D15" s="184"/>
      <c r="E15" s="185"/>
      <c r="F15" s="184"/>
      <c r="G15" s="185"/>
      <c r="H15" s="81"/>
    </row>
    <row r="16" spans="3:8" ht="15.75">
      <c r="C16" s="5"/>
      <c r="D16" s="5"/>
      <c r="E16" s="10"/>
      <c r="F16" s="5"/>
      <c r="G16" s="10"/>
      <c r="H16" s="5"/>
    </row>
    <row r="17" spans="3:8" ht="15.75">
      <c r="C17" s="83" t="s">
        <v>15</v>
      </c>
      <c r="D17" s="83"/>
      <c r="E17" s="10"/>
      <c r="F17" s="83"/>
      <c r="G17" s="10"/>
      <c r="H17" s="5"/>
    </row>
    <row r="18" spans="3:8" ht="12.75">
      <c r="C18" s="6" t="s">
        <v>16</v>
      </c>
      <c r="D18" s="6"/>
      <c r="E18" s="84">
        <f>G155</f>
        <v>0.14461503624916075</v>
      </c>
      <c r="F18" s="6"/>
      <c r="G18" s="9"/>
      <c r="H18" s="81"/>
    </row>
    <row r="19" spans="3:8" ht="12.75">
      <c r="C19" s="6" t="s">
        <v>17</v>
      </c>
      <c r="D19" s="6"/>
      <c r="E19" s="87">
        <f>(G153+I154)/-I153</f>
        <v>1.3316051596293978</v>
      </c>
      <c r="F19" s="6"/>
      <c r="G19" s="9"/>
      <c r="H19" s="81"/>
    </row>
    <row r="20" spans="3:7" ht="12.75">
      <c r="C20" s="6"/>
      <c r="D20" s="6"/>
      <c r="E20" s="6"/>
      <c r="F20" s="6"/>
      <c r="G20" s="81"/>
    </row>
    <row r="21" spans="3:10" ht="15.75">
      <c r="C21" s="88" t="s">
        <v>50</v>
      </c>
      <c r="D21" s="7"/>
      <c r="E21" s="7"/>
      <c r="F21" s="7"/>
      <c r="I21" s="89"/>
      <c r="J21" s="17"/>
    </row>
    <row r="22" spans="3:10" ht="12.75">
      <c r="C22" s="105">
        <v>5.684E-4</v>
      </c>
      <c r="D22" s="17"/>
      <c r="E22" s="17"/>
      <c r="F22" s="17"/>
      <c r="G22" s="17"/>
      <c r="H22" s="17"/>
      <c r="I22" s="17"/>
      <c r="J22" s="17"/>
    </row>
    <row r="23" spans="3:10" ht="12.75">
      <c r="C23" s="17" t="s">
        <v>36</v>
      </c>
      <c r="D23" s="17"/>
      <c r="E23" s="89">
        <v>39342</v>
      </c>
      <c r="F23" s="17"/>
      <c r="G23" s="22">
        <v>-21750</v>
      </c>
      <c r="H23" s="17"/>
      <c r="I23" s="25"/>
      <c r="J23" s="25"/>
    </row>
    <row r="24" spans="3:10" ht="12.75">
      <c r="C24" s="17"/>
      <c r="D24" s="17"/>
      <c r="E24" s="89">
        <v>39365</v>
      </c>
      <c r="F24" s="17"/>
      <c r="G24" s="22">
        <v>-23925</v>
      </c>
      <c r="H24" s="17"/>
      <c r="I24" s="25"/>
      <c r="J24" s="25"/>
    </row>
    <row r="25" spans="3:10" ht="12.75">
      <c r="C25" s="17"/>
      <c r="D25" s="17"/>
      <c r="E25" s="89">
        <v>39385</v>
      </c>
      <c r="F25" s="17"/>
      <c r="G25" s="22">
        <v>-13340</v>
      </c>
      <c r="H25" s="17"/>
      <c r="I25" s="25"/>
      <c r="J25" s="25"/>
    </row>
    <row r="26" spans="3:10" ht="12.75">
      <c r="C26" s="17" t="s">
        <v>37</v>
      </c>
      <c r="D26" s="17"/>
      <c r="E26" s="89">
        <v>39521</v>
      </c>
      <c r="F26" s="17"/>
      <c r="G26" s="22">
        <v>-28817.74</v>
      </c>
      <c r="H26" s="17"/>
      <c r="I26" s="25"/>
      <c r="J26" s="25"/>
    </row>
    <row r="27" spans="3:10" ht="12.75">
      <c r="C27" s="17"/>
      <c r="D27" s="17"/>
      <c r="E27" s="89">
        <v>39562</v>
      </c>
      <c r="F27" s="17"/>
      <c r="G27" s="22">
        <v>-21485.41</v>
      </c>
      <c r="H27" s="17"/>
      <c r="I27" s="25"/>
      <c r="J27" s="25"/>
    </row>
    <row r="28" spans="3:10" ht="12.75">
      <c r="C28" s="17"/>
      <c r="D28" s="17"/>
      <c r="E28" s="89">
        <v>39583</v>
      </c>
      <c r="F28" s="17"/>
      <c r="G28" s="22">
        <v>-22451.69</v>
      </c>
      <c r="H28" s="17"/>
      <c r="I28" s="25"/>
      <c r="J28" s="25"/>
    </row>
    <row r="29" spans="3:10" ht="12.75">
      <c r="C29" s="17"/>
      <c r="D29" s="17"/>
      <c r="E29" s="89">
        <v>39617</v>
      </c>
      <c r="F29" s="17"/>
      <c r="G29" s="22">
        <v>-41493</v>
      </c>
      <c r="H29" s="17"/>
      <c r="I29" s="25"/>
      <c r="J29" s="25"/>
    </row>
    <row r="30" spans="3:10" ht="12.75">
      <c r="C30" s="17"/>
      <c r="D30" s="17"/>
      <c r="E30" s="89">
        <v>39657</v>
      </c>
      <c r="F30" s="17"/>
      <c r="G30" s="22">
        <v>-31830.24</v>
      </c>
      <c r="H30" s="17"/>
      <c r="I30" s="25"/>
      <c r="J30" s="25"/>
    </row>
    <row r="31" spans="3:10" ht="12.75">
      <c r="C31" s="17"/>
      <c r="D31" s="17"/>
      <c r="E31" s="89">
        <v>39675</v>
      </c>
      <c r="F31" s="17"/>
      <c r="G31" s="22">
        <v>-38992.05</v>
      </c>
      <c r="H31" s="17"/>
      <c r="I31" s="25"/>
      <c r="J31" s="25"/>
    </row>
    <row r="32" spans="3:10" ht="12.75">
      <c r="C32" s="17"/>
      <c r="D32" s="17"/>
      <c r="E32" s="89">
        <v>39714</v>
      </c>
      <c r="F32" s="17"/>
      <c r="G32" s="22">
        <v>-25862.07</v>
      </c>
      <c r="H32" s="17"/>
      <c r="I32" s="25"/>
      <c r="J32" s="25"/>
    </row>
    <row r="33" spans="3:10" ht="12.75">
      <c r="C33" s="17"/>
      <c r="D33" s="17"/>
      <c r="E33" s="89">
        <v>39755</v>
      </c>
      <c r="F33" s="17"/>
      <c r="G33" s="22">
        <v>-27965.14</v>
      </c>
      <c r="H33" s="17"/>
      <c r="I33" s="25"/>
      <c r="J33" s="25"/>
    </row>
    <row r="34" spans="3:10" ht="12.75">
      <c r="C34" s="17"/>
      <c r="D34" s="17"/>
      <c r="E34" s="89">
        <v>39799</v>
      </c>
      <c r="F34" s="17"/>
      <c r="G34" s="22">
        <v>-33990.15</v>
      </c>
      <c r="H34" s="17"/>
      <c r="I34" s="25"/>
      <c r="J34" s="25"/>
    </row>
    <row r="35" spans="3:10" ht="12.75">
      <c r="C35" s="106" t="s">
        <v>38</v>
      </c>
      <c r="D35" s="17"/>
      <c r="E35" s="89">
        <v>39682</v>
      </c>
      <c r="F35" s="45"/>
      <c r="G35" s="22">
        <v>17894.70</v>
      </c>
      <c r="H35" s="17"/>
      <c r="I35" s="25"/>
      <c r="J35" s="25"/>
    </row>
    <row r="36" spans="3:10" ht="12.75">
      <c r="C36" s="17" t="s">
        <v>39</v>
      </c>
      <c r="D36" s="17"/>
      <c r="E36" s="89">
        <v>39829</v>
      </c>
      <c r="G36" s="22">
        <v>-25293.68</v>
      </c>
      <c r="H36" s="17"/>
      <c r="I36" s="25"/>
      <c r="J36" s="25"/>
    </row>
    <row r="37" spans="3:10" ht="12.75">
      <c r="C37" s="17"/>
      <c r="D37" s="17"/>
      <c r="E37" s="89">
        <v>39875</v>
      </c>
      <c r="G37" s="22">
        <v>-23759</v>
      </c>
      <c r="H37" s="17"/>
      <c r="I37" s="25"/>
      <c r="J37" s="25"/>
    </row>
    <row r="38" spans="3:10" ht="12.75">
      <c r="C38" s="17"/>
      <c r="D38" s="17"/>
      <c r="E38" s="89">
        <v>39916</v>
      </c>
      <c r="G38" s="22">
        <v>-14892.08</v>
      </c>
      <c r="H38" s="17"/>
      <c r="I38" s="25"/>
      <c r="J38" s="25"/>
    </row>
    <row r="39" spans="3:10" ht="12.75">
      <c r="C39" s="17"/>
      <c r="D39" s="17"/>
      <c r="E39" s="89">
        <v>39954</v>
      </c>
      <c r="G39" s="22">
        <v>-19950.84</v>
      </c>
      <c r="H39" s="17"/>
      <c r="I39" s="25"/>
      <c r="J39" s="25"/>
    </row>
    <row r="40" spans="3:10" ht="12.75">
      <c r="C40" s="17"/>
      <c r="D40" s="17"/>
      <c r="E40" s="89">
        <v>39979</v>
      </c>
      <c r="G40" s="22">
        <v>-17279.36</v>
      </c>
      <c r="H40" s="17"/>
      <c r="I40" s="25"/>
      <c r="J40" s="25"/>
    </row>
    <row r="41" spans="3:10" ht="12.75">
      <c r="C41" s="17"/>
      <c r="D41" s="17"/>
      <c r="E41" s="89">
        <v>39996</v>
      </c>
      <c r="G41" s="22">
        <v>-22167.60</v>
      </c>
      <c r="H41" s="17"/>
      <c r="I41" s="25"/>
      <c r="J41" s="25"/>
    </row>
    <row r="42" spans="3:10" ht="12.75">
      <c r="C42" s="17"/>
      <c r="D42" s="17"/>
      <c r="E42" s="89">
        <v>40077</v>
      </c>
      <c r="G42" s="22">
        <v>-29897.84</v>
      </c>
      <c r="H42" s="17"/>
      <c r="I42" s="25"/>
      <c r="J42" s="25"/>
    </row>
    <row r="43" spans="3:10" ht="12.75">
      <c r="C43" s="17"/>
      <c r="D43" s="17"/>
      <c r="E43" s="89">
        <v>40122</v>
      </c>
      <c r="G43" s="22">
        <v>-15289.96</v>
      </c>
      <c r="H43" s="17"/>
      <c r="I43" s="25"/>
      <c r="J43" s="25"/>
    </row>
    <row r="44" spans="3:10" ht="12.75">
      <c r="C44" s="17"/>
      <c r="D44" s="17"/>
      <c r="E44" s="89">
        <v>40150</v>
      </c>
      <c r="G44" s="22">
        <v>-26771.64</v>
      </c>
      <c r="H44" s="17"/>
      <c r="I44" s="25"/>
      <c r="J44" s="25"/>
    </row>
    <row r="45" spans="3:10" ht="12.75">
      <c r="C45" s="17" t="s">
        <v>40</v>
      </c>
      <c r="D45" s="17"/>
      <c r="E45" s="89">
        <v>40182</v>
      </c>
      <c r="G45" s="22">
        <v>-17393.04</v>
      </c>
      <c r="H45" s="17"/>
      <c r="I45" s="25"/>
      <c r="J45" s="25"/>
    </row>
    <row r="46" spans="3:10" ht="12.75">
      <c r="C46" s="17"/>
      <c r="D46" s="17"/>
      <c r="E46" s="89">
        <v>40225</v>
      </c>
      <c r="G46" s="22">
        <v>-18814.04</v>
      </c>
      <c r="H46" s="17"/>
      <c r="I46" s="25"/>
      <c r="J46" s="25"/>
    </row>
    <row r="47" spans="3:10" ht="12.75">
      <c r="C47" s="17"/>
      <c r="D47" s="17"/>
      <c r="E47" s="89">
        <v>40252</v>
      </c>
      <c r="G47" s="22">
        <v>-21542.36</v>
      </c>
      <c r="H47" s="17"/>
      <c r="I47" s="25"/>
      <c r="J47" s="25"/>
    </row>
    <row r="48" spans="3:10" ht="12.75">
      <c r="C48" s="17"/>
      <c r="D48" s="17"/>
      <c r="E48" s="89">
        <v>40268</v>
      </c>
      <c r="G48" s="22">
        <v>-28135.80</v>
      </c>
      <c r="H48" s="17"/>
      <c r="I48" s="25"/>
      <c r="J48" s="25"/>
    </row>
    <row r="49" spans="3:10" ht="12.75">
      <c r="C49" s="17"/>
      <c r="D49" s="17"/>
      <c r="E49" s="89">
        <v>40283</v>
      </c>
      <c r="G49" s="22">
        <v>-23418.08</v>
      </c>
      <c r="H49" s="17"/>
      <c r="I49" s="25"/>
      <c r="J49" s="25"/>
    </row>
    <row r="50" spans="3:10" ht="12.75">
      <c r="C50" s="17"/>
      <c r="D50" s="17"/>
      <c r="E50" s="89">
        <v>40303</v>
      </c>
      <c r="G50" s="22">
        <v>-14835.24</v>
      </c>
      <c r="H50" s="17"/>
      <c r="I50" s="25"/>
      <c r="J50" s="25"/>
    </row>
    <row r="51" spans="3:10" ht="12.75">
      <c r="C51" s="17"/>
      <c r="D51" s="17"/>
      <c r="E51" s="89">
        <v>40331</v>
      </c>
      <c r="G51" s="22">
        <v>-27567.40</v>
      </c>
      <c r="H51" s="17"/>
      <c r="I51" s="25"/>
      <c r="J51" s="25"/>
    </row>
    <row r="52" spans="3:10" ht="12.75">
      <c r="C52" s="17"/>
      <c r="D52" s="17"/>
      <c r="E52" s="89">
        <v>40352</v>
      </c>
      <c r="G52" s="22">
        <v>-20178.20</v>
      </c>
      <c r="H52" s="17"/>
      <c r="I52" s="25"/>
      <c r="J52" s="25"/>
    </row>
    <row r="53" spans="3:10" ht="12.75">
      <c r="C53" s="17"/>
      <c r="D53" s="17"/>
      <c r="E53" s="89">
        <v>40373</v>
      </c>
      <c r="G53" s="22">
        <v>-28363.16</v>
      </c>
      <c r="H53" s="17"/>
      <c r="I53" s="25"/>
      <c r="J53" s="25"/>
    </row>
    <row r="54" spans="3:10" ht="12.75">
      <c r="C54" s="17"/>
      <c r="D54" s="17"/>
      <c r="E54" s="89">
        <v>40380</v>
      </c>
      <c r="G54" s="22">
        <v>-22679.16</v>
      </c>
      <c r="H54" s="17"/>
      <c r="I54" s="25"/>
      <c r="J54" s="25"/>
    </row>
    <row r="55" spans="3:10" ht="12.75">
      <c r="C55" s="17"/>
      <c r="D55" s="17"/>
      <c r="E55" s="89">
        <v>40407</v>
      </c>
      <c r="G55" s="22">
        <v>-18302.48</v>
      </c>
      <c r="H55" s="17"/>
      <c r="I55" s="25"/>
      <c r="J55" s="25"/>
    </row>
    <row r="56" spans="3:10" ht="12.75">
      <c r="C56" s="17"/>
      <c r="D56" s="17"/>
      <c r="E56" s="89">
        <v>40429</v>
      </c>
      <c r="G56" s="22">
        <v>-24100.16</v>
      </c>
      <c r="H56" s="17"/>
      <c r="I56" s="25"/>
      <c r="J56" s="25"/>
    </row>
    <row r="57" spans="3:10" ht="12.75">
      <c r="C57" s="17"/>
      <c r="D57" s="17"/>
      <c r="E57" s="89">
        <v>40463</v>
      </c>
      <c r="G57" s="22">
        <v>-14494.20</v>
      </c>
      <c r="H57" s="17"/>
      <c r="I57" s="25"/>
      <c r="J57" s="25"/>
    </row>
    <row r="58" spans="3:10" ht="12.75">
      <c r="C58" s="17"/>
      <c r="D58" s="17"/>
      <c r="E58" s="89">
        <v>40470</v>
      </c>
      <c r="G58" s="22">
        <v>-19894</v>
      </c>
      <c r="H58" s="17"/>
      <c r="I58" s="25"/>
      <c r="J58" s="25"/>
    </row>
    <row r="59" spans="3:10" ht="12.75">
      <c r="C59" s="17"/>
      <c r="D59" s="17"/>
      <c r="E59" s="89">
        <v>40484</v>
      </c>
      <c r="G59" s="22">
        <v>-89579.84</v>
      </c>
      <c r="H59" s="17"/>
      <c r="I59" s="25"/>
      <c r="J59" s="25"/>
    </row>
    <row r="60" spans="3:10" ht="12.75">
      <c r="C60" s="106" t="s">
        <v>41</v>
      </c>
      <c r="D60" s="17"/>
      <c r="E60" s="89">
        <v>40316</v>
      </c>
      <c r="G60" s="22">
        <v>48089.89</v>
      </c>
      <c r="H60" s="17"/>
      <c r="I60" s="25"/>
      <c r="J60" s="25"/>
    </row>
    <row r="61" spans="3:10" ht="12.75">
      <c r="C61" s="17"/>
      <c r="D61" s="17"/>
      <c r="E61" s="89">
        <v>40359</v>
      </c>
      <c r="G61" s="22">
        <v>69083.83</v>
      </c>
      <c r="H61" s="17"/>
      <c r="I61" s="25"/>
      <c r="J61" s="25"/>
    </row>
    <row r="62" spans="3:10" ht="12.75">
      <c r="C62" s="17"/>
      <c r="D62" s="17"/>
      <c r="E62" s="89">
        <v>40457</v>
      </c>
      <c r="G62" s="22">
        <v>74285.08</v>
      </c>
      <c r="H62" s="17"/>
      <c r="I62" s="25"/>
      <c r="J62" s="25"/>
    </row>
    <row r="63" spans="3:10" ht="12.75">
      <c r="C63" s="17"/>
      <c r="D63" s="17"/>
      <c r="E63" s="89">
        <v>40471</v>
      </c>
      <c r="G63" s="22">
        <v>21225.77</v>
      </c>
      <c r="H63" s="17"/>
      <c r="I63" s="25"/>
      <c r="J63" s="25"/>
    </row>
    <row r="64" spans="3:10" ht="12.75">
      <c r="C64" s="17"/>
      <c r="D64" s="17"/>
      <c r="E64" s="89">
        <v>40527</v>
      </c>
      <c r="G64" s="22">
        <v>45111.29</v>
      </c>
      <c r="H64" s="17"/>
      <c r="I64" s="25"/>
      <c r="J64" s="25"/>
    </row>
    <row r="65" spans="3:10" ht="12.75">
      <c r="C65" s="34" t="s">
        <v>10</v>
      </c>
      <c r="D65" s="17"/>
      <c r="E65" s="89">
        <v>40584</v>
      </c>
      <c r="G65" s="22">
        <v>-17961.44</v>
      </c>
      <c r="H65" s="17"/>
      <c r="I65" s="25"/>
      <c r="J65" s="25"/>
    </row>
    <row r="66" spans="3:10" ht="12.75">
      <c r="C66" s="17"/>
      <c r="D66" s="17"/>
      <c r="E66" s="89">
        <v>40605</v>
      </c>
      <c r="G66" s="22">
        <v>-18131.96</v>
      </c>
      <c r="H66" s="17"/>
      <c r="I66" s="25"/>
      <c r="J66" s="25"/>
    </row>
    <row r="67" spans="3:10" ht="12.75">
      <c r="C67" s="17"/>
      <c r="D67" s="17"/>
      <c r="E67" s="89">
        <v>40633</v>
      </c>
      <c r="G67" s="22">
        <v>-21201.32</v>
      </c>
      <c r="H67" s="17"/>
      <c r="I67" s="25"/>
      <c r="J67" s="25"/>
    </row>
    <row r="68" spans="3:10" ht="12.75">
      <c r="C68" s="17"/>
      <c r="D68" s="17"/>
      <c r="E68" s="89">
        <v>40658</v>
      </c>
      <c r="G68" s="22">
        <v>-26430.60</v>
      </c>
      <c r="H68" s="17"/>
      <c r="I68" s="25"/>
      <c r="J68" s="25"/>
    </row>
    <row r="69" spans="3:10" ht="12.75">
      <c r="C69" s="17"/>
      <c r="D69" s="17"/>
      <c r="E69" s="89">
        <v>40687</v>
      </c>
      <c r="G69" s="22">
        <v>-18188.80</v>
      </c>
      <c r="H69" s="17"/>
      <c r="I69" s="25"/>
      <c r="J69" s="25"/>
    </row>
    <row r="70" spans="3:10" ht="12.75">
      <c r="C70" s="17"/>
      <c r="D70" s="17"/>
      <c r="E70" s="89">
        <v>40717</v>
      </c>
      <c r="G70" s="22">
        <v>-43823.64</v>
      </c>
      <c r="H70" s="17"/>
      <c r="I70" s="25"/>
      <c r="J70" s="25"/>
    </row>
    <row r="71" spans="3:10" ht="12.75">
      <c r="C71" s="17"/>
      <c r="D71" s="17"/>
      <c r="E71" s="89">
        <v>40742</v>
      </c>
      <c r="G71" s="22">
        <v>-24270.68</v>
      </c>
      <c r="H71" s="17"/>
      <c r="I71" s="25"/>
      <c r="J71" s="25"/>
    </row>
    <row r="72" spans="3:10" ht="12.75">
      <c r="C72" s="17"/>
      <c r="D72" s="17"/>
      <c r="E72" s="89">
        <v>40777</v>
      </c>
      <c r="G72" s="22">
        <v>-19609.80</v>
      </c>
      <c r="H72" s="17"/>
      <c r="I72" s="25"/>
      <c r="J72" s="25"/>
    </row>
    <row r="73" spans="3:10" ht="12.75">
      <c r="C73" s="17"/>
      <c r="D73" s="17"/>
      <c r="E73" s="89">
        <v>40814</v>
      </c>
      <c r="G73" s="22">
        <v>-18700.36</v>
      </c>
      <c r="H73" s="17"/>
      <c r="I73" s="25"/>
      <c r="J73" s="25"/>
    </row>
    <row r="74" spans="3:10" ht="12.75">
      <c r="C74" s="17"/>
      <c r="D74" s="17"/>
      <c r="E74" s="89">
        <v>40837</v>
      </c>
      <c r="G74" s="22">
        <v>-23929.64</v>
      </c>
      <c r="H74" s="17"/>
      <c r="I74" s="25"/>
      <c r="J74" s="25"/>
    </row>
    <row r="75" spans="3:10" ht="12.75">
      <c r="C75" s="17"/>
      <c r="D75" s="17"/>
      <c r="E75" s="89">
        <v>40878</v>
      </c>
      <c r="G75" s="22">
        <v>-25521.16</v>
      </c>
      <c r="H75" s="17"/>
      <c r="I75" s="25"/>
      <c r="J75" s="25"/>
    </row>
    <row r="76" spans="3:10" ht="12.75">
      <c r="C76" s="106" t="s">
        <v>42</v>
      </c>
      <c r="D76" s="17"/>
      <c r="E76" s="89">
        <v>40549</v>
      </c>
      <c r="G76" s="22">
        <v>53704.49</v>
      </c>
      <c r="H76" s="17"/>
      <c r="I76" s="25"/>
      <c r="J76" s="25"/>
    </row>
    <row r="77" spans="3:10" ht="12.75">
      <c r="C77" s="17"/>
      <c r="D77" s="17"/>
      <c r="E77" s="89">
        <v>40627</v>
      </c>
      <c r="G77" s="22">
        <v>24820.22</v>
      </c>
      <c r="H77" s="17"/>
      <c r="I77" s="25"/>
      <c r="J77" s="25"/>
    </row>
    <row r="78" spans="3:10" ht="12.75">
      <c r="C78" s="17"/>
      <c r="D78" s="17"/>
      <c r="E78" s="89">
        <v>40627</v>
      </c>
      <c r="G78" s="22">
        <v>170.53</v>
      </c>
      <c r="H78" s="17"/>
      <c r="I78" s="25"/>
      <c r="J78" s="25"/>
    </row>
    <row r="79" spans="3:10" ht="12.75">
      <c r="C79" s="17"/>
      <c r="D79" s="17"/>
      <c r="E79" s="89">
        <v>40695</v>
      </c>
      <c r="G79" s="22">
        <v>51480.73</v>
      </c>
      <c r="H79" s="17"/>
      <c r="I79" s="25"/>
      <c r="J79" s="25"/>
    </row>
    <row r="80" spans="3:10" ht="12.75">
      <c r="C80" s="17"/>
      <c r="D80" s="17"/>
      <c r="E80" s="89">
        <v>40695</v>
      </c>
      <c r="G80" s="22">
        <v>297.67</v>
      </c>
      <c r="H80" s="17"/>
      <c r="I80" s="25"/>
      <c r="J80" s="25"/>
    </row>
    <row r="81" spans="3:10" ht="12.75">
      <c r="C81" s="17"/>
      <c r="D81" s="17"/>
      <c r="E81" s="89">
        <v>40758</v>
      </c>
      <c r="G81" s="22">
        <v>11889.40</v>
      </c>
      <c r="H81" s="17"/>
      <c r="I81" s="25"/>
      <c r="J81" s="25"/>
    </row>
    <row r="82" spans="3:10" ht="12.75">
      <c r="C82" s="17"/>
      <c r="D82" s="17"/>
      <c r="E82" s="89">
        <v>40758</v>
      </c>
      <c r="G82" s="22">
        <v>-9.58</v>
      </c>
      <c r="H82" s="17"/>
      <c r="I82" s="25"/>
      <c r="J82" s="25"/>
    </row>
    <row r="83" spans="3:10" ht="12.75">
      <c r="C83" s="17"/>
      <c r="D83" s="17"/>
      <c r="E83" s="89">
        <v>40788</v>
      </c>
      <c r="G83" s="22">
        <v>82212.84</v>
      </c>
      <c r="H83" s="17"/>
      <c r="I83" s="25"/>
      <c r="J83" s="25"/>
    </row>
    <row r="84" spans="3:10" ht="12.75">
      <c r="C84" s="17"/>
      <c r="D84" s="17"/>
      <c r="E84" s="89">
        <v>40788</v>
      </c>
      <c r="G84" s="22">
        <v>774.50</v>
      </c>
      <c r="H84" s="17"/>
      <c r="I84" s="25"/>
      <c r="J84" s="25"/>
    </row>
    <row r="85" spans="3:10" ht="12.75">
      <c r="C85" s="17"/>
      <c r="D85" s="17"/>
      <c r="E85" s="89">
        <v>40821</v>
      </c>
      <c r="G85" s="22">
        <v>12742.65</v>
      </c>
      <c r="H85" s="17"/>
      <c r="I85" s="25"/>
      <c r="J85" s="25"/>
    </row>
    <row r="86" spans="3:10" ht="12.75">
      <c r="C86" s="17"/>
      <c r="D86" s="17"/>
      <c r="E86" s="89">
        <v>40856</v>
      </c>
      <c r="G86" s="22">
        <v>30563.76</v>
      </c>
      <c r="H86" s="17"/>
      <c r="I86" s="25"/>
      <c r="J86" s="25"/>
    </row>
    <row r="87" spans="3:10" ht="12.75">
      <c r="C87" s="17"/>
      <c r="D87" s="17"/>
      <c r="E87" s="89">
        <v>40869</v>
      </c>
      <c r="G87" s="22">
        <v>78741.07</v>
      </c>
      <c r="H87" s="17"/>
      <c r="I87" s="25"/>
      <c r="J87" s="25"/>
    </row>
    <row r="88" spans="3:10" ht="12.75">
      <c r="C88" s="17"/>
      <c r="D88" s="17"/>
      <c r="E88" s="89">
        <v>40883</v>
      </c>
      <c r="G88" s="22">
        <v>46530.19</v>
      </c>
      <c r="H88" s="17"/>
      <c r="I88" s="25"/>
      <c r="J88" s="25"/>
    </row>
    <row r="89" spans="3:10" ht="12.75">
      <c r="C89" s="34" t="s">
        <v>12</v>
      </c>
      <c r="D89" s="17"/>
      <c r="E89" s="89">
        <v>40948</v>
      </c>
      <c r="G89" s="22">
        <v>-19325.60</v>
      </c>
      <c r="H89" s="17"/>
      <c r="I89" s="25"/>
      <c r="J89" s="25"/>
    </row>
    <row r="90" spans="3:10" ht="12.75">
      <c r="C90" s="34"/>
      <c r="D90" s="17"/>
      <c r="E90" s="89">
        <v>40977</v>
      </c>
      <c r="G90" s="22">
        <v>-19780.32</v>
      </c>
      <c r="H90" s="17"/>
      <c r="I90" s="25"/>
      <c r="J90" s="25"/>
    </row>
    <row r="91" spans="3:10" ht="12.75">
      <c r="C91" s="34"/>
      <c r="D91" s="17"/>
      <c r="E91" s="89">
        <v>40997</v>
      </c>
      <c r="G91" s="22">
        <v>-19155.08</v>
      </c>
      <c r="H91" s="17"/>
      <c r="I91" s="25"/>
      <c r="J91" s="25"/>
    </row>
    <row r="92" spans="3:10" ht="12.75">
      <c r="C92" s="34"/>
      <c r="D92" s="17"/>
      <c r="E92" s="89">
        <v>41033</v>
      </c>
      <c r="G92" s="22">
        <v>-25293.80</v>
      </c>
      <c r="H92" s="17"/>
      <c r="I92" s="25"/>
      <c r="J92" s="25"/>
    </row>
    <row r="93" spans="3:10" ht="12.75">
      <c r="C93" s="34"/>
      <c r="D93" s="17"/>
      <c r="E93" s="89">
        <v>41058</v>
      </c>
      <c r="G93" s="22">
        <v>-23133.88</v>
      </c>
      <c r="H93" s="17"/>
      <c r="I93" s="25"/>
      <c r="J93" s="25"/>
    </row>
    <row r="94" spans="3:10" ht="12.75">
      <c r="C94" s="34"/>
      <c r="D94" s="17"/>
      <c r="E94" s="89">
        <v>41086</v>
      </c>
      <c r="G94" s="22">
        <v>-20746.60</v>
      </c>
      <c r="H94" s="17"/>
      <c r="I94" s="25"/>
      <c r="J94" s="25"/>
    </row>
    <row r="95" spans="3:10" ht="12.75">
      <c r="C95" s="34"/>
      <c r="D95" s="17"/>
      <c r="E95" s="89">
        <v>41151</v>
      </c>
      <c r="G95" s="22">
        <v>-25180.12</v>
      </c>
      <c r="H95" s="17"/>
      <c r="I95" s="25"/>
      <c r="J95" s="25"/>
    </row>
    <row r="96" spans="3:10" ht="12.75">
      <c r="C96" s="17"/>
      <c r="D96" s="17"/>
      <c r="E96" s="89">
        <v>41183</v>
      </c>
      <c r="G96" s="22">
        <v>-22281.28</v>
      </c>
      <c r="H96" s="17"/>
      <c r="I96" s="25"/>
      <c r="J96" s="25"/>
    </row>
    <row r="97" spans="3:10" ht="12.75">
      <c r="C97" s="17"/>
      <c r="D97" s="17"/>
      <c r="E97" s="89">
        <v>41242</v>
      </c>
      <c r="G97" s="22">
        <v>-18643.52</v>
      </c>
      <c r="H97" s="17"/>
      <c r="I97" s="25"/>
      <c r="J97" s="25"/>
    </row>
    <row r="98" spans="3:10" ht="12.75">
      <c r="C98" s="17"/>
      <c r="D98" s="17"/>
      <c r="E98" s="89">
        <v>41254</v>
      </c>
      <c r="G98" s="22">
        <v>-15858.36</v>
      </c>
      <c r="H98" s="17"/>
      <c r="I98" s="25"/>
      <c r="J98" s="25"/>
    </row>
    <row r="99" spans="3:10" ht="12.75">
      <c r="C99" s="106" t="s">
        <v>43</v>
      </c>
      <c r="D99" s="17"/>
      <c r="E99" s="89">
        <v>40949</v>
      </c>
      <c r="G99" s="22">
        <v>50706.08</v>
      </c>
      <c r="H99" s="17"/>
      <c r="I99" s="25"/>
      <c r="J99" s="25"/>
    </row>
    <row r="100" spans="3:10" ht="12.75">
      <c r="C100" s="34"/>
      <c r="D100" s="17"/>
      <c r="E100" s="89">
        <v>41032</v>
      </c>
      <c r="G100" s="22">
        <v>170737.93</v>
      </c>
      <c r="H100" s="17"/>
      <c r="I100" s="25"/>
      <c r="J100" s="25"/>
    </row>
    <row r="101" spans="3:10" ht="12.75">
      <c r="C101" s="34"/>
      <c r="D101" s="17"/>
      <c r="E101" s="89">
        <v>41107</v>
      </c>
      <c r="G101" s="22">
        <v>21580.63</v>
      </c>
      <c r="H101" s="17"/>
      <c r="I101" s="25"/>
      <c r="J101" s="25"/>
    </row>
    <row r="102" spans="3:10" ht="12.75">
      <c r="C102" s="34"/>
      <c r="D102" s="17"/>
      <c r="E102" s="89">
        <v>41128</v>
      </c>
      <c r="G102" s="22">
        <v>208962.88</v>
      </c>
      <c r="H102" s="17"/>
      <c r="I102" s="25"/>
      <c r="J102" s="25"/>
    </row>
    <row r="103" spans="3:10" ht="12.75">
      <c r="C103" s="34"/>
      <c r="D103" s="17"/>
      <c r="E103" s="89">
        <v>41138</v>
      </c>
      <c r="G103" s="22">
        <v>7085.18</v>
      </c>
      <c r="H103" s="17"/>
      <c r="I103" s="25"/>
      <c r="J103" s="25"/>
    </row>
    <row r="104" spans="3:10" ht="12.75">
      <c r="C104" s="34"/>
      <c r="D104" s="17"/>
      <c r="E104" s="89">
        <v>41157</v>
      </c>
      <c r="G104" s="22">
        <v>38234.07</v>
      </c>
      <c r="H104" s="17"/>
      <c r="I104" s="25"/>
      <c r="J104" s="25"/>
    </row>
    <row r="105" spans="3:10" ht="12.75">
      <c r="C105" s="34"/>
      <c r="D105" s="17"/>
      <c r="E105" s="89">
        <v>41187</v>
      </c>
      <c r="G105" s="22">
        <v>11077.32</v>
      </c>
      <c r="H105" s="17"/>
      <c r="I105" s="25"/>
      <c r="J105" s="25"/>
    </row>
    <row r="106" spans="3:10" ht="12.75">
      <c r="C106" s="34"/>
      <c r="D106" s="17"/>
      <c r="E106" s="89">
        <v>41260</v>
      </c>
      <c r="G106" s="22">
        <v>42917.85</v>
      </c>
      <c r="H106" s="17"/>
      <c r="I106" s="25"/>
      <c r="J106" s="25"/>
    </row>
    <row r="107" spans="3:10" ht="12.75">
      <c r="C107" s="34"/>
      <c r="D107" s="17"/>
      <c r="E107" s="89">
        <v>41270</v>
      </c>
      <c r="G107" s="22">
        <v>325550.36</v>
      </c>
      <c r="H107" s="17"/>
      <c r="I107" s="25"/>
      <c r="J107" s="25"/>
    </row>
    <row r="108" spans="3:10" ht="12.75">
      <c r="C108" s="34" t="s">
        <v>18</v>
      </c>
      <c r="D108" s="17"/>
      <c r="E108" s="89">
        <v>41359</v>
      </c>
      <c r="G108" s="22">
        <v>-11822.72</v>
      </c>
      <c r="H108" s="17"/>
      <c r="I108" s="107"/>
      <c r="J108" s="25"/>
    </row>
    <row r="109" spans="3:10" ht="12.75">
      <c r="C109" s="34"/>
      <c r="D109" s="17"/>
      <c r="E109" s="89">
        <v>41470</v>
      </c>
      <c r="G109" s="22">
        <v>-14551.04</v>
      </c>
      <c r="H109" s="17"/>
      <c r="I109" s="107"/>
      <c r="J109" s="25"/>
    </row>
    <row r="110" spans="3:10" ht="12.75">
      <c r="C110" s="34"/>
      <c r="D110" s="17"/>
      <c r="E110" s="89">
        <v>41514</v>
      </c>
      <c r="G110" s="22">
        <v>-16597.27</v>
      </c>
      <c r="H110" s="17"/>
      <c r="I110" s="107"/>
      <c r="J110" s="25"/>
    </row>
    <row r="111" spans="3:10" ht="12.75">
      <c r="C111" s="34"/>
      <c r="D111" s="17"/>
      <c r="E111" s="89">
        <v>41535</v>
      </c>
      <c r="G111" s="22">
        <v>-10003.84</v>
      </c>
      <c r="H111" s="17"/>
      <c r="I111" s="107"/>
      <c r="J111" s="25"/>
    </row>
    <row r="112" spans="3:10" ht="12.75">
      <c r="C112" s="34"/>
      <c r="D112" s="17"/>
      <c r="E112" s="89">
        <v>41631</v>
      </c>
      <c r="G112" s="22">
        <v>-9890.16</v>
      </c>
      <c r="H112" s="17"/>
      <c r="I112" s="107"/>
      <c r="J112" s="25"/>
    </row>
    <row r="113" spans="3:10" ht="12.75">
      <c r="C113" s="106" t="s">
        <v>14</v>
      </c>
      <c r="D113" s="17"/>
      <c r="E113" s="89">
        <v>41316</v>
      </c>
      <c r="G113" s="22">
        <v>16049.06</v>
      </c>
      <c r="H113" s="17"/>
      <c r="I113" s="107"/>
      <c r="J113" s="25"/>
    </row>
    <row r="114" spans="3:10" ht="12.75">
      <c r="C114" s="34"/>
      <c r="D114" s="17"/>
      <c r="E114" s="89">
        <v>41407</v>
      </c>
      <c r="G114" s="22">
        <v>12879.04</v>
      </c>
      <c r="H114" s="17"/>
      <c r="I114" s="107"/>
      <c r="J114" s="25"/>
    </row>
    <row r="115" spans="3:10" ht="12.75">
      <c r="C115" s="34"/>
      <c r="D115" s="17"/>
      <c r="E115" s="89">
        <v>41431</v>
      </c>
      <c r="G115" s="22">
        <v>17424.78</v>
      </c>
      <c r="H115" s="17"/>
      <c r="I115" s="107"/>
      <c r="J115" s="25"/>
    </row>
    <row r="116" spans="3:10" ht="12.75">
      <c r="C116" s="34"/>
      <c r="D116" s="17"/>
      <c r="E116" s="89">
        <v>41450</v>
      </c>
      <c r="G116" s="22">
        <v>3611.06</v>
      </c>
      <c r="H116" s="17"/>
      <c r="I116" s="107"/>
      <c r="J116" s="25"/>
    </row>
    <row r="117" spans="3:8" ht="12.75">
      <c r="C117" s="34"/>
      <c r="D117" s="17"/>
      <c r="E117" s="89">
        <v>41493</v>
      </c>
      <c r="G117" s="22">
        <v>7198.87</v>
      </c>
      <c r="H117" s="17"/>
    </row>
    <row r="118" spans="3:8" ht="12.75">
      <c r="C118" s="34"/>
      <c r="D118" s="17"/>
      <c r="E118" s="89">
        <v>41512</v>
      </c>
      <c r="G118" s="22">
        <v>6569.10</v>
      </c>
      <c r="H118" s="17"/>
    </row>
    <row r="119" spans="3:8" ht="12.75">
      <c r="C119" s="34"/>
      <c r="D119" s="17"/>
      <c r="E119" s="89">
        <v>41558</v>
      </c>
      <c r="G119" s="22">
        <v>8603.92</v>
      </c>
      <c r="H119" s="17"/>
    </row>
    <row r="120" spans="3:8" ht="12.75">
      <c r="C120" s="34"/>
      <c r="D120" s="17"/>
      <c r="E120" s="89">
        <v>41617</v>
      </c>
      <c r="G120" s="22">
        <v>26943.20</v>
      </c>
      <c r="H120" s="17"/>
    </row>
    <row r="121" spans="3:8" ht="12.75">
      <c r="C121" s="34"/>
      <c r="D121" s="17"/>
      <c r="E121" s="89">
        <v>41628</v>
      </c>
      <c r="G121" s="22">
        <v>16601.75</v>
      </c>
      <c r="H121" s="17"/>
    </row>
    <row r="122" spans="3:10" ht="12.75">
      <c r="C122" s="34" t="s">
        <v>23</v>
      </c>
      <c r="D122" s="17"/>
      <c r="E122" s="89">
        <v>41729</v>
      </c>
      <c r="G122" s="45">
        <v>-10003.83</v>
      </c>
      <c r="H122" s="17"/>
      <c r="I122" s="25"/>
      <c r="J122" s="17"/>
    </row>
    <row r="123" spans="3:10" ht="12.75">
      <c r="C123" s="34"/>
      <c r="D123" s="17"/>
      <c r="E123" s="89">
        <v>41834</v>
      </c>
      <c r="G123" s="45">
        <v>-13300.56</v>
      </c>
      <c r="H123" s="17"/>
      <c r="I123" s="25"/>
      <c r="J123" s="17"/>
    </row>
    <row r="124" spans="3:8" ht="12.75">
      <c r="C124" s="34"/>
      <c r="D124" s="17"/>
      <c r="E124" s="89">
        <v>41911</v>
      </c>
      <c r="G124" s="45">
        <v>-6025.04</v>
      </c>
      <c r="H124" s="17"/>
    </row>
    <row r="125" spans="3:8" ht="12.75">
      <c r="C125" s="34"/>
      <c r="D125" s="17"/>
      <c r="E125" s="89">
        <v>41969</v>
      </c>
      <c r="G125" s="45">
        <v>-37230.2</v>
      </c>
      <c r="H125" s="17"/>
    </row>
    <row r="126" spans="3:8" ht="12.75">
      <c r="C126" s="34"/>
      <c r="D126" s="17"/>
      <c r="E126" s="89">
        <v>41984</v>
      </c>
      <c r="G126" s="45">
        <v>-11765.88</v>
      </c>
      <c r="H126" s="17"/>
    </row>
    <row r="127" spans="3:8" ht="12.75">
      <c r="C127" s="34" t="s">
        <v>22</v>
      </c>
      <c r="D127" s="17"/>
      <c r="E127" s="89">
        <v>41801</v>
      </c>
      <c r="G127" s="45">
        <v>88946.69</v>
      </c>
      <c r="H127" s="17"/>
    </row>
    <row r="128" spans="3:8" ht="12.75">
      <c r="C128" s="34"/>
      <c r="D128" s="17"/>
      <c r="E128" s="89">
        <v>41830</v>
      </c>
      <c r="G128" s="45">
        <v>18845.1</v>
      </c>
      <c r="H128" s="17"/>
    </row>
    <row r="129" spans="3:8" ht="12.75">
      <c r="C129" s="34"/>
      <c r="D129" s="17"/>
      <c r="E129" s="89">
        <v>41856</v>
      </c>
      <c r="G129" s="45">
        <v>120049.65</v>
      </c>
      <c r="H129" s="17"/>
    </row>
    <row r="130" spans="3:8" ht="12.75">
      <c r="C130" s="34"/>
      <c r="D130" s="17"/>
      <c r="E130" s="89">
        <v>41892</v>
      </c>
      <c r="G130" s="45">
        <v>5753.10</v>
      </c>
      <c r="H130" s="17"/>
    </row>
    <row r="131" spans="3:8" ht="12.75">
      <c r="C131" s="34" t="s">
        <v>44</v>
      </c>
      <c r="D131" s="17"/>
      <c r="E131" s="89">
        <v>42089</v>
      </c>
      <c r="G131" s="45">
        <v>-4433.52</v>
      </c>
      <c r="H131" s="17"/>
    </row>
    <row r="132" spans="3:8" s="111" customFormat="1" ht="12.75">
      <c r="C132" s="106"/>
      <c r="D132" s="17"/>
      <c r="E132" s="108">
        <v>42179</v>
      </c>
      <c r="F132"/>
      <c r="G132" s="109">
        <v>-8639.68</v>
      </c>
      <c r="H132" s="110"/>
    </row>
    <row r="133" spans="3:8" s="111" customFormat="1" ht="12.75">
      <c r="C133" s="106"/>
      <c r="D133" s="17"/>
      <c r="E133" s="89">
        <v>42215</v>
      </c>
      <c r="F133"/>
      <c r="G133" s="45">
        <v>-8298.64</v>
      </c>
      <c r="H133" s="110"/>
    </row>
    <row r="134" spans="3:8" s="111" customFormat="1" ht="12.75">
      <c r="C134" s="106"/>
      <c r="D134" s="17"/>
      <c r="E134" s="89">
        <v>42361</v>
      </c>
      <c r="F134"/>
      <c r="G134" s="45">
        <v>-8241.8</v>
      </c>
      <c r="H134" s="110"/>
    </row>
    <row r="135" spans="3:8" s="111" customFormat="1" ht="12.75">
      <c r="C135" s="106" t="s">
        <v>24</v>
      </c>
      <c r="D135" s="17"/>
      <c r="E135" s="89">
        <v>42073</v>
      </c>
      <c r="F135"/>
      <c r="G135" s="45">
        <v>15038.49</v>
      </c>
      <c r="H135" s="110"/>
    </row>
    <row r="136" spans="3:8" s="111" customFormat="1" ht="12.75">
      <c r="C136" s="106"/>
      <c r="D136" s="17"/>
      <c r="E136" s="89">
        <v>42146</v>
      </c>
      <c r="F136"/>
      <c r="G136" s="45">
        <v>9521.06</v>
      </c>
      <c r="H136" s="110"/>
    </row>
    <row r="137" spans="3:12" s="111" customFormat="1" ht="15.75">
      <c r="C137" s="106"/>
      <c r="D137" s="17"/>
      <c r="E137" s="89">
        <v>42261</v>
      </c>
      <c r="F137"/>
      <c r="G137" s="45">
        <v>24707.97</v>
      </c>
      <c r="H137" s="110"/>
      <c r="I137" s="42"/>
      <c r="J137" s="42"/>
      <c r="K137" s="42"/>
      <c r="L137" s="177"/>
    </row>
    <row r="138" spans="3:12" s="111" customFormat="1" ht="12.75">
      <c r="C138" s="106"/>
      <c r="D138" s="17"/>
      <c r="E138" s="89">
        <v>42347</v>
      </c>
      <c r="F138"/>
      <c r="G138" s="45">
        <v>519.89</v>
      </c>
      <c r="H138" s="110"/>
      <c r="I138" s="44"/>
      <c r="J138" s="41"/>
      <c r="K138" s="42"/>
      <c r="L138" s="124"/>
    </row>
    <row r="139" spans="3:12" s="111" customFormat="1" ht="12.75">
      <c r="C139" s="34" t="s">
        <v>45</v>
      </c>
      <c r="D139" s="17"/>
      <c r="E139" s="89">
        <v>42542</v>
      </c>
      <c r="F139"/>
      <c r="G139" s="45">
        <v>-9151.24</v>
      </c>
      <c r="H139" s="110"/>
      <c r="I139" s="44"/>
      <c r="J139" s="41"/>
      <c r="K139" s="42"/>
      <c r="L139" s="124"/>
    </row>
    <row r="140" spans="3:12" s="111" customFormat="1" ht="12.75">
      <c r="C140" s="34"/>
      <c r="D140" s="17"/>
      <c r="E140" s="89">
        <v>42635</v>
      </c>
      <c r="F140"/>
      <c r="G140" s="45">
        <v>-7616.56</v>
      </c>
      <c r="H140" s="110"/>
      <c r="I140" s="44"/>
      <c r="J140" s="41"/>
      <c r="K140" s="42"/>
      <c r="L140" s="124"/>
    </row>
    <row r="141" spans="3:12" s="111" customFormat="1" ht="12.75">
      <c r="C141" s="34" t="s">
        <v>25</v>
      </c>
      <c r="D141" s="17"/>
      <c r="E141" s="89">
        <v>42452</v>
      </c>
      <c r="F141"/>
      <c r="G141" s="45">
        <v>7572.21</v>
      </c>
      <c r="H141" s="110"/>
      <c r="I141" s="44"/>
      <c r="J141" s="41"/>
      <c r="K141" s="42"/>
      <c r="L141" s="124"/>
    </row>
    <row r="142" spans="3:12" s="111" customFormat="1" ht="12.75">
      <c r="C142" s="34"/>
      <c r="D142" s="17"/>
      <c r="E142" s="89">
        <v>42626</v>
      </c>
      <c r="F142"/>
      <c r="G142" s="45">
        <v>4271.51</v>
      </c>
      <c r="H142" s="110"/>
      <c r="I142" s="44"/>
      <c r="J142" s="41"/>
      <c r="K142" s="42"/>
      <c r="L142" s="42"/>
    </row>
    <row r="143" spans="3:12" s="111" customFormat="1" ht="12.75">
      <c r="C143" s="34" t="s">
        <v>30</v>
      </c>
      <c r="D143" s="17"/>
      <c r="E143" s="89">
        <v>42935</v>
      </c>
      <c r="F143"/>
      <c r="G143" s="45">
        <v>-11600</v>
      </c>
      <c r="H143" s="110"/>
      <c r="I143" s="44"/>
      <c r="J143" s="41"/>
      <c r="K143" s="42"/>
      <c r="L143" s="42"/>
    </row>
    <row r="144" spans="3:12" s="111" customFormat="1" ht="12.75">
      <c r="C144" s="34" t="s">
        <v>46</v>
      </c>
      <c r="D144" s="17"/>
      <c r="E144" s="89">
        <v>42802</v>
      </c>
      <c r="F144"/>
      <c r="G144" s="45">
        <v>8294.44</v>
      </c>
      <c r="H144" s="110"/>
      <c r="I144" s="44"/>
      <c r="J144" s="41"/>
      <c r="K144" s="42"/>
      <c r="L144" s="42"/>
    </row>
    <row r="145" spans="3:10" s="111" customFormat="1" ht="12.75">
      <c r="C145" s="34"/>
      <c r="D145" s="17"/>
      <c r="E145" s="89">
        <v>42915</v>
      </c>
      <c r="F145"/>
      <c r="G145" s="45">
        <v>12166.36</v>
      </c>
      <c r="H145" s="110"/>
      <c r="I145" s="112"/>
      <c r="J145" s="110"/>
    </row>
    <row r="146" spans="3:10" s="111" customFormat="1" ht="12.75">
      <c r="C146" s="34" t="s">
        <v>26</v>
      </c>
      <c r="D146" s="17"/>
      <c r="E146" s="89">
        <v>43265</v>
      </c>
      <c r="F146"/>
      <c r="G146" s="45">
        <v>6845.94</v>
      </c>
      <c r="H146" s="110"/>
      <c r="I146" s="112"/>
      <c r="J146" s="110"/>
    </row>
    <row r="147" spans="3:26" s="111" customFormat="1" ht="12.75">
      <c r="C147" s="34" t="s">
        <v>27</v>
      </c>
      <c r="D147" s="17"/>
      <c r="E147" s="89">
        <v>43511</v>
      </c>
      <c r="F147"/>
      <c r="G147" s="45">
        <v>20753.02</v>
      </c>
      <c r="H147" s="110"/>
      <c r="I147" s="112"/>
      <c r="J147" s="110"/>
      <c r="Q147" s="113"/>
      <c r="R147" s="113"/>
      <c r="S147" s="113"/>
      <c r="T147" s="113"/>
      <c r="U147" s="113"/>
      <c r="Y147" s="113"/>
      <c r="Z147" s="113"/>
    </row>
    <row r="148" spans="3:26" ht="12.75">
      <c r="C148" s="34"/>
      <c r="D148" s="17"/>
      <c r="E148" s="89">
        <v>43818</v>
      </c>
      <c r="G148" s="45">
        <v>10024.19</v>
      </c>
      <c r="H148" s="17"/>
      <c r="I148" s="25"/>
      <c r="J148" s="17"/>
      <c r="Z148" s="93">
        <f>-Z147</f>
        <v>0</v>
      </c>
    </row>
    <row r="149" spans="3:12" ht="15.75">
      <c r="C149" s="34" t="s">
        <v>47</v>
      </c>
      <c r="D149" s="17"/>
      <c r="E149" s="89">
        <v>44145</v>
      </c>
      <c r="G149" s="45">
        <v>6291.72</v>
      </c>
      <c r="H149" s="17"/>
      <c r="I149" s="25"/>
      <c r="J149" s="17"/>
      <c r="L149" s="80"/>
    </row>
    <row r="150" spans="3:12" ht="15.75">
      <c r="C150" s="34" t="s">
        <v>28</v>
      </c>
      <c r="D150" s="17"/>
      <c r="E150" s="89">
        <v>44435</v>
      </c>
      <c r="G150" s="45">
        <v>33807.01000000001</v>
      </c>
      <c r="H150" s="17"/>
      <c r="I150" s="25"/>
      <c r="J150" s="17"/>
      <c r="L150" s="80"/>
    </row>
    <row r="151" spans="3:12" ht="15.75">
      <c r="C151" s="34" t="s">
        <v>29</v>
      </c>
      <c r="D151" s="17"/>
      <c r="E151" s="89">
        <v>44680</v>
      </c>
      <c r="G151" s="45">
        <v>47574.61</v>
      </c>
      <c r="H151" s="17"/>
      <c r="I151" s="25"/>
      <c r="J151" s="17"/>
      <c r="L151" s="80"/>
    </row>
    <row r="152" spans="3:9" s="111" customFormat="1" ht="4.5" customHeight="1">
      <c r="C152" s="17"/>
      <c r="D152" s="17"/>
      <c r="E152" s="89"/>
      <c r="F152"/>
      <c r="G152" s="45"/>
      <c r="H152" s="110"/>
      <c r="I152" s="112"/>
    </row>
    <row r="153" spans="3:14" ht="12.75">
      <c r="C153" s="17" t="s">
        <v>5</v>
      </c>
      <c r="D153" s="17"/>
      <c r="E153" s="89">
        <f>+E8</f>
        <v>44834</v>
      </c>
      <c r="F153" s="17"/>
      <c r="G153" s="94">
        <f>(L153/0.98)*C22</f>
        <v>4394.95812</v>
      </c>
      <c r="H153" s="17"/>
      <c r="I153" s="45">
        <f>+SUMIF($G$23:$G$152,"&lt;0",$G$23:$G$152)+9.58</f>
        <v>-1582841.5900000003</v>
      </c>
      <c r="J153" s="34" t="s">
        <v>20</v>
      </c>
      <c r="L153" s="124">
        <v>7577514</v>
      </c>
      <c r="N153" s="66"/>
    </row>
    <row r="154" spans="3:14" ht="12.75">
      <c r="C154" s="17"/>
      <c r="D154" s="17"/>
      <c r="E154" s="17"/>
      <c r="F154" s="17"/>
      <c r="G154" s="17"/>
      <c r="H154" s="17"/>
      <c r="I154" s="45">
        <f>+SUMIF($G$23:$G$152,"&gt;0",$G$23:$G$152)-9.58</f>
        <v>2103325.0700000003</v>
      </c>
      <c r="J154" s="34" t="s">
        <v>21</v>
      </c>
      <c r="N154" s="66"/>
    </row>
    <row r="155" spans="3:14" ht="12.75">
      <c r="C155" s="15" t="s">
        <v>0</v>
      </c>
      <c r="G155" s="72">
        <f>XIRR(G23:G153,E23:E153)</f>
        <v>0.14461503624916075</v>
      </c>
      <c r="H155" s="17"/>
      <c r="I155" s="95"/>
      <c r="N155" s="95"/>
    </row>
    <row r="156" spans="3:8" ht="12.75">
      <c r="C156" s="17"/>
      <c r="D156" s="17"/>
      <c r="E156" s="17"/>
      <c r="F156" s="17"/>
      <c r="G156" s="17"/>
      <c r="H156" s="17"/>
    </row>
    <row r="157" spans="3:8" ht="12.75">
      <c r="C157" s="17"/>
      <c r="D157" s="17"/>
      <c r="E157" s="17"/>
      <c r="F157" s="17"/>
      <c r="G157" s="17"/>
      <c r="H157" s="17"/>
    </row>
    <row r="158" spans="3:8" ht="12.75">
      <c r="C158" s="17"/>
      <c r="D158" s="17"/>
      <c r="E158" s="17"/>
      <c r="F158" s="17"/>
      <c r="G158" s="17"/>
      <c r="H158" s="17"/>
    </row>
    <row r="159" spans="3:8" ht="12.75">
      <c r="C159" s="17"/>
      <c r="D159" s="17"/>
      <c r="E159" s="17"/>
      <c r="F159" s="17"/>
      <c r="G159" s="17"/>
      <c r="H159" s="17"/>
    </row>
    <row r="160" spans="3:8" ht="12.75">
      <c r="C160" s="17"/>
      <c r="D160" s="17"/>
      <c r="E160" s="17"/>
      <c r="F160" s="17"/>
      <c r="G160" s="17"/>
      <c r="H160" s="17"/>
    </row>
    <row r="161" spans="3:8" ht="12.75">
      <c r="C161" s="28"/>
      <c r="D161" s="28"/>
      <c r="E161" s="76"/>
      <c r="F161" s="76"/>
      <c r="G161" s="76"/>
      <c r="H161" s="15"/>
    </row>
    <row r="162" spans="3:8" ht="12.75">
      <c r="C162" s="28"/>
      <c r="D162" s="28"/>
      <c r="E162" s="75"/>
      <c r="F162" s="75"/>
      <c r="G162" s="75"/>
      <c r="H162" s="15"/>
    </row>
    <row r="163" spans="3:8" ht="12.75">
      <c r="C163" s="28"/>
      <c r="D163" s="28"/>
      <c r="E163" s="28"/>
      <c r="F163" s="28"/>
      <c r="G163" s="28"/>
      <c r="H163" s="15"/>
    </row>
    <row r="164" spans="3:8" ht="12.75">
      <c r="C164" s="171"/>
      <c r="D164" s="171"/>
      <c r="E164" s="97"/>
      <c r="F164" s="96"/>
      <c r="G164" s="97"/>
      <c r="H164" s="15"/>
    </row>
    <row r="165" spans="3:8" ht="12.75">
      <c r="C165" s="171"/>
      <c r="D165" s="171"/>
      <c r="E165" s="97"/>
      <c r="F165" s="96"/>
      <c r="G165" s="97"/>
      <c r="H165" s="15"/>
    </row>
    <row r="166" spans="3:8" ht="12.75">
      <c r="C166" s="171"/>
      <c r="D166" s="171"/>
      <c r="E166" s="97"/>
      <c r="F166" s="96"/>
      <c r="G166" s="97"/>
      <c r="H166" s="15"/>
    </row>
    <row r="167" spans="3:8" ht="12.75">
      <c r="C167" s="189"/>
      <c r="D167" s="171"/>
      <c r="E167" s="97"/>
      <c r="F167" s="96"/>
      <c r="G167" s="97"/>
      <c r="H167" s="15"/>
    </row>
    <row r="168" spans="3:8" ht="12.75">
      <c r="C168" s="189"/>
      <c r="D168" s="171"/>
      <c r="E168" s="97"/>
      <c r="F168" s="96"/>
      <c r="G168" s="97"/>
      <c r="H168" s="15"/>
    </row>
    <row r="169" spans="3:8" ht="12.75">
      <c r="C169" s="190"/>
      <c r="D169" s="171"/>
      <c r="E169" s="97"/>
      <c r="F169" s="96"/>
      <c r="G169" s="97"/>
      <c r="H169" s="15"/>
    </row>
    <row r="170" spans="3:8" ht="12.75">
      <c r="C170" s="171"/>
      <c r="D170" s="171"/>
      <c r="E170" s="97"/>
      <c r="F170" s="96"/>
      <c r="G170" s="97"/>
      <c r="H170" s="15"/>
    </row>
    <row r="171" spans="3:8" ht="12.75">
      <c r="C171" s="171"/>
      <c r="D171" s="171"/>
      <c r="E171" s="97"/>
      <c r="F171" s="96"/>
      <c r="G171" s="97"/>
      <c r="H171" s="15"/>
    </row>
    <row r="172" spans="3:8" ht="12.75">
      <c r="C172" s="171"/>
      <c r="D172" s="171"/>
      <c r="E172" s="97"/>
      <c r="F172" s="96"/>
      <c r="G172" s="97"/>
      <c r="H172" s="15"/>
    </row>
    <row r="173" spans="3:8" ht="12.75">
      <c r="C173" s="171"/>
      <c r="D173" s="171"/>
      <c r="E173" s="97"/>
      <c r="F173" s="96"/>
      <c r="G173" s="97"/>
      <c r="H173" s="15"/>
    </row>
    <row r="174" spans="3:8" ht="12.75">
      <c r="C174" s="171"/>
      <c r="D174" s="171"/>
      <c r="E174" s="97"/>
      <c r="F174" s="96"/>
      <c r="G174" s="97"/>
      <c r="H174" s="15"/>
    </row>
    <row r="175" spans="3:8" ht="12.75">
      <c r="C175" s="171"/>
      <c r="D175" s="171"/>
      <c r="E175" s="97"/>
      <c r="F175" s="96"/>
      <c r="G175" s="97"/>
      <c r="H175" s="15"/>
    </row>
    <row r="176" spans="3:8" ht="5.1" customHeight="1">
      <c r="C176" s="28"/>
      <c r="D176" s="28"/>
      <c r="E176" s="96"/>
      <c r="F176" s="96"/>
      <c r="G176" s="96"/>
      <c r="H176" s="15"/>
    </row>
    <row r="177" spans="3:8" ht="12.75">
      <c r="C177" s="15"/>
      <c r="D177" s="15"/>
      <c r="E177" s="101"/>
      <c r="F177" s="101"/>
      <c r="G177" s="101"/>
      <c r="H177" s="15"/>
    </row>
    <row r="178" spans="3:8" ht="12.75">
      <c r="C178" s="17"/>
      <c r="D178" s="17"/>
      <c r="E178" s="102"/>
      <c r="F178" s="103"/>
      <c r="G178" s="102"/>
      <c r="H178" s="17"/>
    </row>
    <row r="179" spans="3:8" ht="12.75">
      <c r="C179" s="17"/>
      <c r="D179" s="17"/>
      <c r="E179" s="102"/>
      <c r="F179" s="103"/>
      <c r="G179" s="102"/>
      <c r="H179" s="17"/>
    </row>
    <row r="180" spans="3:8" ht="12.75">
      <c r="C180" s="17"/>
      <c r="D180" s="17"/>
      <c r="E180" s="102"/>
      <c r="F180" s="103"/>
      <c r="G180" s="102"/>
      <c r="H180" s="17"/>
    </row>
    <row r="181" spans="3:8" ht="12.75">
      <c r="C181" s="17"/>
      <c r="D181" s="17"/>
      <c r="E181" s="104"/>
      <c r="F181" s="104"/>
      <c r="G181" s="104"/>
      <c r="H181" s="17"/>
    </row>
    <row r="182" spans="3:8" ht="12.75">
      <c r="C182" s="17"/>
      <c r="D182" s="17"/>
      <c r="E182" s="17"/>
      <c r="F182" s="17"/>
      <c r="G182" s="17"/>
      <c r="H182" s="17"/>
    </row>
    <row r="183" spans="3:8" ht="12.75">
      <c r="C183" s="17"/>
      <c r="D183" s="17"/>
      <c r="E183" s="17"/>
      <c r="F183" s="17"/>
      <c r="G183" s="17"/>
      <c r="H183" s="17"/>
    </row>
    <row r="184" spans="3:8" ht="12.75">
      <c r="C184" s="17"/>
      <c r="D184" s="17"/>
      <c r="E184" s="17"/>
      <c r="F184" s="17"/>
      <c r="G184" s="17"/>
      <c r="H184" s="17"/>
    </row>
    <row r="185" spans="3:8" ht="12.75">
      <c r="C185" s="17"/>
      <c r="D185" s="17"/>
      <c r="E185" s="17"/>
      <c r="F185" s="17"/>
      <c r="G185" s="17"/>
      <c r="H185" s="17"/>
    </row>
    <row r="186" spans="3:8" ht="12.75">
      <c r="C186" s="17"/>
      <c r="D186" s="17"/>
      <c r="E186" s="17"/>
      <c r="F186" s="17"/>
      <c r="G186" s="17"/>
      <c r="H186" s="17"/>
    </row>
    <row r="187" spans="3:8" ht="12.75">
      <c r="C187" s="17"/>
      <c r="D187" s="17"/>
      <c r="E187" s="17"/>
      <c r="F187" s="17"/>
      <c r="G187" s="17"/>
      <c r="H187" s="17"/>
    </row>
    <row r="188" spans="3:8" ht="12.75">
      <c r="C188" s="17"/>
      <c r="D188" s="17"/>
      <c r="E188" s="17"/>
      <c r="F188" s="17"/>
      <c r="G188" s="17"/>
      <c r="H188" s="17"/>
    </row>
    <row r="189" spans="3:8" ht="12.75">
      <c r="C189" s="17"/>
      <c r="D189" s="17"/>
      <c r="E189" s="17"/>
      <c r="F189" s="17"/>
      <c r="G189" s="17"/>
      <c r="H189" s="17"/>
    </row>
    <row r="190" spans="3:8" ht="12.75">
      <c r="C190" s="17"/>
      <c r="D190" s="17"/>
      <c r="E190" s="17"/>
      <c r="F190" s="17"/>
      <c r="G190" s="17"/>
      <c r="H190" s="17"/>
    </row>
    <row r="191" spans="3:8" ht="12.75">
      <c r="C191" s="17"/>
      <c r="D191" s="17"/>
      <c r="E191" s="17"/>
      <c r="F191" s="17"/>
      <c r="G191" s="17"/>
      <c r="H191" s="17"/>
    </row>
  </sheetData>
  <mergeCells count="1">
    <mergeCell ref="E161:G161"/>
  </mergeCells>
  <pageMargins left="0.75" right="0.33" top="1" bottom="1" header="0.5" footer="0.5"/>
  <pageSetup orientation="portrait" paperSize="1" scale="46" r:id="rId2"/>
  <headerFooter alignWithMargins="0">
    <oddHeader>&amp;C&amp;G</oddHeader>
    <oddFooter>&amp;C&amp;G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1DCE8E4-4D62-4FD3-95BE-D4606F2390C2}">
  <sheetPr>
    <pageSetUpPr fitToPage="1"/>
  </sheetPr>
  <dimension ref="B4:L174"/>
  <sheetViews>
    <sheetView showGridLines="0" view="pageLayout" zoomScaleNormal="100" workbookViewId="0" topLeftCell="A1">
      <selection pane="topLeft" activeCell="C16" sqref="C16"/>
    </sheetView>
  </sheetViews>
  <sheetFormatPr defaultRowHeight="12.75"/>
  <cols>
    <col min="2" max="2" width="4.857142857142857" customWidth="1"/>
    <col min="3" max="3" width="47.142857142857146" customWidth="1"/>
    <col min="4" max="4" width="1.4285714285714286" customWidth="1"/>
    <col min="5" max="5" width="10.571428571428571" customWidth="1"/>
    <col min="6" max="6" width="1.4285714285714286" customWidth="1"/>
    <col min="7" max="7" width="11.714285714285714" bestFit="1" customWidth="1"/>
    <col min="8" max="8" width="2.142857142857143" customWidth="1"/>
    <col min="9" max="9" width="12.285714285714286" style="114" customWidth="1"/>
    <col min="10" max="10" width="12.571428571428571" bestFit="1" customWidth="1"/>
    <col min="11" max="11" width="10" bestFit="1" customWidth="1"/>
    <col min="12" max="12" width="15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77">
        <f>+VII!E8</f>
        <v>44834</v>
      </c>
      <c r="F8" s="13"/>
      <c r="G8" s="78"/>
      <c r="H8" s="115"/>
      <c r="I8" s="115"/>
    </row>
    <row r="9" spans="3:7" ht="15.75">
      <c r="C9" s="65"/>
      <c r="D9" s="65"/>
      <c r="E9" s="65"/>
      <c r="F9" s="65"/>
      <c r="G9" s="177"/>
    </row>
    <row r="10" spans="3:9" ht="12.75">
      <c r="C10" s="178"/>
      <c r="D10" s="178"/>
      <c r="E10" s="179"/>
      <c r="F10" s="178"/>
      <c r="G10" s="124"/>
      <c r="H10" s="82"/>
      <c r="I10" s="82"/>
    </row>
    <row r="11" spans="3:9" ht="12.75">
      <c r="C11" s="178"/>
      <c r="D11" s="178"/>
      <c r="E11" s="179"/>
      <c r="F11" s="178"/>
      <c r="G11" s="179"/>
      <c r="H11" s="82"/>
      <c r="I11" s="82"/>
    </row>
    <row r="12" spans="3:9" ht="15.75">
      <c r="C12" s="180"/>
      <c r="D12" s="180"/>
      <c r="E12" s="70"/>
      <c r="F12" s="180"/>
      <c r="G12" s="70"/>
      <c r="H12" s="82"/>
      <c r="I12" s="82"/>
    </row>
    <row r="13" spans="3:9" ht="12.75">
      <c r="C13" s="178"/>
      <c r="D13" s="178"/>
      <c r="E13" s="71"/>
      <c r="F13" s="178"/>
      <c r="G13" s="124"/>
      <c r="H13" s="82"/>
      <c r="I13" s="82"/>
    </row>
    <row r="14" spans="3:9" ht="12.75">
      <c r="C14" s="178"/>
      <c r="D14" s="178"/>
      <c r="E14" s="181"/>
      <c r="F14" s="178"/>
      <c r="G14" s="124"/>
      <c r="H14" s="82"/>
      <c r="I14" s="82"/>
    </row>
    <row r="15" spans="3:9" ht="12.75">
      <c r="C15" s="178"/>
      <c r="D15" s="178"/>
      <c r="E15" s="179"/>
      <c r="F15" s="178"/>
      <c r="G15" s="179"/>
      <c r="H15" s="82"/>
      <c r="I15" s="82"/>
    </row>
    <row r="16" spans="3:8" ht="15.75">
      <c r="C16" s="5"/>
      <c r="D16" s="5"/>
      <c r="E16" s="10"/>
      <c r="F16" s="5"/>
      <c r="G16" s="10"/>
      <c r="H16" s="5"/>
    </row>
    <row r="17" spans="3:8" ht="15.75">
      <c r="C17" s="83" t="s">
        <v>15</v>
      </c>
      <c r="D17" s="83"/>
      <c r="E17" s="10"/>
      <c r="F17" s="83"/>
      <c r="G17" s="10"/>
      <c r="H17" s="5"/>
    </row>
    <row r="18" spans="3:8" ht="12.75">
      <c r="C18" s="6" t="s">
        <v>16</v>
      </c>
      <c r="D18" s="6"/>
      <c r="E18" s="84">
        <f>G151</f>
        <v>0.11565031409263613</v>
      </c>
      <c r="F18" s="6"/>
      <c r="G18" s="9"/>
      <c r="H18" s="81"/>
    </row>
    <row r="19" spans="3:9" ht="12.75" customHeight="1">
      <c r="C19" s="6" t="s">
        <v>17</v>
      </c>
      <c r="D19" s="5"/>
      <c r="E19" s="87">
        <f>(G149+I150)/-I149</f>
        <v>1.3015312590289023</v>
      </c>
      <c r="F19" s="5"/>
      <c r="G19" s="10"/>
      <c r="H19" s="82"/>
      <c r="I19" s="82"/>
    </row>
    <row r="20" spans="3:9" ht="12.75">
      <c r="C20" s="6"/>
      <c r="D20" s="6"/>
      <c r="E20" s="9"/>
      <c r="F20" s="6"/>
      <c r="G20" s="9"/>
      <c r="H20" s="82"/>
      <c r="I20" s="82"/>
    </row>
    <row r="21" spans="3:10" ht="12.75">
      <c r="C21" s="88" t="s">
        <v>50</v>
      </c>
      <c r="D21" s="6"/>
      <c r="E21" s="6"/>
      <c r="F21" s="6"/>
      <c r="G21" s="81"/>
      <c r="H21" s="24"/>
      <c r="I21" s="26"/>
      <c r="J21" s="17"/>
    </row>
    <row r="22" spans="3:10" ht="15.75">
      <c r="C22" s="105">
        <v>0.061168315</v>
      </c>
      <c r="D22" s="7"/>
      <c r="E22" s="17"/>
      <c r="F22" s="17"/>
      <c r="G22" s="17"/>
      <c r="H22" s="17"/>
      <c r="I22" s="26"/>
      <c r="J22" s="17"/>
    </row>
    <row r="23" spans="3:10" ht="12.75">
      <c r="C23" s="17" t="s">
        <v>1</v>
      </c>
      <c r="D23" s="17"/>
      <c r="E23" s="89">
        <v>39342</v>
      </c>
      <c r="F23" s="17"/>
      <c r="G23" s="22">
        <v>-450000</v>
      </c>
      <c r="H23" s="17"/>
      <c r="I23" s="24"/>
      <c r="J23" s="25"/>
    </row>
    <row r="24" spans="3:10" ht="12.75">
      <c r="C24" s="17"/>
      <c r="D24" s="17"/>
      <c r="E24" s="89">
        <v>39365</v>
      </c>
      <c r="F24" s="17"/>
      <c r="G24" s="22">
        <v>-495000</v>
      </c>
      <c r="H24" s="17"/>
      <c r="I24" s="24"/>
      <c r="J24" s="25"/>
    </row>
    <row r="25" spans="3:10" ht="12.75">
      <c r="C25" s="17"/>
      <c r="D25" s="17"/>
      <c r="E25" s="89">
        <v>39385</v>
      </c>
      <c r="F25" s="17"/>
      <c r="G25" s="22">
        <v>-276000</v>
      </c>
      <c r="H25" s="17"/>
      <c r="I25" s="24"/>
      <c r="J25" s="25"/>
    </row>
    <row r="26" spans="3:10" ht="12.75">
      <c r="C26" s="17" t="s">
        <v>48</v>
      </c>
      <c r="D26" s="17"/>
      <c r="E26" s="89">
        <v>39521</v>
      </c>
      <c r="F26" s="17"/>
      <c r="G26" s="22">
        <v>-596232.41</v>
      </c>
      <c r="H26" s="17"/>
      <c r="I26" s="24"/>
      <c r="J26" s="25"/>
    </row>
    <row r="27" spans="3:10" ht="12.75">
      <c r="C27" s="17"/>
      <c r="D27" s="17"/>
      <c r="E27" s="89">
        <v>39562</v>
      </c>
      <c r="F27" s="17"/>
      <c r="G27" s="22">
        <v>-444528.31</v>
      </c>
      <c r="H27" s="17"/>
      <c r="I27" s="24"/>
      <c r="J27" s="25"/>
    </row>
    <row r="28" spans="3:10" ht="12.75">
      <c r="C28" s="17"/>
      <c r="D28" s="17"/>
      <c r="E28" s="89">
        <v>39583</v>
      </c>
      <c r="F28" s="17"/>
      <c r="G28" s="22">
        <v>-464520.32</v>
      </c>
      <c r="H28" s="17"/>
      <c r="I28" s="24"/>
      <c r="J28" s="25"/>
    </row>
    <row r="29" spans="3:10" ht="12.75">
      <c r="C29" s="17"/>
      <c r="D29" s="17"/>
      <c r="E29" s="89">
        <v>39617</v>
      </c>
      <c r="F29" s="17"/>
      <c r="G29" s="22">
        <v>-858480.59</v>
      </c>
      <c r="H29" s="17"/>
      <c r="I29" s="24"/>
      <c r="J29" s="25"/>
    </row>
    <row r="30" spans="3:10" ht="12.75">
      <c r="C30" s="17"/>
      <c r="D30" s="17"/>
      <c r="E30" s="89">
        <v>39657</v>
      </c>
      <c r="F30" s="17"/>
      <c r="G30" s="22">
        <v>-658560.46</v>
      </c>
      <c r="H30" s="17"/>
      <c r="I30" s="24"/>
      <c r="J30" s="25"/>
    </row>
    <row r="31" spans="3:10" ht="12.75">
      <c r="C31" s="17"/>
      <c r="D31" s="17"/>
      <c r="E31" s="89">
        <v>39675</v>
      </c>
      <c r="F31" s="17"/>
      <c r="G31" s="22">
        <v>-806736.56</v>
      </c>
      <c r="H31" s="17"/>
      <c r="I31" s="24"/>
      <c r="J31" s="25"/>
    </row>
    <row r="32" spans="3:10" ht="12.75">
      <c r="C32" s="17"/>
      <c r="D32" s="17"/>
      <c r="E32" s="89">
        <v>39714</v>
      </c>
      <c r="F32" s="17"/>
      <c r="G32" s="22">
        <v>-535080.37</v>
      </c>
      <c r="H32" s="17"/>
      <c r="I32" s="24"/>
      <c r="J32" s="25"/>
    </row>
    <row r="33" spans="3:10" ht="12.75">
      <c r="C33" s="17"/>
      <c r="D33" s="17"/>
      <c r="E33" s="89">
        <v>39755</v>
      </c>
      <c r="F33" s="17"/>
      <c r="G33" s="22">
        <v>-578592.40</v>
      </c>
      <c r="H33" s="17"/>
      <c r="I33" s="24"/>
      <c r="J33" s="25"/>
    </row>
    <row r="34" spans="3:10" ht="12.75">
      <c r="C34" s="17"/>
      <c r="D34" s="17"/>
      <c r="E34" s="89">
        <v>39799</v>
      </c>
      <c r="F34" s="17"/>
      <c r="G34" s="22">
        <v>-703248.49</v>
      </c>
      <c r="H34" s="17"/>
      <c r="I34" s="24"/>
      <c r="J34" s="25"/>
    </row>
    <row r="35" spans="3:10" ht="12.75">
      <c r="C35" s="17" t="s">
        <v>38</v>
      </c>
      <c r="D35" s="17"/>
      <c r="E35" s="89">
        <v>39682</v>
      </c>
      <c r="F35" s="45"/>
      <c r="G35" s="22">
        <v>371164.70</v>
      </c>
      <c r="H35" s="17"/>
      <c r="I35" s="24"/>
      <c r="J35" s="25"/>
    </row>
    <row r="36" spans="3:10" ht="12.75">
      <c r="C36" s="17" t="s">
        <v>39</v>
      </c>
      <c r="D36" s="17"/>
      <c r="E36" s="89">
        <v>39829</v>
      </c>
      <c r="G36" s="22">
        <v>-523320.36</v>
      </c>
      <c r="H36" s="17"/>
      <c r="I36" s="24"/>
      <c r="J36" s="25"/>
    </row>
    <row r="37" spans="3:10" ht="12.75">
      <c r="C37" s="17"/>
      <c r="D37" s="17"/>
      <c r="E37" s="89">
        <v>39875</v>
      </c>
      <c r="G37" s="22">
        <v>-491568.34</v>
      </c>
      <c r="H37" s="17"/>
      <c r="I37" s="24"/>
      <c r="J37" s="25"/>
    </row>
    <row r="38" spans="3:10" ht="12.75">
      <c r="C38" s="17"/>
      <c r="D38" s="17"/>
      <c r="E38" s="89">
        <v>39916</v>
      </c>
      <c r="G38" s="22">
        <v>-308111.94</v>
      </c>
      <c r="H38" s="17"/>
      <c r="I38" s="24"/>
      <c r="J38" s="25"/>
    </row>
    <row r="39" spans="3:10" ht="12.75">
      <c r="C39" s="17"/>
      <c r="D39" s="17"/>
      <c r="E39" s="89">
        <v>39954</v>
      </c>
      <c r="G39" s="22">
        <v>-412775.92</v>
      </c>
      <c r="H39" s="17"/>
      <c r="I39" s="24"/>
      <c r="J39" s="25"/>
    </row>
    <row r="40" spans="3:10" ht="12.75">
      <c r="C40" s="17"/>
      <c r="D40" s="17"/>
      <c r="E40" s="89">
        <v>39979</v>
      </c>
      <c r="G40" s="22">
        <v>-357503.93</v>
      </c>
      <c r="H40" s="17"/>
      <c r="I40" s="24"/>
      <c r="J40" s="25"/>
    </row>
    <row r="41" spans="3:10" ht="12.75">
      <c r="C41" s="17"/>
      <c r="D41" s="17"/>
      <c r="E41" s="89">
        <v>39996</v>
      </c>
      <c r="G41" s="22">
        <v>-458639.91</v>
      </c>
      <c r="H41" s="17"/>
      <c r="I41" s="24"/>
      <c r="J41" s="25"/>
    </row>
    <row r="42" spans="3:10" ht="12.75">
      <c r="C42" s="17"/>
      <c r="D42" s="17"/>
      <c r="E42" s="89">
        <v>40077</v>
      </c>
      <c r="G42" s="22">
        <v>-618575.88</v>
      </c>
      <c r="H42" s="17"/>
      <c r="I42" s="24"/>
      <c r="J42" s="25"/>
    </row>
    <row r="43" spans="3:10" ht="12.75">
      <c r="C43" s="17"/>
      <c r="D43" s="17"/>
      <c r="E43" s="89">
        <v>40122</v>
      </c>
      <c r="G43" s="22">
        <v>-316343.94</v>
      </c>
      <c r="H43" s="17"/>
      <c r="I43" s="24"/>
      <c r="J43" s="25"/>
    </row>
    <row r="44" spans="3:10" ht="12.75">
      <c r="C44" s="17"/>
      <c r="D44" s="17"/>
      <c r="E44" s="89">
        <v>40150</v>
      </c>
      <c r="G44" s="22">
        <v>-553895.89</v>
      </c>
      <c r="H44" s="17"/>
      <c r="I44" s="24"/>
      <c r="J44" s="25"/>
    </row>
    <row r="45" spans="3:10" ht="12.75">
      <c r="C45" s="17" t="s">
        <v>40</v>
      </c>
      <c r="D45" s="17"/>
      <c r="E45" s="89">
        <v>40182</v>
      </c>
      <c r="G45" s="22">
        <v>-359855.93</v>
      </c>
      <c r="H45" s="17"/>
      <c r="I45" s="24"/>
      <c r="J45" s="25"/>
    </row>
    <row r="46" spans="3:10" ht="12.75">
      <c r="C46" s="17"/>
      <c r="D46" s="17"/>
      <c r="E46" s="89">
        <v>40225</v>
      </c>
      <c r="G46" s="22">
        <v>-389255.93</v>
      </c>
      <c r="H46" s="17"/>
      <c r="I46" s="24"/>
      <c r="J46" s="25"/>
    </row>
    <row r="47" spans="3:10" ht="12.75">
      <c r="C47" s="17"/>
      <c r="D47" s="17"/>
      <c r="E47" s="89">
        <v>40252</v>
      </c>
      <c r="G47" s="22">
        <v>-445703.92</v>
      </c>
      <c r="H47" s="17"/>
      <c r="I47" s="24"/>
      <c r="J47" s="25"/>
    </row>
    <row r="48" spans="3:10" ht="12.75">
      <c r="C48" s="17"/>
      <c r="D48" s="17"/>
      <c r="E48" s="89">
        <v>40268</v>
      </c>
      <c r="G48" s="22">
        <v>-582119.89</v>
      </c>
      <c r="H48" s="17"/>
      <c r="I48" s="24"/>
      <c r="J48" s="25"/>
    </row>
    <row r="49" spans="3:10" ht="12.75">
      <c r="C49" s="17"/>
      <c r="D49" s="17"/>
      <c r="E49" s="89">
        <v>40283</v>
      </c>
      <c r="G49" s="22">
        <v>-484511.91</v>
      </c>
      <c r="H49" s="17"/>
      <c r="I49" s="24"/>
      <c r="J49" s="25"/>
    </row>
    <row r="50" spans="3:10" ht="12.75">
      <c r="C50" s="17"/>
      <c r="D50" s="17"/>
      <c r="E50" s="89">
        <v>40303</v>
      </c>
      <c r="G50" s="22">
        <v>-306935.94</v>
      </c>
      <c r="H50" s="17"/>
      <c r="I50" s="24"/>
      <c r="J50" s="25"/>
    </row>
    <row r="51" spans="3:10" ht="12.75">
      <c r="C51" s="17"/>
      <c r="D51" s="17"/>
      <c r="E51" s="89">
        <v>40331</v>
      </c>
      <c r="G51" s="22">
        <v>-570359.89</v>
      </c>
      <c r="H51" s="17"/>
      <c r="I51" s="24"/>
      <c r="J51" s="25"/>
    </row>
    <row r="52" spans="3:10" ht="12.75">
      <c r="C52" s="17"/>
      <c r="D52" s="17"/>
      <c r="E52" s="89">
        <v>40352</v>
      </c>
      <c r="G52" s="22">
        <v>-417479.92</v>
      </c>
      <c r="H52" s="17"/>
      <c r="I52" s="24"/>
      <c r="J52" s="25"/>
    </row>
    <row r="53" spans="3:10" ht="12.75">
      <c r="C53" s="17"/>
      <c r="D53" s="17"/>
      <c r="E53" s="89">
        <v>40373</v>
      </c>
      <c r="G53" s="22">
        <v>-586823.89</v>
      </c>
      <c r="H53" s="17"/>
      <c r="I53" s="24"/>
      <c r="J53" s="25"/>
    </row>
    <row r="54" spans="3:10" ht="12.75">
      <c r="C54" s="17"/>
      <c r="D54" s="17"/>
      <c r="E54" s="89">
        <v>40380</v>
      </c>
      <c r="G54" s="22">
        <v>-469223.91</v>
      </c>
      <c r="H54" s="17"/>
      <c r="I54" s="24"/>
      <c r="J54" s="25"/>
    </row>
    <row r="55" spans="3:10" ht="12.75">
      <c r="C55" s="17"/>
      <c r="D55" s="17"/>
      <c r="E55" s="89">
        <v>40407</v>
      </c>
      <c r="G55" s="22">
        <v>-378671.93</v>
      </c>
      <c r="H55" s="17"/>
      <c r="I55" s="24"/>
      <c r="J55" s="25"/>
    </row>
    <row r="56" spans="3:10" ht="12.75">
      <c r="C56" s="17"/>
      <c r="D56" s="17"/>
      <c r="E56" s="89">
        <v>40429</v>
      </c>
      <c r="G56" s="22">
        <v>-498623.90</v>
      </c>
      <c r="H56" s="17"/>
      <c r="I56" s="24"/>
      <c r="J56" s="25"/>
    </row>
    <row r="57" spans="3:10" ht="12.75">
      <c r="C57" s="17"/>
      <c r="D57" s="17"/>
      <c r="E57" s="89">
        <v>40463</v>
      </c>
      <c r="G57" s="22">
        <v>-299879.94</v>
      </c>
      <c r="H57" s="17"/>
      <c r="I57" s="24"/>
      <c r="J57" s="25"/>
    </row>
    <row r="58" spans="3:10" ht="12.75">
      <c r="C58" s="17"/>
      <c r="D58" s="17"/>
      <c r="E58" s="89">
        <v>40470</v>
      </c>
      <c r="G58" s="22">
        <v>-411599.92</v>
      </c>
      <c r="H58" s="17"/>
      <c r="I58" s="24"/>
      <c r="J58" s="25"/>
    </row>
    <row r="59" spans="3:10" ht="12.75">
      <c r="C59" s="17"/>
      <c r="D59" s="17"/>
      <c r="E59" s="89">
        <v>40484</v>
      </c>
      <c r="G59" s="22">
        <v>-1853375.65</v>
      </c>
      <c r="H59" s="17"/>
      <c r="I59" s="24"/>
      <c r="J59" s="25"/>
    </row>
    <row r="60" spans="3:10" ht="12.75">
      <c r="C60" s="17" t="s">
        <v>41</v>
      </c>
      <c r="D60" s="17"/>
      <c r="E60" s="89">
        <v>40316</v>
      </c>
      <c r="G60" s="22">
        <v>990501.01</v>
      </c>
      <c r="H60" s="17"/>
      <c r="I60" s="24"/>
      <c r="J60" s="25"/>
    </row>
    <row r="61" spans="3:10" ht="12.75">
      <c r="C61" s="17"/>
      <c r="D61" s="17"/>
      <c r="E61" s="89">
        <v>40359</v>
      </c>
      <c r="G61" s="22">
        <v>1426895.15</v>
      </c>
      <c r="H61" s="17"/>
      <c r="I61" s="24"/>
      <c r="J61" s="25"/>
    </row>
    <row r="62" spans="3:10" ht="12.75">
      <c r="C62" s="17"/>
      <c r="D62" s="17"/>
      <c r="E62" s="89">
        <v>40457</v>
      </c>
      <c r="G62" s="22">
        <v>1537011.79</v>
      </c>
      <c r="H62" s="17"/>
      <c r="I62" s="24"/>
      <c r="J62" s="25"/>
    </row>
    <row r="63" spans="3:10" ht="12.75">
      <c r="C63" s="17"/>
      <c r="D63" s="17"/>
      <c r="E63" s="89">
        <v>40471</v>
      </c>
      <c r="G63" s="22">
        <v>433036.85</v>
      </c>
      <c r="H63" s="17"/>
      <c r="I63" s="24"/>
      <c r="J63" s="25"/>
    </row>
    <row r="64" spans="3:10" ht="12.75">
      <c r="C64" s="17"/>
      <c r="D64" s="17"/>
      <c r="E64" s="89">
        <v>40527</v>
      </c>
      <c r="G64" s="22">
        <v>895133.40</v>
      </c>
      <c r="H64" s="17"/>
      <c r="I64" s="24"/>
      <c r="J64" s="25"/>
    </row>
    <row r="65" spans="3:10" ht="12.75">
      <c r="C65" s="17" t="s">
        <v>10</v>
      </c>
      <c r="D65" s="17"/>
      <c r="E65" s="89">
        <v>40584</v>
      </c>
      <c r="G65" s="22">
        <v>-371615.93</v>
      </c>
      <c r="H65" s="17"/>
      <c r="I65" s="24"/>
      <c r="J65" s="25"/>
    </row>
    <row r="66" spans="3:10" ht="12.75">
      <c r="C66" s="17"/>
      <c r="D66" s="17"/>
      <c r="E66" s="89">
        <v>40605</v>
      </c>
      <c r="G66" s="22">
        <v>-375143.93</v>
      </c>
      <c r="H66" s="17"/>
      <c r="I66" s="24"/>
      <c r="J66" s="25"/>
    </row>
    <row r="67" spans="3:10" ht="12.75">
      <c r="C67" s="17"/>
      <c r="D67" s="17"/>
      <c r="E67" s="89">
        <v>40633</v>
      </c>
      <c r="G67" s="22">
        <v>-438647.92</v>
      </c>
      <c r="H67" s="17"/>
      <c r="I67" s="24"/>
      <c r="J67" s="25"/>
    </row>
    <row r="68" spans="3:10" ht="12.75">
      <c r="C68" s="17"/>
      <c r="D68" s="17"/>
      <c r="E68" s="89">
        <v>40658</v>
      </c>
      <c r="G68" s="22">
        <v>-546839.90</v>
      </c>
      <c r="H68" s="17"/>
      <c r="I68" s="24"/>
      <c r="J68" s="25"/>
    </row>
    <row r="69" spans="3:10" ht="12.75">
      <c r="C69" s="17"/>
      <c r="D69" s="17"/>
      <c r="E69" s="89">
        <v>40687</v>
      </c>
      <c r="G69" s="22">
        <v>-376319.93</v>
      </c>
      <c r="H69" s="17"/>
      <c r="I69" s="24"/>
      <c r="J69" s="25"/>
    </row>
    <row r="70" spans="3:10" ht="12.75">
      <c r="C70" s="17"/>
      <c r="D70" s="17"/>
      <c r="E70" s="89">
        <v>40717</v>
      </c>
      <c r="G70" s="22">
        <v>-906695.83</v>
      </c>
      <c r="H70" s="17"/>
      <c r="I70" s="24"/>
      <c r="J70" s="25"/>
    </row>
    <row r="71" spans="3:10" ht="12.75">
      <c r="C71" s="17"/>
      <c r="D71" s="17"/>
      <c r="E71" s="89">
        <v>40742</v>
      </c>
      <c r="G71" s="22">
        <v>-502151.90</v>
      </c>
      <c r="H71" s="17"/>
      <c r="I71" s="24"/>
      <c r="J71" s="25"/>
    </row>
    <row r="72" spans="3:10" ht="12.75">
      <c r="C72" s="17"/>
      <c r="D72" s="17"/>
      <c r="E72" s="89">
        <v>40777</v>
      </c>
      <c r="G72" s="22">
        <v>-405719.92</v>
      </c>
      <c r="H72" s="17"/>
      <c r="I72" s="24"/>
      <c r="J72" s="25"/>
    </row>
    <row r="73" spans="3:10" ht="12.75">
      <c r="C73" s="17"/>
      <c r="D73" s="17"/>
      <c r="E73" s="89">
        <v>40814</v>
      </c>
      <c r="G73" s="22">
        <v>-386903.93</v>
      </c>
      <c r="H73" s="17"/>
      <c r="I73" s="24"/>
      <c r="J73" s="25"/>
    </row>
    <row r="74" spans="3:10" ht="12.75">
      <c r="C74" s="17"/>
      <c r="D74" s="17"/>
      <c r="E74" s="89">
        <v>40837</v>
      </c>
      <c r="G74" s="22">
        <v>-495095.91</v>
      </c>
      <c r="H74" s="17"/>
      <c r="I74" s="24"/>
      <c r="J74" s="25"/>
    </row>
    <row r="75" spans="3:10" ht="12.75">
      <c r="C75" s="17"/>
      <c r="D75" s="17"/>
      <c r="E75" s="89">
        <v>40878</v>
      </c>
      <c r="G75" s="22">
        <v>-528023.90</v>
      </c>
      <c r="H75" s="17"/>
      <c r="I75" s="24"/>
      <c r="J75" s="25"/>
    </row>
    <row r="76" spans="3:10" ht="12.75">
      <c r="C76" s="17" t="s">
        <v>42</v>
      </c>
      <c r="D76" s="17"/>
      <c r="E76" s="89">
        <v>40549</v>
      </c>
      <c r="G76" s="22">
        <v>973498.65</v>
      </c>
      <c r="H76" s="17"/>
      <c r="I76" s="24"/>
      <c r="J76" s="25"/>
    </row>
    <row r="77" spans="3:10" ht="12.75">
      <c r="C77" s="17"/>
      <c r="D77" s="17"/>
      <c r="E77" s="89">
        <v>40627</v>
      </c>
      <c r="G77" s="22">
        <v>477439.81</v>
      </c>
      <c r="H77" s="17"/>
      <c r="I77" s="24"/>
      <c r="J77" s="25"/>
    </row>
    <row r="78" spans="3:10" ht="12.75">
      <c r="C78" s="17"/>
      <c r="D78" s="17"/>
      <c r="E78" s="89">
        <v>40695</v>
      </c>
      <c r="G78" s="22">
        <v>1003046.50</v>
      </c>
      <c r="H78" s="17"/>
      <c r="I78" s="24"/>
      <c r="J78" s="25"/>
    </row>
    <row r="79" spans="3:10" ht="12.75">
      <c r="C79" s="17"/>
      <c r="D79" s="17"/>
      <c r="E79" s="89">
        <v>40758</v>
      </c>
      <c r="G79" s="22">
        <v>241149.87</v>
      </c>
      <c r="H79" s="17"/>
      <c r="I79" s="24"/>
      <c r="J79" s="25"/>
    </row>
    <row r="80" spans="3:10" ht="12.75">
      <c r="C80" s="17"/>
      <c r="D80" s="17"/>
      <c r="E80" s="89">
        <v>40788</v>
      </c>
      <c r="G80" s="22">
        <v>1716979.12</v>
      </c>
      <c r="H80" s="17"/>
      <c r="I80" s="24"/>
      <c r="J80" s="25"/>
    </row>
    <row r="81" spans="3:10" ht="12.75">
      <c r="C81" s="17"/>
      <c r="D81" s="17"/>
      <c r="E81" s="89">
        <v>40821</v>
      </c>
      <c r="G81" s="22">
        <v>275482.16</v>
      </c>
      <c r="H81" s="17"/>
      <c r="I81" s="24"/>
      <c r="J81" s="25"/>
    </row>
    <row r="82" spans="3:10" ht="12.75">
      <c r="C82" s="17"/>
      <c r="D82" s="17"/>
      <c r="E82" s="89">
        <v>40856</v>
      </c>
      <c r="G82" s="22">
        <v>632383</v>
      </c>
      <c r="H82" s="17"/>
      <c r="I82" s="24"/>
      <c r="J82" s="25"/>
    </row>
    <row r="83" spans="3:10" ht="12.75">
      <c r="C83" s="17"/>
      <c r="D83" s="17"/>
      <c r="E83" s="89">
        <v>40869</v>
      </c>
      <c r="G83" s="22">
        <v>1629125.23</v>
      </c>
      <c r="H83" s="17"/>
      <c r="I83" s="24"/>
      <c r="J83" s="25"/>
    </row>
    <row r="84" spans="3:10" ht="12.75">
      <c r="C84" s="17"/>
      <c r="D84" s="17"/>
      <c r="E84" s="89">
        <v>40883</v>
      </c>
      <c r="G84" s="22">
        <v>705786.53</v>
      </c>
      <c r="H84" s="17"/>
      <c r="I84" s="24"/>
      <c r="J84" s="25"/>
    </row>
    <row r="85" spans="3:10" ht="12.75">
      <c r="C85" s="17" t="s">
        <v>12</v>
      </c>
      <c r="D85" s="17"/>
      <c r="E85" s="89">
        <v>40948</v>
      </c>
      <c r="G85" s="22">
        <v>-399839.92</v>
      </c>
      <c r="H85" s="17"/>
      <c r="I85" s="24"/>
      <c r="J85" s="25"/>
    </row>
    <row r="86" spans="3:10" ht="12.75">
      <c r="C86" s="34"/>
      <c r="D86" s="17"/>
      <c r="E86" s="89">
        <v>40977</v>
      </c>
      <c r="G86" s="22">
        <v>-409247.92</v>
      </c>
      <c r="H86" s="17"/>
      <c r="I86" s="24"/>
      <c r="J86" s="25"/>
    </row>
    <row r="87" spans="3:10" ht="12.75">
      <c r="C87" s="34"/>
      <c r="D87" s="17"/>
      <c r="E87" s="89">
        <v>40997</v>
      </c>
      <c r="G87" s="22">
        <v>-396311.92</v>
      </c>
      <c r="H87" s="17"/>
      <c r="I87" s="24"/>
      <c r="J87" s="25"/>
    </row>
    <row r="88" spans="3:10" ht="12.75">
      <c r="C88" s="34"/>
      <c r="D88" s="17"/>
      <c r="E88" s="89">
        <v>41033</v>
      </c>
      <c r="G88" s="22">
        <v>-523319.90</v>
      </c>
      <c r="H88" s="17"/>
      <c r="I88" s="24"/>
      <c r="J88" s="25"/>
    </row>
    <row r="89" spans="3:10" ht="12.75">
      <c r="C89" s="34"/>
      <c r="D89" s="17"/>
      <c r="E89" s="89">
        <v>41058</v>
      </c>
      <c r="G89" s="22">
        <v>-478631.91</v>
      </c>
      <c r="H89" s="17"/>
      <c r="I89" s="24"/>
      <c r="J89" s="25"/>
    </row>
    <row r="90" spans="3:10" ht="12.75">
      <c r="C90" s="34"/>
      <c r="D90" s="17"/>
      <c r="E90" s="89">
        <v>41086</v>
      </c>
      <c r="G90" s="22">
        <v>-429239.92</v>
      </c>
      <c r="H90" s="17"/>
      <c r="I90" s="24"/>
      <c r="J90" s="25"/>
    </row>
    <row r="91" spans="3:10" ht="12.75">
      <c r="C91" s="34"/>
      <c r="D91" s="17"/>
      <c r="E91" s="89">
        <v>41151</v>
      </c>
      <c r="G91" s="22">
        <v>-520967.90</v>
      </c>
      <c r="H91" s="17"/>
      <c r="I91" s="24"/>
      <c r="J91" s="25"/>
    </row>
    <row r="92" spans="3:10" ht="12.75">
      <c r="C92" s="17"/>
      <c r="D92" s="17"/>
      <c r="E92" s="89">
        <v>41183</v>
      </c>
      <c r="G92" s="22">
        <v>-460991.91</v>
      </c>
      <c r="H92" s="17"/>
      <c r="I92" s="24"/>
      <c r="J92" s="25"/>
    </row>
    <row r="93" spans="3:10" ht="12.75">
      <c r="C93" s="17"/>
      <c r="D93" s="17"/>
      <c r="E93" s="89">
        <v>41242</v>
      </c>
      <c r="G93" s="22">
        <v>-385728.01</v>
      </c>
      <c r="H93" s="17"/>
      <c r="I93" s="24"/>
      <c r="J93" s="25"/>
    </row>
    <row r="94" spans="3:10" ht="12.75">
      <c r="C94" s="17"/>
      <c r="D94" s="17"/>
      <c r="E94" s="89">
        <v>41254</v>
      </c>
      <c r="G94" s="22">
        <v>-328104</v>
      </c>
      <c r="H94" s="17"/>
      <c r="I94" s="24"/>
      <c r="J94" s="25"/>
    </row>
    <row r="95" spans="3:10" ht="12.75">
      <c r="C95" s="17" t="s">
        <v>43</v>
      </c>
      <c r="D95" s="17"/>
      <c r="E95" s="89">
        <v>40949</v>
      </c>
      <c r="G95" s="22">
        <v>954170.74</v>
      </c>
      <c r="H95" s="17"/>
      <c r="I95" s="24"/>
      <c r="J95" s="25"/>
    </row>
    <row r="96" spans="3:10" ht="12.75">
      <c r="C96" s="34"/>
      <c r="D96" s="17"/>
      <c r="E96" s="89">
        <v>41032</v>
      </c>
      <c r="G96" s="22">
        <v>2530917.90</v>
      </c>
      <c r="H96" s="17"/>
      <c r="I96" s="24"/>
      <c r="J96" s="25"/>
    </row>
    <row r="97" spans="3:10" ht="12.75">
      <c r="C97" s="34"/>
      <c r="D97" s="17"/>
      <c r="E97" s="89">
        <v>41107</v>
      </c>
      <c r="G97" s="22">
        <v>413998.44</v>
      </c>
      <c r="H97" s="17"/>
      <c r="I97" s="24"/>
      <c r="J97" s="25"/>
    </row>
    <row r="98" spans="3:10" ht="12.75">
      <c r="C98" s="34"/>
      <c r="D98" s="17"/>
      <c r="E98" s="89">
        <v>41128</v>
      </c>
      <c r="G98" s="22">
        <v>4041994.95</v>
      </c>
      <c r="H98" s="17"/>
      <c r="I98" s="24"/>
      <c r="J98" s="25"/>
    </row>
    <row r="99" spans="3:10" ht="12.75">
      <c r="C99" s="34"/>
      <c r="D99" s="17"/>
      <c r="E99" s="89">
        <v>41138</v>
      </c>
      <c r="G99" s="22">
        <v>106337.10</v>
      </c>
      <c r="H99" s="17"/>
      <c r="I99" s="24"/>
      <c r="J99" s="25"/>
    </row>
    <row r="100" spans="3:10" ht="12.75">
      <c r="C100" s="34"/>
      <c r="D100" s="17"/>
      <c r="E100" s="89">
        <v>41157</v>
      </c>
      <c r="G100" s="22">
        <v>595311.09</v>
      </c>
      <c r="H100" s="17"/>
      <c r="I100" s="24"/>
      <c r="J100" s="25"/>
    </row>
    <row r="101" spans="3:10" ht="12.75">
      <c r="C101" s="34"/>
      <c r="D101" s="17"/>
      <c r="E101" s="89">
        <v>41187</v>
      </c>
      <c r="G101" s="22">
        <v>148341.18</v>
      </c>
      <c r="H101" s="17"/>
      <c r="I101" s="24"/>
      <c r="J101" s="25"/>
    </row>
    <row r="102" spans="3:10" ht="12.75">
      <c r="C102" s="34"/>
      <c r="D102" s="17"/>
      <c r="E102" s="89">
        <v>41260</v>
      </c>
      <c r="G102" s="22">
        <v>563763.14</v>
      </c>
      <c r="H102" s="17"/>
      <c r="I102" s="24"/>
      <c r="J102" s="25"/>
    </row>
    <row r="103" spans="3:10" ht="12.75">
      <c r="C103" s="34"/>
      <c r="D103" s="17"/>
      <c r="E103" s="89">
        <v>41270</v>
      </c>
      <c r="G103" s="22">
        <v>5512158.37</v>
      </c>
      <c r="H103" s="17"/>
      <c r="I103" s="24"/>
      <c r="J103" s="25"/>
    </row>
    <row r="104" spans="3:10" ht="12.75">
      <c r="C104" s="34" t="s">
        <v>18</v>
      </c>
      <c r="D104" s="17"/>
      <c r="E104" s="89">
        <v>41359</v>
      </c>
      <c r="G104" s="22">
        <v>-244607.99</v>
      </c>
      <c r="H104" s="17"/>
      <c r="I104" s="24"/>
      <c r="J104" s="25"/>
    </row>
    <row r="105" spans="3:10" ht="12.75">
      <c r="C105" s="34"/>
      <c r="D105" s="17"/>
      <c r="E105" s="89">
        <v>41470</v>
      </c>
      <c r="G105" s="22">
        <v>-301056</v>
      </c>
      <c r="H105" s="17"/>
      <c r="I105" s="24"/>
      <c r="J105" s="25"/>
    </row>
    <row r="106" spans="3:10" ht="12.75">
      <c r="C106" s="34"/>
      <c r="D106" s="17"/>
      <c r="E106" s="89">
        <v>41514</v>
      </c>
      <c r="G106" s="22">
        <v>-343392</v>
      </c>
      <c r="H106" s="17"/>
      <c r="I106" s="24"/>
      <c r="J106" s="25"/>
    </row>
    <row r="107" spans="3:10" ht="12.75">
      <c r="C107" s="34"/>
      <c r="D107" s="17"/>
      <c r="E107" s="89">
        <v>41535</v>
      </c>
      <c r="G107" s="22">
        <v>-206976</v>
      </c>
      <c r="H107" s="17"/>
      <c r="I107" s="24"/>
      <c r="J107" s="25"/>
    </row>
    <row r="108" spans="3:10" ht="12.75">
      <c r="C108" s="34"/>
      <c r="D108" s="17"/>
      <c r="E108" s="89">
        <v>41631</v>
      </c>
      <c r="G108" s="22">
        <v>-204624.01</v>
      </c>
      <c r="H108" s="17"/>
      <c r="I108" s="24"/>
      <c r="J108" s="25"/>
    </row>
    <row r="109" spans="3:10" ht="12.75">
      <c r="C109" s="34" t="s">
        <v>14</v>
      </c>
      <c r="D109" s="17"/>
      <c r="E109" s="89">
        <v>41316</v>
      </c>
      <c r="G109" s="22">
        <v>330055.46</v>
      </c>
      <c r="H109" s="17"/>
      <c r="I109" s="24"/>
      <c r="J109" s="25"/>
    </row>
    <row r="110" spans="3:10" ht="12.75">
      <c r="C110" s="34"/>
      <c r="D110" s="17"/>
      <c r="E110" s="89">
        <v>41407</v>
      </c>
      <c r="G110" s="22">
        <v>693636.05</v>
      </c>
      <c r="H110" s="17"/>
      <c r="I110" s="24"/>
      <c r="J110" s="25"/>
    </row>
    <row r="111" spans="3:10" ht="12.75">
      <c r="C111" s="34"/>
      <c r="D111" s="17"/>
      <c r="E111" s="89">
        <v>41431</v>
      </c>
      <c r="G111" s="22">
        <v>359110.42</v>
      </c>
      <c r="H111" s="17"/>
      <c r="I111" s="24"/>
      <c r="J111" s="25"/>
    </row>
    <row r="112" spans="3:10" ht="12.75">
      <c r="C112" s="34"/>
      <c r="D112" s="17"/>
      <c r="E112" s="89">
        <v>41450</v>
      </c>
      <c r="G112" s="22">
        <v>74711.37</v>
      </c>
      <c r="H112" s="17"/>
      <c r="I112" s="24"/>
      <c r="J112" s="25"/>
    </row>
    <row r="113" spans="3:8" ht="12.75">
      <c r="C113" s="34"/>
      <c r="D113" s="17"/>
      <c r="E113" s="89">
        <v>41493</v>
      </c>
      <c r="G113" s="22">
        <v>148942.15</v>
      </c>
      <c r="H113" s="17"/>
    </row>
    <row r="114" spans="3:8" ht="12.75">
      <c r="C114" s="34"/>
      <c r="D114" s="17"/>
      <c r="E114" s="89">
        <v>41512</v>
      </c>
      <c r="G114" s="22">
        <v>135912.41</v>
      </c>
      <c r="H114" s="17"/>
    </row>
    <row r="115" spans="3:8" ht="12.75">
      <c r="C115" s="34"/>
      <c r="D115" s="17"/>
      <c r="E115" s="89">
        <v>41558</v>
      </c>
      <c r="G115" s="22">
        <v>172797.92</v>
      </c>
      <c r="H115" s="17"/>
    </row>
    <row r="116" spans="3:8" ht="12.75">
      <c r="C116" s="34"/>
      <c r="D116" s="17"/>
      <c r="E116" s="89">
        <v>41617</v>
      </c>
      <c r="G116" s="22">
        <v>557445.49</v>
      </c>
      <c r="H116" s="17"/>
    </row>
    <row r="117" spans="3:8" ht="12.75">
      <c r="C117" s="34"/>
      <c r="D117" s="17"/>
      <c r="E117" s="89">
        <v>41628</v>
      </c>
      <c r="G117" s="22">
        <v>278536.01</v>
      </c>
      <c r="H117" s="17"/>
    </row>
    <row r="118" spans="3:10" ht="12.75">
      <c r="C118" s="34" t="s">
        <v>23</v>
      </c>
      <c r="D118" s="17"/>
      <c r="E118" s="89">
        <v>41729</v>
      </c>
      <c r="G118" s="45">
        <v>-206976.01</v>
      </c>
      <c r="H118" s="17"/>
      <c r="I118" s="25"/>
      <c r="J118" s="17"/>
    </row>
    <row r="119" spans="3:10" ht="12.75">
      <c r="C119" s="34"/>
      <c r="D119" s="17"/>
      <c r="E119" s="89">
        <v>41834</v>
      </c>
      <c r="G119" s="45">
        <v>-275184</v>
      </c>
      <c r="H119" s="17"/>
      <c r="I119" s="25"/>
      <c r="J119" s="17"/>
    </row>
    <row r="120" spans="3:10" ht="12.75">
      <c r="C120" s="34"/>
      <c r="D120" s="17"/>
      <c r="E120" s="89">
        <v>41911</v>
      </c>
      <c r="G120" s="45">
        <v>-124656</v>
      </c>
      <c r="H120" s="17"/>
      <c r="I120" s="25"/>
      <c r="J120" s="17"/>
    </row>
    <row r="121" spans="3:9" ht="12.75">
      <c r="C121" s="34"/>
      <c r="D121" s="17"/>
      <c r="E121" s="89">
        <v>41969</v>
      </c>
      <c r="G121" s="45">
        <v>-770280</v>
      </c>
      <c r="H121" s="17"/>
      <c r="I121"/>
    </row>
    <row r="122" spans="3:9" ht="12.75">
      <c r="C122" s="34"/>
      <c r="D122" s="17"/>
      <c r="E122" s="89">
        <v>41984</v>
      </c>
      <c r="G122" s="45">
        <v>-243432</v>
      </c>
      <c r="H122" s="17"/>
      <c r="I122"/>
    </row>
    <row r="123" spans="3:9" ht="12.75">
      <c r="C123" s="34" t="s">
        <v>22</v>
      </c>
      <c r="D123" s="17"/>
      <c r="E123" s="89">
        <v>41801</v>
      </c>
      <c r="G123" s="45">
        <v>2038539.06</v>
      </c>
      <c r="H123" s="17"/>
      <c r="I123"/>
    </row>
    <row r="124" spans="3:9" ht="12.75">
      <c r="C124" s="34"/>
      <c r="D124" s="17"/>
      <c r="E124" s="89">
        <v>41830</v>
      </c>
      <c r="G124" s="45">
        <v>389898.62</v>
      </c>
      <c r="H124" s="17"/>
      <c r="I124"/>
    </row>
    <row r="125" spans="3:9" ht="12.75">
      <c r="C125" s="34"/>
      <c r="D125" s="17"/>
      <c r="E125" s="89">
        <v>41856</v>
      </c>
      <c r="G125" s="45">
        <v>1901869.07</v>
      </c>
      <c r="H125" s="17"/>
      <c r="I125"/>
    </row>
    <row r="126" spans="3:9" ht="12.75">
      <c r="C126" s="34"/>
      <c r="D126" s="17"/>
      <c r="E126" s="89">
        <v>41892</v>
      </c>
      <c r="G126" s="45">
        <v>608376.11</v>
      </c>
      <c r="H126" s="17"/>
      <c r="I126"/>
    </row>
    <row r="127" spans="3:9" ht="12.75">
      <c r="C127" s="34" t="s">
        <v>44</v>
      </c>
      <c r="D127" s="17"/>
      <c r="E127" s="89">
        <v>42089</v>
      </c>
      <c r="G127" s="45">
        <v>-91728</v>
      </c>
      <c r="H127" s="17"/>
      <c r="I127"/>
    </row>
    <row r="128" spans="3:9" ht="12.75">
      <c r="C128" s="34"/>
      <c r="D128" s="17"/>
      <c r="E128" s="89">
        <v>42179</v>
      </c>
      <c r="G128" s="45">
        <v>-178752</v>
      </c>
      <c r="H128" s="17"/>
      <c r="I128"/>
    </row>
    <row r="129" spans="3:10" ht="12.75">
      <c r="C129" s="34"/>
      <c r="D129" s="17"/>
      <c r="E129" s="89">
        <v>42215</v>
      </c>
      <c r="G129" s="45">
        <v>-171696</v>
      </c>
      <c r="H129" s="17"/>
      <c r="I129" s="25"/>
      <c r="J129" s="17"/>
    </row>
    <row r="130" spans="3:10" ht="12.75">
      <c r="C130" s="34"/>
      <c r="D130" s="17"/>
      <c r="E130" s="89">
        <v>42361</v>
      </c>
      <c r="G130" s="45">
        <v>-170520.03</v>
      </c>
      <c r="H130" s="17"/>
      <c r="I130" s="25"/>
      <c r="J130" s="17"/>
    </row>
    <row r="131" spans="3:10" ht="12.75">
      <c r="C131" s="34" t="s">
        <v>24</v>
      </c>
      <c r="D131" s="17"/>
      <c r="E131" s="89">
        <v>42073</v>
      </c>
      <c r="G131" s="45">
        <v>303165.25</v>
      </c>
      <c r="H131" s="17"/>
      <c r="I131" s="25"/>
      <c r="J131" s="17"/>
    </row>
    <row r="132" spans="3:12" ht="15.75">
      <c r="C132" s="34"/>
      <c r="D132" s="17"/>
      <c r="E132" s="89">
        <v>42146</v>
      </c>
      <c r="G132" s="45">
        <v>405197.97</v>
      </c>
      <c r="H132" s="17"/>
      <c r="I132" s="44"/>
      <c r="J132" s="41"/>
      <c r="K132" s="42"/>
      <c r="L132" s="177"/>
    </row>
    <row r="133" spans="3:12" ht="12.75">
      <c r="C133" s="34"/>
      <c r="D133" s="17"/>
      <c r="E133" s="89">
        <v>42261</v>
      </c>
      <c r="G133" s="45">
        <v>509077.20</v>
      </c>
      <c r="H133" s="17"/>
      <c r="I133" s="44"/>
      <c r="J133" s="41"/>
      <c r="K133" s="42"/>
      <c r="L133" s="124"/>
    </row>
    <row r="134" spans="3:12" ht="12.75">
      <c r="C134" s="34"/>
      <c r="D134" s="17"/>
      <c r="E134" s="89">
        <v>42347</v>
      </c>
      <c r="G134" s="45">
        <v>253030.43</v>
      </c>
      <c r="H134" s="17"/>
      <c r="I134" s="44"/>
      <c r="J134" s="41"/>
      <c r="K134" s="42"/>
      <c r="L134" s="124"/>
    </row>
    <row r="135" spans="3:12" ht="12.75">
      <c r="C135" s="34" t="s">
        <v>45</v>
      </c>
      <c r="D135" s="17"/>
      <c r="E135" s="89">
        <v>42542</v>
      </c>
      <c r="G135" s="45">
        <v>-189336</v>
      </c>
      <c r="H135" s="17"/>
      <c r="I135" s="44"/>
      <c r="J135" s="41"/>
      <c r="K135" s="42"/>
      <c r="L135" s="124"/>
    </row>
    <row r="136" spans="3:12" ht="12.75">
      <c r="C136" s="34"/>
      <c r="D136" s="17"/>
      <c r="E136" s="89">
        <v>42635</v>
      </c>
      <c r="G136" s="45">
        <v>-157584.01</v>
      </c>
      <c r="H136" s="17"/>
      <c r="I136" s="44"/>
      <c r="J136" s="41"/>
      <c r="K136" s="42"/>
      <c r="L136" s="124"/>
    </row>
    <row r="137" spans="3:12" ht="12.75">
      <c r="C137" s="34" t="s">
        <v>25</v>
      </c>
      <c r="D137" s="17"/>
      <c r="E137" s="89">
        <v>42452</v>
      </c>
      <c r="G137" s="45">
        <v>196425.98</v>
      </c>
      <c r="H137" s="17"/>
      <c r="I137" s="44"/>
      <c r="J137" s="41"/>
      <c r="K137" s="42"/>
      <c r="L137" s="42"/>
    </row>
    <row r="138" spans="3:12" ht="12.75">
      <c r="C138" s="34"/>
      <c r="D138" s="17"/>
      <c r="E138" s="89">
        <v>42626</v>
      </c>
      <c r="G138" s="45">
        <v>82846.87</v>
      </c>
      <c r="H138" s="17"/>
      <c r="I138" s="44"/>
      <c r="J138" s="41"/>
      <c r="K138" s="42"/>
      <c r="L138" s="42"/>
    </row>
    <row r="139" spans="3:12" ht="12.75">
      <c r="C139" s="34" t="s">
        <v>30</v>
      </c>
      <c r="D139" s="17"/>
      <c r="E139" s="89">
        <v>42935</v>
      </c>
      <c r="G139" s="45">
        <v>-240000</v>
      </c>
      <c r="H139" s="17"/>
      <c r="I139" s="44"/>
      <c r="J139" s="41"/>
      <c r="K139" s="42"/>
      <c r="L139" s="42"/>
    </row>
    <row r="140" spans="3:10" ht="12.75">
      <c r="C140" s="34" t="s">
        <v>46</v>
      </c>
      <c r="D140" s="17"/>
      <c r="E140" s="89">
        <v>42802</v>
      </c>
      <c r="G140" s="45">
        <v>470458.34</v>
      </c>
      <c r="H140" s="17"/>
      <c r="I140" s="25"/>
      <c r="J140" s="17"/>
    </row>
    <row r="141" spans="3:10" ht="12.75">
      <c r="C141" s="34"/>
      <c r="D141" s="17"/>
      <c r="E141" s="89">
        <v>42915</v>
      </c>
      <c r="G141" s="45">
        <v>197445.24</v>
      </c>
      <c r="H141" s="17"/>
      <c r="I141" s="25"/>
      <c r="J141" s="17"/>
    </row>
    <row r="142" spans="3:10" ht="12.75">
      <c r="C142" s="34" t="s">
        <v>26</v>
      </c>
      <c r="D142" s="17"/>
      <c r="E142" s="89">
        <v>43265</v>
      </c>
      <c r="G142" s="45">
        <v>498508.28</v>
      </c>
      <c r="H142" s="17"/>
      <c r="I142" s="25"/>
      <c r="J142" s="17"/>
    </row>
    <row r="143" spans="3:10" ht="12.75">
      <c r="C143" s="34" t="s">
        <v>27</v>
      </c>
      <c r="D143" s="17"/>
      <c r="E143" s="89">
        <v>43511</v>
      </c>
      <c r="G143" s="45">
        <v>428285.02</v>
      </c>
      <c r="H143" s="17"/>
      <c r="I143" s="25"/>
      <c r="J143" s="17"/>
    </row>
    <row r="144" spans="3:10" ht="12.75">
      <c r="C144" s="34"/>
      <c r="D144" s="17"/>
      <c r="E144" s="89">
        <v>43818</v>
      </c>
      <c r="G144" s="45">
        <v>865980.45</v>
      </c>
      <c r="H144" s="17"/>
      <c r="I144" s="25"/>
      <c r="J144" s="17"/>
    </row>
    <row r="145" spans="3:10" ht="12.75">
      <c r="C145" s="34" t="s">
        <v>47</v>
      </c>
      <c r="D145" s="17"/>
      <c r="E145" s="89">
        <v>44145</v>
      </c>
      <c r="G145" s="45">
        <v>762283.23</v>
      </c>
      <c r="H145" s="17"/>
      <c r="I145" s="25"/>
      <c r="J145" s="17"/>
    </row>
    <row r="146" spans="3:10" ht="12.75">
      <c r="C146" s="34" t="s">
        <v>28</v>
      </c>
      <c r="D146" s="17"/>
      <c r="E146" s="89">
        <v>44435</v>
      </c>
      <c r="G146" s="45">
        <v>690716.23</v>
      </c>
      <c r="H146" s="17"/>
      <c r="I146" s="25"/>
      <c r="J146" s="17"/>
    </row>
    <row r="147" spans="3:10" ht="12.75">
      <c r="C147" s="34" t="s">
        <v>29</v>
      </c>
      <c r="D147" s="17"/>
      <c r="E147" s="89">
        <v>44680</v>
      </c>
      <c r="G147" s="45">
        <v>968791.50</v>
      </c>
      <c r="H147" s="17"/>
      <c r="I147" s="25"/>
      <c r="J147" s="17"/>
    </row>
    <row r="148" spans="3:9" ht="4.5" customHeight="1">
      <c r="C148" s="17"/>
      <c r="D148" s="17"/>
      <c r="E148" s="89"/>
      <c r="G148" s="45"/>
      <c r="H148" s="17"/>
      <c r="I148" s="25"/>
    </row>
    <row r="149" spans="3:12" ht="12.75">
      <c r="C149" s="17" t="s">
        <v>5</v>
      </c>
      <c r="D149" s="17"/>
      <c r="E149" s="89">
        <f>+E8</f>
        <v>44834</v>
      </c>
      <c r="F149" s="17"/>
      <c r="G149" s="45">
        <f>L149*C22</f>
        <v>125502.7019844</v>
      </c>
      <c r="H149" s="17"/>
      <c r="I149" s="45">
        <f>+SUMIF($G$23:$G$148,"&lt;0",$G$23:$G$148)</f>
        <v>-3.274848085000001E7</v>
      </c>
      <c r="J149" s="34" t="s">
        <v>20</v>
      </c>
      <c r="L149" s="124">
        <v>2051760</v>
      </c>
    </row>
    <row r="150" spans="7:10" ht="12.75">
      <c r="G150" s="25"/>
      <c r="H150" s="17"/>
      <c r="I150" s="45">
        <f>+SUMIF($G$23:$G$148,"&gt;0",$G$23:$G$148)</f>
        <v>4.249766881000001E7</v>
      </c>
      <c r="J150" s="34" t="s">
        <v>21</v>
      </c>
    </row>
    <row r="151" spans="3:9" ht="12.75">
      <c r="C151" s="15" t="s">
        <v>0</v>
      </c>
      <c r="G151" s="116">
        <f>XIRR(G23:G149,E23:E149)</f>
        <v>0.11565031409263613</v>
      </c>
      <c r="H151" s="17"/>
      <c r="I151" s="95"/>
    </row>
    <row r="157" spans="3:7" ht="12.75">
      <c r="C157" s="28"/>
      <c r="D157" s="28"/>
      <c r="E157" s="76"/>
      <c r="F157" s="76"/>
      <c r="G157" s="76"/>
    </row>
    <row r="158" spans="3:7" ht="12.75">
      <c r="C158" s="28"/>
      <c r="D158" s="28"/>
      <c r="E158" s="75"/>
      <c r="F158" s="75"/>
      <c r="G158" s="75"/>
    </row>
    <row r="159" spans="3:7" ht="12.75">
      <c r="C159" s="28"/>
      <c r="D159" s="28"/>
      <c r="E159" s="28"/>
      <c r="F159" s="28"/>
      <c r="G159" s="28"/>
    </row>
    <row r="160" spans="3:7" ht="12.75">
      <c r="C160" s="171"/>
      <c r="D160" s="171"/>
      <c r="E160" s="97"/>
      <c r="F160" s="96"/>
      <c r="G160" s="97"/>
    </row>
    <row r="161" spans="3:7" ht="12.75">
      <c r="C161" s="171"/>
      <c r="D161" s="171"/>
      <c r="E161" s="97"/>
      <c r="F161" s="96"/>
      <c r="G161" s="97"/>
    </row>
    <row r="162" spans="3:7" ht="12.75">
      <c r="C162" s="171"/>
      <c r="D162" s="171"/>
      <c r="E162" s="97"/>
      <c r="F162" s="96"/>
      <c r="G162" s="97"/>
    </row>
    <row r="163" spans="3:7" ht="12.75">
      <c r="C163" s="189"/>
      <c r="D163" s="171"/>
      <c r="E163" s="97"/>
      <c r="F163" s="96"/>
      <c r="G163" s="97"/>
    </row>
    <row r="164" spans="3:7" ht="12.75">
      <c r="C164" s="189"/>
      <c r="D164" s="171"/>
      <c r="E164" s="97"/>
      <c r="F164" s="96"/>
      <c r="G164" s="97"/>
    </row>
    <row r="165" spans="3:7" ht="12.75">
      <c r="C165" s="190"/>
      <c r="D165" s="171"/>
      <c r="E165" s="97"/>
      <c r="F165" s="96"/>
      <c r="G165" s="97"/>
    </row>
    <row r="166" spans="3:7" ht="12.75">
      <c r="C166" s="171"/>
      <c r="D166" s="171"/>
      <c r="E166" s="97"/>
      <c r="F166" s="96"/>
      <c r="G166" s="97"/>
    </row>
    <row r="167" spans="3:7" ht="12.75">
      <c r="C167" s="171"/>
      <c r="D167" s="171"/>
      <c r="E167" s="97"/>
      <c r="F167" s="96"/>
      <c r="G167" s="97"/>
    </row>
    <row r="168" spans="3:7" ht="12.75">
      <c r="C168" s="171"/>
      <c r="D168" s="171"/>
      <c r="E168" s="97"/>
      <c r="F168" s="96"/>
      <c r="G168" s="97"/>
    </row>
    <row r="169" spans="3:7" ht="12.75">
      <c r="C169" s="171"/>
      <c r="D169" s="171"/>
      <c r="E169" s="97"/>
      <c r="F169" s="96"/>
      <c r="G169" s="97"/>
    </row>
    <row r="170" spans="3:7" ht="12.75">
      <c r="C170" s="171"/>
      <c r="D170" s="171"/>
      <c r="E170" s="97"/>
      <c r="F170" s="96"/>
      <c r="G170" s="97"/>
    </row>
    <row r="171" spans="3:7" ht="12.75">
      <c r="C171" s="171"/>
      <c r="D171" s="171"/>
      <c r="E171" s="97"/>
      <c r="F171" s="96"/>
      <c r="G171" s="97"/>
    </row>
    <row r="172" spans="3:7" ht="5.1" customHeight="1">
      <c r="C172" s="28"/>
      <c r="D172" s="28"/>
      <c r="E172" s="96"/>
      <c r="F172" s="96"/>
      <c r="G172" s="96"/>
    </row>
    <row r="173" spans="4:9" s="111" customFormat="1" ht="12.75">
      <c r="D173"/>
      <c r="F173"/>
      <c r="I173" s="117"/>
    </row>
    <row r="174" spans="4:9" s="111" customFormat="1" ht="12.75">
      <c r="D174"/>
      <c r="F174"/>
      <c r="I174" s="117"/>
    </row>
  </sheetData>
  <mergeCells count="2">
    <mergeCell ref="H8:I8"/>
    <mergeCell ref="E157:G157"/>
  </mergeCells>
  <pageMargins left="0.75" right="0.33" top="1" bottom="1" header="0.5" footer="0.5"/>
  <pageSetup orientation="portrait" paperSize="1" scale="44" r:id="rId2"/>
  <headerFooter alignWithMargins="0">
    <oddHeader>&amp;C&amp;G</oddHeader>
    <oddFooter>&amp;C&amp;G</oddFoot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8DFA4CD-BC35-4A3B-A3FC-D132AA9CED16}">
  <sheetPr>
    <pageSetUpPr fitToPage="1"/>
  </sheetPr>
  <dimension ref="B4:N170"/>
  <sheetViews>
    <sheetView showGridLines="0" view="pageLayout" zoomScaleNormal="100" workbookViewId="0" topLeftCell="A1">
      <selection pane="topLeft" activeCell="E17" sqref="E17"/>
    </sheetView>
  </sheetViews>
  <sheetFormatPr defaultRowHeight="12.75"/>
  <cols>
    <col min="2" max="2" width="4.857142857142857" customWidth="1"/>
    <col min="3" max="3" width="51.57142857142857" customWidth="1"/>
    <col min="4" max="4" width="1.4285714285714286" customWidth="1"/>
    <col min="5" max="5" width="10.571428571428571" customWidth="1"/>
    <col min="6" max="6" width="1.4285714285714286" customWidth="1"/>
    <col min="7" max="7" width="11.428571428571429" bestFit="1" customWidth="1"/>
    <col min="8" max="8" width="2.4285714285714284" customWidth="1"/>
    <col min="9" max="9" width="12.857142857142858" bestFit="1" customWidth="1"/>
    <col min="10" max="10" width="11.714285714285714" customWidth="1"/>
    <col min="11" max="11" width="11" bestFit="1" customWidth="1"/>
    <col min="12" max="12" width="17.571428571428573" customWidth="1"/>
    <col min="13" max="13" width="16.571428571428573" bestFit="1" customWidth="1"/>
    <col min="14" max="14" width="14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55">
        <v>44834</v>
      </c>
      <c r="F8" s="13"/>
      <c r="G8" s="78"/>
      <c r="H8" s="78"/>
      <c r="I8" s="79"/>
    </row>
    <row r="9" spans="3:7" ht="15.75">
      <c r="C9" s="65"/>
      <c r="D9" s="65"/>
      <c r="E9" s="65"/>
      <c r="F9" s="65"/>
      <c r="G9" s="177"/>
    </row>
    <row r="10" spans="3:10" ht="12.75">
      <c r="C10" s="178"/>
      <c r="D10" s="178"/>
      <c r="E10" s="179"/>
      <c r="F10" s="178"/>
      <c r="G10" s="124"/>
      <c r="H10" s="81"/>
      <c r="I10" s="25"/>
      <c r="J10" s="17"/>
    </row>
    <row r="11" spans="3:10" ht="12.75">
      <c r="C11" s="178"/>
      <c r="D11" s="178"/>
      <c r="E11" s="179"/>
      <c r="F11" s="178"/>
      <c r="G11" s="179"/>
      <c r="H11" s="81"/>
      <c r="I11" s="25"/>
      <c r="J11" s="17"/>
    </row>
    <row r="12" spans="3:10" ht="15.75">
      <c r="C12" s="180"/>
      <c r="D12" s="180"/>
      <c r="E12" s="70"/>
      <c r="F12" s="180"/>
      <c r="G12" s="70"/>
      <c r="H12" s="5"/>
      <c r="I12" s="25"/>
      <c r="J12" s="17"/>
    </row>
    <row r="13" spans="3:10" ht="12.75">
      <c r="C13" s="178"/>
      <c r="D13" s="178"/>
      <c r="E13" s="71"/>
      <c r="F13" s="178"/>
      <c r="G13" s="124"/>
      <c r="H13" s="84"/>
      <c r="I13" s="25"/>
      <c r="J13" s="17"/>
    </row>
    <row r="14" spans="3:10" ht="12.75">
      <c r="C14" s="178"/>
      <c r="D14" s="178"/>
      <c r="E14" s="181"/>
      <c r="F14" s="178"/>
      <c r="G14" s="124"/>
      <c r="H14" s="85"/>
      <c r="I14" s="25"/>
      <c r="J14" s="17"/>
    </row>
    <row r="15" spans="3:10" ht="12.75">
      <c r="C15" s="178"/>
      <c r="D15" s="178"/>
      <c r="E15" s="179"/>
      <c r="F15" s="178"/>
      <c r="G15" s="179"/>
      <c r="H15" s="81"/>
      <c r="I15" s="25"/>
      <c r="J15" s="17"/>
    </row>
    <row r="16" spans="3:10" ht="15.75">
      <c r="C16" s="5"/>
      <c r="D16" s="5"/>
      <c r="E16" s="10"/>
      <c r="F16" s="5"/>
      <c r="G16" s="10"/>
      <c r="H16" s="5"/>
      <c r="I16" s="25"/>
      <c r="J16" s="17"/>
    </row>
    <row r="17" spans="3:9" ht="15.75">
      <c r="C17" s="83" t="s">
        <v>15</v>
      </c>
      <c r="D17" s="83"/>
      <c r="E17" s="10"/>
      <c r="F17" s="83"/>
      <c r="G17" s="10"/>
      <c r="H17" s="5"/>
      <c r="I17" s="82"/>
    </row>
    <row r="18" spans="3:9" ht="12.75" customHeight="1">
      <c r="C18" s="6" t="s">
        <v>16</v>
      </c>
      <c r="D18" s="6"/>
      <c r="E18" s="84">
        <f>G134</f>
        <v>0.005747011303901674</v>
      </c>
      <c r="F18" s="6"/>
      <c r="G18" s="11"/>
      <c r="H18" s="84"/>
      <c r="I18" s="82"/>
    </row>
    <row r="19" spans="3:8" ht="12.75">
      <c r="C19" s="6" t="s">
        <v>17</v>
      </c>
      <c r="D19" s="6"/>
      <c r="E19" s="87">
        <f>(G132+I133)/-I132</f>
        <v>1.0265311154880603</v>
      </c>
      <c r="F19" s="6"/>
      <c r="G19" s="9"/>
      <c r="H19" s="81"/>
    </row>
    <row r="20" spans="3:7" ht="12.75">
      <c r="C20" s="6"/>
      <c r="D20" s="6"/>
      <c r="E20" s="6"/>
      <c r="F20" s="6"/>
      <c r="G20" s="81"/>
    </row>
    <row r="21" spans="3:12" ht="15.75">
      <c r="C21" s="88" t="s">
        <v>50</v>
      </c>
      <c r="D21" s="7"/>
      <c r="E21" s="7"/>
      <c r="F21" s="7"/>
      <c r="I21" s="89"/>
      <c r="J21" s="17"/>
      <c r="L21" s="119"/>
    </row>
    <row r="22" spans="3:10" ht="12.75">
      <c r="C22" s="90">
        <v>8.31429E-4</v>
      </c>
      <c r="D22" s="17"/>
      <c r="E22" s="17"/>
      <c r="F22" s="17"/>
      <c r="G22" s="91"/>
      <c r="H22" s="17"/>
      <c r="I22" s="17"/>
      <c r="J22" s="17"/>
    </row>
    <row r="23" spans="3:10" ht="12.75">
      <c r="C23" s="17" t="s">
        <v>8</v>
      </c>
      <c r="D23" s="17"/>
      <c r="E23" s="89">
        <v>40512</v>
      </c>
      <c r="F23" s="17"/>
      <c r="G23" s="22">
        <v>-63000</v>
      </c>
      <c r="H23" s="17"/>
      <c r="I23" s="25"/>
      <c r="J23" s="25"/>
    </row>
    <row r="24" spans="3:10" ht="12.75">
      <c r="C24" s="17" t="s">
        <v>49</v>
      </c>
      <c r="D24" s="17"/>
      <c r="E24" s="89">
        <v>40570</v>
      </c>
      <c r="F24" s="45"/>
      <c r="G24" s="22">
        <v>-31500</v>
      </c>
      <c r="H24" s="17"/>
      <c r="I24" s="25"/>
      <c r="J24" s="25"/>
    </row>
    <row r="25" spans="3:10" ht="12.75">
      <c r="C25" s="17"/>
      <c r="D25" s="17"/>
      <c r="E25" s="89">
        <v>40661</v>
      </c>
      <c r="F25" s="45"/>
      <c r="G25" s="22">
        <v>-24194.61</v>
      </c>
      <c r="H25" s="17"/>
      <c r="I25" s="25"/>
      <c r="J25" s="25"/>
    </row>
    <row r="26" spans="3:10" ht="12.75">
      <c r="C26" s="17"/>
      <c r="D26" s="17"/>
      <c r="E26" s="89">
        <v>40704</v>
      </c>
      <c r="F26" s="45"/>
      <c r="G26" s="22">
        <v>-38162.64</v>
      </c>
      <c r="H26" s="17"/>
      <c r="I26" s="25"/>
      <c r="J26" s="25"/>
    </row>
    <row r="27" spans="3:10" ht="12.75">
      <c r="C27" s="17"/>
      <c r="D27" s="17"/>
      <c r="E27" s="89">
        <v>40751</v>
      </c>
      <c r="F27" s="45"/>
      <c r="G27" s="22">
        <v>-36499.78</v>
      </c>
      <c r="H27" s="17"/>
      <c r="I27" s="25"/>
      <c r="J27" s="25"/>
    </row>
    <row r="28" spans="3:10" ht="12.75">
      <c r="C28" s="17"/>
      <c r="D28" s="17"/>
      <c r="E28" s="89">
        <v>40765</v>
      </c>
      <c r="F28" s="45"/>
      <c r="G28" s="22">
        <v>-60694.39</v>
      </c>
      <c r="H28" s="17"/>
      <c r="I28" s="25"/>
      <c r="J28" s="25"/>
    </row>
    <row r="29" spans="3:10" ht="12.75">
      <c r="C29" s="17"/>
      <c r="D29" s="17"/>
      <c r="E29" s="89">
        <v>40813</v>
      </c>
      <c r="F29" s="45"/>
      <c r="G29" s="22">
        <v>-53460.95</v>
      </c>
      <c r="H29" s="17"/>
      <c r="I29" s="25"/>
      <c r="J29" s="25"/>
    </row>
    <row r="30" spans="3:10" ht="12.75">
      <c r="C30" s="17"/>
      <c r="D30" s="17"/>
      <c r="E30" s="89">
        <v>40879</v>
      </c>
      <c r="F30" s="45"/>
      <c r="G30" s="22">
        <v>-25691.19</v>
      </c>
      <c r="H30" s="17"/>
      <c r="I30" s="25"/>
      <c r="J30" s="25"/>
    </row>
    <row r="31" spans="3:10" ht="12.75">
      <c r="C31" s="17"/>
      <c r="D31" s="17"/>
      <c r="E31" s="89">
        <v>40886</v>
      </c>
      <c r="F31" s="45"/>
      <c r="G31" s="22">
        <v>-35003.2</v>
      </c>
      <c r="H31" s="17"/>
      <c r="I31" s="25"/>
      <c r="J31" s="25"/>
    </row>
    <row r="32" spans="3:10" ht="12.75">
      <c r="C32" s="17" t="s">
        <v>12</v>
      </c>
      <c r="D32" s="17"/>
      <c r="E32" s="89">
        <v>40927</v>
      </c>
      <c r="F32" s="45"/>
      <c r="G32" s="22">
        <v>-58532.67</v>
      </c>
      <c r="H32" s="17"/>
      <c r="I32" s="25"/>
      <c r="J32" s="25"/>
    </row>
    <row r="33" spans="3:10" ht="12.75">
      <c r="C33" s="17"/>
      <c r="D33" s="17"/>
      <c r="E33" s="89">
        <v>40942</v>
      </c>
      <c r="F33" s="45"/>
      <c r="G33" s="22">
        <v>-274371.9</v>
      </c>
      <c r="H33" s="17"/>
      <c r="I33" s="25"/>
      <c r="J33" s="25"/>
    </row>
    <row r="34" spans="3:10" ht="12.75">
      <c r="C34" s="17"/>
      <c r="D34" s="17"/>
      <c r="E34" s="89">
        <v>40970</v>
      </c>
      <c r="F34" s="45"/>
      <c r="G34" s="22">
        <v>-43650.08</v>
      </c>
      <c r="H34" s="17"/>
      <c r="I34" s="25"/>
      <c r="J34" s="25"/>
    </row>
    <row r="35" spans="3:10" ht="12.75">
      <c r="C35" s="17"/>
      <c r="D35" s="17"/>
      <c r="E35" s="89">
        <v>41001</v>
      </c>
      <c r="F35" s="45"/>
      <c r="G35" s="22">
        <v>-25524.90</v>
      </c>
      <c r="H35" s="17"/>
      <c r="I35" s="25"/>
      <c r="J35" s="25"/>
    </row>
    <row r="36" spans="3:10" ht="12.75">
      <c r="C36" s="17"/>
      <c r="D36" s="17"/>
      <c r="E36" s="89">
        <v>41024</v>
      </c>
      <c r="F36" s="45"/>
      <c r="G36" s="22">
        <v>-30264.05</v>
      </c>
      <c r="H36" s="17"/>
      <c r="I36" s="25"/>
      <c r="J36" s="25"/>
    </row>
    <row r="37" spans="3:10" ht="12.75">
      <c r="C37" s="17"/>
      <c r="D37" s="17"/>
      <c r="E37" s="89">
        <v>41054</v>
      </c>
      <c r="F37" s="45"/>
      <c r="G37" s="22">
        <v>-39409.78</v>
      </c>
      <c r="H37" s="17"/>
      <c r="I37" s="25"/>
      <c r="J37" s="25"/>
    </row>
    <row r="38" spans="3:10" ht="12.75">
      <c r="C38" s="17"/>
      <c r="D38" s="17"/>
      <c r="E38" s="89">
        <v>41080</v>
      </c>
      <c r="F38" s="45"/>
      <c r="G38" s="22">
        <v>-73082.70</v>
      </c>
      <c r="H38" s="17"/>
      <c r="I38" s="25"/>
      <c r="J38" s="25"/>
    </row>
    <row r="39" spans="3:10" ht="12.75">
      <c r="C39" s="17"/>
      <c r="D39" s="17"/>
      <c r="E39" s="89">
        <v>41103</v>
      </c>
      <c r="F39" s="45"/>
      <c r="G39" s="22">
        <v>-23695.76</v>
      </c>
      <c r="H39" s="17"/>
      <c r="I39" s="25"/>
      <c r="J39" s="25"/>
    </row>
    <row r="40" spans="3:10" ht="12.75">
      <c r="C40" s="17"/>
      <c r="D40" s="17"/>
      <c r="E40" s="89">
        <v>41121</v>
      </c>
      <c r="F40" s="45"/>
      <c r="G40" s="22">
        <v>-22864.33</v>
      </c>
      <c r="H40" s="17"/>
      <c r="I40" s="25"/>
      <c r="J40" s="25"/>
    </row>
    <row r="41" spans="3:10" ht="12.75">
      <c r="C41" s="17"/>
      <c r="D41" s="17"/>
      <c r="E41" s="89">
        <v>41152</v>
      </c>
      <c r="F41" s="45"/>
      <c r="G41" s="22">
        <v>-30264</v>
      </c>
      <c r="H41" s="17"/>
      <c r="I41" s="25"/>
      <c r="J41" s="25"/>
    </row>
    <row r="42" spans="3:10" ht="12.75">
      <c r="C42" s="17"/>
      <c r="D42" s="17"/>
      <c r="E42" s="89">
        <v>41180</v>
      </c>
      <c r="F42" s="45"/>
      <c r="G42" s="22">
        <v>-57368.58</v>
      </c>
      <c r="H42" s="17"/>
      <c r="I42" s="25"/>
      <c r="J42" s="25"/>
    </row>
    <row r="43" spans="3:10" ht="12.75">
      <c r="C43" s="17"/>
      <c r="D43" s="17"/>
      <c r="E43" s="89">
        <v>41194</v>
      </c>
      <c r="F43" s="45"/>
      <c r="G43" s="22">
        <v>-28185.43</v>
      </c>
      <c r="H43" s="17"/>
      <c r="I43" s="25"/>
      <c r="J43" s="25"/>
    </row>
    <row r="44" spans="3:10" ht="12.75">
      <c r="C44" s="17"/>
      <c r="D44" s="17"/>
      <c r="E44" s="89">
        <v>41250</v>
      </c>
      <c r="F44" s="45"/>
      <c r="G44" s="22">
        <v>-127125.41</v>
      </c>
      <c r="H44" s="17"/>
      <c r="I44" s="25"/>
      <c r="J44" s="25"/>
    </row>
    <row r="45" spans="3:10" ht="12.75">
      <c r="C45" s="17"/>
      <c r="D45" s="17"/>
      <c r="E45" s="89">
        <v>41264</v>
      </c>
      <c r="F45" s="45"/>
      <c r="G45" s="22">
        <v>-112908</v>
      </c>
      <c r="H45" s="17"/>
      <c r="I45" s="25"/>
      <c r="J45" s="25"/>
    </row>
    <row r="46" spans="3:10" ht="12.75">
      <c r="C46" s="17" t="s">
        <v>43</v>
      </c>
      <c r="D46" s="17"/>
      <c r="E46" s="89">
        <v>41030</v>
      </c>
      <c r="F46" s="45"/>
      <c r="G46" s="22">
        <v>112056.47</v>
      </c>
      <c r="H46" s="17"/>
      <c r="I46" s="25"/>
      <c r="J46" s="25"/>
    </row>
    <row r="47" spans="3:10" ht="12.75">
      <c r="C47" s="17"/>
      <c r="D47" s="17"/>
      <c r="E47" s="89">
        <v>41108</v>
      </c>
      <c r="F47" s="45"/>
      <c r="G47" s="22">
        <v>24215.98</v>
      </c>
      <c r="H47" s="17"/>
      <c r="I47" s="25"/>
      <c r="J47" s="25"/>
    </row>
    <row r="48" spans="3:10" ht="12.75">
      <c r="C48" s="17"/>
      <c r="D48" s="17"/>
      <c r="E48" s="89">
        <v>41137</v>
      </c>
      <c r="F48" s="45"/>
      <c r="G48" s="22">
        <v>10363.64</v>
      </c>
      <c r="H48" s="17"/>
      <c r="I48" s="25"/>
      <c r="J48" s="25"/>
    </row>
    <row r="49" spans="3:10" ht="12.75">
      <c r="C49" s="17"/>
      <c r="D49" s="17"/>
      <c r="E49" s="89">
        <v>41173</v>
      </c>
      <c r="F49" s="45"/>
      <c r="G49" s="22">
        <v>223637.66</v>
      </c>
      <c r="H49" s="17"/>
      <c r="I49" s="25"/>
      <c r="J49" s="25"/>
    </row>
    <row r="50" spans="3:10" ht="12.75">
      <c r="C50" s="17" t="s">
        <v>18</v>
      </c>
      <c r="D50" s="17"/>
      <c r="E50" s="89">
        <v>41284</v>
      </c>
      <c r="F50" s="45"/>
      <c r="G50" s="22">
        <v>-33340.28</v>
      </c>
      <c r="H50" s="17"/>
      <c r="I50" s="25"/>
      <c r="J50" s="25"/>
    </row>
    <row r="51" spans="3:10" ht="12.75">
      <c r="C51" s="17"/>
      <c r="D51" s="17"/>
      <c r="E51" s="89">
        <v>41298</v>
      </c>
      <c r="F51" s="45"/>
      <c r="G51" s="22">
        <v>-42652.29</v>
      </c>
      <c r="H51" s="17"/>
      <c r="I51" s="25"/>
      <c r="J51" s="25"/>
    </row>
    <row r="52" spans="3:10" ht="12.75">
      <c r="C52" s="17"/>
      <c r="D52" s="17"/>
      <c r="E52" s="89">
        <v>41345</v>
      </c>
      <c r="F52" s="45"/>
      <c r="G52" s="22">
        <v>-43733.14</v>
      </c>
      <c r="H52" s="17"/>
      <c r="I52" s="25"/>
      <c r="J52" s="25"/>
    </row>
    <row r="53" spans="3:10" ht="12.75">
      <c r="C53" s="17"/>
      <c r="D53" s="17"/>
      <c r="E53" s="89">
        <v>41360</v>
      </c>
      <c r="F53" s="45"/>
      <c r="G53" s="22">
        <v>-39160.28</v>
      </c>
      <c r="H53" s="17"/>
      <c r="I53" s="25"/>
      <c r="J53" s="25"/>
    </row>
    <row r="54" spans="3:10" ht="12.75">
      <c r="C54" s="17"/>
      <c r="D54" s="17"/>
      <c r="E54" s="89">
        <v>41393</v>
      </c>
      <c r="F54" s="45"/>
      <c r="G54" s="22">
        <v>-31511.15</v>
      </c>
      <c r="H54" s="17"/>
      <c r="I54" s="25"/>
      <c r="J54" s="25"/>
    </row>
    <row r="55" spans="3:10" ht="12.75">
      <c r="C55" s="17"/>
      <c r="D55" s="17"/>
      <c r="E55" s="89">
        <v>41404</v>
      </c>
      <c r="F55" s="45"/>
      <c r="G55" s="22">
        <v>-42901.72</v>
      </c>
      <c r="H55" s="17"/>
      <c r="I55" s="25"/>
      <c r="J55" s="25"/>
    </row>
    <row r="56" spans="3:10" ht="12.75">
      <c r="C56" s="17"/>
      <c r="D56" s="17"/>
      <c r="E56" s="89">
        <v>41423</v>
      </c>
      <c r="F56" s="45"/>
      <c r="G56" s="22">
        <v>-37164.86</v>
      </c>
      <c r="H56" s="17"/>
      <c r="I56" s="25"/>
      <c r="J56" s="25"/>
    </row>
    <row r="57" spans="3:10" ht="12.75">
      <c r="C57" s="17"/>
      <c r="D57" s="17"/>
      <c r="E57" s="89">
        <v>41446</v>
      </c>
      <c r="F57" s="45"/>
      <c r="G57" s="22">
        <v>-113573.14</v>
      </c>
      <c r="H57" s="17"/>
      <c r="I57" s="25"/>
      <c r="J57" s="25"/>
    </row>
    <row r="58" spans="3:10" ht="12.75">
      <c r="C58" s="17"/>
      <c r="D58" s="17"/>
      <c r="E58" s="89">
        <v>41481</v>
      </c>
      <c r="F58" s="45"/>
      <c r="G58" s="22">
        <v>-35502</v>
      </c>
      <c r="H58" s="17"/>
      <c r="I58" s="25"/>
      <c r="J58" s="25"/>
    </row>
    <row r="59" spans="3:10" ht="12.75">
      <c r="C59" s="17"/>
      <c r="D59" s="17"/>
      <c r="E59" s="89">
        <v>41501</v>
      </c>
      <c r="F59" s="45"/>
      <c r="G59" s="22">
        <v>-33423.42</v>
      </c>
      <c r="H59" s="17"/>
      <c r="I59" s="25"/>
      <c r="J59" s="25"/>
    </row>
    <row r="60" spans="3:10" ht="12.75">
      <c r="C60" s="17"/>
      <c r="D60" s="17"/>
      <c r="E60" s="89">
        <v>41514</v>
      </c>
      <c r="F60" s="45"/>
      <c r="G60" s="22">
        <v>-48472.28</v>
      </c>
      <c r="H60" s="17"/>
      <c r="I60" s="25"/>
      <c r="J60" s="25"/>
    </row>
    <row r="61" spans="3:10" ht="12.75">
      <c r="C61" s="17"/>
      <c r="D61" s="17"/>
      <c r="E61" s="89">
        <v>41551</v>
      </c>
      <c r="F61" s="45"/>
      <c r="G61" s="22">
        <v>-28933.72</v>
      </c>
      <c r="H61" s="17"/>
      <c r="I61" s="25"/>
      <c r="J61" s="25"/>
    </row>
    <row r="62" spans="3:8" ht="12.75">
      <c r="C62" s="17"/>
      <c r="D62" s="17"/>
      <c r="E62" s="89">
        <v>41577</v>
      </c>
      <c r="F62" s="45"/>
      <c r="G62" s="22">
        <v>-46310.57</v>
      </c>
      <c r="H62" s="17"/>
    </row>
    <row r="63" spans="3:8" ht="12.75">
      <c r="C63" s="17"/>
      <c r="D63" s="17"/>
      <c r="E63" s="89">
        <v>41599</v>
      </c>
      <c r="F63" s="45"/>
      <c r="G63" s="22">
        <v>-29266.29</v>
      </c>
      <c r="H63" s="17"/>
    </row>
    <row r="64" spans="3:8" ht="12.75">
      <c r="C64" s="17"/>
      <c r="D64" s="17"/>
      <c r="E64" s="89">
        <v>41624</v>
      </c>
      <c r="F64" s="45"/>
      <c r="G64" s="22">
        <v>-58532.56</v>
      </c>
      <c r="H64" s="17"/>
    </row>
    <row r="65" spans="3:8" ht="12.75">
      <c r="C65" s="17" t="s">
        <v>14</v>
      </c>
      <c r="D65" s="17"/>
      <c r="E65" s="89">
        <v>41418</v>
      </c>
      <c r="F65" s="45"/>
      <c r="G65" s="22">
        <v>13529.21</v>
      </c>
      <c r="H65" s="17"/>
    </row>
    <row r="66" spans="3:8" ht="12.75">
      <c r="C66" s="17"/>
      <c r="D66" s="17"/>
      <c r="E66" s="89">
        <v>41618</v>
      </c>
      <c r="F66" s="45"/>
      <c r="G66" s="22">
        <v>32263.89</v>
      </c>
      <c r="H66" s="17"/>
    </row>
    <row r="67" spans="3:10" ht="12.75">
      <c r="C67" s="17" t="s">
        <v>23</v>
      </c>
      <c r="D67" s="17"/>
      <c r="E67" s="89">
        <v>41646</v>
      </c>
      <c r="F67" s="45"/>
      <c r="G67" s="45">
        <v>-41322</v>
      </c>
      <c r="H67" s="17"/>
      <c r="I67" s="25"/>
      <c r="J67" s="17"/>
    </row>
    <row r="68" spans="3:10" ht="12.75">
      <c r="C68" s="17"/>
      <c r="D68" s="17"/>
      <c r="E68" s="89">
        <v>41670</v>
      </c>
      <c r="F68" s="45"/>
      <c r="G68" s="45">
        <v>-30679.72</v>
      </c>
      <c r="H68" s="17"/>
      <c r="I68" s="25"/>
      <c r="J68" s="17"/>
    </row>
    <row r="69" spans="3:10" ht="12.75">
      <c r="C69" s="17"/>
      <c r="D69" s="17"/>
      <c r="E69" s="89">
        <v>41697</v>
      </c>
      <c r="F69" s="45"/>
      <c r="G69" s="45">
        <v>-54624.85</v>
      </c>
      <c r="H69" s="17"/>
      <c r="I69" s="25"/>
      <c r="J69" s="17"/>
    </row>
    <row r="70" spans="3:10" ht="12.75">
      <c r="C70" s="17"/>
      <c r="D70" s="17"/>
      <c r="E70" s="89">
        <v>41704</v>
      </c>
      <c r="F70" s="45"/>
      <c r="G70" s="45">
        <v>-39576</v>
      </c>
      <c r="H70" s="17"/>
      <c r="I70" s="25"/>
      <c r="J70" s="17"/>
    </row>
    <row r="71" spans="3:10" ht="12.75">
      <c r="C71" s="17"/>
      <c r="D71" s="17"/>
      <c r="E71" s="89">
        <v>41718</v>
      </c>
      <c r="F71" s="45"/>
      <c r="G71" s="45">
        <v>-34587.43</v>
      </c>
      <c r="H71" s="17"/>
      <c r="I71" s="25"/>
      <c r="J71" s="17"/>
    </row>
    <row r="72" spans="3:10" ht="12.75">
      <c r="C72" s="17"/>
      <c r="D72" s="17"/>
      <c r="E72" s="89">
        <v>41750</v>
      </c>
      <c r="F72" s="45"/>
      <c r="G72" s="45">
        <v>-54957.43</v>
      </c>
      <c r="H72" s="17"/>
      <c r="I72" s="25"/>
      <c r="J72" s="17"/>
    </row>
    <row r="73" spans="3:8" ht="12.75">
      <c r="C73" s="17"/>
      <c r="D73" s="17"/>
      <c r="E73" s="89">
        <v>41779</v>
      </c>
      <c r="F73" s="45"/>
      <c r="G73" s="45">
        <v>-54874.28</v>
      </c>
      <c r="H73" s="17"/>
    </row>
    <row r="74" spans="3:8" ht="12.75">
      <c r="C74" s="17"/>
      <c r="D74" s="17"/>
      <c r="E74" s="89">
        <v>41814</v>
      </c>
      <c r="F74" s="45"/>
      <c r="G74" s="45">
        <v>-40490.57</v>
      </c>
      <c r="H74" s="17"/>
    </row>
    <row r="75" spans="3:8" ht="12.75">
      <c r="C75" s="17"/>
      <c r="D75" s="17"/>
      <c r="E75" s="89">
        <v>41877</v>
      </c>
      <c r="F75" s="45"/>
      <c r="G75" s="45">
        <v>-63770.57</v>
      </c>
      <c r="H75" s="17"/>
    </row>
    <row r="76" spans="3:8" ht="12.75">
      <c r="C76" s="17"/>
      <c r="D76" s="17"/>
      <c r="E76" s="89">
        <v>41913</v>
      </c>
      <c r="F76" s="45"/>
      <c r="G76" s="45">
        <v>-26439.43</v>
      </c>
      <c r="H76" s="17"/>
    </row>
    <row r="77" spans="3:8" ht="12.75">
      <c r="C77" s="17"/>
      <c r="D77" s="17"/>
      <c r="E77" s="89">
        <v>41943</v>
      </c>
      <c r="F77" s="45"/>
      <c r="G77" s="45">
        <v>-33755.99</v>
      </c>
      <c r="H77" s="17"/>
    </row>
    <row r="78" spans="3:8" ht="12.75">
      <c r="C78" s="17"/>
      <c r="D78" s="17"/>
      <c r="E78" s="89">
        <v>41990</v>
      </c>
      <c r="F78" s="45"/>
      <c r="G78" s="45">
        <v>-35335.71</v>
      </c>
      <c r="H78" s="17"/>
    </row>
    <row r="79" spans="3:8" ht="12.75">
      <c r="C79" s="17" t="s">
        <v>22</v>
      </c>
      <c r="D79" s="17"/>
      <c r="E79" s="89">
        <v>41816</v>
      </c>
      <c r="F79" s="45"/>
      <c r="G79" s="45">
        <v>87804.85</v>
      </c>
      <c r="H79" s="17"/>
    </row>
    <row r="80" spans="3:8" ht="12.75">
      <c r="C80" s="17"/>
      <c r="D80" s="17"/>
      <c r="E80" s="89">
        <v>41857</v>
      </c>
      <c r="F80" s="45"/>
      <c r="G80" s="45">
        <v>358214.75</v>
      </c>
      <c r="H80" s="17"/>
    </row>
    <row r="81" spans="3:8" ht="12.75">
      <c r="C81" s="17" t="s">
        <v>44</v>
      </c>
      <c r="D81" s="17"/>
      <c r="E81" s="89">
        <v>42011</v>
      </c>
      <c r="F81" s="45"/>
      <c r="G81" s="45">
        <v>-27769.71</v>
      </c>
      <c r="H81" s="17"/>
    </row>
    <row r="82" spans="3:8" ht="12.75">
      <c r="C82" s="17"/>
      <c r="D82" s="17"/>
      <c r="E82" s="89">
        <v>42027</v>
      </c>
      <c r="F82" s="45"/>
      <c r="G82" s="45">
        <v>-35834.57</v>
      </c>
      <c r="H82" s="17"/>
    </row>
    <row r="83" spans="3:8" ht="12.75">
      <c r="C83" s="17"/>
      <c r="D83" s="17"/>
      <c r="E83" s="89">
        <v>42075</v>
      </c>
      <c r="F83" s="45"/>
      <c r="G83" s="45">
        <v>-35917.71</v>
      </c>
      <c r="H83" s="17"/>
    </row>
    <row r="84" spans="3:8" ht="12.75">
      <c r="C84" s="17"/>
      <c r="D84" s="17"/>
      <c r="E84" s="89">
        <v>42138</v>
      </c>
      <c r="F84" s="45"/>
      <c r="G84" s="45">
        <v>-53211.43</v>
      </c>
      <c r="H84" s="17"/>
    </row>
    <row r="85" spans="3:8" ht="12.75">
      <c r="C85" s="17"/>
      <c r="D85" s="17"/>
      <c r="E85" s="89">
        <v>42265</v>
      </c>
      <c r="F85" s="45"/>
      <c r="G85" s="45">
        <v>-24028.29</v>
      </c>
      <c r="H85" s="17"/>
    </row>
    <row r="86" spans="3:8" ht="12.75">
      <c r="C86" s="17"/>
      <c r="D86" s="17"/>
      <c r="E86" s="89">
        <v>42297</v>
      </c>
      <c r="F86" s="45"/>
      <c r="G86" s="45">
        <v>-41987.13</v>
      </c>
      <c r="H86" s="17"/>
    </row>
    <row r="87" spans="3:8" ht="12.75">
      <c r="C87" s="17"/>
      <c r="D87" s="17"/>
      <c r="E87" s="89">
        <v>42352</v>
      </c>
      <c r="F87" s="45"/>
      <c r="G87" s="45">
        <v>-37663.71</v>
      </c>
      <c r="H87" s="17"/>
    </row>
    <row r="88" spans="3:8" ht="12.75">
      <c r="C88" s="17" t="s">
        <v>24</v>
      </c>
      <c r="D88" s="17"/>
      <c r="E88" s="89">
        <v>42055</v>
      </c>
      <c r="F88" s="45"/>
      <c r="G88" s="45">
        <v>27318.78</v>
      </c>
      <c r="H88" s="17"/>
    </row>
    <row r="89" spans="3:10" ht="12.75">
      <c r="C89" s="17"/>
      <c r="D89" s="17"/>
      <c r="E89" s="89">
        <v>42150</v>
      </c>
      <c r="F89" s="45"/>
      <c r="G89" s="45">
        <v>28614.74</v>
      </c>
      <c r="H89" s="17"/>
      <c r="I89" s="25"/>
      <c r="J89" s="17"/>
    </row>
    <row r="90" spans="3:10" ht="12.75">
      <c r="C90" s="17"/>
      <c r="D90" s="17"/>
      <c r="E90" s="89">
        <v>42251</v>
      </c>
      <c r="F90" s="45"/>
      <c r="G90" s="45">
        <v>85826.47</v>
      </c>
      <c r="H90" s="17"/>
      <c r="I90" s="25"/>
      <c r="J90" s="17"/>
    </row>
    <row r="91" spans="3:10" ht="12.75">
      <c r="C91" s="17" t="s">
        <v>45</v>
      </c>
      <c r="D91" s="17"/>
      <c r="E91" s="89">
        <v>42424</v>
      </c>
      <c r="F91" s="45"/>
      <c r="G91" s="45">
        <v>-37746.86</v>
      </c>
      <c r="H91" s="17"/>
      <c r="I91" s="25"/>
      <c r="J91" s="17"/>
    </row>
    <row r="92" spans="3:10" ht="12.75">
      <c r="C92" s="17"/>
      <c r="D92" s="17"/>
      <c r="E92" s="89">
        <v>42452</v>
      </c>
      <c r="F92" s="45"/>
      <c r="G92" s="45">
        <v>-28185.43</v>
      </c>
      <c r="H92" s="17"/>
      <c r="I92" s="25"/>
      <c r="J92" s="17"/>
    </row>
    <row r="93" spans="3:10" ht="12.75">
      <c r="C93" s="17"/>
      <c r="D93" s="17"/>
      <c r="E93" s="89">
        <v>42485</v>
      </c>
      <c r="F93" s="45"/>
      <c r="G93" s="45">
        <v>-35003.14</v>
      </c>
      <c r="H93" s="17"/>
      <c r="I93" s="25"/>
      <c r="J93" s="17"/>
    </row>
    <row r="94" spans="3:10" ht="12.75">
      <c r="C94" s="17"/>
      <c r="D94" s="17"/>
      <c r="E94" s="89">
        <v>42558</v>
      </c>
      <c r="F94" s="45"/>
      <c r="G94" s="45">
        <v>-21783.44</v>
      </c>
      <c r="H94" s="17"/>
      <c r="I94" s="25"/>
      <c r="J94" s="17"/>
    </row>
    <row r="95" spans="3:8" ht="12.75">
      <c r="C95" s="17"/>
      <c r="D95" s="17"/>
      <c r="E95" s="89">
        <v>42578</v>
      </c>
      <c r="F95" s="45"/>
      <c r="G95" s="45">
        <v>-21617.15</v>
      </c>
      <c r="H95" s="17"/>
    </row>
    <row r="96" spans="3:8" ht="12.75">
      <c r="C96" s="17"/>
      <c r="D96" s="17"/>
      <c r="E96" s="89">
        <v>42636</v>
      </c>
      <c r="F96" s="45"/>
      <c r="G96" s="45">
        <v>-28351.72</v>
      </c>
      <c r="H96" s="17"/>
    </row>
    <row r="97" spans="3:8" ht="12.75">
      <c r="C97" s="17"/>
      <c r="D97" s="17"/>
      <c r="E97" s="89">
        <v>42664</v>
      </c>
      <c r="F97" s="45"/>
      <c r="G97" s="45">
        <v>-27270.85</v>
      </c>
      <c r="H97" s="17"/>
    </row>
    <row r="98" spans="3:8" ht="12.75">
      <c r="C98" s="17"/>
      <c r="D98" s="17"/>
      <c r="E98" s="89">
        <v>42697</v>
      </c>
      <c r="F98" s="45"/>
      <c r="G98" s="45">
        <v>-16628.57</v>
      </c>
      <c r="H98" s="17"/>
    </row>
    <row r="99" spans="3:8" ht="12.75">
      <c r="C99" s="17"/>
      <c r="D99" s="17"/>
      <c r="E99" s="89">
        <v>42727</v>
      </c>
      <c r="F99" s="45"/>
      <c r="G99" s="45">
        <v>-48056.58</v>
      </c>
      <c r="H99" s="17"/>
    </row>
    <row r="100" spans="3:8" ht="12.75">
      <c r="C100" s="17" t="s">
        <v>25</v>
      </c>
      <c r="D100" s="17"/>
      <c r="E100" s="89">
        <v>42404</v>
      </c>
      <c r="F100" s="45"/>
      <c r="G100" s="45">
        <v>17201.94</v>
      </c>
      <c r="H100" s="17"/>
    </row>
    <row r="101" spans="3:8" ht="12.75">
      <c r="C101" s="17"/>
      <c r="D101" s="17"/>
      <c r="E101" s="89">
        <v>42451</v>
      </c>
      <c r="F101" s="45"/>
      <c r="G101" s="45">
        <v>16945.08</v>
      </c>
      <c r="H101" s="17"/>
    </row>
    <row r="102" spans="3:8" ht="12.75">
      <c r="C102" s="17"/>
      <c r="D102" s="17"/>
      <c r="E102" s="89">
        <v>42549</v>
      </c>
      <c r="F102" s="45"/>
      <c r="G102" s="45">
        <v>9603.11</v>
      </c>
      <c r="H102" s="17"/>
    </row>
    <row r="103" spans="3:8" ht="12.75">
      <c r="C103" s="17"/>
      <c r="D103" s="17"/>
      <c r="E103" s="89">
        <v>42584</v>
      </c>
      <c r="F103" s="45"/>
      <c r="G103" s="45">
        <v>235463.57</v>
      </c>
      <c r="H103" s="17"/>
    </row>
    <row r="104" spans="3:10" ht="12.75">
      <c r="C104" s="17"/>
      <c r="D104" s="17"/>
      <c r="E104" s="89">
        <v>42632</v>
      </c>
      <c r="F104" s="45"/>
      <c r="G104" s="45">
        <v>15345.25</v>
      </c>
      <c r="H104" s="17"/>
      <c r="I104" s="25"/>
      <c r="J104" s="17"/>
    </row>
    <row r="105" spans="3:10" ht="12.75">
      <c r="C105" s="17"/>
      <c r="D105" s="17"/>
      <c r="E105" s="89">
        <v>42656</v>
      </c>
      <c r="F105" s="45"/>
      <c r="G105" s="45">
        <v>60038.88</v>
      </c>
      <c r="H105" s="17"/>
      <c r="I105" s="25"/>
      <c r="J105" s="17"/>
    </row>
    <row r="106" spans="3:12" ht="15.75">
      <c r="C106" s="17"/>
      <c r="D106" s="17"/>
      <c r="E106" s="89">
        <v>42723</v>
      </c>
      <c r="F106" s="45"/>
      <c r="G106" s="45">
        <v>57485.25</v>
      </c>
      <c r="H106" s="17"/>
      <c r="I106" s="44"/>
      <c r="J106" s="41"/>
      <c r="K106" s="42"/>
      <c r="L106" s="177"/>
    </row>
    <row r="107" spans="3:12" ht="12.75">
      <c r="C107" s="17" t="s">
        <v>30</v>
      </c>
      <c r="D107" s="17"/>
      <c r="E107" s="89">
        <v>42795</v>
      </c>
      <c r="G107" s="45">
        <v>-22531.71</v>
      </c>
      <c r="H107" s="17"/>
      <c r="I107" s="44"/>
      <c r="J107" s="41"/>
      <c r="K107" s="42"/>
      <c r="L107" s="124"/>
    </row>
    <row r="108" spans="3:12" ht="12.75">
      <c r="C108" s="17"/>
      <c r="D108" s="17"/>
      <c r="E108" s="89">
        <v>42822</v>
      </c>
      <c r="F108" s="45"/>
      <c r="G108" s="45">
        <v>-12471.43</v>
      </c>
      <c r="H108" s="17"/>
      <c r="I108" s="44"/>
      <c r="J108" s="41"/>
      <c r="K108" s="42"/>
      <c r="L108" s="124"/>
    </row>
    <row r="109" spans="3:12" ht="12.75">
      <c r="C109" s="17"/>
      <c r="D109" s="17"/>
      <c r="E109" s="89">
        <v>42843</v>
      </c>
      <c r="F109" s="45"/>
      <c r="G109" s="45">
        <v>-22116</v>
      </c>
      <c r="H109" s="17"/>
      <c r="I109" s="44"/>
      <c r="J109" s="41"/>
      <c r="K109" s="42"/>
      <c r="L109" s="124"/>
    </row>
    <row r="110" spans="3:12" ht="12.75">
      <c r="C110" s="17"/>
      <c r="D110" s="17"/>
      <c r="E110" s="89">
        <v>42909</v>
      </c>
      <c r="F110" s="45"/>
      <c r="G110" s="45">
        <v>-32342.57</v>
      </c>
      <c r="H110" s="17"/>
      <c r="I110" s="44"/>
      <c r="J110" s="41"/>
      <c r="K110" s="42"/>
      <c r="L110" s="124"/>
    </row>
    <row r="111" spans="3:12" ht="12.75">
      <c r="C111" s="17"/>
      <c r="D111" s="17"/>
      <c r="E111" s="89">
        <v>43054</v>
      </c>
      <c r="F111" s="45"/>
      <c r="G111" s="45">
        <v>-21783.43</v>
      </c>
      <c r="H111" s="17"/>
      <c r="I111" s="44"/>
      <c r="J111" s="41"/>
      <c r="K111" s="42"/>
      <c r="L111" s="42"/>
    </row>
    <row r="112" spans="3:12" ht="12.75">
      <c r="C112" s="17"/>
      <c r="D112" s="17"/>
      <c r="E112" s="89">
        <v>43090</v>
      </c>
      <c r="F112" s="45"/>
      <c r="G112" s="45">
        <v>-27187.72</v>
      </c>
      <c r="H112" s="17"/>
      <c r="I112" s="44"/>
      <c r="J112" s="41"/>
      <c r="K112" s="42"/>
      <c r="L112" s="42"/>
    </row>
    <row r="113" spans="3:12" ht="12.75">
      <c r="C113" s="17" t="s">
        <v>46</v>
      </c>
      <c r="D113" s="17"/>
      <c r="E113" s="89">
        <v>42823</v>
      </c>
      <c r="F113" s="45"/>
      <c r="G113" s="45">
        <v>87512.22</v>
      </c>
      <c r="H113" s="17"/>
      <c r="I113" s="44"/>
      <c r="J113" s="41"/>
      <c r="K113" s="42"/>
      <c r="L113" s="42"/>
    </row>
    <row r="114" spans="3:10" ht="12.75">
      <c r="C114" s="17"/>
      <c r="D114" s="17"/>
      <c r="E114" s="89">
        <v>42859</v>
      </c>
      <c r="F114" s="45"/>
      <c r="G114" s="45">
        <v>13701.77</v>
      </c>
      <c r="H114" s="17"/>
      <c r="I114" s="25"/>
      <c r="J114" s="17"/>
    </row>
    <row r="115" spans="3:8" ht="12.75">
      <c r="C115" s="17"/>
      <c r="D115" s="17"/>
      <c r="E115" s="89">
        <v>43020</v>
      </c>
      <c r="F115" s="45"/>
      <c r="G115" s="45">
        <v>34363.08</v>
      </c>
      <c r="H115" s="17"/>
    </row>
    <row r="116" spans="3:10" ht="12.75">
      <c r="C116" s="17" t="s">
        <v>31</v>
      </c>
      <c r="D116" s="17"/>
      <c r="E116" s="89">
        <v>43364</v>
      </c>
      <c r="F116" s="45"/>
      <c r="G116" s="45">
        <v>-68177.15</v>
      </c>
      <c r="H116" s="17"/>
      <c r="I116" s="25"/>
      <c r="J116" s="17"/>
    </row>
    <row r="117" spans="3:10" ht="12.75">
      <c r="C117" s="17"/>
      <c r="D117" s="17"/>
      <c r="E117" s="89">
        <v>43454</v>
      </c>
      <c r="F117" s="45"/>
      <c r="G117" s="45">
        <v>-69258</v>
      </c>
      <c r="H117" s="17"/>
      <c r="I117" s="25"/>
      <c r="J117" s="17"/>
    </row>
    <row r="118" spans="3:10" ht="12.75">
      <c r="C118" s="17" t="s">
        <v>26</v>
      </c>
      <c r="D118" s="17"/>
      <c r="E118" s="89">
        <v>43152</v>
      </c>
      <c r="F118" s="45"/>
      <c r="G118" s="45">
        <v>203797.46</v>
      </c>
      <c r="H118" s="17"/>
      <c r="I118" s="25"/>
      <c r="J118" s="17"/>
    </row>
    <row r="119" spans="3:10" ht="12.75">
      <c r="C119" s="17"/>
      <c r="D119" s="17"/>
      <c r="E119" s="89">
        <v>43186</v>
      </c>
      <c r="F119" s="45"/>
      <c r="G119" s="45">
        <v>123331.38</v>
      </c>
      <c r="H119" s="17"/>
      <c r="I119" s="25"/>
      <c r="J119" s="17"/>
    </row>
    <row r="120" spans="3:10" ht="12.75">
      <c r="C120" s="17"/>
      <c r="D120" s="17"/>
      <c r="E120" s="89">
        <v>43262</v>
      </c>
      <c r="F120" s="45"/>
      <c r="G120" s="45">
        <v>17974.49</v>
      </c>
      <c r="H120" s="17"/>
      <c r="I120" s="25"/>
      <c r="J120" s="17"/>
    </row>
    <row r="121" spans="3:10" ht="12.75">
      <c r="C121" s="17"/>
      <c r="D121" s="17"/>
      <c r="E121" s="89">
        <v>43404</v>
      </c>
      <c r="F121" s="45"/>
      <c r="G121" s="45">
        <v>16825.97</v>
      </c>
      <c r="H121" s="17"/>
      <c r="I121" s="25"/>
      <c r="J121" s="17"/>
    </row>
    <row r="122" spans="3:10" ht="12.75">
      <c r="C122" s="17" t="s">
        <v>32</v>
      </c>
      <c r="D122" s="17"/>
      <c r="E122" s="89">
        <v>43649</v>
      </c>
      <c r="F122" s="45"/>
      <c r="G122" s="45">
        <v>-12222</v>
      </c>
      <c r="H122" s="17"/>
      <c r="I122" s="25"/>
      <c r="J122" s="17"/>
    </row>
    <row r="123" spans="3:10" ht="12.75">
      <c r="C123" s="17" t="s">
        <v>27</v>
      </c>
      <c r="D123" s="17"/>
      <c r="E123" s="89">
        <v>43593</v>
      </c>
      <c r="F123" s="45"/>
      <c r="G123" s="45">
        <v>17577.72</v>
      </c>
      <c r="H123" s="17"/>
      <c r="I123" s="25"/>
      <c r="J123" s="17"/>
    </row>
    <row r="124" spans="3:10" ht="12.75">
      <c r="C124" s="17"/>
      <c r="D124" s="17"/>
      <c r="E124" s="89">
        <v>43655</v>
      </c>
      <c r="F124" s="45"/>
      <c r="G124" s="45">
        <v>28892.81</v>
      </c>
      <c r="H124" s="17"/>
      <c r="I124" s="25"/>
      <c r="J124" s="17"/>
    </row>
    <row r="125" spans="3:10" ht="12.75">
      <c r="C125" s="17" t="s">
        <v>33</v>
      </c>
      <c r="D125" s="17"/>
      <c r="E125" s="89">
        <v>43928</v>
      </c>
      <c r="F125" s="45"/>
      <c r="G125" s="45">
        <v>-10559.14</v>
      </c>
      <c r="H125" s="17"/>
      <c r="I125" s="25"/>
      <c r="J125" s="17"/>
    </row>
    <row r="126" spans="3:12" ht="15.75">
      <c r="C126" s="17"/>
      <c r="D126" s="17"/>
      <c r="E126" s="89">
        <v>44070</v>
      </c>
      <c r="F126" s="45"/>
      <c r="G126" s="45">
        <v>-107186.50</v>
      </c>
      <c r="H126" s="17"/>
      <c r="I126" s="25"/>
      <c r="J126" s="17"/>
      <c r="L126" s="80"/>
    </row>
    <row r="127" spans="3:12" ht="15.75">
      <c r="C127" s="17" t="s">
        <v>28</v>
      </c>
      <c r="D127" s="17"/>
      <c r="E127" s="89">
        <v>44302</v>
      </c>
      <c r="F127" s="45"/>
      <c r="G127" s="45">
        <v>54835.09</v>
      </c>
      <c r="H127" s="17"/>
      <c r="I127" s="25"/>
      <c r="J127" s="17"/>
      <c r="L127" s="80"/>
    </row>
    <row r="128" spans="3:12" ht="15.75">
      <c r="C128" s="17" t="s">
        <v>29</v>
      </c>
      <c r="D128" s="17"/>
      <c r="E128" s="89">
        <v>44673</v>
      </c>
      <c r="F128" s="45"/>
      <c r="G128" s="45">
        <v>112375.78</v>
      </c>
      <c r="H128" s="17"/>
      <c r="I128" s="25"/>
      <c r="J128" s="17"/>
      <c r="L128" s="80"/>
    </row>
    <row r="129" spans="3:12" ht="15.75">
      <c r="C129" s="17"/>
      <c r="D129" s="17"/>
      <c r="E129" s="89">
        <v>44727</v>
      </c>
      <c r="F129" s="45"/>
      <c r="G129" s="45">
        <v>17297.80</v>
      </c>
      <c r="H129" s="17"/>
      <c r="I129" s="25"/>
      <c r="J129" s="17"/>
      <c r="L129" s="80"/>
    </row>
    <row r="130" spans="3:12" ht="15.75">
      <c r="C130" s="17"/>
      <c r="D130" s="17"/>
      <c r="E130" s="89">
        <v>44796</v>
      </c>
      <c r="F130" s="45"/>
      <c r="G130" s="45">
        <v>15289.03</v>
      </c>
      <c r="H130" s="17"/>
      <c r="I130" s="25"/>
      <c r="J130" s="17"/>
      <c r="L130" s="80"/>
    </row>
    <row r="131" spans="3:9" ht="4.5" customHeight="1">
      <c r="C131" s="17"/>
      <c r="D131" s="17"/>
      <c r="E131" s="89"/>
      <c r="F131" s="17"/>
      <c r="G131" s="45"/>
      <c r="H131" s="17"/>
      <c r="I131" s="25"/>
    </row>
    <row r="132" spans="3:13" ht="12.75">
      <c r="C132" s="17" t="s">
        <v>5</v>
      </c>
      <c r="D132" s="17"/>
      <c r="E132" s="89">
        <f>+E8</f>
        <v>44834</v>
      </c>
      <c r="F132" s="17"/>
      <c r="G132" s="94">
        <f>L132/0.97*C22</f>
        <v>1348196.9852322557</v>
      </c>
      <c r="H132" s="17"/>
      <c r="I132" s="45">
        <f>+SUMIF($G$23:$G$131,"&lt;0",$G$23:$G$131)</f>
        <v>-3417237.97</v>
      </c>
      <c r="J132" s="17" t="s">
        <v>20</v>
      </c>
      <c r="L132" s="124">
        <v>1.572895672E9</v>
      </c>
      <c r="M132" s="66"/>
    </row>
    <row r="133" spans="3:14" ht="12.75">
      <c r="C133" s="17"/>
      <c r="D133" s="17"/>
      <c r="E133" s="17"/>
      <c r="F133" s="17"/>
      <c r="G133" s="17"/>
      <c r="H133" s="17"/>
      <c r="I133" s="45">
        <f>+SUMIF($G$23:$G$131,"&gt;0",$G$23:$G$131)</f>
        <v>2159704.119999999</v>
      </c>
      <c r="J133" s="17" t="s">
        <v>21</v>
      </c>
      <c r="L133" s="95"/>
      <c r="M133" s="66"/>
      <c r="N133" s="95"/>
    </row>
    <row r="134" spans="3:13" ht="12.75">
      <c r="C134" s="15" t="s">
        <v>0</v>
      </c>
      <c r="G134" s="72">
        <f>XIRR(G23:G132,E23:E132,0.1)</f>
        <v>0.005747011303901674</v>
      </c>
      <c r="H134" s="17"/>
      <c r="M134" s="95"/>
    </row>
    <row r="135" spans="3:8" ht="12.75">
      <c r="C135" s="17"/>
      <c r="D135" s="17"/>
      <c r="E135" s="17"/>
      <c r="F135" s="17"/>
      <c r="G135" s="17"/>
      <c r="H135" s="17"/>
    </row>
    <row r="136" spans="3:8" ht="12.75">
      <c r="C136" s="17"/>
      <c r="D136" s="17"/>
      <c r="E136" s="17"/>
      <c r="F136" s="17"/>
      <c r="G136" s="25"/>
      <c r="H136" s="17"/>
    </row>
    <row r="137" spans="3:8" ht="12.75">
      <c r="C137" s="17"/>
      <c r="D137" s="17"/>
      <c r="E137" s="17"/>
      <c r="F137" s="17"/>
      <c r="G137" s="75"/>
      <c r="H137" s="17"/>
    </row>
    <row r="138" spans="3:9" ht="12.75">
      <c r="C138" s="28"/>
      <c r="D138" s="28"/>
      <c r="E138" s="75"/>
      <c r="F138" s="28"/>
      <c r="G138" s="75"/>
      <c r="H138" s="17"/>
      <c r="I138" s="95"/>
    </row>
    <row r="139" spans="3:8" ht="12.75">
      <c r="C139" s="28"/>
      <c r="D139" s="28"/>
      <c r="E139" s="75"/>
      <c r="F139" s="28"/>
      <c r="G139" s="75"/>
      <c r="H139" s="17"/>
    </row>
    <row r="140" spans="3:8" ht="12.75">
      <c r="C140" s="28"/>
      <c r="D140" s="28"/>
      <c r="E140" s="76"/>
      <c r="F140" s="76"/>
      <c r="G140" s="76"/>
      <c r="H140" s="15"/>
    </row>
    <row r="141" spans="3:8" ht="12.75">
      <c r="C141" s="28"/>
      <c r="D141" s="28"/>
      <c r="E141" s="75"/>
      <c r="F141" s="75"/>
      <c r="G141" s="75"/>
      <c r="H141" s="15"/>
    </row>
    <row r="142" spans="3:8" ht="12.75">
      <c r="C142" s="28"/>
      <c r="D142" s="28"/>
      <c r="E142" s="28"/>
      <c r="F142" s="28"/>
      <c r="G142" s="28"/>
      <c r="H142" s="15"/>
    </row>
    <row r="143" spans="3:8" ht="12.75">
      <c r="C143" s="171"/>
      <c r="D143" s="171"/>
      <c r="E143" s="173"/>
      <c r="F143" s="96"/>
      <c r="G143" s="97"/>
      <c r="H143" s="15"/>
    </row>
    <row r="144" spans="3:8" ht="12.75">
      <c r="C144" s="171"/>
      <c r="D144" s="171"/>
      <c r="E144" s="97"/>
      <c r="F144" s="96"/>
      <c r="G144" s="97"/>
      <c r="H144" s="15"/>
    </row>
    <row r="145" spans="3:8" ht="12.75">
      <c r="C145" s="171"/>
      <c r="D145" s="171"/>
      <c r="E145" s="97"/>
      <c r="F145" s="96"/>
      <c r="G145" s="97"/>
      <c r="H145" s="15"/>
    </row>
    <row r="146" spans="3:8" ht="12.75">
      <c r="C146" s="189"/>
      <c r="D146" s="171"/>
      <c r="E146" s="97"/>
      <c r="F146" s="96"/>
      <c r="G146" s="97"/>
      <c r="H146" s="15"/>
    </row>
    <row r="147" spans="3:8" ht="12.75">
      <c r="C147" s="189"/>
      <c r="D147" s="171"/>
      <c r="E147" s="97"/>
      <c r="F147" s="96"/>
      <c r="G147" s="97"/>
      <c r="H147" s="15"/>
    </row>
    <row r="148" spans="3:8" ht="12.75">
      <c r="C148" s="190"/>
      <c r="D148" s="171"/>
      <c r="E148" s="97"/>
      <c r="F148" s="96"/>
      <c r="G148" s="97"/>
      <c r="H148" s="15"/>
    </row>
    <row r="149" spans="3:8" ht="12.75">
      <c r="C149" s="171"/>
      <c r="D149" s="171"/>
      <c r="E149" s="97"/>
      <c r="F149" s="96"/>
      <c r="G149" s="97"/>
      <c r="H149" s="15"/>
    </row>
    <row r="150" spans="3:8" ht="12.75">
      <c r="C150" s="171"/>
      <c r="D150" s="171"/>
      <c r="E150" s="97"/>
      <c r="F150" s="96"/>
      <c r="G150" s="97"/>
      <c r="H150" s="15"/>
    </row>
    <row r="151" spans="3:8" ht="12.75">
      <c r="C151" s="171"/>
      <c r="D151" s="171"/>
      <c r="E151" s="97"/>
      <c r="F151" s="96"/>
      <c r="G151" s="97"/>
      <c r="H151" s="15"/>
    </row>
    <row r="152" spans="3:8" ht="12.75">
      <c r="C152" s="171"/>
      <c r="D152" s="171"/>
      <c r="E152" s="97"/>
      <c r="F152" s="96"/>
      <c r="G152" s="97"/>
      <c r="H152" s="15"/>
    </row>
    <row r="153" spans="3:8" ht="12.75">
      <c r="C153" s="171"/>
      <c r="D153" s="171"/>
      <c r="E153" s="97"/>
      <c r="F153" s="96"/>
      <c r="G153" s="97"/>
      <c r="H153" s="15"/>
    </row>
    <row r="154" spans="3:8" ht="12.75">
      <c r="C154" s="171"/>
      <c r="D154" s="171"/>
      <c r="E154" s="97"/>
      <c r="F154" s="96"/>
      <c r="G154" s="97"/>
      <c r="H154" s="15"/>
    </row>
    <row r="155" spans="3:8" ht="5.1" customHeight="1">
      <c r="C155" s="15"/>
      <c r="D155" s="15"/>
      <c r="E155" s="99"/>
      <c r="F155" s="99"/>
      <c r="G155" s="99"/>
      <c r="H155" s="15"/>
    </row>
    <row r="156" spans="3:8" ht="12.75">
      <c r="C156" s="15"/>
      <c r="D156" s="15"/>
      <c r="E156" s="101"/>
      <c r="F156" s="101"/>
      <c r="G156" s="101"/>
      <c r="H156" s="15"/>
    </row>
    <row r="157" spans="3:8" ht="12.75">
      <c r="C157" s="17"/>
      <c r="D157" s="17"/>
      <c r="E157" s="102"/>
      <c r="F157" s="103"/>
      <c r="G157" s="102"/>
      <c r="H157" s="17"/>
    </row>
    <row r="158" spans="3:8" ht="12.75">
      <c r="C158" s="17"/>
      <c r="D158" s="17"/>
      <c r="E158" s="102"/>
      <c r="F158" s="103"/>
      <c r="G158" s="102"/>
      <c r="H158" s="17"/>
    </row>
    <row r="159" spans="3:8" ht="12.75">
      <c r="C159" s="17"/>
      <c r="D159" s="17"/>
      <c r="E159" s="102"/>
      <c r="F159" s="103"/>
      <c r="G159" s="102"/>
      <c r="H159" s="17"/>
    </row>
    <row r="160" spans="3:8" ht="12.75">
      <c r="C160" s="17"/>
      <c r="D160" s="17"/>
      <c r="E160" s="104"/>
      <c r="F160" s="104"/>
      <c r="G160" s="104"/>
      <c r="H160" s="17"/>
    </row>
    <row r="161" spans="3:8" ht="12.75">
      <c r="C161" s="17"/>
      <c r="D161" s="17"/>
      <c r="E161" s="17"/>
      <c r="F161" s="17"/>
      <c r="G161" s="17"/>
      <c r="H161" s="17"/>
    </row>
    <row r="162" spans="3:8" ht="12.75">
      <c r="C162" s="17"/>
      <c r="D162" s="17"/>
      <c r="E162" s="17"/>
      <c r="F162" s="17"/>
      <c r="G162" s="17"/>
      <c r="H162" s="17"/>
    </row>
    <row r="163" spans="3:8" ht="12.75">
      <c r="C163" s="17"/>
      <c r="D163" s="17"/>
      <c r="E163" s="17"/>
      <c r="F163" s="17"/>
      <c r="G163" s="17"/>
      <c r="H163" s="17"/>
    </row>
    <row r="164" spans="3:8" ht="12.75">
      <c r="C164" s="17"/>
      <c r="D164" s="17"/>
      <c r="E164" s="17"/>
      <c r="F164" s="17"/>
      <c r="G164" s="17"/>
      <c r="H164" s="17"/>
    </row>
    <row r="165" spans="3:8" ht="12.75">
      <c r="C165" s="17"/>
      <c r="D165" s="17"/>
      <c r="E165" s="17"/>
      <c r="F165" s="17"/>
      <c r="G165" s="17"/>
      <c r="H165" s="17"/>
    </row>
    <row r="166" spans="3:8" ht="12.75">
      <c r="C166" s="17"/>
      <c r="D166" s="17"/>
      <c r="E166" s="17"/>
      <c r="F166" s="17"/>
      <c r="G166" s="17"/>
      <c r="H166" s="17"/>
    </row>
    <row r="167" spans="3:8" ht="12.75">
      <c r="C167" s="17"/>
      <c r="D167" s="17"/>
      <c r="E167" s="17"/>
      <c r="F167" s="17"/>
      <c r="G167" s="17"/>
      <c r="H167" s="17"/>
    </row>
    <row r="168" spans="3:8" ht="12.75">
      <c r="C168" s="17"/>
      <c r="D168" s="17"/>
      <c r="E168" s="17"/>
      <c r="F168" s="17"/>
      <c r="G168" s="17"/>
      <c r="H168" s="17"/>
    </row>
    <row r="169" spans="3:8" ht="12.75">
      <c r="C169" s="17"/>
      <c r="D169" s="17"/>
      <c r="E169" s="17"/>
      <c r="F169" s="17"/>
      <c r="G169" s="17"/>
      <c r="H169" s="17"/>
    </row>
    <row r="170" spans="3:8" ht="12.75">
      <c r="C170" s="17"/>
      <c r="D170" s="17"/>
      <c r="E170" s="17"/>
      <c r="F170" s="17"/>
      <c r="G170" s="17"/>
      <c r="H170" s="17"/>
    </row>
  </sheetData>
  <mergeCells count="1">
    <mergeCell ref="E140:G140"/>
  </mergeCells>
  <pageMargins left="0.75" right="0.33" top="1" bottom="1" header="0.5" footer="0.5"/>
  <pageSetup orientation="landscape" paperSize="1" scale="25" r:id="rId2"/>
  <headerFooter alignWithMargins="0">
    <oddHeader>&amp;C&amp;G</oddHeader>
    <oddFooter>&amp;C&amp;G</oddFooter>
  </headerFooter>
  <legacyDrawingHF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D059E1C-DFB1-4F5C-BEAC-84849821F22C}">
  <sheetPr>
    <pageSetUpPr fitToPage="1"/>
  </sheetPr>
  <dimension ref="B4:L154"/>
  <sheetViews>
    <sheetView showGridLines="0" view="pageLayout" zoomScaleNormal="100" workbookViewId="0" topLeftCell="A1">
      <selection pane="topLeft" activeCell="E12" sqref="E12"/>
    </sheetView>
  </sheetViews>
  <sheetFormatPr defaultColWidth="9.144285714285713" defaultRowHeight="12.75"/>
  <cols>
    <col min="2" max="2" width="4.857142857142857" customWidth="1"/>
    <col min="3" max="3" width="46.142857142857146" customWidth="1"/>
    <col min="4" max="4" width="1.4285714285714286" customWidth="1"/>
    <col min="5" max="5" width="10.571428571428571" customWidth="1"/>
    <col min="6" max="6" width="1.4285714285714286" customWidth="1"/>
    <col min="7" max="7" width="11.142857142857142" bestFit="1" customWidth="1"/>
    <col min="8" max="8" width="2.4285714285714284" customWidth="1"/>
    <col min="9" max="9" width="12.285714285714286" customWidth="1"/>
    <col min="10" max="10" width="12.428571428571429" bestFit="1" customWidth="1"/>
    <col min="11" max="11" width="10" bestFit="1" customWidth="1"/>
    <col min="12" max="12" width="17.857142857142858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4:9" ht="15.75">
      <c r="D8" s="5"/>
      <c r="E8" s="155">
        <f>+VIII!E8</f>
        <v>44834</v>
      </c>
      <c r="F8" s="13"/>
      <c r="G8" s="78"/>
      <c r="H8" s="115"/>
      <c r="I8" s="115"/>
    </row>
    <row r="9" spans="3:7" ht="15.75">
      <c r="C9" s="65"/>
      <c r="D9" s="65"/>
      <c r="E9" s="65"/>
      <c r="F9" s="65"/>
      <c r="G9" s="177"/>
    </row>
    <row r="10" spans="3:9" ht="12.75">
      <c r="C10" s="178"/>
      <c r="D10" s="178"/>
      <c r="E10" s="179"/>
      <c r="F10" s="178"/>
      <c r="G10" s="124"/>
      <c r="H10" s="86"/>
      <c r="I10" s="86"/>
    </row>
    <row r="11" spans="3:9" ht="12.75">
      <c r="C11" s="178"/>
      <c r="D11" s="178"/>
      <c r="E11" s="179"/>
      <c r="F11" s="178"/>
      <c r="G11" s="179"/>
      <c r="H11" s="86"/>
      <c r="I11" s="86"/>
    </row>
    <row r="12" spans="3:9" ht="15.75">
      <c r="C12" s="180"/>
      <c r="D12" s="180"/>
      <c r="E12" s="70"/>
      <c r="F12" s="180"/>
      <c r="G12" s="70"/>
      <c r="H12" s="86"/>
      <c r="I12" s="86"/>
    </row>
    <row r="13" spans="3:9" ht="12.75">
      <c r="C13" s="178"/>
      <c r="D13" s="178"/>
      <c r="E13" s="71"/>
      <c r="F13" s="178"/>
      <c r="G13" s="124"/>
      <c r="H13" s="86"/>
      <c r="I13" s="86"/>
    </row>
    <row r="14" spans="3:9" ht="12.75">
      <c r="C14" s="178"/>
      <c r="D14" s="178"/>
      <c r="E14" s="181"/>
      <c r="F14" s="178"/>
      <c r="G14" s="124"/>
      <c r="H14" s="86"/>
      <c r="I14" s="86"/>
    </row>
    <row r="15" spans="3:9" ht="12.75">
      <c r="C15" s="178"/>
      <c r="D15" s="178"/>
      <c r="E15" s="179"/>
      <c r="F15" s="178"/>
      <c r="G15" s="179"/>
      <c r="H15" s="86"/>
      <c r="I15" s="86"/>
    </row>
    <row r="16" spans="3:9" ht="15.75">
      <c r="C16" s="5"/>
      <c r="D16" s="5"/>
      <c r="E16" s="10"/>
      <c r="F16" s="5"/>
      <c r="G16" s="10"/>
      <c r="H16" s="86"/>
      <c r="I16" s="86"/>
    </row>
    <row r="17" spans="3:9" ht="15.75">
      <c r="C17" s="83" t="s">
        <v>15</v>
      </c>
      <c r="D17" s="83"/>
      <c r="E17" s="10"/>
      <c r="F17" s="83"/>
      <c r="G17" s="10"/>
      <c r="H17" s="5"/>
      <c r="I17" s="82"/>
    </row>
    <row r="18" spans="3:9" ht="12.75" customHeight="1">
      <c r="C18" s="6" t="s">
        <v>16</v>
      </c>
      <c r="D18" s="6"/>
      <c r="E18" s="84">
        <f>+G134</f>
        <v>0.003959110379219055</v>
      </c>
      <c r="F18" s="6"/>
      <c r="G18" s="11"/>
      <c r="H18" s="84"/>
      <c r="I18" s="82"/>
    </row>
    <row r="19" spans="3:8" ht="12.75">
      <c r="C19" s="6" t="s">
        <v>17</v>
      </c>
      <c r="D19" s="6"/>
      <c r="E19" s="87">
        <f>(G132+I133)/-I132</f>
        <v>1.01860507876781</v>
      </c>
      <c r="F19" s="6"/>
      <c r="G19" s="9"/>
      <c r="H19" s="81"/>
    </row>
    <row r="20" spans="3:9" ht="12.75">
      <c r="C20" s="6"/>
      <c r="D20" s="6"/>
      <c r="E20" s="9"/>
      <c r="F20" s="6"/>
      <c r="G20" s="9"/>
      <c r="H20" s="86"/>
      <c r="I20" s="86"/>
    </row>
    <row r="21" spans="3:10" ht="12.75">
      <c r="C21" s="88" t="s">
        <v>50</v>
      </c>
      <c r="D21" s="6"/>
      <c r="E21" s="6"/>
      <c r="F21" s="6"/>
      <c r="G21" s="81"/>
      <c r="H21" s="156"/>
      <c r="I21" s="89"/>
      <c r="J21" s="17"/>
    </row>
    <row r="22" spans="3:10" ht="15.75">
      <c r="C22" s="157">
        <v>0.033025234</v>
      </c>
      <c r="D22" s="7"/>
      <c r="E22" s="7"/>
      <c r="F22" s="7"/>
      <c r="G22" s="17"/>
      <c r="H22" s="17"/>
      <c r="I22" s="17"/>
      <c r="J22" s="17"/>
    </row>
    <row r="23" spans="3:12" ht="12.75">
      <c r="C23" s="17" t="s">
        <v>8</v>
      </c>
      <c r="D23" s="17"/>
      <c r="E23" s="89">
        <v>40512</v>
      </c>
      <c r="F23" s="17"/>
      <c r="G23" s="22">
        <v>-157500</v>
      </c>
      <c r="H23" s="17"/>
      <c r="I23" s="25"/>
      <c r="J23" s="25"/>
      <c r="L23" s="95"/>
    </row>
    <row r="24" spans="3:12" ht="12.75">
      <c r="C24" s="17" t="s">
        <v>49</v>
      </c>
      <c r="D24" s="17"/>
      <c r="E24" s="89">
        <v>40570</v>
      </c>
      <c r="F24" s="17"/>
      <c r="G24" s="45">
        <v>-78750</v>
      </c>
      <c r="H24" s="17"/>
      <c r="I24" s="25"/>
      <c r="J24" s="25"/>
      <c r="L24" s="95"/>
    </row>
    <row r="25" spans="3:12" ht="12.75">
      <c r="C25" s="17"/>
      <c r="D25" s="17"/>
      <c r="E25" s="89">
        <v>40661</v>
      </c>
      <c r="F25" s="17"/>
      <c r="G25" s="45">
        <v>-60486.43</v>
      </c>
      <c r="H25" s="17"/>
      <c r="I25" s="25"/>
      <c r="J25" s="25"/>
      <c r="L25" s="95"/>
    </row>
    <row r="26" spans="3:12" ht="12.75">
      <c r="C26" s="17"/>
      <c r="D26" s="17"/>
      <c r="E26" s="89">
        <v>40704</v>
      </c>
      <c r="F26" s="17"/>
      <c r="G26" s="45">
        <v>-95406.42</v>
      </c>
      <c r="H26" s="17"/>
      <c r="I26" s="25"/>
      <c r="J26" s="25"/>
      <c r="L26" s="95"/>
    </row>
    <row r="27" spans="3:12" ht="12.75">
      <c r="C27" s="17"/>
      <c r="D27" s="17"/>
      <c r="E27" s="89">
        <v>40751</v>
      </c>
      <c r="F27" s="17"/>
      <c r="G27" s="45">
        <v>-91249.28</v>
      </c>
      <c r="H27" s="17"/>
      <c r="I27" s="25"/>
      <c r="J27" s="25"/>
      <c r="L27" s="95"/>
    </row>
    <row r="28" spans="3:12" ht="12.75">
      <c r="C28" s="17"/>
      <c r="D28" s="17"/>
      <c r="E28" s="89">
        <v>40765</v>
      </c>
      <c r="F28" s="17"/>
      <c r="G28" s="45">
        <v>-151735.71</v>
      </c>
      <c r="H28" s="17"/>
      <c r="I28" s="25"/>
      <c r="J28" s="25"/>
      <c r="L28" s="95"/>
    </row>
    <row r="29" spans="3:12" ht="12.75">
      <c r="C29" s="17"/>
      <c r="D29" s="17"/>
      <c r="E29" s="89">
        <v>40813</v>
      </c>
      <c r="F29" s="17"/>
      <c r="G29" s="45">
        <v>-133652.14</v>
      </c>
      <c r="H29" s="17"/>
      <c r="I29" s="25"/>
      <c r="J29" s="25"/>
      <c r="L29" s="95"/>
    </row>
    <row r="30" spans="3:12" ht="12.75">
      <c r="C30" s="17"/>
      <c r="D30" s="17"/>
      <c r="E30" s="89">
        <v>40879</v>
      </c>
      <c r="F30" s="17"/>
      <c r="G30" s="45">
        <v>-64227.85</v>
      </c>
      <c r="H30" s="17"/>
      <c r="I30" s="25"/>
      <c r="J30" s="25"/>
      <c r="L30" s="95"/>
    </row>
    <row r="31" spans="3:12" ht="12.75">
      <c r="C31" s="17"/>
      <c r="D31" s="17"/>
      <c r="E31" s="89">
        <v>40886</v>
      </c>
      <c r="F31" s="17"/>
      <c r="G31" s="45">
        <v>-87507.85</v>
      </c>
      <c r="H31" s="17"/>
      <c r="I31" s="25"/>
      <c r="J31" s="25"/>
      <c r="L31" s="95"/>
    </row>
    <row r="32" spans="3:12" ht="12.75">
      <c r="C32" s="17" t="s">
        <v>12</v>
      </c>
      <c r="D32" s="17"/>
      <c r="E32" s="89">
        <v>40927</v>
      </c>
      <c r="F32" s="17"/>
      <c r="G32" s="25">
        <v>-146331.42</v>
      </c>
      <c r="H32" s="17"/>
      <c r="I32" s="25"/>
      <c r="J32" s="25"/>
      <c r="L32" s="95"/>
    </row>
    <row r="33" spans="3:12" ht="12.75">
      <c r="C33" s="17"/>
      <c r="D33" s="17"/>
      <c r="E33" s="89">
        <v>40942</v>
      </c>
      <c r="F33" s="17"/>
      <c r="G33" s="25">
        <v>-685928.54</v>
      </c>
      <c r="H33" s="17"/>
      <c r="I33" s="25"/>
      <c r="J33" s="25"/>
      <c r="L33" s="95"/>
    </row>
    <row r="34" spans="3:12" ht="12.75">
      <c r="C34" s="17"/>
      <c r="D34" s="17"/>
      <c r="E34" s="89">
        <v>40970</v>
      </c>
      <c r="F34" s="17"/>
      <c r="G34" s="25">
        <v>-109124.99</v>
      </c>
      <c r="H34" s="17"/>
      <c r="I34" s="25"/>
      <c r="J34" s="25"/>
      <c r="L34" s="95"/>
    </row>
    <row r="35" spans="3:12" ht="12.75">
      <c r="C35" s="17"/>
      <c r="D35" s="17"/>
      <c r="E35" s="89">
        <v>41001</v>
      </c>
      <c r="F35" s="17"/>
      <c r="G35" s="25">
        <v>-63812.14</v>
      </c>
      <c r="H35" s="17"/>
      <c r="I35" s="25"/>
      <c r="J35" s="25"/>
      <c r="L35" s="95"/>
    </row>
    <row r="36" spans="3:12" ht="12.75">
      <c r="C36" s="17"/>
      <c r="D36" s="17"/>
      <c r="E36" s="89">
        <v>41024</v>
      </c>
      <c r="F36" s="17"/>
      <c r="G36" s="25">
        <v>-75660</v>
      </c>
      <c r="H36" s="17"/>
      <c r="I36" s="25"/>
      <c r="J36" s="25"/>
      <c r="L36" s="95"/>
    </row>
    <row r="37" spans="3:12" ht="12.75">
      <c r="C37" s="17"/>
      <c r="D37" s="17"/>
      <c r="E37" s="89">
        <v>41054</v>
      </c>
      <c r="F37" s="17"/>
      <c r="G37" s="25">
        <v>-98524.28</v>
      </c>
      <c r="H37" s="17"/>
      <c r="I37" s="25"/>
      <c r="J37" s="25"/>
      <c r="L37" s="95"/>
    </row>
    <row r="38" spans="3:12" ht="12.75">
      <c r="C38" s="17"/>
      <c r="D38" s="17"/>
      <c r="E38" s="89">
        <v>41080</v>
      </c>
      <c r="F38" s="17"/>
      <c r="G38" s="25">
        <v>-182706.42</v>
      </c>
      <c r="H38" s="17"/>
      <c r="I38" s="25"/>
      <c r="J38" s="25"/>
      <c r="L38" s="95"/>
    </row>
    <row r="39" spans="3:12" ht="12.75">
      <c r="C39" s="17"/>
      <c r="D39" s="17"/>
      <c r="E39" s="89">
        <v>41103</v>
      </c>
      <c r="F39" s="17"/>
      <c r="G39" s="25">
        <v>-59239.28</v>
      </c>
      <c r="H39" s="17"/>
      <c r="I39" s="25"/>
      <c r="J39" s="25"/>
      <c r="L39" s="95"/>
    </row>
    <row r="40" spans="3:12" ht="12.75">
      <c r="C40" s="17"/>
      <c r="D40" s="17"/>
      <c r="E40" s="89">
        <v>41121</v>
      </c>
      <c r="F40" s="17"/>
      <c r="G40" s="25">
        <v>-57160.71</v>
      </c>
      <c r="H40" s="17"/>
      <c r="I40" s="25"/>
      <c r="J40" s="25"/>
      <c r="L40" s="95"/>
    </row>
    <row r="41" spans="3:12" ht="12.75">
      <c r="C41" s="17"/>
      <c r="D41" s="17"/>
      <c r="E41" s="89">
        <v>41152</v>
      </c>
      <c r="F41" s="17"/>
      <c r="G41" s="25">
        <v>-75660.01</v>
      </c>
      <c r="H41" s="17"/>
      <c r="I41" s="25"/>
      <c r="J41" s="25"/>
      <c r="L41" s="95"/>
    </row>
    <row r="42" spans="3:12" ht="12.75">
      <c r="C42" s="17"/>
      <c r="D42" s="17"/>
      <c r="E42" s="89">
        <v>41180</v>
      </c>
      <c r="F42" s="17"/>
      <c r="G42" s="25">
        <v>-143421.43</v>
      </c>
      <c r="H42" s="17"/>
      <c r="I42" s="25"/>
      <c r="J42" s="25"/>
      <c r="L42" s="95"/>
    </row>
    <row r="43" spans="3:12" ht="12.75">
      <c r="C43" s="17"/>
      <c r="D43" s="17"/>
      <c r="E43" s="89">
        <v>41194</v>
      </c>
      <c r="F43" s="17"/>
      <c r="G43" s="25">
        <v>-70463.57</v>
      </c>
      <c r="H43" s="17"/>
      <c r="I43" s="25"/>
      <c r="J43" s="25"/>
      <c r="L43" s="95"/>
    </row>
    <row r="44" spans="3:12" ht="12.75">
      <c r="C44" s="17"/>
      <c r="D44" s="17"/>
      <c r="E44" s="89">
        <v>41250</v>
      </c>
      <c r="F44" s="17"/>
      <c r="G44" s="25">
        <v>-317813.58</v>
      </c>
      <c r="H44" s="17"/>
      <c r="I44" s="25"/>
      <c r="J44" s="25"/>
      <c r="L44" s="95"/>
    </row>
    <row r="45" spans="3:12" ht="12.75">
      <c r="C45" s="17"/>
      <c r="D45" s="17"/>
      <c r="E45" s="89">
        <v>41264</v>
      </c>
      <c r="F45" s="17"/>
      <c r="G45" s="25">
        <v>-282270</v>
      </c>
      <c r="H45" s="17"/>
      <c r="I45" s="25"/>
      <c r="J45" s="25"/>
      <c r="L45" s="95"/>
    </row>
    <row r="46" spans="3:12" ht="12.75">
      <c r="C46" s="17" t="s">
        <v>43</v>
      </c>
      <c r="D46" s="17"/>
      <c r="E46" s="89">
        <v>41030</v>
      </c>
      <c r="F46" s="17"/>
      <c r="G46" s="45">
        <v>235528.56</v>
      </c>
      <c r="H46" s="17"/>
      <c r="I46" s="25"/>
      <c r="J46" s="25"/>
      <c r="L46" s="95"/>
    </row>
    <row r="47" spans="3:12" ht="12.75">
      <c r="C47" s="17"/>
      <c r="D47" s="17"/>
      <c r="E47" s="89">
        <v>41108</v>
      </c>
      <c r="F47" s="17"/>
      <c r="G47" s="45">
        <v>59889.22</v>
      </c>
      <c r="H47" s="17"/>
      <c r="I47" s="25"/>
      <c r="J47" s="25"/>
      <c r="L47" s="95"/>
    </row>
    <row r="48" spans="3:12" ht="12.75">
      <c r="C48" s="17"/>
      <c r="D48" s="17"/>
      <c r="E48" s="89">
        <v>41137</v>
      </c>
      <c r="F48" s="17"/>
      <c r="G48" s="45">
        <v>25909.14</v>
      </c>
      <c r="H48" s="17"/>
      <c r="I48" s="25"/>
      <c r="J48" s="25"/>
      <c r="L48" s="95"/>
    </row>
    <row r="49" spans="3:12" ht="12.75">
      <c r="C49" s="17"/>
      <c r="D49" s="17"/>
      <c r="E49" s="89">
        <v>41173</v>
      </c>
      <c r="F49" s="17"/>
      <c r="G49" s="45">
        <v>519144.04</v>
      </c>
      <c r="H49" s="17"/>
      <c r="I49" s="25"/>
      <c r="J49" s="25"/>
      <c r="L49" s="95"/>
    </row>
    <row r="50" spans="3:12" ht="12.75">
      <c r="C50" s="17" t="s">
        <v>18</v>
      </c>
      <c r="D50" s="17"/>
      <c r="E50" s="89">
        <v>41284</v>
      </c>
      <c r="F50" s="17"/>
      <c r="G50" s="45">
        <v>-83350.73</v>
      </c>
      <c r="H50" s="17"/>
      <c r="I50" s="25"/>
      <c r="J50" s="25"/>
      <c r="L50" s="95"/>
    </row>
    <row r="51" spans="3:12" ht="12.75">
      <c r="C51" s="17"/>
      <c r="D51" s="17"/>
      <c r="E51" s="89">
        <v>41298</v>
      </c>
      <c r="F51" s="17"/>
      <c r="G51" s="45">
        <v>-106630.71</v>
      </c>
      <c r="H51" s="17"/>
      <c r="I51" s="25"/>
      <c r="J51" s="25"/>
      <c r="L51" s="95"/>
    </row>
    <row r="52" spans="3:12" ht="12.75">
      <c r="C52" s="17"/>
      <c r="D52" s="17"/>
      <c r="E52" s="89">
        <v>41345</v>
      </c>
      <c r="F52" s="17"/>
      <c r="G52" s="45">
        <v>-109332.86</v>
      </c>
      <c r="H52" s="17"/>
      <c r="I52" s="25"/>
      <c r="J52" s="25"/>
      <c r="L52" s="95"/>
    </row>
    <row r="53" spans="3:12" ht="12.75">
      <c r="C53" s="17"/>
      <c r="D53" s="17"/>
      <c r="E53" s="89">
        <v>41360</v>
      </c>
      <c r="F53" s="17"/>
      <c r="G53" s="45">
        <v>-97900.71</v>
      </c>
      <c r="H53" s="17"/>
      <c r="I53" s="25"/>
      <c r="J53" s="25"/>
      <c r="L53" s="95"/>
    </row>
    <row r="54" spans="3:12" ht="12.75">
      <c r="C54" s="17"/>
      <c r="D54" s="17"/>
      <c r="E54" s="89">
        <v>41393</v>
      </c>
      <c r="F54" s="17"/>
      <c r="G54" s="45">
        <v>-78777.85</v>
      </c>
      <c r="H54" s="17"/>
      <c r="I54" s="25"/>
      <c r="J54" s="25"/>
      <c r="L54" s="95"/>
    </row>
    <row r="55" spans="3:12" ht="12.75">
      <c r="C55" s="17"/>
      <c r="D55" s="17"/>
      <c r="E55" s="89">
        <v>41404</v>
      </c>
      <c r="F55" s="17"/>
      <c r="G55" s="45">
        <v>-107254.28</v>
      </c>
      <c r="H55" s="17"/>
      <c r="I55" s="25"/>
      <c r="J55" s="25"/>
      <c r="L55" s="95"/>
    </row>
    <row r="56" spans="3:12" ht="12.75">
      <c r="C56" s="17"/>
      <c r="D56" s="17"/>
      <c r="E56" s="89">
        <v>41423</v>
      </c>
      <c r="F56" s="17"/>
      <c r="G56" s="45">
        <v>-92912.15</v>
      </c>
      <c r="H56" s="17"/>
      <c r="I56" s="25"/>
      <c r="J56" s="25"/>
      <c r="L56" s="95"/>
    </row>
    <row r="57" spans="3:12" ht="12.75">
      <c r="C57" s="17"/>
      <c r="D57" s="17"/>
      <c r="E57" s="89">
        <v>41446</v>
      </c>
      <c r="F57" s="17"/>
      <c r="G57" s="45">
        <v>-283932.86</v>
      </c>
      <c r="H57" s="17"/>
      <c r="I57" s="25"/>
      <c r="J57" s="25"/>
      <c r="L57" s="95"/>
    </row>
    <row r="58" spans="3:12" ht="12.75">
      <c r="C58" s="17"/>
      <c r="D58" s="17"/>
      <c r="E58" s="89">
        <v>41481</v>
      </c>
      <c r="F58" s="17"/>
      <c r="G58" s="45">
        <v>-88755</v>
      </c>
      <c r="H58" s="17"/>
      <c r="I58" s="25"/>
      <c r="J58" s="25"/>
      <c r="L58" s="95"/>
    </row>
    <row r="59" spans="3:12" ht="12.75">
      <c r="C59" s="17"/>
      <c r="D59" s="17"/>
      <c r="E59" s="89">
        <v>41501</v>
      </c>
      <c r="F59" s="17"/>
      <c r="G59" s="45">
        <v>-83558.57</v>
      </c>
      <c r="H59" s="17"/>
      <c r="I59" s="25"/>
      <c r="J59" s="25"/>
      <c r="L59" s="95"/>
    </row>
    <row r="60" spans="3:12" ht="12.75">
      <c r="C60" s="17"/>
      <c r="D60" s="17"/>
      <c r="E60" s="89">
        <v>41514</v>
      </c>
      <c r="F60" s="17"/>
      <c r="G60" s="45">
        <v>-121180.72</v>
      </c>
      <c r="H60" s="17"/>
      <c r="I60" s="25"/>
      <c r="J60" s="25"/>
      <c r="L60" s="95"/>
    </row>
    <row r="61" spans="3:12" ht="12.75">
      <c r="C61" s="17"/>
      <c r="D61" s="17"/>
      <c r="E61" s="89">
        <v>41551</v>
      </c>
      <c r="F61" s="17"/>
      <c r="G61" s="45">
        <v>-72334.28</v>
      </c>
      <c r="H61" s="17"/>
      <c r="I61" s="25"/>
      <c r="J61" s="25"/>
      <c r="L61" s="95"/>
    </row>
    <row r="62" spans="3:12" ht="12.75">
      <c r="C62" s="17"/>
      <c r="D62" s="17"/>
      <c r="E62" s="89">
        <v>41577</v>
      </c>
      <c r="F62" s="17"/>
      <c r="G62" s="45">
        <v>-115776.43</v>
      </c>
      <c r="H62" s="17"/>
      <c r="L62" s="95"/>
    </row>
    <row r="63" spans="3:12" ht="12.75">
      <c r="C63" s="17"/>
      <c r="D63" s="17"/>
      <c r="E63" s="89">
        <v>41599</v>
      </c>
      <c r="F63" s="17"/>
      <c r="G63" s="45">
        <v>-73165.71</v>
      </c>
      <c r="H63" s="17"/>
      <c r="L63" s="95"/>
    </row>
    <row r="64" spans="3:12" ht="12.75">
      <c r="C64" s="17"/>
      <c r="D64" s="17"/>
      <c r="E64" s="89">
        <v>41624</v>
      </c>
      <c r="F64" s="17"/>
      <c r="G64" s="45">
        <v>-146331.43</v>
      </c>
      <c r="H64" s="17"/>
      <c r="L64" s="95"/>
    </row>
    <row r="65" spans="3:12" ht="12.75">
      <c r="C65" s="17" t="s">
        <v>14</v>
      </c>
      <c r="D65" s="17"/>
      <c r="E65" s="89">
        <v>41418</v>
      </c>
      <c r="F65" s="17"/>
      <c r="G65" s="45">
        <v>32143.76</v>
      </c>
      <c r="H65" s="17"/>
      <c r="L65" s="95"/>
    </row>
    <row r="66" spans="3:12" ht="12.75">
      <c r="C66" s="17"/>
      <c r="D66" s="17"/>
      <c r="E66" s="89">
        <v>41618</v>
      </c>
      <c r="F66" s="17"/>
      <c r="G66" s="45">
        <v>120407.15</v>
      </c>
      <c r="H66" s="17"/>
      <c r="L66" s="95"/>
    </row>
    <row r="67" spans="3:12" ht="12.75">
      <c r="C67" s="17" t="s">
        <v>23</v>
      </c>
      <c r="D67" s="17"/>
      <c r="E67" s="89">
        <v>41646</v>
      </c>
      <c r="F67" s="17"/>
      <c r="G67" s="45">
        <v>-103305.01</v>
      </c>
      <c r="H67" s="17"/>
      <c r="I67" s="25"/>
      <c r="J67" s="17"/>
      <c r="L67" s="95"/>
    </row>
    <row r="68" spans="3:12" ht="12.75">
      <c r="C68" s="17"/>
      <c r="D68" s="17"/>
      <c r="E68" s="89">
        <v>41670</v>
      </c>
      <c r="F68" s="17"/>
      <c r="G68" s="45">
        <v>-76699.29</v>
      </c>
      <c r="H68" s="17"/>
      <c r="I68" s="25"/>
      <c r="J68" s="17"/>
      <c r="L68" s="95"/>
    </row>
    <row r="69" spans="3:12" ht="12.75">
      <c r="C69" s="17"/>
      <c r="D69" s="17"/>
      <c r="E69" s="89">
        <v>41697</v>
      </c>
      <c r="F69" s="17"/>
      <c r="G69" s="45">
        <v>-136562.13</v>
      </c>
      <c r="H69" s="17"/>
      <c r="I69" s="25"/>
      <c r="J69" s="17"/>
      <c r="L69" s="95"/>
    </row>
    <row r="70" spans="3:12" ht="12.75">
      <c r="C70" s="17"/>
      <c r="D70" s="17"/>
      <c r="E70" s="89">
        <v>41704</v>
      </c>
      <c r="F70" s="17"/>
      <c r="G70" s="45">
        <v>-98940</v>
      </c>
      <c r="H70" s="17"/>
      <c r="I70" s="25"/>
      <c r="J70" s="17"/>
      <c r="L70" s="95"/>
    </row>
    <row r="71" spans="3:12" ht="12.75">
      <c r="C71" s="17"/>
      <c r="D71" s="17"/>
      <c r="E71" s="89">
        <v>41718</v>
      </c>
      <c r="F71" s="17"/>
      <c r="G71" s="45">
        <v>-86468.56</v>
      </c>
      <c r="H71" s="17"/>
      <c r="I71" s="25"/>
      <c r="J71" s="17"/>
      <c r="L71" s="95"/>
    </row>
    <row r="72" spans="3:12" ht="12.75">
      <c r="C72" s="17"/>
      <c r="D72" s="17"/>
      <c r="E72" s="89">
        <v>41750</v>
      </c>
      <c r="F72" s="17"/>
      <c r="G72" s="45">
        <v>-137393.57</v>
      </c>
      <c r="H72" s="17"/>
      <c r="I72" s="25"/>
      <c r="J72" s="17"/>
      <c r="L72" s="95"/>
    </row>
    <row r="73" spans="3:12" ht="12.75">
      <c r="C73" s="17"/>
      <c r="D73" s="17"/>
      <c r="E73" s="89">
        <v>41779</v>
      </c>
      <c r="F73" s="17"/>
      <c r="G73" s="45">
        <v>-137185.7</v>
      </c>
      <c r="H73" s="17"/>
      <c r="I73" s="112"/>
      <c r="J73" s="110"/>
      <c r="L73" s="95"/>
    </row>
    <row r="74" spans="3:12" ht="12.75">
      <c r="C74" s="17"/>
      <c r="D74" s="17"/>
      <c r="E74" s="89">
        <v>41814</v>
      </c>
      <c r="F74" s="17"/>
      <c r="G74" s="45">
        <v>-101226.43</v>
      </c>
      <c r="H74" s="17"/>
      <c r="L74" s="95"/>
    </row>
    <row r="75" spans="3:12" ht="12.75">
      <c r="C75" s="17"/>
      <c r="D75" s="17"/>
      <c r="E75" s="89">
        <v>41877</v>
      </c>
      <c r="F75" s="17"/>
      <c r="G75" s="45">
        <v>-159426.43</v>
      </c>
      <c r="H75" s="17"/>
      <c r="L75" s="95"/>
    </row>
    <row r="76" spans="3:12" ht="12.75">
      <c r="C76" s="17"/>
      <c r="D76" s="17"/>
      <c r="E76" s="89">
        <v>41913</v>
      </c>
      <c r="F76" s="17"/>
      <c r="G76" s="45">
        <v>-66098.57</v>
      </c>
      <c r="H76" s="17"/>
      <c r="L76" s="95"/>
    </row>
    <row r="77" spans="3:12" ht="12.75">
      <c r="C77" s="17"/>
      <c r="D77" s="17"/>
      <c r="E77" s="89">
        <v>41943</v>
      </c>
      <c r="F77" s="17"/>
      <c r="G77" s="45">
        <v>-84390.01</v>
      </c>
      <c r="H77" s="17"/>
      <c r="L77" s="95"/>
    </row>
    <row r="78" spans="3:12" ht="12.75">
      <c r="C78" s="17"/>
      <c r="D78" s="17"/>
      <c r="E78" s="89">
        <v>41990</v>
      </c>
      <c r="F78" s="17"/>
      <c r="G78" s="45">
        <v>-88339.29</v>
      </c>
      <c r="H78" s="17"/>
      <c r="L78" s="95"/>
    </row>
    <row r="79" spans="3:12" ht="12.75">
      <c r="C79" s="17" t="s">
        <v>22</v>
      </c>
      <c r="D79" s="17"/>
      <c r="E79" s="89">
        <v>41816</v>
      </c>
      <c r="F79" s="17"/>
      <c r="G79" s="45">
        <v>199985.24</v>
      </c>
      <c r="H79" s="17"/>
      <c r="L79" s="95"/>
    </row>
    <row r="80" spans="3:12" ht="12.75">
      <c r="C80" s="17"/>
      <c r="D80" s="17"/>
      <c r="E80" s="89">
        <v>41857</v>
      </c>
      <c r="F80" s="17"/>
      <c r="G80" s="45">
        <v>809416.30</v>
      </c>
      <c r="H80" s="17"/>
      <c r="L80" s="95"/>
    </row>
    <row r="81" spans="3:12" ht="12.75">
      <c r="C81" s="17" t="s">
        <v>44</v>
      </c>
      <c r="D81" s="17"/>
      <c r="E81" s="89">
        <v>42011</v>
      </c>
      <c r="F81" s="17"/>
      <c r="G81" s="45">
        <v>-69424.29</v>
      </c>
      <c r="H81" s="17"/>
      <c r="L81" s="95"/>
    </row>
    <row r="82" spans="3:12" ht="12.75">
      <c r="C82" s="17"/>
      <c r="D82" s="17"/>
      <c r="E82" s="89">
        <v>42027</v>
      </c>
      <c r="F82" s="17"/>
      <c r="G82" s="45">
        <v>-89586.43</v>
      </c>
      <c r="H82" s="17"/>
      <c r="L82" s="95"/>
    </row>
    <row r="83" spans="3:12" ht="12.75">
      <c r="C83" s="17"/>
      <c r="D83" s="17"/>
      <c r="E83" s="89">
        <v>42075</v>
      </c>
      <c r="F83" s="17"/>
      <c r="G83" s="45">
        <v>-89794.29</v>
      </c>
      <c r="H83" s="17"/>
      <c r="L83" s="95"/>
    </row>
    <row r="84" spans="4:12" ht="12.75">
      <c r="D84" s="17"/>
      <c r="E84" s="89">
        <v>42138</v>
      </c>
      <c r="F84" s="17"/>
      <c r="G84" s="45">
        <v>-133028.58</v>
      </c>
      <c r="H84" s="17"/>
      <c r="L84" s="95"/>
    </row>
    <row r="85" spans="4:12" ht="12.75">
      <c r="D85" s="17"/>
      <c r="E85" s="89">
        <v>42265</v>
      </c>
      <c r="F85" s="17"/>
      <c r="G85" s="45">
        <v>-60070.70</v>
      </c>
      <c r="H85" s="17"/>
      <c r="L85" s="95"/>
    </row>
    <row r="86" spans="4:12" ht="12.75">
      <c r="D86" s="17"/>
      <c r="E86" s="89">
        <v>42297</v>
      </c>
      <c r="F86" s="17"/>
      <c r="G86" s="45">
        <v>-104967.86</v>
      </c>
      <c r="H86" s="17"/>
      <c r="L86" s="95"/>
    </row>
    <row r="87" spans="4:12" ht="12.75">
      <c r="D87" s="17"/>
      <c r="E87" s="89">
        <v>42352</v>
      </c>
      <c r="F87" s="17"/>
      <c r="G87" s="45">
        <v>-94159.28</v>
      </c>
      <c r="H87" s="17"/>
      <c r="L87" s="95"/>
    </row>
    <row r="88" spans="3:12" ht="12.75" customHeight="1">
      <c r="C88" s="17" t="s">
        <v>24</v>
      </c>
      <c r="D88" s="17"/>
      <c r="E88" s="89">
        <v>42055</v>
      </c>
      <c r="F88" s="17"/>
      <c r="G88" s="45">
        <v>0</v>
      </c>
      <c r="H88" s="17"/>
      <c r="I88" s="25"/>
      <c r="L88" s="95"/>
    </row>
    <row r="89" spans="3:12" ht="12.75" customHeight="1">
      <c r="C89" s="17"/>
      <c r="D89" s="17"/>
      <c r="E89" s="89">
        <v>42150</v>
      </c>
      <c r="F89" s="17"/>
      <c r="G89" s="45">
        <v>133058.82</v>
      </c>
      <c r="H89" s="17"/>
      <c r="I89" s="25"/>
      <c r="L89" s="95"/>
    </row>
    <row r="90" spans="3:12" ht="12.75" customHeight="1">
      <c r="C90" s="17"/>
      <c r="D90" s="17"/>
      <c r="E90" s="89">
        <v>42251</v>
      </c>
      <c r="F90" s="17"/>
      <c r="G90" s="45">
        <v>214566.18</v>
      </c>
      <c r="H90" s="17"/>
      <c r="I90" s="25"/>
      <c r="L90" s="95"/>
    </row>
    <row r="91" spans="3:12" ht="12.75" customHeight="1">
      <c r="C91" s="17" t="s">
        <v>45</v>
      </c>
      <c r="D91" s="17"/>
      <c r="E91" s="89">
        <v>42424</v>
      </c>
      <c r="F91" s="17"/>
      <c r="G91" s="45">
        <v>-94367.15</v>
      </c>
      <c r="H91" s="17"/>
      <c r="I91" s="25"/>
      <c r="L91" s="95"/>
    </row>
    <row r="92" spans="3:12" ht="12.75" customHeight="1">
      <c r="C92" s="17"/>
      <c r="D92" s="17"/>
      <c r="E92" s="89">
        <v>42452</v>
      </c>
      <c r="F92" s="17"/>
      <c r="G92" s="45">
        <v>-70463.56</v>
      </c>
      <c r="H92" s="17"/>
      <c r="I92" s="25"/>
      <c r="L92" s="95"/>
    </row>
    <row r="93" spans="3:12" ht="12.75" customHeight="1">
      <c r="C93" s="17"/>
      <c r="D93" s="17"/>
      <c r="E93" s="89">
        <v>42485</v>
      </c>
      <c r="F93" s="17"/>
      <c r="G93" s="45">
        <v>-87507.85</v>
      </c>
      <c r="H93" s="17"/>
      <c r="L93" s="95"/>
    </row>
    <row r="94" spans="3:12" ht="12.75" customHeight="1">
      <c r="C94" s="17"/>
      <c r="D94" s="17"/>
      <c r="E94" s="89">
        <v>42558</v>
      </c>
      <c r="F94" s="17"/>
      <c r="G94" s="45">
        <v>-54458.57</v>
      </c>
      <c r="H94" s="17"/>
      <c r="L94" s="95"/>
    </row>
    <row r="95" spans="3:12" ht="12.75" customHeight="1">
      <c r="C95" s="17"/>
      <c r="D95" s="17"/>
      <c r="E95" s="89">
        <v>42578</v>
      </c>
      <c r="F95" s="17"/>
      <c r="G95" s="45">
        <v>-54042.86</v>
      </c>
      <c r="H95" s="17"/>
      <c r="L95" s="95"/>
    </row>
    <row r="96" spans="3:12" ht="12.75" customHeight="1">
      <c r="C96" s="17"/>
      <c r="D96" s="17"/>
      <c r="E96" s="89">
        <v>42636</v>
      </c>
      <c r="F96" s="17"/>
      <c r="G96" s="45">
        <v>-70879.29</v>
      </c>
      <c r="H96" s="17"/>
      <c r="L96" s="95"/>
    </row>
    <row r="97" spans="3:12" ht="12.75" customHeight="1">
      <c r="C97" s="17"/>
      <c r="D97" s="17"/>
      <c r="E97" s="89">
        <v>42664</v>
      </c>
      <c r="F97" s="17"/>
      <c r="G97" s="45">
        <v>-68177.14</v>
      </c>
      <c r="H97" s="17"/>
      <c r="L97" s="95"/>
    </row>
    <row r="98" spans="3:12" ht="12.75" customHeight="1">
      <c r="C98" s="17"/>
      <c r="D98" s="17"/>
      <c r="E98" s="89">
        <v>42697</v>
      </c>
      <c r="F98" s="17"/>
      <c r="G98" s="45">
        <v>-41571.43</v>
      </c>
      <c r="H98" s="17"/>
      <c r="L98" s="95"/>
    </row>
    <row r="99" spans="3:12" ht="12.75" customHeight="1">
      <c r="C99" s="17"/>
      <c r="D99" s="17"/>
      <c r="E99" s="89">
        <v>42727</v>
      </c>
      <c r="F99" s="17"/>
      <c r="G99" s="45">
        <v>-120141.43</v>
      </c>
      <c r="H99" s="17"/>
      <c r="L99" s="95"/>
    </row>
    <row r="100" spans="3:12" ht="12.75" customHeight="1">
      <c r="C100" s="17" t="s">
        <v>25</v>
      </c>
      <c r="D100" s="17"/>
      <c r="E100" s="89">
        <v>42404</v>
      </c>
      <c r="F100" s="17"/>
      <c r="G100" s="45">
        <v>125567.95</v>
      </c>
      <c r="H100" s="17"/>
      <c r="I100" s="25"/>
      <c r="L100" s="95"/>
    </row>
    <row r="101" spans="3:12" ht="12.75" customHeight="1">
      <c r="C101" s="17"/>
      <c r="D101" s="17"/>
      <c r="E101" s="89">
        <v>42451</v>
      </c>
      <c r="F101" s="17"/>
      <c r="G101" s="45">
        <v>42362.70</v>
      </c>
      <c r="H101" s="17"/>
      <c r="I101" s="25"/>
      <c r="L101" s="95"/>
    </row>
    <row r="102" spans="3:12" ht="12.75" customHeight="1">
      <c r="C102" s="17"/>
      <c r="D102" s="17"/>
      <c r="E102" s="89">
        <v>42549</v>
      </c>
      <c r="F102" s="17"/>
      <c r="G102" s="45">
        <v>22061.54</v>
      </c>
      <c r="H102" s="17"/>
      <c r="I102" s="25"/>
      <c r="L102" s="95"/>
    </row>
    <row r="103" spans="3:12" ht="12.75" customHeight="1">
      <c r="C103" s="17"/>
      <c r="D103" s="17"/>
      <c r="E103" s="89">
        <v>42584</v>
      </c>
      <c r="F103" s="17"/>
      <c r="G103" s="45">
        <v>588658.97</v>
      </c>
      <c r="H103" s="17"/>
      <c r="I103" s="25"/>
      <c r="L103" s="95"/>
    </row>
    <row r="104" spans="3:12" ht="12.75" customHeight="1">
      <c r="C104" s="17"/>
      <c r="D104" s="17"/>
      <c r="E104" s="89">
        <v>42632</v>
      </c>
      <c r="F104" s="17"/>
      <c r="G104" s="45">
        <v>37306.49</v>
      </c>
      <c r="H104" s="17"/>
      <c r="I104" s="25"/>
      <c r="L104" s="95"/>
    </row>
    <row r="105" spans="3:12" ht="12.75" customHeight="1">
      <c r="C105" s="17"/>
      <c r="D105" s="17"/>
      <c r="E105" s="89">
        <v>42656</v>
      </c>
      <c r="F105" s="17"/>
      <c r="G105" s="45">
        <v>150097.2</v>
      </c>
      <c r="H105" s="17"/>
      <c r="I105" s="44"/>
      <c r="J105" s="42"/>
      <c r="K105" s="42"/>
      <c r="L105" s="67"/>
    </row>
    <row r="106" spans="3:12" ht="12.75" customHeight="1">
      <c r="C106" s="17"/>
      <c r="D106" s="17"/>
      <c r="E106" s="89">
        <v>42723</v>
      </c>
      <c r="F106" s="17"/>
      <c r="G106" s="45">
        <v>143473.42</v>
      </c>
      <c r="H106" s="17"/>
      <c r="I106" s="44"/>
      <c r="J106" s="42"/>
      <c r="K106" s="42"/>
      <c r="L106" s="177"/>
    </row>
    <row r="107" spans="3:12" ht="12.75" customHeight="1">
      <c r="C107" s="17" t="s">
        <v>30</v>
      </c>
      <c r="D107" s="17"/>
      <c r="E107" s="89">
        <v>42795</v>
      </c>
      <c r="F107" s="17"/>
      <c r="G107" s="45">
        <v>-56329.29</v>
      </c>
      <c r="H107" s="17"/>
      <c r="I107" s="44"/>
      <c r="J107" s="41"/>
      <c r="K107" s="42"/>
      <c r="L107" s="124"/>
    </row>
    <row r="108" spans="3:12" ht="12.75" customHeight="1">
      <c r="C108" s="17"/>
      <c r="D108" s="17"/>
      <c r="E108" s="89">
        <v>42822</v>
      </c>
      <c r="F108" s="17"/>
      <c r="G108" s="45">
        <v>-31178.57</v>
      </c>
      <c r="H108" s="17"/>
      <c r="I108" s="44"/>
      <c r="J108" s="41"/>
      <c r="K108" s="42"/>
      <c r="L108" s="124"/>
    </row>
    <row r="109" spans="3:12" ht="12.75" customHeight="1">
      <c r="C109" s="17"/>
      <c r="D109" s="17"/>
      <c r="E109" s="89">
        <v>42843</v>
      </c>
      <c r="F109" s="17"/>
      <c r="G109" s="45">
        <v>-55290</v>
      </c>
      <c r="H109" s="17"/>
      <c r="I109" s="44"/>
      <c r="J109" s="41"/>
      <c r="K109" s="42"/>
      <c r="L109" s="124"/>
    </row>
    <row r="110" spans="3:12" ht="12.75" customHeight="1">
      <c r="C110" s="17"/>
      <c r="D110" s="17"/>
      <c r="E110" s="89">
        <v>42909</v>
      </c>
      <c r="F110" s="17"/>
      <c r="G110" s="45">
        <v>-80856.42</v>
      </c>
      <c r="H110" s="17"/>
      <c r="I110" s="44"/>
      <c r="J110" s="41"/>
      <c r="K110" s="42"/>
      <c r="L110" s="124"/>
    </row>
    <row r="111" spans="3:12" ht="12.75" customHeight="1">
      <c r="C111" s="17"/>
      <c r="D111" s="17"/>
      <c r="E111" s="89">
        <v>43054</v>
      </c>
      <c r="F111" s="17"/>
      <c r="G111" s="45">
        <v>-54458.58</v>
      </c>
      <c r="H111" s="17"/>
      <c r="I111" s="44"/>
      <c r="J111" s="41"/>
      <c r="K111" s="42"/>
      <c r="L111" s="67"/>
    </row>
    <row r="112" spans="3:12" ht="12.75" customHeight="1">
      <c r="C112" s="17"/>
      <c r="D112" s="17"/>
      <c r="E112" s="89">
        <v>43090</v>
      </c>
      <c r="F112" s="17"/>
      <c r="G112" s="45">
        <v>-67969.28</v>
      </c>
      <c r="H112" s="17"/>
      <c r="I112" s="44"/>
      <c r="J112" s="41"/>
      <c r="K112" s="42"/>
      <c r="L112" s="67"/>
    </row>
    <row r="113" spans="3:12" ht="12.75" customHeight="1">
      <c r="C113" s="17" t="s">
        <v>46</v>
      </c>
      <c r="D113" s="17"/>
      <c r="E113" s="89">
        <v>42823</v>
      </c>
      <c r="F113" s="17"/>
      <c r="G113" s="45">
        <v>217020.23</v>
      </c>
      <c r="H113" s="17"/>
      <c r="I113" s="44"/>
      <c r="J113" s="41"/>
      <c r="K113" s="42"/>
      <c r="L113" s="67"/>
    </row>
    <row r="114" spans="3:12" ht="12.75" customHeight="1">
      <c r="C114" s="17"/>
      <c r="D114" s="17"/>
      <c r="E114" s="89">
        <v>42859</v>
      </c>
      <c r="F114" s="17"/>
      <c r="G114" s="45">
        <v>32505.74</v>
      </c>
      <c r="H114" s="17"/>
      <c r="I114" s="25"/>
      <c r="L114" s="95"/>
    </row>
    <row r="115" spans="3:12" ht="12.75" customHeight="1">
      <c r="C115" s="17"/>
      <c r="D115" s="17"/>
      <c r="E115" s="89">
        <v>43020</v>
      </c>
      <c r="F115" s="17"/>
      <c r="G115" s="45">
        <v>82653.95</v>
      </c>
      <c r="H115" s="17"/>
      <c r="I115" s="25"/>
      <c r="L115" s="95"/>
    </row>
    <row r="116" spans="3:12" ht="12.75" customHeight="1">
      <c r="C116" s="17" t="s">
        <v>31</v>
      </c>
      <c r="D116" s="17"/>
      <c r="E116" s="89">
        <v>43364</v>
      </c>
      <c r="F116" s="17"/>
      <c r="G116" s="45">
        <v>-170442.86</v>
      </c>
      <c r="H116" s="17"/>
      <c r="I116" s="25"/>
      <c r="L116" s="95"/>
    </row>
    <row r="117" spans="3:12" ht="12.75" customHeight="1">
      <c r="C117" s="17"/>
      <c r="D117" s="17"/>
      <c r="E117" s="89">
        <v>43454</v>
      </c>
      <c r="F117" s="17"/>
      <c r="G117" s="45">
        <v>-173145</v>
      </c>
      <c r="H117" s="17"/>
      <c r="I117" s="25"/>
      <c r="L117" s="95"/>
    </row>
    <row r="118" spans="3:12" ht="12.75" customHeight="1">
      <c r="C118" s="17" t="s">
        <v>26</v>
      </c>
      <c r="D118" s="17"/>
      <c r="E118" s="89">
        <v>43152</v>
      </c>
      <c r="F118" s="17"/>
      <c r="G118" s="45">
        <v>507551.35</v>
      </c>
      <c r="H118" s="17"/>
      <c r="I118" s="25"/>
      <c r="L118" s="95"/>
    </row>
    <row r="119" spans="3:12" ht="12.75" customHeight="1">
      <c r="C119" s="17"/>
      <c r="D119" s="17"/>
      <c r="E119" s="89">
        <v>43186</v>
      </c>
      <c r="F119" s="17"/>
      <c r="G119" s="45">
        <v>303400.82</v>
      </c>
      <c r="H119" s="17"/>
      <c r="I119" s="25"/>
      <c r="L119" s="95"/>
    </row>
    <row r="120" spans="3:12" ht="12.75" customHeight="1">
      <c r="C120" s="17"/>
      <c r="D120" s="17"/>
      <c r="E120" s="89">
        <v>43262</v>
      </c>
      <c r="F120" s="17"/>
      <c r="G120" s="45">
        <v>43362.99</v>
      </c>
      <c r="H120" s="17"/>
      <c r="I120" s="25"/>
      <c r="L120" s="95"/>
    </row>
    <row r="121" spans="3:12" ht="12.75" customHeight="1">
      <c r="C121" s="17"/>
      <c r="D121" s="17"/>
      <c r="E121" s="89">
        <v>43404</v>
      </c>
      <c r="F121" s="17"/>
      <c r="G121" s="45">
        <v>41363.8</v>
      </c>
      <c r="H121" s="17"/>
      <c r="I121" s="25"/>
      <c r="L121" s="95"/>
    </row>
    <row r="122" spans="3:12" ht="12.75" customHeight="1">
      <c r="C122" s="17" t="s">
        <v>32</v>
      </c>
      <c r="D122" s="17"/>
      <c r="E122" s="89">
        <v>43649</v>
      </c>
      <c r="F122" s="17"/>
      <c r="G122" s="45">
        <v>-30555</v>
      </c>
      <c r="H122" s="17"/>
      <c r="I122" s="25"/>
      <c r="L122" s="95"/>
    </row>
    <row r="123" spans="3:12" ht="12.75" customHeight="1">
      <c r="C123" s="17" t="s">
        <v>27</v>
      </c>
      <c r="D123" s="17"/>
      <c r="E123" s="89">
        <v>43593</v>
      </c>
      <c r="F123" s="17"/>
      <c r="G123" s="45">
        <v>43099.64</v>
      </c>
      <c r="H123" s="17"/>
      <c r="I123" s="25"/>
      <c r="L123" s="95"/>
    </row>
    <row r="124" spans="3:12" ht="12.75" customHeight="1">
      <c r="C124" s="17"/>
      <c r="D124" s="17"/>
      <c r="E124" s="89">
        <v>43655</v>
      </c>
      <c r="F124" s="17"/>
      <c r="G124" s="45">
        <v>72232.02</v>
      </c>
      <c r="H124" s="17"/>
      <c r="I124" s="25"/>
      <c r="L124" s="95"/>
    </row>
    <row r="125" spans="3:12" ht="12.75" customHeight="1">
      <c r="C125" s="17" t="s">
        <v>33</v>
      </c>
      <c r="D125" s="17"/>
      <c r="E125" s="89">
        <v>43928</v>
      </c>
      <c r="F125" s="17"/>
      <c r="G125" s="45">
        <v>-26397.86</v>
      </c>
      <c r="H125" s="17"/>
      <c r="I125" s="25"/>
      <c r="L125" s="95"/>
    </row>
    <row r="126" spans="3:12" ht="12.75" customHeight="1">
      <c r="C126" s="17"/>
      <c r="D126" s="17"/>
      <c r="E126" s="89">
        <v>44070</v>
      </c>
      <c r="F126" s="17"/>
      <c r="G126" s="45">
        <v>-267966.24</v>
      </c>
      <c r="H126" s="17"/>
      <c r="I126" s="25"/>
      <c r="L126" s="80"/>
    </row>
    <row r="127" spans="3:12" ht="12.75" customHeight="1">
      <c r="C127" s="17" t="s">
        <v>28</v>
      </c>
      <c r="D127" s="17"/>
      <c r="E127" s="89">
        <v>44302</v>
      </c>
      <c r="F127" s="17"/>
      <c r="G127" s="45">
        <v>131158.08</v>
      </c>
      <c r="H127" s="17"/>
      <c r="I127" s="25"/>
      <c r="L127" s="80"/>
    </row>
    <row r="128" spans="3:12" ht="12.75" customHeight="1">
      <c r="C128" s="17" t="s">
        <v>29</v>
      </c>
      <c r="D128" s="17"/>
      <c r="E128" s="89">
        <v>44673</v>
      </c>
      <c r="F128" s="17"/>
      <c r="G128" s="45">
        <v>278880.6</v>
      </c>
      <c r="H128" s="17"/>
      <c r="I128" s="25"/>
      <c r="L128" s="80"/>
    </row>
    <row r="129" spans="3:12" ht="12.75" customHeight="1">
      <c r="C129" s="17"/>
      <c r="D129" s="17"/>
      <c r="E129" s="89">
        <v>44727</v>
      </c>
      <c r="F129" s="17"/>
      <c r="G129" s="45">
        <v>40739.2</v>
      </c>
      <c r="H129" s="17"/>
      <c r="I129" s="25"/>
      <c r="L129" s="80"/>
    </row>
    <row r="130" spans="3:12" ht="12.75" customHeight="1">
      <c r="C130" s="17"/>
      <c r="D130" s="17"/>
      <c r="E130" s="89">
        <v>44796</v>
      </c>
      <c r="F130" s="17"/>
      <c r="G130" s="45">
        <v>37166.98</v>
      </c>
      <c r="H130" s="17"/>
      <c r="I130" s="25"/>
      <c r="L130" s="80"/>
    </row>
    <row r="131" spans="3:12" ht="4.5" customHeight="1">
      <c r="C131" s="17"/>
      <c r="D131" s="17"/>
      <c r="E131" s="89"/>
      <c r="F131" s="17"/>
      <c r="G131" s="45"/>
      <c r="H131" s="17"/>
      <c r="I131" s="25"/>
      <c r="L131" s="95"/>
    </row>
    <row r="132" spans="3:12" ht="12.75">
      <c r="C132" s="17" t="s">
        <v>5</v>
      </c>
      <c r="D132" s="17"/>
      <c r="E132" s="89">
        <f>+E8</f>
        <v>44834</v>
      </c>
      <c r="F132" s="17"/>
      <c r="G132" s="94">
        <f>L132*C22</f>
        <v>3411323.943580278</v>
      </c>
      <c r="H132" s="17"/>
      <c r="I132" s="45">
        <f>+SUMIF($G$23:$G$131,"&lt;0",$G$23:$G$131)</f>
        <v>-8543091.139999999</v>
      </c>
      <c r="J132" s="17" t="s">
        <v>20</v>
      </c>
      <c r="L132" s="124">
        <v>103294467</v>
      </c>
    </row>
    <row r="133" spans="7:10" ht="12.75">
      <c r="G133" s="25"/>
      <c r="H133" s="17"/>
      <c r="I133" s="45">
        <f>+SUMIF($G$23:$G$131,"&gt;0",$G$23:$G$131)</f>
        <v>5290712.080000001</v>
      </c>
      <c r="J133" s="17" t="s">
        <v>21</v>
      </c>
    </row>
    <row r="134" spans="3:10" ht="12.75">
      <c r="C134" s="15" t="s">
        <v>0</v>
      </c>
      <c r="G134" s="72">
        <f>XIRR(G23:G132,E23:E132,0.1)</f>
        <v>0.003959110379219055</v>
      </c>
      <c r="H134" s="17"/>
      <c r="I134" s="17"/>
      <c r="J134" s="17"/>
    </row>
    <row r="137" spans="7:7" ht="12.75">
      <c r="G137" s="75"/>
    </row>
    <row r="138" spans="5:7" ht="12.75">
      <c r="E138" s="75"/>
      <c r="F138" s="28"/>
      <c r="G138" s="75"/>
    </row>
    <row r="139" spans="5:7" ht="12.75">
      <c r="E139" s="75"/>
      <c r="F139" s="28"/>
      <c r="G139" s="75"/>
    </row>
    <row r="140" spans="3:7" ht="12.75">
      <c r="C140" s="28"/>
      <c r="D140" s="28"/>
      <c r="E140" s="76"/>
      <c r="F140" s="76"/>
      <c r="G140" s="76"/>
    </row>
    <row r="141" spans="3:7" ht="12.75">
      <c r="C141" s="28"/>
      <c r="D141" s="28"/>
      <c r="E141" s="75"/>
      <c r="F141" s="75"/>
      <c r="G141" s="75"/>
    </row>
    <row r="142" spans="3:7" ht="12.75">
      <c r="C142" s="28"/>
      <c r="D142" s="28"/>
      <c r="E142" s="28"/>
      <c r="F142" s="28"/>
      <c r="G142" s="28"/>
    </row>
    <row r="143" spans="3:7" ht="12.75">
      <c r="C143" s="171"/>
      <c r="D143" s="171"/>
      <c r="E143" s="173"/>
      <c r="F143" s="96"/>
      <c r="G143" s="97"/>
    </row>
    <row r="144" spans="3:7" ht="12.75">
      <c r="C144" s="171"/>
      <c r="D144" s="171"/>
      <c r="E144" s="97"/>
      <c r="F144" s="96"/>
      <c r="G144" s="97"/>
    </row>
    <row r="145" spans="3:7" ht="12.75">
      <c r="C145" s="171"/>
      <c r="D145" s="171"/>
      <c r="E145" s="97"/>
      <c r="F145" s="96"/>
      <c r="G145" s="97"/>
    </row>
    <row r="146" spans="3:7" ht="12.75">
      <c r="C146" s="189"/>
      <c r="D146" s="171"/>
      <c r="E146" s="97"/>
      <c r="F146" s="96"/>
      <c r="G146" s="97"/>
    </row>
    <row r="147" spans="3:7" ht="12.75">
      <c r="C147" s="189"/>
      <c r="D147" s="171"/>
      <c r="E147" s="97"/>
      <c r="F147" s="96"/>
      <c r="G147" s="97"/>
    </row>
    <row r="148" spans="3:7" ht="12.75">
      <c r="C148" s="190"/>
      <c r="D148" s="171"/>
      <c r="E148" s="97"/>
      <c r="F148" s="96"/>
      <c r="G148" s="97"/>
    </row>
    <row r="149" spans="3:7" ht="12.75">
      <c r="C149" s="171"/>
      <c r="D149" s="171"/>
      <c r="E149" s="97"/>
      <c r="F149" s="96"/>
      <c r="G149" s="97"/>
    </row>
    <row r="150" spans="3:7" ht="12.75">
      <c r="C150" s="171"/>
      <c r="D150" s="171"/>
      <c r="E150" s="97"/>
      <c r="F150" s="96"/>
      <c r="G150" s="97"/>
    </row>
    <row r="151" spans="3:7" ht="12.75">
      <c r="C151" s="171"/>
      <c r="D151" s="171"/>
      <c r="E151" s="97"/>
      <c r="F151" s="96"/>
      <c r="G151" s="97"/>
    </row>
    <row r="152" spans="3:7" ht="12.75">
      <c r="C152" s="171"/>
      <c r="D152" s="171"/>
      <c r="E152" s="97"/>
      <c r="F152" s="96"/>
      <c r="G152" s="97"/>
    </row>
    <row r="153" spans="3:7" ht="12.75">
      <c r="C153" s="171"/>
      <c r="D153" s="171"/>
      <c r="E153" s="97"/>
      <c r="F153" s="96"/>
      <c r="G153" s="97"/>
    </row>
    <row r="154" spans="3:7" ht="12.75">
      <c r="C154" s="171"/>
      <c r="D154" s="171"/>
      <c r="E154" s="97"/>
      <c r="F154" s="96"/>
      <c r="G154" s="97"/>
    </row>
    <row r="155" ht="5.1" customHeight="1"/>
  </sheetData>
  <mergeCells count="2">
    <mergeCell ref="H8:I8"/>
    <mergeCell ref="E140:G140"/>
  </mergeCells>
  <pageMargins left="0.75" right="0.33" top="1" bottom="1" header="0.5" footer="0.5"/>
  <pageSetup orientation="landscape" paperSize="1" scale="26" r:id="rId2"/>
  <headerFooter alignWithMargins="0">
    <oddHeader>&amp;C&amp;G</oddHeader>
    <oddFooter>&amp;C&amp;G</oddFooter>
  </headerFooter>
  <legacyDrawingHF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30DF536-8CF6-4FBE-9754-A2F92D87BFF7}">
  <sheetPr>
    <pageSetUpPr fitToPage="1"/>
  </sheetPr>
  <dimension ref="B4:L155"/>
  <sheetViews>
    <sheetView showGridLines="0" view="pageLayout" zoomScaleNormal="100" workbookViewId="0" topLeftCell="A1">
      <selection pane="topLeft" activeCell="C11" sqref="C11"/>
    </sheetView>
  </sheetViews>
  <sheetFormatPr defaultColWidth="9.144285714285713" defaultRowHeight="12.75"/>
  <cols>
    <col min="2" max="2" width="4.857142857142857" customWidth="1"/>
    <col min="3" max="3" width="47.857142857142854" customWidth="1"/>
    <col min="4" max="4" width="1.4285714285714286" customWidth="1"/>
    <col min="5" max="5" width="10.571428571428571" customWidth="1"/>
    <col min="6" max="6" width="1.4285714285714286" customWidth="1"/>
    <col min="7" max="7" width="12" bestFit="1" customWidth="1"/>
    <col min="8" max="8" width="2.4285714285714284" customWidth="1"/>
    <col min="9" max="9" width="13.571428571428571" bestFit="1" customWidth="1"/>
    <col min="10" max="10" width="12.428571428571429" bestFit="1" customWidth="1"/>
    <col min="12" max="12" width="16.142857142857142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55">
        <f>+VIII!E8</f>
        <v>44834</v>
      </c>
      <c r="F8" s="13"/>
      <c r="G8" s="78"/>
      <c r="H8" s="115"/>
      <c r="I8" s="115"/>
    </row>
    <row r="9" spans="3:7" ht="15.75">
      <c r="C9" s="65"/>
      <c r="D9" s="65"/>
      <c r="E9" s="65"/>
      <c r="F9" s="65"/>
      <c r="G9" s="177"/>
    </row>
    <row r="10" spans="3:9" ht="12.75">
      <c r="C10" s="178"/>
      <c r="D10" s="178"/>
      <c r="E10" s="179"/>
      <c r="F10" s="178"/>
      <c r="G10" s="124"/>
      <c r="H10" s="86"/>
      <c r="I10" s="86"/>
    </row>
    <row r="11" spans="3:9" ht="12.75">
      <c r="C11" s="178"/>
      <c r="D11" s="178"/>
      <c r="E11" s="179"/>
      <c r="F11" s="178"/>
      <c r="G11" s="179"/>
      <c r="H11" s="86"/>
      <c r="I11" s="86"/>
    </row>
    <row r="12" spans="3:9" ht="15.75">
      <c r="C12" s="180"/>
      <c r="D12" s="180"/>
      <c r="E12" s="70"/>
      <c r="F12" s="180"/>
      <c r="G12" s="70"/>
      <c r="H12" s="86"/>
      <c r="I12" s="86"/>
    </row>
    <row r="13" spans="3:9" ht="12.75">
      <c r="C13" s="178"/>
      <c r="D13" s="178"/>
      <c r="E13" s="71"/>
      <c r="F13" s="178"/>
      <c r="G13" s="124"/>
      <c r="H13" s="86"/>
      <c r="I13" s="86"/>
    </row>
    <row r="14" spans="3:9" ht="12.75">
      <c r="C14" s="178"/>
      <c r="D14" s="178"/>
      <c r="E14" s="181"/>
      <c r="F14" s="178"/>
      <c r="G14" s="124"/>
      <c r="H14" s="86"/>
      <c r="I14" s="86"/>
    </row>
    <row r="15" spans="3:9" ht="12.75">
      <c r="C15" s="178"/>
      <c r="D15" s="178"/>
      <c r="E15" s="179"/>
      <c r="F15" s="178"/>
      <c r="G15" s="179"/>
      <c r="H15" s="86"/>
      <c r="I15" s="86"/>
    </row>
    <row r="16" spans="3:9" ht="15.75">
      <c r="C16" s="5"/>
      <c r="D16" s="5"/>
      <c r="E16" s="10"/>
      <c r="F16" s="5"/>
      <c r="G16" s="10"/>
      <c r="H16" s="86"/>
      <c r="I16" s="86"/>
    </row>
    <row r="17" spans="3:9" ht="15.75">
      <c r="C17" s="83" t="s">
        <v>15</v>
      </c>
      <c r="D17" s="83"/>
      <c r="E17" s="10"/>
      <c r="F17" s="83"/>
      <c r="G17" s="10"/>
      <c r="H17" s="5"/>
      <c r="I17" s="82"/>
    </row>
    <row r="18" spans="3:9" ht="12.75" customHeight="1">
      <c r="C18" s="6" t="s">
        <v>16</v>
      </c>
      <c r="D18" s="6"/>
      <c r="E18" s="84">
        <f>+G133</f>
        <v>0.004669937491416931</v>
      </c>
      <c r="F18" s="6"/>
      <c r="G18" s="11"/>
      <c r="H18" s="84"/>
      <c r="I18" s="82"/>
    </row>
    <row r="19" spans="3:8" ht="12.75">
      <c r="C19" s="6" t="s">
        <v>17</v>
      </c>
      <c r="D19" s="6"/>
      <c r="E19" s="87">
        <f>(G131+I132)/-I131</f>
        <v>1.0218198425825502</v>
      </c>
      <c r="F19" s="6"/>
      <c r="G19" s="9"/>
      <c r="H19" s="81"/>
    </row>
    <row r="20" spans="3:9" ht="12.75">
      <c r="C20" s="6"/>
      <c r="D20" s="6"/>
      <c r="E20" s="9"/>
      <c r="F20" s="6"/>
      <c r="G20" s="9"/>
      <c r="H20" s="86"/>
      <c r="I20" s="86"/>
    </row>
    <row r="21" spans="3:10" ht="12.75">
      <c r="C21" s="88" t="s">
        <v>50</v>
      </c>
      <c r="D21" s="6"/>
      <c r="E21" s="6"/>
      <c r="F21" s="6"/>
      <c r="G21" s="81"/>
      <c r="H21" s="156"/>
      <c r="I21" s="89"/>
      <c r="J21" s="17"/>
    </row>
    <row r="22" spans="3:10" ht="15.75">
      <c r="C22" s="157">
        <v>0.151630023</v>
      </c>
      <c r="D22" s="7"/>
      <c r="E22" s="7"/>
      <c r="F22" s="7"/>
      <c r="G22" s="17"/>
      <c r="H22" s="17"/>
      <c r="I22" s="17"/>
      <c r="J22" s="17"/>
    </row>
    <row r="23" spans="3:12" ht="12.75">
      <c r="C23" s="17" t="s">
        <v>49</v>
      </c>
      <c r="D23" s="17"/>
      <c r="E23" s="89">
        <v>40590</v>
      </c>
      <c r="F23" s="17"/>
      <c r="G23" s="45">
        <v>-3150000</v>
      </c>
      <c r="H23" s="17"/>
      <c r="I23" s="25"/>
      <c r="J23" s="25"/>
      <c r="L23" s="95"/>
    </row>
    <row r="24" spans="3:12" ht="12.75">
      <c r="C24" s="17"/>
      <c r="D24" s="17"/>
      <c r="E24" s="89">
        <v>40661</v>
      </c>
      <c r="F24" s="17"/>
      <c r="G24" s="45">
        <v>-806485.68</v>
      </c>
      <c r="H24" s="17"/>
      <c r="I24" s="25"/>
      <c r="J24" s="25"/>
      <c r="L24" s="95"/>
    </row>
    <row r="25" spans="3:12" ht="12.75">
      <c r="C25" s="17"/>
      <c r="D25" s="17"/>
      <c r="E25" s="89">
        <v>40704</v>
      </c>
      <c r="F25" s="17"/>
      <c r="G25" s="45">
        <v>-1272085.66</v>
      </c>
      <c r="H25" s="17"/>
      <c r="I25" s="25"/>
      <c r="J25" s="25"/>
      <c r="L25" s="95"/>
    </row>
    <row r="26" spans="3:12" ht="12.75">
      <c r="C26" s="17"/>
      <c r="D26" s="17"/>
      <c r="E26" s="89">
        <v>40751</v>
      </c>
      <c r="F26" s="17"/>
      <c r="G26" s="45">
        <v>-1216657.09</v>
      </c>
      <c r="H26" s="17"/>
      <c r="I26" s="25"/>
      <c r="J26" s="25"/>
      <c r="L26" s="95"/>
    </row>
    <row r="27" spans="3:12" ht="12.75">
      <c r="C27" s="17"/>
      <c r="D27" s="17"/>
      <c r="E27" s="89">
        <v>40765</v>
      </c>
      <c r="F27" s="17"/>
      <c r="G27" s="45">
        <v>-2023142.77</v>
      </c>
      <c r="H27" s="17"/>
      <c r="I27" s="25"/>
      <c r="J27" s="25"/>
      <c r="L27" s="95"/>
    </row>
    <row r="28" spans="3:12" ht="12.75">
      <c r="C28" s="17"/>
      <c r="D28" s="17"/>
      <c r="E28" s="89">
        <v>40813</v>
      </c>
      <c r="F28" s="17"/>
      <c r="G28" s="45">
        <v>-1782028.50</v>
      </c>
      <c r="H28" s="17"/>
      <c r="I28" s="25"/>
      <c r="J28" s="25"/>
      <c r="L28" s="95"/>
    </row>
    <row r="29" spans="3:12" ht="12.75">
      <c r="C29" s="17"/>
      <c r="D29" s="17"/>
      <c r="E29" s="89">
        <v>40879</v>
      </c>
      <c r="F29" s="17"/>
      <c r="G29" s="45">
        <v>-856371.39</v>
      </c>
      <c r="H29" s="17"/>
      <c r="I29" s="25"/>
      <c r="J29" s="25"/>
      <c r="L29" s="95"/>
    </row>
    <row r="30" spans="3:12" ht="12.75">
      <c r="C30" s="17"/>
      <c r="D30" s="17"/>
      <c r="E30" s="89">
        <v>40886</v>
      </c>
      <c r="F30" s="17"/>
      <c r="G30" s="45">
        <v>-1166771.38</v>
      </c>
      <c r="H30" s="17"/>
      <c r="I30" s="25"/>
      <c r="J30" s="25"/>
      <c r="L30" s="95"/>
    </row>
    <row r="31" spans="3:12" ht="12.75">
      <c r="C31" s="17" t="s">
        <v>12</v>
      </c>
      <c r="D31" s="17"/>
      <c r="E31" s="89">
        <v>40927</v>
      </c>
      <c r="F31" s="17"/>
      <c r="G31" s="45">
        <v>-1951085.63</v>
      </c>
      <c r="H31" s="17"/>
      <c r="I31" s="25"/>
      <c r="J31" s="25"/>
      <c r="L31" s="95"/>
    </row>
    <row r="32" spans="3:12" ht="12.75">
      <c r="C32" s="17"/>
      <c r="D32" s="17"/>
      <c r="E32" s="89">
        <v>40942</v>
      </c>
      <c r="F32" s="17"/>
      <c r="G32" s="45">
        <v>-9145713.91</v>
      </c>
      <c r="H32" s="17"/>
      <c r="I32" s="25"/>
      <c r="J32" s="25"/>
      <c r="L32" s="95"/>
    </row>
    <row r="33" spans="3:12" ht="12.75">
      <c r="C33" s="17"/>
      <c r="D33" s="17"/>
      <c r="E33" s="89">
        <v>40970</v>
      </c>
      <c r="F33" s="17"/>
      <c r="G33" s="45">
        <v>-1454999.94</v>
      </c>
      <c r="H33" s="17"/>
      <c r="I33" s="25"/>
      <c r="J33" s="25"/>
      <c r="L33" s="95"/>
    </row>
    <row r="34" spans="3:12" ht="12.75">
      <c r="C34" s="17"/>
      <c r="D34" s="17"/>
      <c r="E34" s="89">
        <v>41001</v>
      </c>
      <c r="F34" s="17"/>
      <c r="G34" s="45">
        <v>-850828.54</v>
      </c>
      <c r="H34" s="17"/>
      <c r="I34" s="25"/>
      <c r="J34" s="25"/>
      <c r="L34" s="95"/>
    </row>
    <row r="35" spans="3:12" ht="12.75">
      <c r="C35" s="17"/>
      <c r="D35" s="17"/>
      <c r="E35" s="89">
        <v>41024</v>
      </c>
      <c r="F35" s="17"/>
      <c r="G35" s="45">
        <v>-1008799.96</v>
      </c>
      <c r="H35" s="17"/>
      <c r="I35" s="25"/>
      <c r="J35" s="25"/>
      <c r="L35" s="95"/>
    </row>
    <row r="36" spans="3:12" ht="12.75">
      <c r="C36" s="17"/>
      <c r="D36" s="17"/>
      <c r="E36" s="89">
        <v>41054</v>
      </c>
      <c r="F36" s="17"/>
      <c r="G36" s="45">
        <v>-1313657.09</v>
      </c>
      <c r="H36" s="17"/>
      <c r="I36" s="25"/>
      <c r="J36" s="25"/>
      <c r="L36" s="95"/>
    </row>
    <row r="37" spans="3:12" ht="12.75">
      <c r="C37" s="17"/>
      <c r="D37" s="17"/>
      <c r="E37" s="89">
        <v>41080</v>
      </c>
      <c r="F37" s="17"/>
      <c r="G37" s="45">
        <v>-2436085.61</v>
      </c>
      <c r="H37" s="17"/>
      <c r="I37" s="25"/>
      <c r="J37" s="25"/>
      <c r="L37" s="95"/>
    </row>
    <row r="38" spans="3:12" ht="12.75">
      <c r="C38" s="17"/>
      <c r="D38" s="17"/>
      <c r="E38" s="89">
        <v>41103</v>
      </c>
      <c r="F38" s="17"/>
      <c r="G38" s="45">
        <v>-789857.11</v>
      </c>
      <c r="H38" s="17"/>
      <c r="I38" s="25"/>
      <c r="J38" s="25"/>
      <c r="L38" s="95"/>
    </row>
    <row r="39" spans="3:12" ht="12.75">
      <c r="C39" s="17"/>
      <c r="D39" s="17"/>
      <c r="E39" s="89">
        <v>41121</v>
      </c>
      <c r="F39" s="17"/>
      <c r="G39" s="45">
        <v>-762142.83</v>
      </c>
      <c r="H39" s="17"/>
      <c r="I39" s="25"/>
      <c r="J39" s="25"/>
      <c r="L39" s="95"/>
    </row>
    <row r="40" spans="3:12" ht="12.75">
      <c r="C40" s="17"/>
      <c r="D40" s="17"/>
      <c r="E40" s="89">
        <v>41152</v>
      </c>
      <c r="F40" s="17"/>
      <c r="G40" s="45">
        <v>-1008799.99</v>
      </c>
      <c r="H40" s="17"/>
      <c r="I40" s="25"/>
      <c r="J40" s="25"/>
      <c r="L40" s="95"/>
    </row>
    <row r="41" spans="3:12" ht="12.75">
      <c r="C41" s="17"/>
      <c r="D41" s="17"/>
      <c r="E41" s="89">
        <v>41180</v>
      </c>
      <c r="F41" s="17"/>
      <c r="G41" s="45">
        <v>-1912285.72</v>
      </c>
      <c r="H41" s="17"/>
      <c r="I41" s="25"/>
      <c r="J41" s="25"/>
      <c r="L41" s="95"/>
    </row>
    <row r="42" spans="3:12" ht="12.75">
      <c r="C42" s="17"/>
      <c r="D42" s="17"/>
      <c r="E42" s="89">
        <v>41194</v>
      </c>
      <c r="F42" s="17"/>
      <c r="G42" s="45">
        <v>-939514.29</v>
      </c>
      <c r="H42" s="17"/>
      <c r="I42" s="25"/>
      <c r="J42" s="25"/>
      <c r="L42" s="95"/>
    </row>
    <row r="43" spans="3:12" ht="12.75">
      <c r="C43" s="17"/>
      <c r="D43" s="17"/>
      <c r="E43" s="89">
        <v>41250</v>
      </c>
      <c r="F43" s="17"/>
      <c r="G43" s="45">
        <v>-4237514.28</v>
      </c>
      <c r="H43" s="17"/>
      <c r="I43" s="25"/>
      <c r="J43" s="25"/>
      <c r="L43" s="95"/>
    </row>
    <row r="44" spans="3:12" ht="12.75">
      <c r="C44" s="17"/>
      <c r="D44" s="17"/>
      <c r="E44" s="89">
        <v>41264</v>
      </c>
      <c r="F44" s="17"/>
      <c r="G44" s="45">
        <v>-3763600</v>
      </c>
      <c r="H44" s="17"/>
      <c r="I44" s="25"/>
      <c r="J44" s="25"/>
      <c r="L44" s="95"/>
    </row>
    <row r="45" spans="3:12" ht="12.75">
      <c r="C45" s="17" t="s">
        <v>43</v>
      </c>
      <c r="D45" s="17"/>
      <c r="E45" s="89">
        <v>41030</v>
      </c>
      <c r="F45" s="17"/>
      <c r="G45" s="45">
        <v>3231985.63</v>
      </c>
      <c r="H45" s="17"/>
      <c r="I45" s="25"/>
      <c r="J45" s="25"/>
      <c r="L45" s="95"/>
    </row>
    <row r="46" spans="3:12" ht="12.75">
      <c r="C46" s="17"/>
      <c r="D46" s="17"/>
      <c r="E46" s="89">
        <v>41108</v>
      </c>
      <c r="F46" s="17"/>
      <c r="G46" s="45">
        <v>805926.42</v>
      </c>
      <c r="H46" s="17"/>
      <c r="I46" s="25"/>
      <c r="J46" s="25"/>
      <c r="L46" s="95"/>
    </row>
    <row r="47" spans="3:12" ht="12.75">
      <c r="C47" s="17"/>
      <c r="D47" s="17"/>
      <c r="E47" s="89">
        <v>41137</v>
      </c>
      <c r="F47" s="17"/>
      <c r="G47" s="45">
        <v>345455.13</v>
      </c>
      <c r="H47" s="17"/>
      <c r="I47" s="25"/>
      <c r="J47" s="25"/>
      <c r="L47" s="95"/>
    </row>
    <row r="48" spans="3:12" ht="12.75">
      <c r="C48" s="17"/>
      <c r="D48" s="17"/>
      <c r="E48" s="89">
        <v>41173</v>
      </c>
      <c r="F48" s="17"/>
      <c r="G48" s="45">
        <v>7058897.29</v>
      </c>
      <c r="H48" s="17"/>
      <c r="I48" s="25"/>
      <c r="J48" s="25"/>
      <c r="L48" s="95"/>
    </row>
    <row r="49" spans="3:12" ht="12.75">
      <c r="C49" s="17" t="s">
        <v>18</v>
      </c>
      <c r="D49" s="17"/>
      <c r="E49" s="89">
        <v>41284</v>
      </c>
      <c r="F49" s="17"/>
      <c r="G49" s="45">
        <v>-1111342.85</v>
      </c>
      <c r="H49" s="17"/>
      <c r="I49" s="25"/>
      <c r="J49" s="25"/>
      <c r="L49" s="95"/>
    </row>
    <row r="50" spans="3:12" ht="12.75">
      <c r="C50" s="17"/>
      <c r="D50" s="17"/>
      <c r="E50" s="89">
        <v>41298</v>
      </c>
      <c r="F50" s="17"/>
      <c r="G50" s="45">
        <v>-1421742.86</v>
      </c>
      <c r="H50" s="17"/>
      <c r="I50" s="25"/>
      <c r="J50" s="25"/>
      <c r="L50" s="95"/>
    </row>
    <row r="51" spans="3:12" ht="12.75">
      <c r="C51" s="17"/>
      <c r="D51" s="17"/>
      <c r="E51" s="89">
        <v>41345</v>
      </c>
      <c r="F51" s="17"/>
      <c r="G51" s="45">
        <v>-1457771.43</v>
      </c>
      <c r="H51" s="17"/>
      <c r="I51" s="25"/>
      <c r="J51" s="25"/>
      <c r="L51" s="95"/>
    </row>
    <row r="52" spans="3:12" ht="12.75">
      <c r="C52" s="17"/>
      <c r="D52" s="17"/>
      <c r="E52" s="89">
        <v>41360</v>
      </c>
      <c r="F52" s="17"/>
      <c r="G52" s="45">
        <v>-1305342.83</v>
      </c>
      <c r="H52" s="17"/>
      <c r="I52" s="25"/>
      <c r="J52" s="25"/>
      <c r="L52" s="95"/>
    </row>
    <row r="53" spans="3:12" ht="12.75">
      <c r="C53" s="17"/>
      <c r="D53" s="17"/>
      <c r="E53" s="89">
        <v>41393</v>
      </c>
      <c r="F53" s="17"/>
      <c r="G53" s="45">
        <v>-1050371.45</v>
      </c>
      <c r="H53" s="17"/>
      <c r="I53" s="25"/>
      <c r="J53" s="25"/>
      <c r="L53" s="95"/>
    </row>
    <row r="54" spans="3:12" ht="12.75">
      <c r="C54" s="17"/>
      <c r="D54" s="17"/>
      <c r="E54" s="89">
        <v>41404</v>
      </c>
      <c r="F54" s="17"/>
      <c r="G54" s="45">
        <v>-1430057.15</v>
      </c>
      <c r="H54" s="17"/>
      <c r="I54" s="25"/>
      <c r="J54" s="25"/>
      <c r="L54" s="95"/>
    </row>
    <row r="55" spans="3:12" ht="12.75">
      <c r="C55" s="17"/>
      <c r="D55" s="17"/>
      <c r="E55" s="89">
        <v>41423</v>
      </c>
      <c r="F55" s="17"/>
      <c r="G55" s="45">
        <v>-1238828.57</v>
      </c>
      <c r="H55" s="17"/>
      <c r="I55" s="25"/>
      <c r="J55" s="25"/>
      <c r="L55" s="95"/>
    </row>
    <row r="56" spans="3:12" ht="12.75">
      <c r="C56" s="17"/>
      <c r="D56" s="17"/>
      <c r="E56" s="89">
        <v>41446</v>
      </c>
      <c r="F56" s="17"/>
      <c r="G56" s="45">
        <v>-3785771.43</v>
      </c>
      <c r="H56" s="17"/>
      <c r="I56" s="25"/>
      <c r="J56" s="25"/>
      <c r="L56" s="95"/>
    </row>
    <row r="57" spans="3:12" ht="12.75">
      <c r="C57" s="17"/>
      <c r="D57" s="17"/>
      <c r="E57" s="89">
        <v>41481</v>
      </c>
      <c r="F57" s="17"/>
      <c r="G57" s="45">
        <v>-1183400</v>
      </c>
      <c r="H57" s="17"/>
      <c r="I57" s="25"/>
      <c r="J57" s="25"/>
      <c r="L57" s="95"/>
    </row>
    <row r="58" spans="3:12" ht="12.75">
      <c r="C58" s="17"/>
      <c r="D58" s="17"/>
      <c r="E58" s="89">
        <v>41501</v>
      </c>
      <c r="F58" s="17"/>
      <c r="G58" s="45">
        <v>-1114114.29</v>
      </c>
      <c r="H58" s="17"/>
      <c r="I58" s="25"/>
      <c r="J58" s="25"/>
      <c r="L58" s="95"/>
    </row>
    <row r="59" spans="3:12" ht="12.75">
      <c r="C59" s="17"/>
      <c r="D59" s="17"/>
      <c r="E59" s="89">
        <v>41514</v>
      </c>
      <c r="F59" s="17"/>
      <c r="G59" s="45">
        <v>-1615742.86</v>
      </c>
      <c r="H59" s="17"/>
      <c r="I59" s="25"/>
      <c r="J59" s="25"/>
      <c r="L59" s="95"/>
    </row>
    <row r="60" spans="3:12" ht="12.75">
      <c r="C60" s="17"/>
      <c r="D60" s="17"/>
      <c r="E60" s="89">
        <v>41551</v>
      </c>
      <c r="F60" s="17"/>
      <c r="G60" s="45">
        <v>-964457.14</v>
      </c>
      <c r="H60" s="17"/>
      <c r="I60" s="25"/>
      <c r="J60" s="25"/>
      <c r="L60" s="95"/>
    </row>
    <row r="61" spans="3:12" ht="12.75">
      <c r="C61" s="17"/>
      <c r="D61" s="17"/>
      <c r="E61" s="89">
        <v>41577</v>
      </c>
      <c r="F61" s="17"/>
      <c r="G61" s="45">
        <v>-1543685.71</v>
      </c>
      <c r="H61" s="17"/>
      <c r="L61" s="95"/>
    </row>
    <row r="62" spans="3:12" ht="12.75">
      <c r="C62" s="17"/>
      <c r="D62" s="17"/>
      <c r="E62" s="89">
        <v>41599</v>
      </c>
      <c r="F62" s="17"/>
      <c r="G62" s="45">
        <v>-975542.86</v>
      </c>
      <c r="H62" s="17"/>
      <c r="L62" s="95"/>
    </row>
    <row r="63" spans="3:12" ht="12.75">
      <c r="C63" s="17"/>
      <c r="D63" s="17"/>
      <c r="E63" s="89">
        <v>41624</v>
      </c>
      <c r="F63" s="17"/>
      <c r="G63" s="45">
        <v>-1951085.70</v>
      </c>
      <c r="H63" s="17"/>
      <c r="L63" s="95"/>
    </row>
    <row r="64" spans="3:12" ht="12.75">
      <c r="C64" s="17" t="s">
        <v>14</v>
      </c>
      <c r="D64" s="17"/>
      <c r="E64" s="89">
        <v>41418</v>
      </c>
      <c r="F64" s="17"/>
      <c r="G64" s="45">
        <v>442046.13</v>
      </c>
      <c r="H64" s="17"/>
      <c r="L64" s="95"/>
    </row>
    <row r="65" spans="3:12" ht="12.75">
      <c r="C65" s="17"/>
      <c r="D65" s="17"/>
      <c r="E65" s="89">
        <v>41618</v>
      </c>
      <c r="F65" s="17"/>
      <c r="G65" s="45">
        <v>1627880.21</v>
      </c>
      <c r="H65" s="17"/>
      <c r="L65" s="95"/>
    </row>
    <row r="66" spans="3:12" ht="12.75">
      <c r="C66" s="17" t="s">
        <v>23</v>
      </c>
      <c r="D66" s="17"/>
      <c r="E66" s="89">
        <v>41646</v>
      </c>
      <c r="F66" s="17"/>
      <c r="G66" s="45">
        <v>-1377399.99</v>
      </c>
      <c r="H66" s="17"/>
      <c r="I66" s="25"/>
      <c r="J66" s="17"/>
      <c r="L66" s="95"/>
    </row>
    <row r="67" spans="3:12" ht="12.75">
      <c r="C67" s="17"/>
      <c r="D67" s="17"/>
      <c r="E67" s="89">
        <v>41670</v>
      </c>
      <c r="F67" s="17"/>
      <c r="G67" s="45">
        <v>-1022657.14</v>
      </c>
      <c r="H67" s="17"/>
      <c r="I67" s="25"/>
      <c r="J67" s="17"/>
      <c r="L67" s="95"/>
    </row>
    <row r="68" spans="3:12" ht="12.75">
      <c r="C68" s="17"/>
      <c r="D68" s="17"/>
      <c r="E68" s="89">
        <v>41697</v>
      </c>
      <c r="F68" s="17"/>
      <c r="G68" s="45">
        <v>-1820828.36</v>
      </c>
      <c r="H68" s="17"/>
      <c r="I68" s="25"/>
      <c r="J68" s="17"/>
      <c r="L68" s="95"/>
    </row>
    <row r="69" spans="3:12" ht="12.75">
      <c r="C69" s="17"/>
      <c r="D69" s="17"/>
      <c r="E69" s="89">
        <v>41704</v>
      </c>
      <c r="F69" s="17"/>
      <c r="G69" s="45">
        <v>-1319200</v>
      </c>
      <c r="H69" s="17"/>
      <c r="I69" s="25"/>
      <c r="J69" s="17"/>
      <c r="L69" s="95"/>
    </row>
    <row r="70" spans="3:12" ht="12.75">
      <c r="C70" s="17"/>
      <c r="D70" s="17"/>
      <c r="E70" s="89">
        <v>41718</v>
      </c>
      <c r="F70" s="17"/>
      <c r="G70" s="45">
        <v>-1152914.29</v>
      </c>
      <c r="H70" s="17"/>
      <c r="I70" s="25"/>
      <c r="J70" s="17"/>
      <c r="L70" s="95"/>
    </row>
    <row r="71" spans="3:12" ht="12.75">
      <c r="C71" s="17"/>
      <c r="D71" s="17"/>
      <c r="E71" s="89">
        <v>41750</v>
      </c>
      <c r="F71" s="17"/>
      <c r="G71" s="45">
        <v>-1831914.29</v>
      </c>
      <c r="H71" s="17"/>
      <c r="I71" s="25"/>
      <c r="J71" s="17"/>
      <c r="L71" s="95"/>
    </row>
    <row r="72" spans="3:12" ht="12.75">
      <c r="C72" s="17"/>
      <c r="D72" s="17"/>
      <c r="E72" s="89">
        <v>41779</v>
      </c>
      <c r="F72" s="17"/>
      <c r="G72" s="45">
        <v>-1829142.86</v>
      </c>
      <c r="H72" s="17"/>
      <c r="L72" s="95"/>
    </row>
    <row r="73" spans="3:12" ht="12.75">
      <c r="C73" s="17"/>
      <c r="D73" s="17"/>
      <c r="E73" s="89">
        <v>41814</v>
      </c>
      <c r="F73" s="17"/>
      <c r="G73" s="45">
        <v>-1349685.72</v>
      </c>
      <c r="H73" s="17"/>
      <c r="L73" s="95"/>
    </row>
    <row r="74" spans="3:12" ht="12.75">
      <c r="C74" s="17"/>
      <c r="D74" s="17"/>
      <c r="E74" s="89">
        <v>41877</v>
      </c>
      <c r="F74" s="17"/>
      <c r="G74" s="45">
        <v>-2125685.72</v>
      </c>
      <c r="H74" s="17"/>
      <c r="L74" s="95"/>
    </row>
    <row r="75" spans="3:12" ht="12.75">
      <c r="C75" s="17"/>
      <c r="D75" s="17"/>
      <c r="E75" s="89">
        <v>41913</v>
      </c>
      <c r="F75" s="17"/>
      <c r="G75" s="45">
        <v>-881314.29</v>
      </c>
      <c r="H75" s="17"/>
      <c r="L75" s="95"/>
    </row>
    <row r="76" spans="3:12" ht="12.75">
      <c r="C76" s="17"/>
      <c r="D76" s="17"/>
      <c r="E76" s="89">
        <v>41943</v>
      </c>
      <c r="F76" s="17"/>
      <c r="G76" s="45">
        <v>-1125200</v>
      </c>
      <c r="H76" s="17"/>
      <c r="L76" s="95"/>
    </row>
    <row r="77" spans="3:12" ht="12.75">
      <c r="C77" s="17"/>
      <c r="D77" s="17"/>
      <c r="E77" s="89">
        <v>41990</v>
      </c>
      <c r="F77" s="17"/>
      <c r="G77" s="45">
        <v>-1177857.15</v>
      </c>
      <c r="H77" s="17"/>
      <c r="L77" s="95"/>
    </row>
    <row r="78" spans="3:12" ht="12.75">
      <c r="C78" s="17" t="s">
        <v>22</v>
      </c>
      <c r="D78" s="17"/>
      <c r="E78" s="89">
        <v>41816</v>
      </c>
      <c r="F78" s="17"/>
      <c r="G78" s="45">
        <v>2837711.53</v>
      </c>
      <c r="H78" s="17"/>
      <c r="L78" s="95"/>
    </row>
    <row r="79" spans="3:12" ht="12.75">
      <c r="C79" s="17"/>
      <c r="D79" s="17"/>
      <c r="E79" s="89">
        <v>41857</v>
      </c>
      <c r="F79" s="17"/>
      <c r="G79" s="45">
        <v>1.022572136E7</v>
      </c>
      <c r="H79" s="17"/>
      <c r="L79" s="95"/>
    </row>
    <row r="80" spans="3:12" ht="12.75">
      <c r="C80" s="17" t="s">
        <v>44</v>
      </c>
      <c r="D80" s="17"/>
      <c r="E80" s="89">
        <v>42011</v>
      </c>
      <c r="F80" s="17"/>
      <c r="G80" s="45">
        <v>-925657.15</v>
      </c>
      <c r="H80" s="17"/>
      <c r="L80" s="95"/>
    </row>
    <row r="81" spans="3:12" ht="12.75">
      <c r="C81" s="17"/>
      <c r="D81" s="17"/>
      <c r="E81" s="89">
        <v>42027</v>
      </c>
      <c r="F81" s="17"/>
      <c r="G81" s="45">
        <v>-1194485.71</v>
      </c>
      <c r="H81" s="17"/>
      <c r="L81" s="95"/>
    </row>
    <row r="82" spans="3:12" ht="12.75">
      <c r="C82" s="17"/>
      <c r="D82" s="17"/>
      <c r="E82" s="89">
        <v>42075</v>
      </c>
      <c r="F82" s="17"/>
      <c r="G82" s="45">
        <v>-1197257.14</v>
      </c>
      <c r="H82" s="17"/>
      <c r="L82" s="95"/>
    </row>
    <row r="83" spans="3:12" ht="12.75">
      <c r="C83" s="17"/>
      <c r="D83" s="17"/>
      <c r="E83" s="89">
        <v>42138</v>
      </c>
      <c r="F83" s="17"/>
      <c r="G83" s="45">
        <v>-1773714.29</v>
      </c>
      <c r="H83" s="17"/>
      <c r="L83" s="95"/>
    </row>
    <row r="84" spans="3:12" ht="12.75">
      <c r="C84" s="17"/>
      <c r="D84" s="17"/>
      <c r="E84" s="89">
        <v>42265</v>
      </c>
      <c r="F84" s="17"/>
      <c r="G84" s="45">
        <v>-800942.85</v>
      </c>
      <c r="H84" s="17"/>
      <c r="L84" s="95"/>
    </row>
    <row r="85" spans="3:12" ht="12.75">
      <c r="C85" s="17"/>
      <c r="D85" s="17"/>
      <c r="E85" s="89">
        <v>42297</v>
      </c>
      <c r="F85" s="17"/>
      <c r="G85" s="45">
        <v>-1399571.42</v>
      </c>
      <c r="H85" s="17"/>
      <c r="L85" s="95"/>
    </row>
    <row r="86" spans="3:12" ht="12.75">
      <c r="C86" s="17"/>
      <c r="D86" s="17"/>
      <c r="E86" s="89">
        <v>42352</v>
      </c>
      <c r="F86" s="17"/>
      <c r="G86" s="45">
        <v>-1255457.13</v>
      </c>
      <c r="H86" s="17"/>
      <c r="L86" s="95"/>
    </row>
    <row r="87" spans="3:12" ht="12.75">
      <c r="C87" s="17" t="s">
        <v>24</v>
      </c>
      <c r="D87" s="17"/>
      <c r="E87" s="89">
        <v>42055</v>
      </c>
      <c r="F87" s="17"/>
      <c r="G87" s="45">
        <v>341725.53</v>
      </c>
      <c r="H87" s="17"/>
      <c r="I87" s="25"/>
      <c r="J87" s="17"/>
      <c r="L87" s="95"/>
    </row>
    <row r="88" spans="3:12" ht="12.75">
      <c r="C88" s="17"/>
      <c r="D88" s="17"/>
      <c r="E88" s="89">
        <v>42150</v>
      </c>
      <c r="F88" s="17"/>
      <c r="G88" s="45">
        <v>2090988.95</v>
      </c>
      <c r="H88" s="17"/>
      <c r="I88" s="25"/>
      <c r="J88" s="17"/>
      <c r="L88" s="95"/>
    </row>
    <row r="89" spans="3:12" ht="12.75">
      <c r="C89" s="17"/>
      <c r="D89" s="17"/>
      <c r="E89" s="89">
        <v>42251</v>
      </c>
      <c r="F89" s="17"/>
      <c r="G89" s="45">
        <v>2860882.35</v>
      </c>
      <c r="H89" s="17"/>
      <c r="I89" s="25"/>
      <c r="J89" s="17"/>
      <c r="L89" s="95"/>
    </row>
    <row r="90" spans="3:12" ht="12.75">
      <c r="C90" s="17" t="s">
        <v>45</v>
      </c>
      <c r="D90" s="17"/>
      <c r="E90" s="89">
        <v>42424</v>
      </c>
      <c r="F90" s="17"/>
      <c r="G90" s="45">
        <v>-1258228.58</v>
      </c>
      <c r="H90" s="17"/>
      <c r="I90" s="25"/>
      <c r="J90" s="17"/>
      <c r="L90" s="95"/>
    </row>
    <row r="91" spans="3:12" ht="12.75">
      <c r="C91" s="17"/>
      <c r="D91" s="17"/>
      <c r="E91" s="89">
        <v>42452</v>
      </c>
      <c r="F91" s="17"/>
      <c r="G91" s="45">
        <v>-939514.29</v>
      </c>
      <c r="H91" s="17"/>
      <c r="L91" s="95"/>
    </row>
    <row r="92" spans="3:12" ht="12.75">
      <c r="C92" s="17"/>
      <c r="D92" s="17"/>
      <c r="E92" s="89">
        <v>42485</v>
      </c>
      <c r="F92" s="17"/>
      <c r="G92" s="45">
        <v>-1166771.41</v>
      </c>
      <c r="H92" s="17"/>
      <c r="L92" s="95"/>
    </row>
    <row r="93" spans="3:12" ht="12.75">
      <c r="C93" s="17"/>
      <c r="D93" s="17"/>
      <c r="E93" s="89">
        <v>42558</v>
      </c>
      <c r="F93" s="17"/>
      <c r="G93" s="45">
        <v>-726114.28</v>
      </c>
      <c r="H93" s="17"/>
      <c r="L93" s="95"/>
    </row>
    <row r="94" spans="3:12" ht="12.75">
      <c r="C94" s="17"/>
      <c r="D94" s="17"/>
      <c r="E94" s="89">
        <v>42578</v>
      </c>
      <c r="F94" s="17"/>
      <c r="G94" s="45">
        <v>-720571.43</v>
      </c>
      <c r="H94" s="17"/>
      <c r="L94" s="95"/>
    </row>
    <row r="95" spans="3:12" ht="12.75">
      <c r="C95" s="17"/>
      <c r="D95" s="17"/>
      <c r="E95" s="89">
        <v>42636</v>
      </c>
      <c r="F95" s="17"/>
      <c r="G95" s="45">
        <v>-945057.13</v>
      </c>
      <c r="H95" s="17"/>
      <c r="L95" s="95"/>
    </row>
    <row r="96" spans="3:12" ht="12.75">
      <c r="C96" s="17"/>
      <c r="D96" s="17"/>
      <c r="E96" s="89">
        <v>42664</v>
      </c>
      <c r="F96" s="17"/>
      <c r="G96" s="45">
        <v>-909028.57</v>
      </c>
      <c r="H96" s="17"/>
      <c r="L96" s="95"/>
    </row>
    <row r="97" spans="3:12" ht="12.75">
      <c r="C97" s="17"/>
      <c r="D97" s="17"/>
      <c r="E97" s="89">
        <v>42697</v>
      </c>
      <c r="F97" s="17"/>
      <c r="G97" s="45">
        <v>-554285.71</v>
      </c>
      <c r="H97" s="17"/>
      <c r="L97" s="95"/>
    </row>
    <row r="98" spans="3:12" ht="12.75">
      <c r="C98" s="17"/>
      <c r="D98" s="17"/>
      <c r="E98" s="89">
        <v>42727</v>
      </c>
      <c r="F98" s="17"/>
      <c r="G98" s="45">
        <v>-1601885.71</v>
      </c>
      <c r="H98" s="17"/>
      <c r="L98" s="95"/>
    </row>
    <row r="99" spans="3:12" ht="12.75">
      <c r="C99" s="17" t="s">
        <v>25</v>
      </c>
      <c r="D99" s="17"/>
      <c r="E99" s="89">
        <v>42404</v>
      </c>
      <c r="F99" s="17"/>
      <c r="G99" s="45">
        <v>1521700.22</v>
      </c>
      <c r="H99" s="17"/>
      <c r="I99" s="25"/>
      <c r="J99" s="17"/>
      <c r="L99" s="95"/>
    </row>
    <row r="100" spans="3:12" ht="12.75">
      <c r="C100" s="17"/>
      <c r="D100" s="17"/>
      <c r="E100" s="89">
        <v>42451</v>
      </c>
      <c r="F100" s="17"/>
      <c r="G100" s="45">
        <v>564835.99</v>
      </c>
      <c r="H100" s="17"/>
      <c r="I100" s="25"/>
      <c r="J100" s="17"/>
      <c r="L100" s="95"/>
    </row>
    <row r="101" spans="3:12" ht="12.75">
      <c r="C101" s="17"/>
      <c r="D101" s="17"/>
      <c r="E101" s="89">
        <v>42549</v>
      </c>
      <c r="F101" s="17"/>
      <c r="G101" s="45">
        <v>308748.75</v>
      </c>
      <c r="H101" s="17"/>
      <c r="I101" s="25"/>
      <c r="J101" s="17"/>
      <c r="L101" s="95"/>
    </row>
    <row r="102" spans="3:12" ht="12.75">
      <c r="C102" s="17"/>
      <c r="D102" s="17"/>
      <c r="E102" s="89">
        <v>42584</v>
      </c>
      <c r="F102" s="17"/>
      <c r="G102" s="45">
        <v>7848786.04</v>
      </c>
      <c r="H102" s="17"/>
      <c r="I102" s="25"/>
      <c r="J102" s="17"/>
      <c r="L102" s="95"/>
    </row>
    <row r="103" spans="3:12" ht="12.75">
      <c r="C103" s="17"/>
      <c r="D103" s="17"/>
      <c r="E103" s="89">
        <v>42632</v>
      </c>
      <c r="F103" s="17"/>
      <c r="G103" s="45">
        <v>504739.76</v>
      </c>
      <c r="H103" s="17"/>
      <c r="I103" s="25"/>
      <c r="J103" s="17"/>
      <c r="L103" s="95"/>
    </row>
    <row r="104" spans="3:12" ht="12.75">
      <c r="C104" s="17"/>
      <c r="D104" s="17"/>
      <c r="E104" s="89">
        <v>42656</v>
      </c>
      <c r="F104" s="17"/>
      <c r="G104" s="45">
        <v>2001296.05</v>
      </c>
      <c r="H104" s="17"/>
      <c r="I104" s="25"/>
      <c r="J104" s="17"/>
      <c r="L104" s="95"/>
    </row>
    <row r="105" spans="3:12" ht="15.75">
      <c r="C105" s="17"/>
      <c r="D105" s="17"/>
      <c r="E105" s="89">
        <v>42723</v>
      </c>
      <c r="F105" s="17"/>
      <c r="G105" s="45">
        <v>1913313.91</v>
      </c>
      <c r="H105" s="17"/>
      <c r="I105" s="44"/>
      <c r="J105" s="41"/>
      <c r="K105" s="42"/>
      <c r="L105" s="177"/>
    </row>
    <row r="106" spans="3:12" ht="12.75">
      <c r="C106" s="17" t="s">
        <v>30</v>
      </c>
      <c r="D106" s="17"/>
      <c r="E106" s="89">
        <v>42795</v>
      </c>
      <c r="F106" s="17"/>
      <c r="G106" s="45">
        <v>-751057.15</v>
      </c>
      <c r="H106" s="17"/>
      <c r="I106" s="44"/>
      <c r="J106" s="41"/>
      <c r="K106" s="42"/>
      <c r="L106" s="124"/>
    </row>
    <row r="107" spans="3:12" ht="12.75">
      <c r="C107" s="17"/>
      <c r="D107" s="17"/>
      <c r="E107" s="89">
        <v>42822</v>
      </c>
      <c r="F107" s="17"/>
      <c r="G107" s="45">
        <v>-415714.29</v>
      </c>
      <c r="H107" s="17"/>
      <c r="I107" s="44"/>
      <c r="J107" s="41"/>
      <c r="K107" s="42"/>
      <c r="L107" s="124"/>
    </row>
    <row r="108" spans="3:12" ht="12.75">
      <c r="C108" s="17"/>
      <c r="D108" s="17"/>
      <c r="E108" s="89">
        <v>42843</v>
      </c>
      <c r="F108" s="17"/>
      <c r="G108" s="45">
        <v>-737200</v>
      </c>
      <c r="H108" s="17"/>
      <c r="I108" s="44"/>
      <c r="J108" s="41"/>
      <c r="K108" s="42"/>
      <c r="L108" s="124"/>
    </row>
    <row r="109" spans="3:12" ht="12.75">
      <c r="C109" s="17"/>
      <c r="D109" s="17"/>
      <c r="E109" s="89">
        <v>42909</v>
      </c>
      <c r="F109" s="17"/>
      <c r="G109" s="45">
        <v>-1078085.73</v>
      </c>
      <c r="H109" s="17"/>
      <c r="I109" s="44"/>
      <c r="J109" s="41"/>
      <c r="K109" s="42"/>
      <c r="L109" s="124"/>
    </row>
    <row r="110" spans="3:12" ht="12.75">
      <c r="C110" s="17"/>
      <c r="D110" s="17"/>
      <c r="E110" s="89">
        <v>43054</v>
      </c>
      <c r="F110" s="17"/>
      <c r="G110" s="45">
        <v>-726114.28</v>
      </c>
      <c r="H110" s="17"/>
      <c r="I110" s="44"/>
      <c r="J110" s="41"/>
      <c r="K110" s="42"/>
      <c r="L110" s="67"/>
    </row>
    <row r="111" spans="3:12" ht="12.75">
      <c r="C111" s="17"/>
      <c r="D111" s="17"/>
      <c r="E111" s="89">
        <v>43090</v>
      </c>
      <c r="F111" s="17"/>
      <c r="G111" s="45">
        <v>-906257.14</v>
      </c>
      <c r="H111" s="17"/>
      <c r="I111" s="44"/>
      <c r="J111" s="41"/>
      <c r="K111" s="42"/>
      <c r="L111" s="67"/>
    </row>
    <row r="112" spans="3:12" ht="12.75">
      <c r="C112" s="17" t="s">
        <v>46</v>
      </c>
      <c r="D112" s="17"/>
      <c r="E112" s="89">
        <v>42823</v>
      </c>
      <c r="F112" s="17"/>
      <c r="G112" s="45">
        <v>2905216.14</v>
      </c>
      <c r="H112" s="17"/>
      <c r="I112" s="44"/>
      <c r="J112" s="41"/>
      <c r="K112" s="42"/>
      <c r="L112" s="67"/>
    </row>
    <row r="113" spans="3:12" ht="12.75">
      <c r="C113" s="17"/>
      <c r="D113" s="17"/>
      <c r="E113" s="89">
        <v>42859</v>
      </c>
      <c r="F113" s="17"/>
      <c r="G113" s="45">
        <v>448540.14</v>
      </c>
      <c r="H113" s="17"/>
      <c r="L113" s="95"/>
    </row>
    <row r="114" spans="3:12" ht="12.75">
      <c r="C114" s="17"/>
      <c r="D114" s="17"/>
      <c r="E114" s="89">
        <v>43020</v>
      </c>
      <c r="F114" s="17"/>
      <c r="G114" s="45">
        <v>1124900.55</v>
      </c>
      <c r="H114" s="17"/>
      <c r="I114" s="25"/>
      <c r="J114" s="17"/>
      <c r="L114" s="95"/>
    </row>
    <row r="115" spans="3:12" ht="12.75">
      <c r="C115" s="17" t="s">
        <v>31</v>
      </c>
      <c r="D115" s="17"/>
      <c r="E115" s="89">
        <v>43364</v>
      </c>
      <c r="F115" s="17"/>
      <c r="G115" s="45">
        <v>-2272571.43</v>
      </c>
      <c r="H115" s="17"/>
      <c r="I115" s="25"/>
      <c r="J115" s="17"/>
      <c r="L115" s="95"/>
    </row>
    <row r="116" spans="3:12" ht="12.75">
      <c r="C116" s="17"/>
      <c r="D116" s="17"/>
      <c r="E116" s="89">
        <v>43454</v>
      </c>
      <c r="F116" s="17"/>
      <c r="G116" s="45">
        <v>-2308600</v>
      </c>
      <c r="H116" s="17"/>
      <c r="I116" s="25"/>
      <c r="J116" s="17"/>
      <c r="L116" s="95"/>
    </row>
    <row r="117" spans="3:12" ht="12.75">
      <c r="C117" s="17" t="s">
        <v>26</v>
      </c>
      <c r="D117" s="17"/>
      <c r="E117" s="89">
        <v>43152</v>
      </c>
      <c r="F117" s="17"/>
      <c r="G117" s="45">
        <v>6769084.64</v>
      </c>
      <c r="H117" s="17"/>
      <c r="I117" s="25"/>
      <c r="J117" s="17"/>
      <c r="L117" s="95"/>
    </row>
    <row r="118" spans="3:12" ht="12.75">
      <c r="C118" s="17"/>
      <c r="D118" s="17"/>
      <c r="E118" s="89">
        <v>43186</v>
      </c>
      <c r="F118" s="17"/>
      <c r="G118" s="45">
        <v>4103177.79</v>
      </c>
      <c r="H118" s="17"/>
      <c r="I118" s="25"/>
      <c r="J118" s="17"/>
      <c r="L118" s="95"/>
    </row>
    <row r="119" spans="3:12" ht="12.75">
      <c r="C119" s="17"/>
      <c r="D119" s="17"/>
      <c r="E119" s="89">
        <v>43262</v>
      </c>
      <c r="F119" s="17"/>
      <c r="G119" s="45">
        <v>592413.93</v>
      </c>
      <c r="H119" s="17"/>
      <c r="I119" s="25"/>
      <c r="J119" s="17"/>
      <c r="L119" s="95"/>
    </row>
    <row r="120" spans="3:12" ht="12.75">
      <c r="C120" s="17"/>
      <c r="D120" s="17"/>
      <c r="E120" s="89">
        <v>43404</v>
      </c>
      <c r="F120" s="17"/>
      <c r="G120" s="45">
        <v>557239.71</v>
      </c>
      <c r="H120" s="17"/>
      <c r="I120" s="25"/>
      <c r="J120" s="17"/>
      <c r="L120" s="95"/>
    </row>
    <row r="121" spans="3:12" ht="12.75">
      <c r="C121" s="17" t="s">
        <v>32</v>
      </c>
      <c r="D121" s="17"/>
      <c r="E121" s="89">
        <v>43649</v>
      </c>
      <c r="F121" s="17"/>
      <c r="G121" s="45">
        <v>-407400</v>
      </c>
      <c r="H121" s="17"/>
      <c r="I121" s="25"/>
      <c r="J121" s="17"/>
      <c r="L121" s="95"/>
    </row>
    <row r="122" spans="3:12" ht="12.75">
      <c r="C122" s="17" t="s">
        <v>27</v>
      </c>
      <c r="D122" s="17"/>
      <c r="E122" s="89">
        <v>43593</v>
      </c>
      <c r="F122" s="17"/>
      <c r="G122" s="45">
        <v>581602.77</v>
      </c>
      <c r="H122" s="17"/>
      <c r="I122" s="25"/>
      <c r="J122" s="17"/>
      <c r="L122" s="95"/>
    </row>
    <row r="123" spans="3:12" ht="12.75">
      <c r="C123" s="17"/>
      <c r="D123" s="17"/>
      <c r="E123" s="89">
        <v>43655</v>
      </c>
      <c r="F123" s="17"/>
      <c r="G123" s="45">
        <v>963093.60</v>
      </c>
      <c r="H123" s="17"/>
      <c r="I123" s="25"/>
      <c r="J123" s="17"/>
      <c r="L123" s="95"/>
    </row>
    <row r="124" spans="3:12" ht="12.75">
      <c r="C124" s="17" t="s">
        <v>33</v>
      </c>
      <c r="D124" s="17"/>
      <c r="E124" s="89">
        <v>43928</v>
      </c>
      <c r="F124" s="17"/>
      <c r="G124" s="45">
        <v>-351971.43</v>
      </c>
      <c r="H124" s="17"/>
      <c r="I124" s="25"/>
      <c r="J124" s="17"/>
      <c r="L124" s="95"/>
    </row>
    <row r="125" spans="3:12" ht="15.75">
      <c r="C125" s="17"/>
      <c r="D125" s="17"/>
      <c r="E125" s="89">
        <v>44070</v>
      </c>
      <c r="F125" s="17"/>
      <c r="G125" s="45">
        <v>-3572883.18</v>
      </c>
      <c r="H125" s="17"/>
      <c r="I125" s="25"/>
      <c r="J125" s="17"/>
      <c r="L125" s="80"/>
    </row>
    <row r="126" spans="3:12" ht="15.75">
      <c r="C126" s="17" t="s">
        <v>28</v>
      </c>
      <c r="D126" s="17"/>
      <c r="E126" s="89">
        <v>44302</v>
      </c>
      <c r="F126" s="17"/>
      <c r="G126" s="45">
        <v>1800716.96</v>
      </c>
      <c r="H126" s="17"/>
      <c r="I126" s="25"/>
      <c r="J126" s="17"/>
      <c r="L126" s="80"/>
    </row>
    <row r="127" spans="3:12" ht="15.75">
      <c r="C127" s="17" t="s">
        <v>29</v>
      </c>
      <c r="D127" s="17"/>
      <c r="E127" s="89">
        <v>44673</v>
      </c>
      <c r="F127" s="17"/>
      <c r="G127" s="45">
        <v>3732374.44</v>
      </c>
      <c r="H127" s="17"/>
      <c r="I127" s="25"/>
      <c r="J127" s="17"/>
      <c r="L127" s="80"/>
    </row>
    <row r="128" spans="3:12" ht="15.75">
      <c r="C128" s="17"/>
      <c r="D128" s="17"/>
      <c r="E128" s="89">
        <v>44727</v>
      </c>
      <c r="F128" s="17"/>
      <c r="G128" s="45">
        <v>565745.48</v>
      </c>
      <c r="H128" s="17"/>
      <c r="I128" s="25"/>
      <c r="J128" s="17"/>
      <c r="L128" s="80"/>
    </row>
    <row r="129" spans="3:12" ht="15.75">
      <c r="C129" s="17"/>
      <c r="D129" s="17"/>
      <c r="E129" s="89">
        <v>44796</v>
      </c>
      <c r="F129" s="17"/>
      <c r="G129" s="45">
        <v>505071.68</v>
      </c>
      <c r="H129" s="17"/>
      <c r="I129" s="25"/>
      <c r="J129" s="17"/>
      <c r="L129" s="80"/>
    </row>
    <row r="130" spans="3:12" ht="4.5" customHeight="1">
      <c r="C130" s="17"/>
      <c r="D130" s="17"/>
      <c r="E130" s="89"/>
      <c r="F130" s="17"/>
      <c r="G130" s="45"/>
      <c r="H130" s="17"/>
      <c r="I130" s="25"/>
      <c r="L130" s="95"/>
    </row>
    <row r="131" spans="3:12" ht="12.75">
      <c r="C131" s="17" t="s">
        <v>5</v>
      </c>
      <c r="D131" s="17"/>
      <c r="E131" s="89">
        <f>+E8</f>
        <v>44834</v>
      </c>
      <c r="F131" s="17"/>
      <c r="G131" s="94">
        <f>L131*C22</f>
        <v>4.52115147084786E7</v>
      </c>
      <c r="H131" s="17"/>
      <c r="I131" s="45">
        <f>+SUMIF($G$23:$G$130,"&lt;0",$G$23:$G$130)</f>
        <v>-1.1390788174000004E8</v>
      </c>
      <c r="J131" s="17" t="s">
        <v>20</v>
      </c>
      <c r="L131" s="124">
        <v>298169939</v>
      </c>
    </row>
    <row r="132" spans="7:10" ht="12.75">
      <c r="G132" s="25"/>
      <c r="H132" s="17"/>
      <c r="I132" s="45">
        <f>+SUMIF($G$23:$G$130,"&gt;0",$G$23:$G$130)</f>
        <v>7.118181908E7</v>
      </c>
      <c r="J132" s="17" t="s">
        <v>21</v>
      </c>
    </row>
    <row r="133" spans="3:10" ht="12.75">
      <c r="C133" s="15" t="s">
        <v>0</v>
      </c>
      <c r="G133" s="72">
        <f>XIRR(G23:G131,E23:E131,0.1)</f>
        <v>0.004669937491416931</v>
      </c>
      <c r="H133" s="17"/>
      <c r="I133" s="17"/>
      <c r="J133" s="17"/>
    </row>
    <row r="136" spans="7:7" ht="12.75">
      <c r="G136" s="75"/>
    </row>
    <row r="137" spans="5:7" ht="12.75">
      <c r="E137" s="75"/>
      <c r="F137" s="28"/>
      <c r="G137" s="75"/>
    </row>
    <row r="138" spans="5:7" ht="12.75">
      <c r="E138" s="75"/>
      <c r="F138" s="28"/>
      <c r="G138" s="75"/>
    </row>
    <row r="139" spans="3:7" ht="12.75">
      <c r="C139" s="28"/>
      <c r="D139" s="28"/>
      <c r="E139" s="76"/>
      <c r="F139" s="76"/>
      <c r="G139" s="76"/>
    </row>
    <row r="140" spans="3:7" ht="12.75">
      <c r="C140" s="28"/>
      <c r="D140" s="28"/>
      <c r="E140" s="75"/>
      <c r="F140" s="75"/>
      <c r="G140" s="75"/>
    </row>
    <row r="141" spans="3:7" ht="12.75">
      <c r="C141" s="28"/>
      <c r="D141" s="28"/>
      <c r="E141" s="28"/>
      <c r="F141" s="28"/>
      <c r="G141" s="28"/>
    </row>
    <row r="142" spans="3:7" ht="12.75">
      <c r="C142" s="171"/>
      <c r="D142" s="171"/>
      <c r="E142" s="173"/>
      <c r="F142" s="96"/>
      <c r="G142" s="97"/>
    </row>
    <row r="143" spans="3:7" s="111" customFormat="1" ht="12.75">
      <c r="C143" s="171"/>
      <c r="D143" s="171"/>
      <c r="E143" s="97"/>
      <c r="F143" s="96"/>
      <c r="G143" s="97"/>
    </row>
    <row r="144" spans="3:7" s="111" customFormat="1" ht="12.75">
      <c r="C144" s="171"/>
      <c r="D144" s="171"/>
      <c r="E144" s="97"/>
      <c r="F144" s="96"/>
      <c r="G144" s="97"/>
    </row>
    <row r="145" spans="3:7" ht="12.75">
      <c r="C145" s="189"/>
      <c r="D145" s="171"/>
      <c r="E145" s="97"/>
      <c r="F145" s="96"/>
      <c r="G145" s="97"/>
    </row>
    <row r="146" spans="3:7" ht="12.75">
      <c r="C146" s="189"/>
      <c r="D146" s="171"/>
      <c r="E146" s="97"/>
      <c r="F146" s="96"/>
      <c r="G146" s="97"/>
    </row>
    <row r="147" spans="3:7" ht="12.75">
      <c r="C147" s="190"/>
      <c r="D147" s="171"/>
      <c r="E147" s="97"/>
      <c r="F147" s="96"/>
      <c r="G147" s="97"/>
    </row>
    <row r="148" spans="3:7" s="111" customFormat="1" ht="12.75">
      <c r="C148" s="171"/>
      <c r="D148" s="171"/>
      <c r="E148" s="97"/>
      <c r="F148" s="96"/>
      <c r="G148" s="97"/>
    </row>
    <row r="149" spans="3:7" ht="12.75">
      <c r="C149" s="171"/>
      <c r="D149" s="171"/>
      <c r="E149" s="97"/>
      <c r="F149" s="96"/>
      <c r="G149" s="97"/>
    </row>
    <row r="150" spans="3:7" ht="12.75">
      <c r="C150" s="171"/>
      <c r="D150" s="171"/>
      <c r="E150" s="97"/>
      <c r="F150" s="96"/>
      <c r="G150" s="97"/>
    </row>
    <row r="151" spans="3:7" ht="12.75">
      <c r="C151" s="171"/>
      <c r="D151" s="171"/>
      <c r="E151" s="97"/>
      <c r="F151" s="96"/>
      <c r="G151" s="97"/>
    </row>
    <row r="152" spans="3:7" ht="12.75">
      <c r="C152" s="171"/>
      <c r="D152" s="171"/>
      <c r="E152" s="97"/>
      <c r="F152" s="96"/>
      <c r="G152" s="97"/>
    </row>
    <row r="153" spans="3:7" ht="12.75">
      <c r="C153" s="171"/>
      <c r="D153" s="171"/>
      <c r="E153" s="97"/>
      <c r="F153" s="96"/>
      <c r="G153" s="97"/>
    </row>
    <row r="154" spans="4:6" s="111" customFormat="1" ht="5.1" customHeight="1">
      <c r="D154"/>
      <c r="F154"/>
    </row>
    <row r="155" spans="5:5" ht="12.75">
      <c r="E155" s="111"/>
    </row>
  </sheetData>
  <mergeCells count="2">
    <mergeCell ref="H8:I8"/>
    <mergeCell ref="E139:G139"/>
  </mergeCells>
  <pageMargins left="0.7" right="0.7" top="0.75" bottom="0.75" header="0.3" footer="0.3"/>
  <pageSetup orientation="landscape" paperSize="1" scale="27" r:id="rId2"/>
  <headerFooter>
    <oddHeader>&amp;C&amp;G</oddHeader>
    <oddFooter>&amp;C&amp;G</oddFooter>
  </headerFooter>
  <legacyDrawingHF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8BAA71D-5FA7-4BC1-8FE6-EFB04898EEBD}">
  <sheetPr>
    <pageSetUpPr fitToPage="1"/>
  </sheetPr>
  <dimension ref="B4:M158"/>
  <sheetViews>
    <sheetView showGridLines="0" view="pageLayout" zoomScaleNormal="100" workbookViewId="0" topLeftCell="A1">
      <selection pane="topLeft" activeCell="C12" sqref="C12"/>
    </sheetView>
  </sheetViews>
  <sheetFormatPr defaultRowHeight="12.75"/>
  <cols>
    <col min="2" max="2" width="4.857142857142857" customWidth="1"/>
    <col min="3" max="3" width="48.714285714285715" customWidth="1"/>
    <col min="4" max="4" width="1.4285714285714286" customWidth="1"/>
    <col min="5" max="5" width="10.571428571428571" customWidth="1"/>
    <col min="6" max="6" width="1.4285714285714286" customWidth="1"/>
    <col min="7" max="7" width="11.142857142857142" bestFit="1" customWidth="1"/>
    <col min="8" max="8" width="2.4285714285714284" customWidth="1"/>
    <col min="9" max="10" width="12.571428571428571" bestFit="1" customWidth="1"/>
    <col min="11" max="11" width="10" bestFit="1" customWidth="1"/>
    <col min="12" max="12" width="15.428571428571429" customWidth="1"/>
    <col min="13" max="13" width="16.571428571428573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55">
        <f>+VIII!E8</f>
        <v>44834</v>
      </c>
      <c r="F8" s="13"/>
      <c r="G8" s="78"/>
      <c r="H8" s="78"/>
      <c r="I8" s="79"/>
    </row>
    <row r="9" spans="3:8" ht="15.75">
      <c r="C9" s="65"/>
      <c r="D9" s="65"/>
      <c r="E9" s="65"/>
      <c r="F9" s="65"/>
      <c r="G9" s="177"/>
      <c r="H9" s="5"/>
    </row>
    <row r="10" spans="3:9" ht="12.75">
      <c r="C10" s="178"/>
      <c r="D10" s="178"/>
      <c r="E10" s="179"/>
      <c r="F10" s="178"/>
      <c r="G10" s="124"/>
      <c r="H10" s="9"/>
      <c r="I10" s="82"/>
    </row>
    <row r="11" spans="3:9" ht="12.75">
      <c r="C11" s="178"/>
      <c r="D11" s="178"/>
      <c r="E11" s="179"/>
      <c r="F11" s="178"/>
      <c r="G11" s="179"/>
      <c r="H11" s="9"/>
      <c r="I11" s="82"/>
    </row>
    <row r="12" spans="3:9" ht="15.75">
      <c r="C12" s="180"/>
      <c r="D12" s="180"/>
      <c r="E12" s="70"/>
      <c r="F12" s="180"/>
      <c r="G12" s="70"/>
      <c r="H12" s="10"/>
      <c r="I12" s="82"/>
    </row>
    <row r="13" spans="3:9" ht="12.75">
      <c r="C13" s="178"/>
      <c r="D13" s="178"/>
      <c r="E13" s="71"/>
      <c r="F13" s="178"/>
      <c r="G13" s="124"/>
      <c r="H13" s="11"/>
      <c r="I13" s="82"/>
    </row>
    <row r="14" spans="3:9" ht="12.75">
      <c r="C14" s="178"/>
      <c r="D14" s="178"/>
      <c r="E14" s="181"/>
      <c r="F14" s="178"/>
      <c r="G14" s="124"/>
      <c r="H14" s="12"/>
      <c r="I14" s="86"/>
    </row>
    <row r="15" spans="3:9" ht="12.75">
      <c r="C15" s="178"/>
      <c r="D15" s="178"/>
      <c r="E15" s="179"/>
      <c r="F15" s="178"/>
      <c r="G15" s="179"/>
      <c r="H15" s="9"/>
      <c r="I15" s="82"/>
    </row>
    <row r="16" spans="3:9" ht="15.75">
      <c r="C16" s="5"/>
      <c r="D16" s="5"/>
      <c r="E16" s="10"/>
      <c r="F16" s="5"/>
      <c r="G16" s="10"/>
      <c r="H16" s="10"/>
      <c r="I16" s="82"/>
    </row>
    <row r="17" spans="3:9" ht="15.75">
      <c r="C17" s="83" t="s">
        <v>15</v>
      </c>
      <c r="D17" s="83"/>
      <c r="E17" s="10"/>
      <c r="F17" s="83"/>
      <c r="G17" s="10"/>
      <c r="H17" s="5"/>
      <c r="I17" s="82"/>
    </row>
    <row r="18" spans="3:9" ht="12.75" customHeight="1">
      <c r="C18" s="6" t="s">
        <v>16</v>
      </c>
      <c r="D18" s="6"/>
      <c r="E18" s="84">
        <f>+G133</f>
        <v>0.004980888962745668</v>
      </c>
      <c r="F18" s="6"/>
      <c r="G18" s="11"/>
      <c r="H18" s="84"/>
      <c r="I18" s="82"/>
    </row>
    <row r="19" spans="3:8" ht="12.75">
      <c r="C19" s="6" t="s">
        <v>17</v>
      </c>
      <c r="D19" s="6"/>
      <c r="E19" s="87">
        <f>(G131+I132)/-I131</f>
        <v>1.0229776861546818</v>
      </c>
      <c r="F19" s="6"/>
      <c r="G19" s="9"/>
      <c r="H19" s="81"/>
    </row>
    <row r="20" spans="3:8" ht="12.75">
      <c r="C20" s="6"/>
      <c r="D20" s="6"/>
      <c r="E20" s="6"/>
      <c r="F20" s="6"/>
      <c r="G20" s="81"/>
      <c r="H20" s="81"/>
    </row>
    <row r="21" spans="3:12" ht="15.75">
      <c r="C21" s="88" t="s">
        <v>50</v>
      </c>
      <c r="D21" s="7"/>
      <c r="E21" s="7"/>
      <c r="F21" s="7"/>
      <c r="I21" s="89"/>
      <c r="J21" s="17"/>
      <c r="L21" s="119"/>
    </row>
    <row r="22" spans="3:11" ht="12.75">
      <c r="C22" s="90">
        <v>0.028643258</v>
      </c>
      <c r="D22" s="17"/>
      <c r="E22" s="17"/>
      <c r="F22" s="17"/>
      <c r="G22" s="17"/>
      <c r="H22" s="17"/>
      <c r="I22" s="17"/>
      <c r="J22" s="17"/>
      <c r="K22" s="118"/>
    </row>
    <row r="23" spans="3:13" ht="12.75">
      <c r="C23" s="17" t="s">
        <v>49</v>
      </c>
      <c r="D23" s="17"/>
      <c r="E23" s="89">
        <v>40590</v>
      </c>
      <c r="F23" s="17"/>
      <c r="G23" s="22">
        <v>-244125</v>
      </c>
      <c r="H23" s="22"/>
      <c r="I23" s="25"/>
      <c r="J23" s="25"/>
      <c r="M23" s="95"/>
    </row>
    <row r="24" spans="3:13" ht="12.75">
      <c r="C24" s="17"/>
      <c r="D24" s="17"/>
      <c r="E24" s="89">
        <v>40661</v>
      </c>
      <c r="F24" s="17"/>
      <c r="G24" s="22">
        <v>-62502.65</v>
      </c>
      <c r="H24" s="22"/>
      <c r="I24" s="25"/>
      <c r="J24" s="25"/>
      <c r="M24" s="95"/>
    </row>
    <row r="25" spans="3:13" ht="12.75">
      <c r="C25" s="17"/>
      <c r="D25" s="17"/>
      <c r="E25" s="89">
        <v>40704</v>
      </c>
      <c r="F25" s="17"/>
      <c r="G25" s="22">
        <v>-98586.65</v>
      </c>
      <c r="H25" s="22"/>
      <c r="I25" s="25"/>
      <c r="J25" s="25"/>
      <c r="M25" s="95"/>
    </row>
    <row r="26" spans="3:13" ht="12.75">
      <c r="C26" s="17"/>
      <c r="D26" s="17"/>
      <c r="E26" s="89">
        <v>40751</v>
      </c>
      <c r="F26" s="17"/>
      <c r="G26" s="22">
        <v>-94290.93</v>
      </c>
      <c r="H26" s="22"/>
      <c r="I26" s="25"/>
      <c r="J26" s="25"/>
      <c r="M26" s="95"/>
    </row>
    <row r="27" spans="3:13" ht="12.75">
      <c r="C27" s="17"/>
      <c r="D27" s="17"/>
      <c r="E27" s="89">
        <v>40765</v>
      </c>
      <c r="F27" s="17"/>
      <c r="G27" s="22">
        <v>-156793.58</v>
      </c>
      <c r="H27" s="22"/>
      <c r="I27" s="25"/>
      <c r="J27" s="25"/>
      <c r="M27" s="95"/>
    </row>
    <row r="28" spans="3:13" ht="12.75">
      <c r="C28" s="17"/>
      <c r="D28" s="17"/>
      <c r="E28" s="89">
        <v>40813</v>
      </c>
      <c r="F28" s="17"/>
      <c r="G28" s="22">
        <v>-138107.22</v>
      </c>
      <c r="H28" s="22"/>
      <c r="I28" s="25"/>
      <c r="J28" s="25"/>
      <c r="M28" s="95"/>
    </row>
    <row r="29" spans="3:13" ht="12.75">
      <c r="C29" s="17"/>
      <c r="D29" s="17"/>
      <c r="E29" s="89">
        <v>40879</v>
      </c>
      <c r="F29" s="17"/>
      <c r="G29" s="22">
        <v>-66368.79</v>
      </c>
      <c r="H29" s="22"/>
      <c r="I29" s="25"/>
      <c r="J29" s="25"/>
      <c r="M29" s="95"/>
    </row>
    <row r="30" spans="3:13" ht="12.75">
      <c r="C30" s="17"/>
      <c r="D30" s="17"/>
      <c r="E30" s="89">
        <v>40886</v>
      </c>
      <c r="F30" s="17"/>
      <c r="G30" s="22">
        <v>-90424.79</v>
      </c>
      <c r="H30" s="22"/>
      <c r="I30" s="25"/>
      <c r="J30" s="25"/>
      <c r="M30" s="95"/>
    </row>
    <row r="31" spans="3:13" ht="12.75">
      <c r="C31" s="17" t="s">
        <v>12</v>
      </c>
      <c r="D31" s="17"/>
      <c r="E31" s="89">
        <v>40927</v>
      </c>
      <c r="F31" s="17"/>
      <c r="G31" s="22">
        <v>-151209.15</v>
      </c>
      <c r="H31" s="22"/>
      <c r="I31" s="25"/>
      <c r="J31" s="25"/>
      <c r="M31" s="95"/>
    </row>
    <row r="32" spans="3:13" ht="12.75">
      <c r="C32" s="17"/>
      <c r="D32" s="17"/>
      <c r="E32" s="89">
        <v>40942</v>
      </c>
      <c r="F32" s="17"/>
      <c r="G32" s="22">
        <v>-708792.89</v>
      </c>
      <c r="H32" s="22"/>
      <c r="I32" s="25"/>
      <c r="J32" s="25"/>
      <c r="M32" s="95"/>
    </row>
    <row r="33" spans="3:13" ht="12.75">
      <c r="C33" s="17"/>
      <c r="D33" s="17"/>
      <c r="E33" s="89">
        <v>40970</v>
      </c>
      <c r="F33" s="17"/>
      <c r="G33" s="22">
        <v>-112762.51</v>
      </c>
      <c r="H33" s="22"/>
      <c r="I33" s="25"/>
      <c r="J33" s="25"/>
      <c r="M33" s="95"/>
    </row>
    <row r="34" spans="3:13" ht="12.75">
      <c r="C34" s="17"/>
      <c r="D34" s="17"/>
      <c r="E34" s="89">
        <v>41001</v>
      </c>
      <c r="F34" s="17"/>
      <c r="G34" s="22">
        <v>-65939.22</v>
      </c>
      <c r="H34" s="22"/>
      <c r="I34" s="25"/>
      <c r="J34" s="25"/>
      <c r="M34" s="95"/>
    </row>
    <row r="35" spans="3:13" ht="12.75">
      <c r="C35" s="17"/>
      <c r="D35" s="17"/>
      <c r="E35" s="89">
        <v>41024</v>
      </c>
      <c r="F35" s="17"/>
      <c r="G35" s="22">
        <v>-78182</v>
      </c>
      <c r="H35" s="22"/>
      <c r="I35" s="25"/>
      <c r="J35" s="25"/>
      <c r="M35" s="95"/>
    </row>
    <row r="36" spans="3:13" ht="12.75">
      <c r="C36" s="17"/>
      <c r="D36" s="17"/>
      <c r="E36" s="89">
        <v>41030</v>
      </c>
      <c r="F36" s="17"/>
      <c r="G36" s="22">
        <v>288418.75</v>
      </c>
      <c r="H36" s="22"/>
      <c r="I36" s="25"/>
      <c r="J36" s="25"/>
      <c r="M36" s="95"/>
    </row>
    <row r="37" spans="3:13" ht="12.75">
      <c r="C37" s="17"/>
      <c r="D37" s="17"/>
      <c r="E37" s="89">
        <v>41054</v>
      </c>
      <c r="F37" s="17"/>
      <c r="G37" s="22">
        <v>-101808.43</v>
      </c>
      <c r="H37" s="22"/>
      <c r="I37" s="25"/>
      <c r="J37" s="25"/>
      <c r="M37" s="95"/>
    </row>
    <row r="38" spans="3:13" ht="12.75">
      <c r="C38" s="17"/>
      <c r="D38" s="17"/>
      <c r="E38" s="89">
        <v>41080</v>
      </c>
      <c r="F38" s="17"/>
      <c r="G38" s="22">
        <v>-188796.65</v>
      </c>
      <c r="H38" s="22"/>
      <c r="I38" s="25"/>
      <c r="J38" s="25"/>
      <c r="M38" s="95"/>
    </row>
    <row r="39" spans="3:13" ht="12.75">
      <c r="C39" s="17"/>
      <c r="D39" s="17"/>
      <c r="E39" s="89">
        <v>41103</v>
      </c>
      <c r="F39" s="17"/>
      <c r="G39" s="22">
        <v>-61213.93</v>
      </c>
      <c r="H39" s="22"/>
      <c r="I39" s="25"/>
      <c r="J39" s="25"/>
      <c r="M39" s="95"/>
    </row>
    <row r="40" spans="3:13" ht="12.75">
      <c r="C40" s="17"/>
      <c r="D40" s="17"/>
      <c r="E40" s="89">
        <v>41108</v>
      </c>
      <c r="F40" s="17"/>
      <c r="G40" s="22">
        <v>62022.65</v>
      </c>
      <c r="H40" s="22"/>
      <c r="I40" s="25"/>
      <c r="J40" s="25"/>
      <c r="M40" s="95"/>
    </row>
    <row r="41" spans="3:13" ht="12.75">
      <c r="C41" s="17"/>
      <c r="D41" s="17"/>
      <c r="E41" s="89">
        <v>41121</v>
      </c>
      <c r="F41" s="17"/>
      <c r="G41" s="22">
        <v>-59066.07</v>
      </c>
      <c r="H41" s="22"/>
      <c r="I41" s="25"/>
      <c r="J41" s="25"/>
      <c r="M41" s="95"/>
    </row>
    <row r="42" spans="3:13" ht="12.75">
      <c r="C42" s="17"/>
      <c r="D42" s="17"/>
      <c r="E42" s="89">
        <v>41137</v>
      </c>
      <c r="F42" s="17"/>
      <c r="G42" s="22">
        <v>26772.78</v>
      </c>
      <c r="H42" s="22"/>
      <c r="I42" s="25"/>
      <c r="J42" s="25"/>
      <c r="M42" s="95"/>
    </row>
    <row r="43" spans="3:13" ht="12.75">
      <c r="C43" s="17"/>
      <c r="D43" s="17"/>
      <c r="E43" s="89">
        <v>41152</v>
      </c>
      <c r="F43" s="17"/>
      <c r="G43" s="22">
        <v>-78182.01</v>
      </c>
      <c r="H43" s="22"/>
      <c r="I43" s="25"/>
      <c r="J43" s="25"/>
      <c r="M43" s="95"/>
    </row>
    <row r="44" spans="3:13" ht="12.75">
      <c r="C44" s="17"/>
      <c r="D44" s="17"/>
      <c r="E44" s="89">
        <v>41173</v>
      </c>
      <c r="F44" s="17"/>
      <c r="G44" s="22">
        <v>577612.2</v>
      </c>
      <c r="H44" s="22"/>
      <c r="I44" s="25"/>
      <c r="J44" s="25"/>
      <c r="M44" s="95"/>
    </row>
    <row r="45" spans="3:13" ht="12.75">
      <c r="C45" s="17" t="s">
        <v>43</v>
      </c>
      <c r="D45" s="17"/>
      <c r="E45" s="89">
        <v>41180</v>
      </c>
      <c r="F45" s="17"/>
      <c r="G45" s="22">
        <v>-148202.14</v>
      </c>
      <c r="H45" s="22"/>
      <c r="I45" s="25"/>
      <c r="J45" s="25"/>
      <c r="M45" s="95"/>
    </row>
    <row r="46" spans="3:13" ht="12.75">
      <c r="C46" s="17"/>
      <c r="D46" s="17"/>
      <c r="E46" s="89">
        <v>41194</v>
      </c>
      <c r="F46" s="17"/>
      <c r="G46" s="22">
        <v>-72812.36</v>
      </c>
      <c r="H46" s="22"/>
      <c r="I46" s="25"/>
      <c r="J46" s="25"/>
      <c r="M46" s="95"/>
    </row>
    <row r="47" spans="3:13" ht="12.75">
      <c r="C47" s="17"/>
      <c r="D47" s="17"/>
      <c r="E47" s="89">
        <v>41250</v>
      </c>
      <c r="F47" s="17"/>
      <c r="G47" s="22">
        <v>-328407.36</v>
      </c>
      <c r="H47" s="22"/>
      <c r="I47" s="25"/>
      <c r="J47" s="25"/>
      <c r="M47" s="95"/>
    </row>
    <row r="48" spans="3:13" ht="12.75">
      <c r="C48" s="17"/>
      <c r="D48" s="17"/>
      <c r="E48" s="89">
        <v>41264</v>
      </c>
      <c r="F48" s="17"/>
      <c r="G48" s="22">
        <v>-291678.99</v>
      </c>
      <c r="H48" s="22"/>
      <c r="I48" s="25"/>
      <c r="J48" s="25"/>
      <c r="M48" s="95"/>
    </row>
    <row r="49" spans="3:13" ht="12.75">
      <c r="C49" s="17" t="s">
        <v>18</v>
      </c>
      <c r="D49" s="17"/>
      <c r="E49" s="89">
        <v>41284</v>
      </c>
      <c r="F49" s="17"/>
      <c r="G49" s="22">
        <v>-86129.08</v>
      </c>
      <c r="H49" s="22"/>
      <c r="I49" s="25"/>
      <c r="J49" s="25"/>
      <c r="M49" s="95"/>
    </row>
    <row r="50" spans="3:13" ht="12.75">
      <c r="C50" s="17"/>
      <c r="D50" s="17"/>
      <c r="E50" s="89">
        <v>41298</v>
      </c>
      <c r="F50" s="17"/>
      <c r="G50" s="22">
        <v>-110185.07</v>
      </c>
      <c r="H50" s="22"/>
      <c r="I50" s="25"/>
      <c r="J50" s="25"/>
      <c r="M50" s="95"/>
    </row>
    <row r="51" spans="3:13" ht="12.75">
      <c r="C51" s="17"/>
      <c r="D51" s="17"/>
      <c r="E51" s="89">
        <v>41345</v>
      </c>
      <c r="F51" s="17"/>
      <c r="G51" s="22">
        <v>-112977.29</v>
      </c>
      <c r="H51" s="22"/>
      <c r="I51" s="25"/>
      <c r="J51" s="25"/>
      <c r="M51" s="95"/>
    </row>
    <row r="52" spans="3:13" ht="12.75">
      <c r="C52" s="17"/>
      <c r="D52" s="17"/>
      <c r="E52" s="89">
        <v>41360</v>
      </c>
      <c r="F52" s="17"/>
      <c r="G52" s="22">
        <v>-101164.06</v>
      </c>
      <c r="H52" s="22"/>
      <c r="I52" s="25"/>
      <c r="J52" s="25"/>
      <c r="M52" s="95"/>
    </row>
    <row r="53" spans="3:13" ht="12.75">
      <c r="C53" s="17"/>
      <c r="D53" s="17"/>
      <c r="E53" s="89">
        <v>41393</v>
      </c>
      <c r="F53" s="17"/>
      <c r="G53" s="22">
        <v>-81403.80</v>
      </c>
      <c r="H53" s="22"/>
      <c r="I53" s="25"/>
      <c r="J53" s="25"/>
      <c r="M53" s="95"/>
    </row>
    <row r="54" spans="3:13" ht="12.75">
      <c r="C54" s="17"/>
      <c r="D54" s="17"/>
      <c r="E54" s="89">
        <v>41404</v>
      </c>
      <c r="F54" s="17"/>
      <c r="G54" s="22">
        <v>-110829.43</v>
      </c>
      <c r="H54" s="22"/>
      <c r="I54" s="25"/>
      <c r="J54" s="25"/>
      <c r="M54" s="95"/>
    </row>
    <row r="55" spans="3:13" ht="12.75">
      <c r="C55" s="17"/>
      <c r="D55" s="17"/>
      <c r="E55" s="89">
        <v>41418</v>
      </c>
      <c r="F55" s="17"/>
      <c r="G55" s="22">
        <v>33721.7</v>
      </c>
      <c r="H55" s="22"/>
      <c r="I55" s="25"/>
      <c r="J55" s="25"/>
      <c r="M55" s="95"/>
    </row>
    <row r="56" spans="3:13" ht="12.75">
      <c r="C56" s="17"/>
      <c r="D56" s="17"/>
      <c r="E56" s="89">
        <v>41423</v>
      </c>
      <c r="F56" s="17"/>
      <c r="G56" s="22">
        <v>-96009.23</v>
      </c>
      <c r="H56" s="22"/>
      <c r="I56" s="25"/>
      <c r="J56" s="25"/>
      <c r="M56" s="95"/>
    </row>
    <row r="57" spans="3:13" ht="12.75">
      <c r="C57" s="17"/>
      <c r="D57" s="17"/>
      <c r="E57" s="89">
        <v>41446</v>
      </c>
      <c r="F57" s="17"/>
      <c r="G57" s="22">
        <v>-293397.29</v>
      </c>
      <c r="H57" s="22"/>
      <c r="I57" s="25"/>
      <c r="J57" s="25"/>
      <c r="M57" s="95"/>
    </row>
    <row r="58" spans="3:13" ht="12.75">
      <c r="C58" s="17"/>
      <c r="D58" s="17"/>
      <c r="E58" s="89">
        <v>41481</v>
      </c>
      <c r="F58" s="17"/>
      <c r="G58" s="22">
        <v>-91713.51</v>
      </c>
      <c r="H58" s="22"/>
      <c r="I58" s="25"/>
      <c r="J58" s="25"/>
      <c r="M58" s="95"/>
    </row>
    <row r="59" spans="3:13" ht="12.75">
      <c r="C59" s="17"/>
      <c r="D59" s="17"/>
      <c r="E59" s="89">
        <v>41501</v>
      </c>
      <c r="F59" s="17"/>
      <c r="G59" s="22">
        <v>-86343.86</v>
      </c>
      <c r="H59" s="22"/>
      <c r="I59" s="25"/>
      <c r="J59" s="25"/>
      <c r="M59" s="95"/>
    </row>
    <row r="60" spans="3:13" ht="12.75">
      <c r="C60" s="17"/>
      <c r="D60" s="17"/>
      <c r="E60" s="89">
        <v>41514</v>
      </c>
      <c r="F60" s="17"/>
      <c r="G60" s="22">
        <v>-125220.07</v>
      </c>
      <c r="H60" s="22"/>
      <c r="I60" s="25"/>
      <c r="J60" s="25"/>
      <c r="M60" s="95"/>
    </row>
    <row r="61" spans="3:13" ht="12.75">
      <c r="C61" s="17"/>
      <c r="D61" s="17"/>
      <c r="E61" s="89">
        <v>41551</v>
      </c>
      <c r="F61" s="17"/>
      <c r="G61" s="22">
        <v>-74745.43</v>
      </c>
      <c r="H61" s="22"/>
      <c r="M61" s="95"/>
    </row>
    <row r="62" spans="3:13" ht="12.75">
      <c r="C62" s="17"/>
      <c r="D62" s="17"/>
      <c r="E62" s="89">
        <v>41577</v>
      </c>
      <c r="F62" s="17"/>
      <c r="G62" s="22">
        <v>-119635.65</v>
      </c>
      <c r="H62" s="22"/>
      <c r="M62" s="95"/>
    </row>
    <row r="63" spans="3:13" ht="12.75">
      <c r="C63" s="17"/>
      <c r="D63" s="17"/>
      <c r="E63" s="89">
        <v>41599</v>
      </c>
      <c r="F63" s="17"/>
      <c r="G63" s="22">
        <v>-75604.57</v>
      </c>
      <c r="H63" s="22"/>
      <c r="M63" s="95"/>
    </row>
    <row r="64" spans="3:13" ht="12.75">
      <c r="C64" s="17" t="s">
        <v>14</v>
      </c>
      <c r="D64" s="17"/>
      <c r="E64" s="89">
        <v>41618</v>
      </c>
      <c r="F64" s="17"/>
      <c r="G64" s="22">
        <v>81562.51</v>
      </c>
      <c r="H64" s="22"/>
      <c r="M64" s="95"/>
    </row>
    <row r="65" spans="3:13" ht="12.75">
      <c r="C65" s="17"/>
      <c r="D65" s="17"/>
      <c r="E65" s="89">
        <v>41624</v>
      </c>
      <c r="F65" s="17"/>
      <c r="G65" s="22">
        <v>-151209.15</v>
      </c>
      <c r="H65" s="22"/>
      <c r="M65" s="95"/>
    </row>
    <row r="66" spans="3:13" ht="12.75">
      <c r="C66" s="17" t="s">
        <v>23</v>
      </c>
      <c r="D66" s="17"/>
      <c r="E66" s="89">
        <v>41646</v>
      </c>
      <c r="F66" s="17"/>
      <c r="G66" s="45">
        <v>-106748.50</v>
      </c>
      <c r="H66" s="45"/>
      <c r="I66" s="25"/>
      <c r="J66" s="17"/>
      <c r="M66" s="95"/>
    </row>
    <row r="67" spans="3:13" ht="12.75">
      <c r="C67" s="17"/>
      <c r="D67" s="17"/>
      <c r="E67" s="89">
        <v>41670</v>
      </c>
      <c r="F67" s="17"/>
      <c r="G67" s="45">
        <v>-79255.94</v>
      </c>
      <c r="H67" s="45"/>
      <c r="I67" s="25"/>
      <c r="J67" s="17"/>
      <c r="M67" s="95"/>
    </row>
    <row r="68" spans="3:13" ht="12.75">
      <c r="C68" s="17"/>
      <c r="D68" s="17"/>
      <c r="E68" s="89">
        <v>41697</v>
      </c>
      <c r="F68" s="17"/>
      <c r="G68" s="45">
        <v>-141114.19</v>
      </c>
      <c r="H68" s="45"/>
      <c r="I68" s="25"/>
      <c r="J68" s="17"/>
      <c r="M68" s="95"/>
    </row>
    <row r="69" spans="3:13" ht="12.75">
      <c r="C69" s="17"/>
      <c r="D69" s="17"/>
      <c r="E69" s="89">
        <v>41704</v>
      </c>
      <c r="F69" s="17"/>
      <c r="G69" s="45">
        <v>-102238</v>
      </c>
      <c r="H69" s="45"/>
      <c r="I69" s="25"/>
      <c r="J69" s="17"/>
      <c r="M69" s="95"/>
    </row>
    <row r="70" spans="3:13" ht="12.75">
      <c r="C70" s="17"/>
      <c r="D70" s="17"/>
      <c r="E70" s="89">
        <v>41718</v>
      </c>
      <c r="F70" s="17"/>
      <c r="G70" s="45">
        <v>-89350.86</v>
      </c>
      <c r="H70" s="45"/>
      <c r="I70" s="25"/>
      <c r="J70" s="17"/>
      <c r="M70" s="95"/>
    </row>
    <row r="71" spans="3:13" ht="12.75">
      <c r="C71" s="17"/>
      <c r="D71" s="17"/>
      <c r="E71" s="89">
        <v>41750</v>
      </c>
      <c r="F71" s="17"/>
      <c r="G71" s="45">
        <v>-141973.37</v>
      </c>
      <c r="H71" s="45"/>
      <c r="I71" s="25"/>
      <c r="J71" s="17"/>
      <c r="M71" s="95"/>
    </row>
    <row r="72" spans="3:13" ht="12.75">
      <c r="C72" s="17"/>
      <c r="D72" s="17"/>
      <c r="E72" s="89">
        <v>41779</v>
      </c>
      <c r="F72" s="17"/>
      <c r="G72" s="45">
        <v>-141758.57</v>
      </c>
      <c r="H72" s="45"/>
      <c r="I72" s="112"/>
      <c r="J72" s="110"/>
      <c r="M72" s="95"/>
    </row>
    <row r="73" spans="3:13" ht="12.75">
      <c r="C73" s="17"/>
      <c r="D73" s="17"/>
      <c r="E73" s="89">
        <v>41814</v>
      </c>
      <c r="F73" s="17"/>
      <c r="G73" s="45">
        <v>-104600.65</v>
      </c>
      <c r="H73" s="45"/>
      <c r="M73" s="95"/>
    </row>
    <row r="74" spans="3:13" ht="12.75">
      <c r="C74" s="17"/>
      <c r="D74" s="17"/>
      <c r="E74" s="89">
        <v>41816</v>
      </c>
      <c r="F74" s="17"/>
      <c r="G74" s="45">
        <v>224314.23</v>
      </c>
      <c r="H74" s="45"/>
      <c r="M74" s="95"/>
    </row>
    <row r="75" spans="3:13" ht="12.75">
      <c r="C75" s="17"/>
      <c r="D75" s="17"/>
      <c r="E75" s="89">
        <v>41857</v>
      </c>
      <c r="F75" s="17"/>
      <c r="G75" s="45">
        <v>925110.26</v>
      </c>
      <c r="H75" s="45"/>
      <c r="M75" s="95"/>
    </row>
    <row r="76" spans="3:13" ht="12.75">
      <c r="C76" s="17"/>
      <c r="D76" s="17"/>
      <c r="E76" s="89">
        <v>41877</v>
      </c>
      <c r="F76" s="17"/>
      <c r="G76" s="45">
        <v>-164740.63</v>
      </c>
      <c r="H76" s="45"/>
      <c r="M76" s="95"/>
    </row>
    <row r="77" spans="3:13" ht="12.75">
      <c r="C77" s="17"/>
      <c r="D77" s="17"/>
      <c r="E77" s="89">
        <v>41913</v>
      </c>
      <c r="F77" s="17"/>
      <c r="G77" s="45">
        <v>-68301.86</v>
      </c>
      <c r="H77" s="45"/>
      <c r="M77" s="95"/>
    </row>
    <row r="78" spans="3:13" ht="12.75">
      <c r="C78" s="17" t="s">
        <v>22</v>
      </c>
      <c r="D78" s="17"/>
      <c r="E78" s="89">
        <v>41943</v>
      </c>
      <c r="F78" s="17"/>
      <c r="G78" s="45">
        <v>-87203</v>
      </c>
      <c r="H78" s="45"/>
      <c r="M78" s="95"/>
    </row>
    <row r="79" spans="3:13" ht="12.75">
      <c r="C79" s="17"/>
      <c r="D79" s="17"/>
      <c r="E79" s="89">
        <v>41990</v>
      </c>
      <c r="F79" s="17"/>
      <c r="G79" s="45">
        <v>-91283.93</v>
      </c>
      <c r="H79" s="45"/>
      <c r="M79" s="95"/>
    </row>
    <row r="80" spans="3:13" ht="12.75">
      <c r="C80" s="17" t="s">
        <v>44</v>
      </c>
      <c r="D80" s="17"/>
      <c r="E80" s="89">
        <v>42011</v>
      </c>
      <c r="F80" s="17"/>
      <c r="G80" s="45">
        <v>-71738.43</v>
      </c>
      <c r="H80" s="45"/>
      <c r="I80" s="25"/>
      <c r="J80" s="17"/>
      <c r="M80" s="95"/>
    </row>
    <row r="81" spans="3:13" ht="12.75">
      <c r="C81" s="17"/>
      <c r="D81" s="17"/>
      <c r="E81" s="89">
        <v>42027</v>
      </c>
      <c r="F81" s="17"/>
      <c r="G81" s="45">
        <v>-92572.64</v>
      </c>
      <c r="H81" s="45"/>
      <c r="M81" s="95"/>
    </row>
    <row r="82" spans="3:13" ht="12.75">
      <c r="C82" s="17"/>
      <c r="D82" s="17"/>
      <c r="E82" s="89">
        <v>42055</v>
      </c>
      <c r="F82" s="17"/>
      <c r="G82" s="45">
        <v>69906.86</v>
      </c>
      <c r="H82" s="45"/>
      <c r="M82" s="95"/>
    </row>
    <row r="83" spans="3:13" ht="12.75">
      <c r="C83" s="17"/>
      <c r="D83" s="17"/>
      <c r="E83" s="89">
        <v>42075</v>
      </c>
      <c r="F83" s="17"/>
      <c r="G83" s="45">
        <v>-92787.43</v>
      </c>
      <c r="H83" s="45"/>
      <c r="M83" s="95"/>
    </row>
    <row r="84" spans="3:13" ht="12.75">
      <c r="C84" s="17"/>
      <c r="D84" s="17"/>
      <c r="E84" s="89">
        <v>42138</v>
      </c>
      <c r="F84" s="17"/>
      <c r="G84" s="45">
        <v>-137462.86</v>
      </c>
      <c r="H84" s="45"/>
      <c r="M84" s="95"/>
    </row>
    <row r="85" spans="3:13" ht="12.75">
      <c r="C85" s="17"/>
      <c r="D85" s="17"/>
      <c r="E85" s="89">
        <v>42150</v>
      </c>
      <c r="F85" s="17"/>
      <c r="G85" s="45">
        <v>72217.50</v>
      </c>
      <c r="H85" s="45"/>
      <c r="M85" s="95"/>
    </row>
    <row r="86" spans="3:13" ht="12.75">
      <c r="C86" s="17"/>
      <c r="D86" s="17"/>
      <c r="E86" s="89">
        <v>42251</v>
      </c>
      <c r="F86" s="17"/>
      <c r="G86" s="45">
        <v>221326.52</v>
      </c>
      <c r="H86" s="45"/>
      <c r="M86" s="95"/>
    </row>
    <row r="87" spans="3:13" ht="12.75">
      <c r="C87" s="17" t="s">
        <v>24</v>
      </c>
      <c r="D87" s="17"/>
      <c r="E87" s="89">
        <v>42265</v>
      </c>
      <c r="F87" s="17"/>
      <c r="G87" s="45">
        <v>-62073.07</v>
      </c>
      <c r="H87" s="45"/>
      <c r="M87" s="95"/>
    </row>
    <row r="88" spans="3:13" ht="12.75">
      <c r="C88" s="17"/>
      <c r="D88" s="17"/>
      <c r="E88" s="89">
        <v>42297</v>
      </c>
      <c r="F88" s="17"/>
      <c r="G88" s="45">
        <v>-108466.79</v>
      </c>
      <c r="H88" s="45"/>
      <c r="I88" s="25"/>
      <c r="J88" s="17"/>
      <c r="M88" s="95"/>
    </row>
    <row r="89" spans="3:13" ht="12.75">
      <c r="C89" s="17"/>
      <c r="D89" s="17"/>
      <c r="E89" s="89">
        <v>42352</v>
      </c>
      <c r="F89" s="17"/>
      <c r="G89" s="45">
        <v>-97297.93</v>
      </c>
      <c r="H89" s="45"/>
      <c r="I89" s="25"/>
      <c r="J89" s="17"/>
      <c r="M89" s="95"/>
    </row>
    <row r="90" spans="3:13" ht="12.75">
      <c r="C90" s="17" t="s">
        <v>45</v>
      </c>
      <c r="D90" s="17"/>
      <c r="E90" s="89">
        <v>42404</v>
      </c>
      <c r="F90" s="17"/>
      <c r="G90" s="45">
        <v>43539.31</v>
      </c>
      <c r="H90" s="45"/>
      <c r="I90" s="25"/>
      <c r="J90" s="17"/>
      <c r="M90" s="95"/>
    </row>
    <row r="91" spans="3:13" ht="12.75">
      <c r="C91" s="17"/>
      <c r="D91" s="17"/>
      <c r="E91" s="89">
        <v>42424</v>
      </c>
      <c r="F91" s="17"/>
      <c r="G91" s="45">
        <v>-97512.72</v>
      </c>
      <c r="H91" s="45"/>
      <c r="I91" s="25"/>
      <c r="J91" s="17"/>
      <c r="M91" s="95"/>
    </row>
    <row r="92" spans="3:13" ht="12.75">
      <c r="C92" s="17"/>
      <c r="D92" s="17"/>
      <c r="E92" s="89">
        <v>42451</v>
      </c>
      <c r="F92" s="17"/>
      <c r="G92" s="45">
        <v>43774.79</v>
      </c>
      <c r="H92" s="45"/>
      <c r="I92" s="25"/>
      <c r="J92" s="17"/>
      <c r="M92" s="95"/>
    </row>
    <row r="93" spans="3:13" ht="12.75">
      <c r="C93" s="17"/>
      <c r="D93" s="17"/>
      <c r="E93" s="89">
        <v>42452</v>
      </c>
      <c r="F93" s="17"/>
      <c r="G93" s="45">
        <v>-72812.36</v>
      </c>
      <c r="H93" s="45"/>
      <c r="I93" s="25"/>
      <c r="J93" s="17"/>
      <c r="M93" s="95"/>
    </row>
    <row r="94" spans="3:13" ht="12.75">
      <c r="C94" s="17"/>
      <c r="D94" s="17"/>
      <c r="E94" s="89">
        <v>42485</v>
      </c>
      <c r="F94" s="17"/>
      <c r="G94" s="45">
        <v>-90424.77</v>
      </c>
      <c r="H94" s="45"/>
      <c r="I94" s="25"/>
      <c r="J94" s="17"/>
      <c r="M94" s="95"/>
    </row>
    <row r="95" spans="3:13" ht="12.75">
      <c r="C95" s="17"/>
      <c r="D95" s="17"/>
      <c r="E95" s="89">
        <v>42549</v>
      </c>
      <c r="F95" s="17"/>
      <c r="G95" s="45">
        <v>23005.35</v>
      </c>
      <c r="H95" s="45"/>
      <c r="M95" s="95"/>
    </row>
    <row r="96" spans="3:13" ht="12.75">
      <c r="C96" s="17"/>
      <c r="D96" s="17"/>
      <c r="E96" s="89">
        <v>42558</v>
      </c>
      <c r="F96" s="17"/>
      <c r="G96" s="45">
        <v>-56273.86</v>
      </c>
      <c r="H96" s="45"/>
      <c r="M96" s="95"/>
    </row>
    <row r="97" spans="3:13" ht="12.75">
      <c r="C97" s="17"/>
      <c r="D97" s="17"/>
      <c r="E97" s="89">
        <v>42578</v>
      </c>
      <c r="F97" s="17"/>
      <c r="G97" s="45">
        <v>-55844.29</v>
      </c>
      <c r="H97" s="45"/>
      <c r="M97" s="95"/>
    </row>
    <row r="98" spans="3:13" ht="12.75">
      <c r="C98" s="17"/>
      <c r="D98" s="17"/>
      <c r="E98" s="89">
        <v>42584</v>
      </c>
      <c r="F98" s="17"/>
      <c r="G98" s="45">
        <v>608280.91</v>
      </c>
      <c r="H98" s="45"/>
      <c r="M98" s="95"/>
    </row>
    <row r="99" spans="3:13" ht="12.75">
      <c r="C99" s="17" t="s">
        <v>25</v>
      </c>
      <c r="D99" s="17"/>
      <c r="E99" s="89">
        <v>42632</v>
      </c>
      <c r="F99" s="17"/>
      <c r="G99" s="45">
        <v>39248.07</v>
      </c>
      <c r="H99" s="45"/>
      <c r="M99" s="95"/>
    </row>
    <row r="100" spans="3:13" ht="12.75">
      <c r="C100" s="17"/>
      <c r="D100" s="17"/>
      <c r="E100" s="89">
        <v>42636</v>
      </c>
      <c r="F100" s="17"/>
      <c r="G100" s="45">
        <v>-73241.93</v>
      </c>
      <c r="H100" s="45"/>
      <c r="M100" s="95"/>
    </row>
    <row r="101" spans="3:13" ht="12.75">
      <c r="C101" s="17"/>
      <c r="D101" s="17"/>
      <c r="E101" s="89">
        <v>42656</v>
      </c>
      <c r="F101" s="17"/>
      <c r="G101" s="45">
        <v>155100.44</v>
      </c>
      <c r="H101" s="45"/>
      <c r="M101" s="95"/>
    </row>
    <row r="102" spans="3:13" ht="12.75">
      <c r="C102" s="17"/>
      <c r="D102" s="17"/>
      <c r="E102" s="89">
        <v>42664</v>
      </c>
      <c r="F102" s="17"/>
      <c r="G102" s="45">
        <v>-70449.71</v>
      </c>
      <c r="H102" s="45"/>
      <c r="I102" s="25"/>
      <c r="J102" s="17"/>
      <c r="M102" s="95"/>
    </row>
    <row r="103" spans="3:13" ht="12.75">
      <c r="C103" s="17"/>
      <c r="D103" s="17"/>
      <c r="E103" s="89">
        <v>42697</v>
      </c>
      <c r="F103" s="17"/>
      <c r="G103" s="45">
        <v>-42957.14</v>
      </c>
      <c r="H103" s="45"/>
      <c r="I103" s="25"/>
      <c r="J103" s="17"/>
      <c r="M103" s="95"/>
    </row>
    <row r="104" spans="3:13" ht="12.75">
      <c r="C104" s="17"/>
      <c r="D104" s="17"/>
      <c r="E104" s="89">
        <v>42723</v>
      </c>
      <c r="F104" s="17"/>
      <c r="G104" s="45">
        <v>148394.72</v>
      </c>
      <c r="H104" s="45"/>
      <c r="I104" s="25"/>
      <c r="J104" s="17"/>
      <c r="M104" s="95"/>
    </row>
    <row r="105" spans="3:13" ht="15.75">
      <c r="C105" s="17"/>
      <c r="D105" s="17"/>
      <c r="E105" s="89">
        <v>42727</v>
      </c>
      <c r="F105" s="17"/>
      <c r="G105" s="45">
        <v>-124146.13</v>
      </c>
      <c r="H105" s="45"/>
      <c r="I105" s="44"/>
      <c r="J105" s="41"/>
      <c r="K105" s="42"/>
      <c r="L105" s="177"/>
      <c r="M105" s="95"/>
    </row>
    <row r="106" spans="3:13" ht="12.75">
      <c r="C106" s="17" t="s">
        <v>30</v>
      </c>
      <c r="D106" s="17"/>
      <c r="E106" s="89">
        <v>42795</v>
      </c>
      <c r="F106" s="17"/>
      <c r="G106" s="45">
        <v>-58206.93</v>
      </c>
      <c r="H106" s="45"/>
      <c r="I106" s="44"/>
      <c r="J106" s="41"/>
      <c r="K106" s="42"/>
      <c r="L106" s="124"/>
      <c r="M106" s="95"/>
    </row>
    <row r="107" spans="3:13" ht="12.75">
      <c r="C107" s="17"/>
      <c r="D107" s="17"/>
      <c r="E107" s="89">
        <v>42822</v>
      </c>
      <c r="F107" s="17"/>
      <c r="G107" s="45">
        <v>-32217.86</v>
      </c>
      <c r="H107" s="45"/>
      <c r="I107" s="44"/>
      <c r="J107" s="41"/>
      <c r="K107" s="42"/>
      <c r="L107" s="124"/>
      <c r="M107" s="95"/>
    </row>
    <row r="108" spans="3:13" ht="12.75">
      <c r="C108" s="17"/>
      <c r="D108" s="17"/>
      <c r="E108" s="89">
        <v>42823</v>
      </c>
      <c r="F108" s="17"/>
      <c r="G108" s="45">
        <v>225802.36</v>
      </c>
      <c r="H108" s="45"/>
      <c r="I108" s="44"/>
      <c r="J108" s="41"/>
      <c r="K108" s="42"/>
      <c r="L108" s="124"/>
      <c r="M108" s="95"/>
    </row>
    <row r="109" spans="3:13" ht="12.75">
      <c r="C109" s="17"/>
      <c r="D109" s="17"/>
      <c r="E109" s="89">
        <v>42843</v>
      </c>
      <c r="F109" s="17"/>
      <c r="G109" s="45">
        <v>-57132.99</v>
      </c>
      <c r="H109" s="45"/>
      <c r="I109" s="44"/>
      <c r="J109" s="41"/>
      <c r="K109" s="42"/>
      <c r="L109" s="124"/>
      <c r="M109" s="95"/>
    </row>
    <row r="110" spans="3:13" ht="12.75">
      <c r="C110" s="17"/>
      <c r="D110" s="17"/>
      <c r="E110" s="89">
        <v>42859</v>
      </c>
      <c r="F110" s="17"/>
      <c r="G110" s="45">
        <v>34804.76</v>
      </c>
      <c r="H110" s="45"/>
      <c r="I110" s="44"/>
      <c r="J110" s="41"/>
      <c r="K110" s="42"/>
      <c r="L110" s="42"/>
      <c r="M110" s="95"/>
    </row>
    <row r="111" spans="3:13" ht="12.75">
      <c r="C111" s="17"/>
      <c r="D111" s="17"/>
      <c r="E111" s="89">
        <v>42909</v>
      </c>
      <c r="F111" s="17"/>
      <c r="G111" s="45">
        <v>-83551.64</v>
      </c>
      <c r="H111" s="45"/>
      <c r="I111" s="44"/>
      <c r="J111" s="41"/>
      <c r="K111" s="42"/>
      <c r="L111" s="42"/>
      <c r="M111" s="95"/>
    </row>
    <row r="112" spans="3:13" ht="12.75">
      <c r="C112" s="17" t="s">
        <v>46</v>
      </c>
      <c r="D112" s="17"/>
      <c r="E112" s="89">
        <v>43020</v>
      </c>
      <c r="F112" s="17"/>
      <c r="G112" s="45">
        <v>86533.37</v>
      </c>
      <c r="H112" s="45"/>
      <c r="I112" s="44"/>
      <c r="J112" s="41"/>
      <c r="K112" s="42"/>
      <c r="L112" s="42"/>
      <c r="M112" s="95"/>
    </row>
    <row r="113" spans="3:13" ht="12.75">
      <c r="C113" s="17"/>
      <c r="D113" s="17"/>
      <c r="E113" s="89">
        <v>43054</v>
      </c>
      <c r="F113" s="17"/>
      <c r="G113" s="45">
        <v>-56273.86</v>
      </c>
      <c r="H113" s="45"/>
      <c r="I113" s="25"/>
      <c r="J113" s="17"/>
      <c r="M113" s="95"/>
    </row>
    <row r="114" spans="3:13" ht="12.75">
      <c r="C114" s="17"/>
      <c r="D114" s="17"/>
      <c r="E114" s="89">
        <v>43090</v>
      </c>
      <c r="F114" s="17"/>
      <c r="G114" s="45">
        <v>-70234.93</v>
      </c>
      <c r="H114" s="45"/>
      <c r="I114" s="25"/>
      <c r="J114" s="17"/>
      <c r="M114" s="95"/>
    </row>
    <row r="115" spans="3:13" ht="12.75">
      <c r="C115" s="17" t="s">
        <v>31</v>
      </c>
      <c r="D115" s="17"/>
      <c r="E115" s="89">
        <v>43152</v>
      </c>
      <c r="F115" s="17"/>
      <c r="G115" s="45">
        <v>526301.60</v>
      </c>
      <c r="H115" s="45"/>
      <c r="I115" s="25"/>
      <c r="J115" s="17"/>
      <c r="M115" s="95"/>
    </row>
    <row r="116" spans="3:13" ht="12.75">
      <c r="C116" s="17"/>
      <c r="D116" s="17"/>
      <c r="E116" s="89">
        <v>43186</v>
      </c>
      <c r="F116" s="17"/>
      <c r="G116" s="45">
        <v>317547.57</v>
      </c>
      <c r="H116" s="45"/>
      <c r="I116" s="25"/>
      <c r="J116" s="17"/>
      <c r="M116" s="95"/>
    </row>
    <row r="117" spans="3:13" ht="12.75">
      <c r="C117" s="17" t="s">
        <v>26</v>
      </c>
      <c r="D117" s="17"/>
      <c r="E117" s="89">
        <v>43262</v>
      </c>
      <c r="F117" s="17"/>
      <c r="G117" s="45">
        <v>44950.31</v>
      </c>
      <c r="H117" s="45"/>
      <c r="I117" s="25"/>
      <c r="J117" s="17"/>
      <c r="M117" s="95"/>
    </row>
    <row r="118" spans="3:13" ht="12.75">
      <c r="C118" s="17"/>
      <c r="D118" s="17"/>
      <c r="E118" s="89">
        <v>43364</v>
      </c>
      <c r="F118" s="17"/>
      <c r="G118" s="45">
        <v>-176124.28</v>
      </c>
      <c r="H118" s="45"/>
      <c r="I118" s="25"/>
      <c r="J118" s="17"/>
      <c r="M118" s="95"/>
    </row>
    <row r="119" spans="3:13" ht="12.75">
      <c r="C119" s="17"/>
      <c r="D119" s="17"/>
      <c r="E119" s="89">
        <v>43404</v>
      </c>
      <c r="F119" s="17"/>
      <c r="G119" s="45">
        <v>43189.44</v>
      </c>
      <c r="H119" s="45"/>
      <c r="I119" s="25"/>
      <c r="J119" s="17"/>
      <c r="M119" s="95"/>
    </row>
    <row r="120" spans="3:13" ht="12.75">
      <c r="C120" s="17"/>
      <c r="D120" s="17"/>
      <c r="E120" s="89">
        <v>43454</v>
      </c>
      <c r="F120" s="17"/>
      <c r="G120" s="45">
        <v>-178916.50</v>
      </c>
      <c r="H120" s="45"/>
      <c r="I120" s="25"/>
      <c r="J120" s="17"/>
      <c r="M120" s="95"/>
    </row>
    <row r="121" spans="3:13" ht="12.75">
      <c r="C121" s="17" t="s">
        <v>32</v>
      </c>
      <c r="D121" s="17"/>
      <c r="E121" s="89">
        <v>43649</v>
      </c>
      <c r="F121" s="17"/>
      <c r="G121" s="45">
        <v>-31573.50</v>
      </c>
      <c r="H121" s="45"/>
      <c r="I121" s="45"/>
      <c r="J121" s="17"/>
      <c r="M121" s="95"/>
    </row>
    <row r="122" spans="3:13" ht="12.75">
      <c r="C122" s="17" t="s">
        <v>27</v>
      </c>
      <c r="D122" s="17"/>
      <c r="E122" s="89">
        <v>43593</v>
      </c>
      <c r="F122" s="17"/>
      <c r="G122" s="45">
        <v>44775.60</v>
      </c>
      <c r="H122" s="45"/>
      <c r="I122" s="25"/>
      <c r="J122" s="17"/>
      <c r="M122" s="95"/>
    </row>
    <row r="123" spans="3:13" ht="12.75">
      <c r="C123" s="17"/>
      <c r="D123" s="17"/>
      <c r="E123" s="89">
        <v>43655</v>
      </c>
      <c r="F123" s="17"/>
      <c r="G123" s="45">
        <v>74639.75</v>
      </c>
      <c r="H123" s="45"/>
      <c r="I123" s="25"/>
      <c r="J123" s="17"/>
      <c r="M123" s="95"/>
    </row>
    <row r="124" spans="3:13" ht="12.75">
      <c r="C124" s="17" t="s">
        <v>33</v>
      </c>
      <c r="D124" s="17"/>
      <c r="E124" s="89">
        <v>43928</v>
      </c>
      <c r="F124" s="17"/>
      <c r="G124" s="45">
        <v>-27277.78</v>
      </c>
      <c r="H124" s="45"/>
      <c r="I124" s="25"/>
      <c r="J124" s="17"/>
      <c r="M124" s="95"/>
    </row>
    <row r="125" spans="3:13" ht="15.75">
      <c r="C125" s="17"/>
      <c r="D125" s="17"/>
      <c r="E125" s="89">
        <v>44070</v>
      </c>
      <c r="F125" s="17"/>
      <c r="G125" s="45">
        <v>-276898.45</v>
      </c>
      <c r="H125" s="45"/>
      <c r="I125" s="25"/>
      <c r="J125" s="17"/>
      <c r="L125" s="80"/>
      <c r="M125" s="95"/>
    </row>
    <row r="126" spans="3:13" ht="15.75">
      <c r="C126" s="17" t="s">
        <v>28</v>
      </c>
      <c r="D126" s="17"/>
      <c r="E126" s="89">
        <v>44302</v>
      </c>
      <c r="F126" s="17"/>
      <c r="G126" s="45">
        <v>128116.15</v>
      </c>
      <c r="H126" s="45"/>
      <c r="I126" s="25"/>
      <c r="J126" s="17"/>
      <c r="L126" s="80"/>
      <c r="M126" s="95"/>
    </row>
    <row r="127" spans="3:13" ht="15.75">
      <c r="C127" s="17" t="s">
        <v>29</v>
      </c>
      <c r="D127" s="17"/>
      <c r="E127" s="89">
        <v>44673</v>
      </c>
      <c r="F127" s="17"/>
      <c r="G127" s="45">
        <v>288048.77</v>
      </c>
      <c r="H127" s="45"/>
      <c r="I127" s="25"/>
      <c r="J127" s="17"/>
      <c r="L127" s="80"/>
      <c r="M127" s="95"/>
    </row>
    <row r="128" spans="3:13" ht="15.75">
      <c r="C128" s="17"/>
      <c r="D128" s="17"/>
      <c r="E128" s="89">
        <v>44727</v>
      </c>
      <c r="F128" s="17"/>
      <c r="G128" s="45">
        <v>43194.18</v>
      </c>
      <c r="H128" s="45"/>
      <c r="I128" s="25"/>
      <c r="J128" s="17"/>
      <c r="L128" s="80"/>
      <c r="M128" s="95"/>
    </row>
    <row r="129" spans="3:13" ht="15.75">
      <c r="C129" s="17"/>
      <c r="D129" s="17"/>
      <c r="E129" s="89">
        <v>44796</v>
      </c>
      <c r="F129" s="17"/>
      <c r="G129" s="45">
        <v>38584.48</v>
      </c>
      <c r="H129" s="45"/>
      <c r="I129" s="25"/>
      <c r="J129" s="17"/>
      <c r="L129" s="80"/>
      <c r="M129" s="95"/>
    </row>
    <row r="130" spans="3:13" ht="4.5" customHeight="1">
      <c r="C130" s="17"/>
      <c r="D130" s="17"/>
      <c r="E130" s="89"/>
      <c r="F130" s="17"/>
      <c r="G130" s="45"/>
      <c r="H130" s="45"/>
      <c r="I130" s="25"/>
      <c r="M130" s="95"/>
    </row>
    <row r="131" spans="3:13" ht="12.75">
      <c r="C131" s="17" t="s">
        <v>5</v>
      </c>
      <c r="D131" s="17"/>
      <c r="E131" s="89">
        <f>+E8</f>
        <v>44834</v>
      </c>
      <c r="F131" s="17"/>
      <c r="G131" s="94">
        <f>L131*C22</f>
        <v>3489887.021543146</v>
      </c>
      <c r="H131" s="94"/>
      <c r="I131" s="45">
        <f>+SUMIF($G$23:$G$130,"&lt;0",$G$23:$G$130)</f>
        <v>-8827861.09</v>
      </c>
      <c r="J131" s="17" t="s">
        <v>20</v>
      </c>
      <c r="L131" s="124">
        <v>121839737</v>
      </c>
      <c r="M131" s="95"/>
    </row>
    <row r="132" spans="3:13" ht="12.75">
      <c r="C132" s="17"/>
      <c r="D132" s="17"/>
      <c r="E132" s="17"/>
      <c r="F132" s="17"/>
      <c r="G132" s="17"/>
      <c r="H132" s="17"/>
      <c r="I132" s="45">
        <f>+SUMIF($G$23:$G$130,"&gt;0",$G$23:$G$130)</f>
        <v>5540817.890000001</v>
      </c>
      <c r="J132" s="17" t="s">
        <v>21</v>
      </c>
      <c r="L132" s="158"/>
      <c r="M132" s="95"/>
    </row>
    <row r="133" spans="3:8" ht="12.75">
      <c r="C133" s="15" t="s">
        <v>0</v>
      </c>
      <c r="G133" s="116">
        <f>+XIRR(G23:G131,E23:E131,0.1)</f>
        <v>0.004980888962745668</v>
      </c>
      <c r="H133" s="116"/>
    </row>
    <row r="134" spans="3:8" ht="12.75">
      <c r="C134" s="17"/>
      <c r="D134" s="17"/>
      <c r="E134" s="17"/>
      <c r="F134" s="17"/>
      <c r="G134" s="17"/>
      <c r="H134" s="17"/>
    </row>
    <row r="135" spans="3:8" ht="12.75">
      <c r="C135" s="17"/>
      <c r="D135" s="17"/>
      <c r="E135" s="17"/>
      <c r="F135" s="17"/>
      <c r="G135" s="17"/>
      <c r="H135" s="17"/>
    </row>
    <row r="136" spans="3:8" ht="12.75">
      <c r="C136" s="17"/>
      <c r="D136" s="17"/>
      <c r="E136" s="17"/>
      <c r="F136" s="17"/>
      <c r="G136" s="75"/>
      <c r="H136" s="17"/>
    </row>
    <row r="137" spans="3:8" ht="12.75">
      <c r="C137" s="17"/>
      <c r="D137" s="17"/>
      <c r="E137" s="75"/>
      <c r="F137" s="28"/>
      <c r="G137" s="75"/>
      <c r="H137" s="28"/>
    </row>
    <row r="138" spans="3:8" ht="12.75">
      <c r="C138" s="17"/>
      <c r="D138" s="17"/>
      <c r="E138" s="75"/>
      <c r="F138" s="28"/>
      <c r="G138" s="75"/>
      <c r="H138" s="28"/>
    </row>
    <row r="139" spans="3:8" ht="12.75">
      <c r="C139" s="28"/>
      <c r="D139" s="28"/>
      <c r="E139" s="76"/>
      <c r="F139" s="76"/>
      <c r="G139" s="76"/>
      <c r="H139" s="75"/>
    </row>
    <row r="140" spans="3:8" ht="12.75">
      <c r="C140" s="28"/>
      <c r="D140" s="28"/>
      <c r="E140" s="75"/>
      <c r="F140" s="75"/>
      <c r="G140" s="75"/>
      <c r="H140" s="75"/>
    </row>
    <row r="141" spans="3:8" ht="12.75">
      <c r="C141" s="28"/>
      <c r="D141" s="28"/>
      <c r="E141" s="28"/>
      <c r="F141" s="28"/>
      <c r="G141" s="28"/>
      <c r="H141" s="15"/>
    </row>
    <row r="142" spans="3:8" ht="12.75">
      <c r="C142" s="171"/>
      <c r="D142" s="171"/>
      <c r="E142" s="173"/>
      <c r="F142" s="96"/>
      <c r="G142" s="97"/>
      <c r="H142" s="102"/>
    </row>
    <row r="143" spans="3:8" ht="12.75">
      <c r="C143" s="171"/>
      <c r="D143" s="171"/>
      <c r="E143" s="97"/>
      <c r="F143" s="96"/>
      <c r="G143" s="97"/>
      <c r="H143" s="102"/>
    </row>
    <row r="144" spans="3:8" ht="12.75">
      <c r="C144" s="171"/>
      <c r="D144" s="171"/>
      <c r="E144" s="97"/>
      <c r="F144" s="96"/>
      <c r="G144" s="97"/>
      <c r="H144" s="104"/>
    </row>
    <row r="145" spans="3:8" ht="12.75">
      <c r="C145" s="189"/>
      <c r="D145" s="171"/>
      <c r="E145" s="97"/>
      <c r="F145" s="96"/>
      <c r="G145" s="97"/>
      <c r="H145" s="17"/>
    </row>
    <row r="146" spans="3:8" ht="12.75">
      <c r="C146" s="189"/>
      <c r="D146" s="171"/>
      <c r="E146" s="97"/>
      <c r="F146" s="96"/>
      <c r="G146" s="97"/>
      <c r="H146" s="17"/>
    </row>
    <row r="147" spans="3:8" ht="12.75">
      <c r="C147" s="190"/>
      <c r="D147" s="171"/>
      <c r="E147" s="97"/>
      <c r="F147" s="96"/>
      <c r="G147" s="97"/>
      <c r="H147" s="17"/>
    </row>
    <row r="148" spans="3:8" ht="12.75">
      <c r="C148" s="171"/>
      <c r="D148" s="171"/>
      <c r="E148" s="97"/>
      <c r="F148" s="96"/>
      <c r="G148" s="97"/>
      <c r="H148" s="17"/>
    </row>
    <row r="149" spans="3:8" ht="12.75">
      <c r="C149" s="171"/>
      <c r="D149" s="171"/>
      <c r="E149" s="97"/>
      <c r="F149" s="96"/>
      <c r="G149" s="97"/>
      <c r="H149" s="17"/>
    </row>
    <row r="150" spans="3:8" ht="12.75">
      <c r="C150" s="171"/>
      <c r="D150" s="171"/>
      <c r="E150" s="97"/>
      <c r="F150" s="96"/>
      <c r="G150" s="97"/>
      <c r="H150" s="17"/>
    </row>
    <row r="151" spans="3:8" ht="12.75">
      <c r="C151" s="171"/>
      <c r="D151" s="171"/>
      <c r="E151" s="97"/>
      <c r="F151" s="96"/>
      <c r="G151" s="97"/>
      <c r="H151" s="17"/>
    </row>
    <row r="152" spans="3:8" ht="12.75">
      <c r="C152" s="171"/>
      <c r="D152" s="171"/>
      <c r="E152" s="97"/>
      <c r="F152" s="96"/>
      <c r="G152" s="97"/>
      <c r="H152" s="17"/>
    </row>
    <row r="153" spans="3:8" ht="12.75">
      <c r="C153" s="171"/>
      <c r="D153" s="171"/>
      <c r="E153" s="97"/>
      <c r="F153" s="96"/>
      <c r="G153" s="97"/>
      <c r="H153" s="17"/>
    </row>
    <row r="154" spans="3:8" ht="5.1" customHeight="1">
      <c r="C154" s="17"/>
      <c r="D154" s="17"/>
      <c r="E154" s="17"/>
      <c r="F154" s="17"/>
      <c r="G154" s="17"/>
      <c r="H154" s="17"/>
    </row>
    <row r="155" spans="3:8" ht="12.75">
      <c r="C155" s="17"/>
      <c r="D155" s="17"/>
      <c r="E155" s="17"/>
      <c r="F155" s="17"/>
      <c r="G155" s="17"/>
      <c r="H155" s="17"/>
    </row>
    <row r="156" spans="3:8" ht="12.75">
      <c r="C156" s="17"/>
      <c r="D156" s="17"/>
      <c r="E156" s="17"/>
      <c r="F156" s="17"/>
      <c r="G156" s="17"/>
      <c r="H156" s="17"/>
    </row>
    <row r="157" spans="3:8" ht="12.75">
      <c r="C157" s="17"/>
      <c r="D157" s="17"/>
      <c r="E157" s="17"/>
      <c r="F157" s="17"/>
      <c r="G157" s="17"/>
      <c r="H157" s="17"/>
    </row>
    <row r="158" spans="3:8" ht="12.75">
      <c r="C158" s="17"/>
      <c r="D158" s="17"/>
      <c r="E158" s="17"/>
      <c r="F158" s="17"/>
      <c r="G158" s="17"/>
      <c r="H158" s="17"/>
    </row>
  </sheetData>
  <mergeCells count="1">
    <mergeCell ref="E139:G139"/>
  </mergeCells>
  <pageMargins left="0.7" right="0.7" top="0.75" bottom="0.75" header="0.3" footer="0.3"/>
  <pageSetup orientation="landscape" paperSize="1" scale="28" r:id="rId2"/>
  <headerFooter>
    <oddHeader>&amp;C&amp;G</oddHeader>
    <oddFooter>&amp;C&amp;G</oddFooter>
  </headerFooter>
  <legacyDrawingHF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DE74A21-2F7C-400F-A8EA-6D92A85623F6}">
  <sheetPr>
    <pageSetUpPr fitToPage="1"/>
  </sheetPr>
  <dimension ref="B4:L189"/>
  <sheetViews>
    <sheetView showGridLines="0" view="pageLayout" zoomScaleNormal="100" workbookViewId="0" topLeftCell="A1">
      <selection pane="topLeft" activeCell="C7" sqref="C7"/>
    </sheetView>
  </sheetViews>
  <sheetFormatPr defaultRowHeight="12.75"/>
  <cols>
    <col min="2" max="2" width="4.857142857142857" customWidth="1"/>
    <col min="3" max="3" width="47.285714285714285" customWidth="1"/>
    <col min="4" max="4" width="1.4285714285714286" customWidth="1"/>
    <col min="5" max="5" width="10.571428571428571" customWidth="1"/>
    <col min="6" max="6" width="1.4285714285714286" customWidth="1"/>
    <col min="7" max="7" width="10.571428571428571" customWidth="1"/>
    <col min="8" max="8" width="2.2857142857142856" customWidth="1"/>
    <col min="9" max="9" width="11.714285714285714" customWidth="1"/>
    <col min="10" max="10" width="11" bestFit="1" customWidth="1"/>
    <col min="12" max="12" width="15.714285714285714" bestFit="1" customWidth="1"/>
    <col min="14" max="14" width="10.57142857142857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8" ht="15.75">
      <c r="C8" s="5"/>
      <c r="D8" s="5"/>
      <c r="E8" s="77">
        <v>44834</v>
      </c>
      <c r="F8" s="13"/>
      <c r="G8" s="78"/>
      <c r="H8" s="78"/>
    </row>
    <row r="9" spans="3:7" ht="15.75">
      <c r="C9" s="65"/>
      <c r="D9" s="65"/>
      <c r="E9" s="65"/>
      <c r="F9" s="65"/>
      <c r="G9" s="177"/>
    </row>
    <row r="10" spans="3:8" ht="12.75">
      <c r="C10" s="178"/>
      <c r="D10" s="178"/>
      <c r="E10" s="179"/>
      <c r="F10" s="178"/>
      <c r="G10" s="191"/>
      <c r="H10" s="81"/>
    </row>
    <row r="11" spans="3:8" ht="12.75">
      <c r="C11" s="178"/>
      <c r="D11" s="178"/>
      <c r="E11" s="179"/>
      <c r="F11" s="178"/>
      <c r="G11" s="192"/>
      <c r="H11" s="81"/>
    </row>
    <row r="12" spans="3:8" ht="15.75">
      <c r="C12" s="180"/>
      <c r="D12" s="180"/>
      <c r="E12" s="70"/>
      <c r="F12" s="180"/>
      <c r="G12" s="193"/>
      <c r="H12" s="5"/>
    </row>
    <row r="13" spans="3:8" ht="12.75">
      <c r="C13" s="178"/>
      <c r="D13" s="178"/>
      <c r="E13" s="71"/>
      <c r="F13" s="178"/>
      <c r="G13" s="191"/>
      <c r="H13" s="84"/>
    </row>
    <row r="14" spans="3:8" ht="12.75">
      <c r="C14" s="178"/>
      <c r="D14" s="178"/>
      <c r="E14" s="181"/>
      <c r="F14" s="178"/>
      <c r="G14" s="191"/>
      <c r="H14" s="85"/>
    </row>
    <row r="15" spans="3:8" ht="12.75">
      <c r="C15" s="178"/>
      <c r="D15" s="178"/>
      <c r="E15" s="179"/>
      <c r="F15" s="178"/>
      <c r="G15" s="179"/>
      <c r="H15" s="81"/>
    </row>
    <row r="16" spans="3:8" ht="15.75">
      <c r="C16" s="5"/>
      <c r="D16" s="5"/>
      <c r="E16" s="10"/>
      <c r="F16" s="5"/>
      <c r="G16" s="10"/>
      <c r="H16" s="5"/>
    </row>
    <row r="17" spans="3:8" ht="15.75">
      <c r="C17" s="83" t="s">
        <v>15</v>
      </c>
      <c r="D17" s="83"/>
      <c r="E17" s="10"/>
      <c r="F17" s="83"/>
      <c r="G17" s="10"/>
      <c r="H17" s="5"/>
    </row>
    <row r="18" spans="3:8" ht="12.75" customHeight="1">
      <c r="C18" s="6" t="s">
        <v>16</v>
      </c>
      <c r="D18" s="6"/>
      <c r="E18" s="84">
        <f>G153</f>
        <v>0.0990406095981598</v>
      </c>
      <c r="F18" s="6"/>
      <c r="G18" s="11"/>
      <c r="H18" s="84"/>
    </row>
    <row r="19" spans="3:8" ht="12.75">
      <c r="C19" s="6" t="s">
        <v>17</v>
      </c>
      <c r="D19" s="6"/>
      <c r="E19" s="87">
        <f>(G151+I152)/-I151</f>
        <v>1.3972439746039964</v>
      </c>
      <c r="F19" s="6"/>
      <c r="G19" s="87"/>
      <c r="H19" s="81"/>
    </row>
    <row r="20" spans="3:7" ht="12.75">
      <c r="C20" s="6"/>
      <c r="D20" s="6"/>
      <c r="E20" s="6"/>
      <c r="F20" s="6"/>
      <c r="G20" s="81"/>
    </row>
    <row r="21" spans="3:11" ht="15.75">
      <c r="C21" s="88" t="s">
        <v>50</v>
      </c>
      <c r="D21" s="7"/>
      <c r="E21" s="7"/>
      <c r="F21" s="7"/>
      <c r="I21" s="17"/>
      <c r="K21" s="119"/>
    </row>
    <row r="22" spans="3:9" ht="12.75">
      <c r="C22" s="90">
        <v>1.9399999999991462E-4</v>
      </c>
      <c r="D22" s="17"/>
      <c r="E22" s="17"/>
      <c r="F22" s="17"/>
      <c r="G22" s="91"/>
      <c r="H22" s="17"/>
      <c r="I22" s="17"/>
    </row>
    <row r="23" spans="3:9" ht="12.75">
      <c r="C23" s="17" t="s">
        <v>18</v>
      </c>
      <c r="D23" s="17"/>
      <c r="E23" s="89">
        <v>41282</v>
      </c>
      <c r="F23" s="45"/>
      <c r="G23" s="22">
        <v>-6000</v>
      </c>
      <c r="H23" s="17"/>
      <c r="I23" s="25"/>
    </row>
    <row r="24" spans="3:9" ht="12.75">
      <c r="C24" s="17"/>
      <c r="D24" s="17"/>
      <c r="E24" s="89">
        <v>41359</v>
      </c>
      <c r="F24" s="45"/>
      <c r="G24" s="22">
        <v>-4947</v>
      </c>
      <c r="H24" s="17"/>
      <c r="I24" s="25"/>
    </row>
    <row r="25" spans="3:9" ht="12.75">
      <c r="C25" s="17"/>
      <c r="D25" s="17"/>
      <c r="E25" s="89">
        <v>41381</v>
      </c>
      <c r="F25" s="45"/>
      <c r="G25" s="22">
        <v>-1920.60</v>
      </c>
      <c r="H25" s="17"/>
      <c r="I25" s="25"/>
    </row>
    <row r="26" spans="3:9" ht="12.75">
      <c r="C26" s="17"/>
      <c r="D26" s="17"/>
      <c r="E26" s="89">
        <v>41424</v>
      </c>
      <c r="F26" s="45"/>
      <c r="G26" s="22">
        <v>-1610.20</v>
      </c>
      <c r="H26" s="17"/>
      <c r="I26" s="25"/>
    </row>
    <row r="27" spans="3:9" ht="12.75">
      <c r="C27" s="17"/>
      <c r="D27" s="17"/>
      <c r="E27" s="89">
        <v>41446</v>
      </c>
      <c r="F27" s="45"/>
      <c r="G27" s="22">
        <v>-58665.60</v>
      </c>
      <c r="H27" s="17"/>
      <c r="I27" s="25"/>
    </row>
    <row r="28" spans="3:9" ht="12.75">
      <c r="C28" s="17"/>
      <c r="D28" s="17"/>
      <c r="E28" s="89">
        <v>41498</v>
      </c>
      <c r="F28" s="45"/>
      <c r="G28" s="22">
        <v>-3918.80</v>
      </c>
      <c r="H28" s="17"/>
      <c r="I28" s="25"/>
    </row>
    <row r="29" spans="3:9" ht="12.75">
      <c r="C29" s="17"/>
      <c r="D29" s="17"/>
      <c r="E29" s="89">
        <v>41527</v>
      </c>
      <c r="F29" s="45"/>
      <c r="G29" s="22">
        <v>-9855.2</v>
      </c>
      <c r="H29" s="17"/>
      <c r="I29" s="25"/>
    </row>
    <row r="30" spans="3:8" ht="12.75">
      <c r="C30" s="17"/>
      <c r="D30" s="17"/>
      <c r="E30" s="89">
        <v>41534</v>
      </c>
      <c r="F30" s="45"/>
      <c r="G30" s="22">
        <v>-5024.6</v>
      </c>
      <c r="H30" s="17"/>
    </row>
    <row r="31" spans="3:8" ht="12.75">
      <c r="C31" s="17"/>
      <c r="D31" s="17"/>
      <c r="E31" s="89">
        <v>41551</v>
      </c>
      <c r="F31" s="45"/>
      <c r="G31" s="22">
        <v>-4772.4</v>
      </c>
      <c r="H31" s="17"/>
    </row>
    <row r="32" spans="3:8" ht="12.75">
      <c r="C32" s="17"/>
      <c r="D32" s="17"/>
      <c r="E32" s="89">
        <v>41585</v>
      </c>
      <c r="F32" s="45"/>
      <c r="G32" s="22">
        <v>-9137.40</v>
      </c>
      <c r="H32" s="17"/>
    </row>
    <row r="33" spans="3:8" ht="12.75">
      <c r="C33" s="17"/>
      <c r="D33" s="17"/>
      <c r="E33" s="89">
        <v>41621</v>
      </c>
      <c r="F33" s="45"/>
      <c r="G33" s="22">
        <v>-16625.80</v>
      </c>
      <c r="H33" s="17"/>
    </row>
    <row r="34" spans="3:8" ht="12.75">
      <c r="C34" s="17"/>
      <c r="D34" s="17"/>
      <c r="E34" s="89">
        <v>41635</v>
      </c>
      <c r="F34" s="45"/>
      <c r="G34" s="22">
        <v>-6770.60</v>
      </c>
      <c r="H34" s="17"/>
    </row>
    <row r="35" spans="3:10" ht="12.75">
      <c r="C35" s="17" t="s">
        <v>23</v>
      </c>
      <c r="D35" s="17"/>
      <c r="E35" s="89">
        <v>41670</v>
      </c>
      <c r="F35" s="45"/>
      <c r="G35" s="45">
        <v>-5781.20</v>
      </c>
      <c r="H35" s="17"/>
      <c r="I35" s="25"/>
      <c r="J35" s="17"/>
    </row>
    <row r="36" spans="3:10" ht="12.75">
      <c r="C36" s="17"/>
      <c r="D36" s="17"/>
      <c r="E36" s="89">
        <v>41712</v>
      </c>
      <c r="F36" s="45"/>
      <c r="G36" s="45">
        <v>-14666.47</v>
      </c>
      <c r="H36" s="17"/>
      <c r="I36" s="25"/>
      <c r="J36" s="17"/>
    </row>
    <row r="37" spans="3:10" ht="12.75">
      <c r="C37" s="17"/>
      <c r="D37" s="17"/>
      <c r="E37" s="89">
        <v>41724</v>
      </c>
      <c r="F37" s="45"/>
      <c r="G37" s="45">
        <v>-5315.60</v>
      </c>
      <c r="H37" s="17"/>
      <c r="I37" s="25"/>
      <c r="J37" s="17"/>
    </row>
    <row r="38" spans="3:10" ht="12.75">
      <c r="C38" s="17"/>
      <c r="D38" s="17"/>
      <c r="E38" s="89">
        <v>41733</v>
      </c>
      <c r="F38" s="45"/>
      <c r="G38" s="45">
        <v>-8380.8</v>
      </c>
      <c r="H38" s="17"/>
      <c r="I38" s="25"/>
      <c r="J38" s="17"/>
    </row>
    <row r="39" spans="3:10" ht="12.75">
      <c r="C39" s="17"/>
      <c r="D39" s="17"/>
      <c r="E39" s="89">
        <v>41764</v>
      </c>
      <c r="F39" s="45"/>
      <c r="G39" s="45">
        <v>-7333.21</v>
      </c>
      <c r="H39" s="17"/>
      <c r="I39" s="25"/>
      <c r="J39" s="17"/>
    </row>
    <row r="40" spans="3:10" ht="12.75">
      <c r="C40" s="17"/>
      <c r="D40" s="17"/>
      <c r="E40" s="89">
        <v>41774</v>
      </c>
      <c r="F40" s="45"/>
      <c r="G40" s="45">
        <v>-10320.8</v>
      </c>
      <c r="H40" s="17"/>
      <c r="I40" s="25"/>
      <c r="J40" s="17"/>
    </row>
    <row r="41" spans="3:10" ht="12.75">
      <c r="C41" s="17"/>
      <c r="D41" s="17"/>
      <c r="E41" s="89">
        <v>41788</v>
      </c>
      <c r="F41" s="45"/>
      <c r="G41" s="45">
        <v>-8012.19</v>
      </c>
      <c r="H41" s="17"/>
      <c r="I41" s="25"/>
      <c r="J41" s="17"/>
    </row>
    <row r="42" spans="3:10" ht="12.75">
      <c r="C42" s="17"/>
      <c r="D42" s="17"/>
      <c r="E42" s="89">
        <v>41817</v>
      </c>
      <c r="F42" s="45"/>
      <c r="G42" s="45">
        <v>-14394.80</v>
      </c>
      <c r="H42" s="17"/>
      <c r="I42" s="25"/>
      <c r="J42" s="17"/>
    </row>
    <row r="43" spans="3:10" ht="12.75">
      <c r="C43" s="17"/>
      <c r="D43" s="17"/>
      <c r="E43" s="89">
        <v>41830</v>
      </c>
      <c r="F43" s="45"/>
      <c r="G43" s="45">
        <v>-9098.61</v>
      </c>
      <c r="H43" s="17"/>
      <c r="I43" s="25"/>
      <c r="J43" s="17"/>
    </row>
    <row r="44" spans="3:12" ht="12.75">
      <c r="C44" s="17"/>
      <c r="D44" s="17"/>
      <c r="E44" s="89">
        <v>41851</v>
      </c>
      <c r="F44" s="45"/>
      <c r="G44" s="45">
        <v>-5121.6</v>
      </c>
      <c r="H44" s="17"/>
      <c r="L44" s="134"/>
    </row>
    <row r="45" spans="3:12" ht="12.75">
      <c r="C45" s="17"/>
      <c r="D45" s="17"/>
      <c r="E45" s="89">
        <v>41859</v>
      </c>
      <c r="F45" s="45"/>
      <c r="G45" s="45">
        <v>-9777.60</v>
      </c>
      <c r="H45" s="17"/>
      <c r="L45" s="134"/>
    </row>
    <row r="46" spans="3:11" ht="12.75">
      <c r="C46" s="17"/>
      <c r="D46" s="17"/>
      <c r="E46" s="89">
        <v>41880</v>
      </c>
      <c r="F46" s="45"/>
      <c r="G46" s="45">
        <v>-6052.80</v>
      </c>
      <c r="H46" s="17"/>
      <c r="K46" s="135"/>
    </row>
    <row r="47" spans="3:8" ht="12.75">
      <c r="C47" s="17"/>
      <c r="D47" s="17"/>
      <c r="E47" s="89">
        <v>41900</v>
      </c>
      <c r="F47" s="45"/>
      <c r="G47" s="45">
        <v>-24948.41</v>
      </c>
      <c r="H47" s="17"/>
    </row>
    <row r="48" spans="3:8" ht="12.75">
      <c r="C48" s="17"/>
      <c r="D48" s="17"/>
      <c r="E48" s="89">
        <v>41915</v>
      </c>
      <c r="F48" s="45"/>
      <c r="G48" s="45">
        <v>-25666.19</v>
      </c>
      <c r="H48" s="17"/>
    </row>
    <row r="49" spans="3:10" ht="12.75">
      <c r="C49" s="17"/>
      <c r="D49" s="17"/>
      <c r="E49" s="89">
        <v>41929</v>
      </c>
      <c r="F49" s="45"/>
      <c r="G49" s="45">
        <v>-19031.40</v>
      </c>
      <c r="H49" s="17"/>
      <c r="I49" s="25"/>
      <c r="J49" s="17"/>
    </row>
    <row r="50" spans="3:10" ht="12.75">
      <c r="C50" s="17"/>
      <c r="D50" s="17"/>
      <c r="E50" s="89">
        <v>41943</v>
      </c>
      <c r="F50" s="45"/>
      <c r="G50" s="45">
        <v>-12648.80</v>
      </c>
      <c r="H50" s="17"/>
      <c r="I50" s="25"/>
      <c r="J50" s="17"/>
    </row>
    <row r="51" spans="3:10" ht="12.75">
      <c r="C51" s="17"/>
      <c r="D51" s="17"/>
      <c r="E51" s="89">
        <v>41977</v>
      </c>
      <c r="F51" s="45"/>
      <c r="G51" s="45">
        <v>-19109</v>
      </c>
      <c r="H51" s="17"/>
      <c r="I51" s="25"/>
      <c r="J51" s="17"/>
    </row>
    <row r="52" spans="3:10" ht="12.75">
      <c r="C52" s="17" t="s">
        <v>22</v>
      </c>
      <c r="D52" s="17"/>
      <c r="E52" s="89">
        <v>41817</v>
      </c>
      <c r="F52" s="45"/>
      <c r="G52" s="45">
        <v>14124.60</v>
      </c>
      <c r="H52" s="17"/>
      <c r="I52" s="25"/>
      <c r="J52" s="17"/>
    </row>
    <row r="53" spans="3:8" ht="12.75">
      <c r="C53" s="17" t="s">
        <v>44</v>
      </c>
      <c r="D53" s="17"/>
      <c r="E53" s="89">
        <v>42009</v>
      </c>
      <c r="F53" s="45"/>
      <c r="G53" s="45">
        <v>-61672.60</v>
      </c>
      <c r="H53" s="17"/>
    </row>
    <row r="54" spans="3:8" ht="12.75">
      <c r="C54" s="17"/>
      <c r="D54" s="17"/>
      <c r="E54" s="89">
        <v>42027</v>
      </c>
      <c r="F54" s="45"/>
      <c r="G54" s="45">
        <v>-29216.40</v>
      </c>
      <c r="H54" s="17"/>
    </row>
    <row r="55" spans="3:8" ht="12.75">
      <c r="C55" s="17"/>
      <c r="D55" s="17"/>
      <c r="E55" s="89">
        <v>42048</v>
      </c>
      <c r="F55" s="45"/>
      <c r="G55" s="45">
        <v>-13075.61</v>
      </c>
      <c r="H55" s="17"/>
    </row>
    <row r="56" spans="3:8" ht="12.75">
      <c r="C56" s="17"/>
      <c r="D56" s="17"/>
      <c r="E56" s="89">
        <v>42061</v>
      </c>
      <c r="F56" s="45"/>
      <c r="G56" s="45">
        <v>-9525.40</v>
      </c>
      <c r="H56" s="17"/>
    </row>
    <row r="57" spans="3:8" ht="12.75">
      <c r="C57" s="17"/>
      <c r="D57" s="17"/>
      <c r="E57" s="89">
        <v>42088</v>
      </c>
      <c r="F57" s="45"/>
      <c r="G57" s="45">
        <v>-20331.20</v>
      </c>
      <c r="H57" s="17"/>
    </row>
    <row r="58" spans="3:8" ht="12.75">
      <c r="C58" s="17"/>
      <c r="D58" s="17"/>
      <c r="E58" s="89">
        <v>42111</v>
      </c>
      <c r="F58" s="45"/>
      <c r="G58" s="45">
        <v>-16431.79</v>
      </c>
      <c r="H58" s="17"/>
    </row>
    <row r="59" spans="3:8" ht="12.75">
      <c r="C59" s="17"/>
      <c r="D59" s="17"/>
      <c r="E59" s="89">
        <v>42138</v>
      </c>
      <c r="F59" s="45"/>
      <c r="G59" s="45">
        <v>-14200.80</v>
      </c>
      <c r="H59" s="17"/>
    </row>
    <row r="60" spans="3:8" ht="12.75">
      <c r="C60" s="17"/>
      <c r="D60" s="17"/>
      <c r="E60" s="89">
        <v>42156</v>
      </c>
      <c r="F60" s="45"/>
      <c r="G60" s="45">
        <v>-17440.59</v>
      </c>
      <c r="H60" s="17"/>
    </row>
    <row r="61" spans="3:8" ht="12.75">
      <c r="C61" s="17"/>
      <c r="D61" s="17"/>
      <c r="E61" s="89">
        <v>42187</v>
      </c>
      <c r="F61" s="45"/>
      <c r="G61" s="45">
        <v>-13812.80</v>
      </c>
      <c r="H61" s="17"/>
    </row>
    <row r="62" spans="3:10" ht="12.75">
      <c r="C62" s="17"/>
      <c r="D62" s="17"/>
      <c r="E62" s="89">
        <v>42230</v>
      </c>
      <c r="F62" s="45"/>
      <c r="G62" s="45">
        <v>-9292.60</v>
      </c>
      <c r="H62" s="17"/>
      <c r="I62" s="25"/>
      <c r="J62" s="17"/>
    </row>
    <row r="63" spans="3:10" ht="12.75">
      <c r="C63" s="17"/>
      <c r="D63" s="17"/>
      <c r="E63" s="89">
        <v>42258</v>
      </c>
      <c r="F63" s="45"/>
      <c r="G63" s="45">
        <v>-18410.59</v>
      </c>
      <c r="H63" s="17"/>
      <c r="I63" s="25"/>
      <c r="J63" s="17"/>
    </row>
    <row r="64" spans="3:10" ht="12.75">
      <c r="C64" s="17"/>
      <c r="D64" s="17"/>
      <c r="E64" s="89">
        <v>42272</v>
      </c>
      <c r="F64" s="45"/>
      <c r="G64" s="45">
        <v>-25743.81</v>
      </c>
      <c r="H64" s="17"/>
      <c r="I64" s="25"/>
      <c r="J64" s="17"/>
    </row>
    <row r="65" spans="3:10" ht="12.75">
      <c r="C65" s="17"/>
      <c r="D65" s="17"/>
      <c r="E65" s="89">
        <v>42293</v>
      </c>
      <c r="F65" s="45"/>
      <c r="G65" s="45">
        <v>-24579.80</v>
      </c>
      <c r="H65" s="17"/>
      <c r="I65" s="25"/>
      <c r="J65" s="17"/>
    </row>
    <row r="66" spans="3:10" ht="12.75">
      <c r="C66" s="17"/>
      <c r="D66" s="17"/>
      <c r="E66" s="89">
        <v>42345</v>
      </c>
      <c r="F66" s="45"/>
      <c r="G66" s="45">
        <v>-11523.60</v>
      </c>
      <c r="H66" s="17"/>
      <c r="I66" s="25"/>
      <c r="J66" s="17"/>
    </row>
    <row r="67" spans="3:10" ht="12.75">
      <c r="C67" s="17"/>
      <c r="D67" s="17"/>
      <c r="E67" s="89">
        <v>42361</v>
      </c>
      <c r="F67" s="45"/>
      <c r="G67" s="45">
        <v>-8865.81</v>
      </c>
      <c r="H67" s="17"/>
      <c r="I67" s="25"/>
      <c r="J67" s="17"/>
    </row>
    <row r="68" spans="3:10" ht="12.75">
      <c r="C68" s="17" t="s">
        <v>24</v>
      </c>
      <c r="D68" s="17"/>
      <c r="E68" s="89">
        <v>42249</v>
      </c>
      <c r="F68" s="45"/>
      <c r="G68" s="45">
        <v>19359.94</v>
      </c>
      <c r="H68" s="17"/>
      <c r="I68" s="25"/>
      <c r="J68" s="17"/>
    </row>
    <row r="69" spans="3:10" ht="12.75">
      <c r="C69" s="17" t="s">
        <v>45</v>
      </c>
      <c r="D69" s="17"/>
      <c r="E69" s="89">
        <v>42382</v>
      </c>
      <c r="F69" s="45"/>
      <c r="G69" s="45">
        <v>-16101.99</v>
      </c>
      <c r="H69" s="17"/>
      <c r="I69" s="25"/>
      <c r="J69" s="17"/>
    </row>
    <row r="70" spans="3:10" ht="12.75">
      <c r="C70" s="17"/>
      <c r="D70" s="17"/>
      <c r="E70" s="89">
        <v>42457</v>
      </c>
      <c r="F70" s="45"/>
      <c r="G70" s="45">
        <v>-17983.81</v>
      </c>
      <c r="H70" s="17"/>
      <c r="I70" s="25"/>
      <c r="J70" s="17"/>
    </row>
    <row r="71" spans="3:10" ht="12.75">
      <c r="C71" s="17"/>
      <c r="D71" s="17"/>
      <c r="E71" s="89">
        <v>42468</v>
      </c>
      <c r="F71" s="45"/>
      <c r="G71" s="45">
        <v>-20796.80</v>
      </c>
      <c r="H71" s="17"/>
      <c r="I71" s="25"/>
      <c r="J71" s="17"/>
    </row>
    <row r="72" spans="3:10" ht="12.75">
      <c r="C72" s="17"/>
      <c r="D72" s="17"/>
      <c r="E72" s="89">
        <v>42507</v>
      </c>
      <c r="F72" s="45"/>
      <c r="G72" s="45">
        <v>-74864.6</v>
      </c>
      <c r="H72" s="17"/>
      <c r="I72" s="25"/>
      <c r="J72" s="17"/>
    </row>
    <row r="73" spans="3:10" ht="12.75">
      <c r="C73" s="17"/>
      <c r="D73" s="17"/>
      <c r="E73" s="89">
        <v>42543</v>
      </c>
      <c r="F73" s="45"/>
      <c r="G73" s="45">
        <v>-38528.40</v>
      </c>
      <c r="H73" s="17"/>
      <c r="I73" s="25"/>
      <c r="J73" s="17"/>
    </row>
    <row r="74" spans="3:10" ht="12.75">
      <c r="C74" s="17"/>
      <c r="D74" s="17"/>
      <c r="E74" s="89">
        <v>42557</v>
      </c>
      <c r="F74" s="45"/>
      <c r="G74" s="45">
        <v>-8594.19</v>
      </c>
      <c r="H74" s="17"/>
      <c r="I74" s="25"/>
      <c r="J74" s="17"/>
    </row>
    <row r="75" spans="3:8" ht="12.75">
      <c r="C75" s="17"/>
      <c r="D75" s="17"/>
      <c r="E75" s="89">
        <v>42590</v>
      </c>
      <c r="F75" s="45"/>
      <c r="G75" s="45">
        <v>-18003.21</v>
      </c>
      <c r="H75" s="17"/>
    </row>
    <row r="76" spans="3:8" ht="12.75">
      <c r="C76" s="17"/>
      <c r="D76" s="17"/>
      <c r="E76" s="89">
        <v>42607</v>
      </c>
      <c r="F76" s="45"/>
      <c r="G76" s="45">
        <v>-31951.80</v>
      </c>
      <c r="H76" s="17"/>
    </row>
    <row r="77" spans="3:8" ht="12.75">
      <c r="C77" s="17"/>
      <c r="D77" s="17"/>
      <c r="E77" s="89">
        <v>42628</v>
      </c>
      <c r="F77" s="45"/>
      <c r="G77" s="45">
        <v>-18216.60</v>
      </c>
      <c r="H77" s="17"/>
    </row>
    <row r="78" spans="3:8" ht="12.75">
      <c r="C78" s="17"/>
      <c r="D78" s="17"/>
      <c r="E78" s="89">
        <v>42634</v>
      </c>
      <c r="F78" s="45"/>
      <c r="G78" s="45">
        <v>-11872.81</v>
      </c>
      <c r="H78" s="17"/>
    </row>
    <row r="79" spans="3:8" ht="12.75">
      <c r="C79" s="17"/>
      <c r="D79" s="17"/>
      <c r="E79" s="89">
        <v>42663</v>
      </c>
      <c r="F79" s="45"/>
      <c r="G79" s="45">
        <v>-21049</v>
      </c>
      <c r="H79" s="17"/>
    </row>
    <row r="80" spans="3:8" ht="12.75">
      <c r="C80" s="17"/>
      <c r="D80" s="17"/>
      <c r="E80" s="89">
        <v>42731</v>
      </c>
      <c r="F80" s="45"/>
      <c r="G80" s="45">
        <v>-23862</v>
      </c>
      <c r="H80" s="17"/>
    </row>
    <row r="81" spans="3:8" ht="12.75">
      <c r="C81" s="17" t="s">
        <v>25</v>
      </c>
      <c r="D81" s="17"/>
      <c r="E81" s="89">
        <v>42377</v>
      </c>
      <c r="F81" s="45"/>
      <c r="G81" s="45">
        <v>112997.82</v>
      </c>
      <c r="H81" s="17"/>
    </row>
    <row r="82" spans="3:8" ht="12.75">
      <c r="C82" s="17"/>
      <c r="D82" s="17"/>
      <c r="E82" s="89">
        <v>42542</v>
      </c>
      <c r="F82" s="45"/>
      <c r="G82" s="45">
        <v>14181.90</v>
      </c>
      <c r="H82" s="17"/>
    </row>
    <row r="83" spans="3:8" ht="12.75">
      <c r="C83" s="17"/>
      <c r="D83" s="17"/>
      <c r="E83" s="89">
        <v>42570</v>
      </c>
      <c r="F83" s="45"/>
      <c r="G83" s="45">
        <v>4479.96</v>
      </c>
      <c r="H83" s="17"/>
    </row>
    <row r="84" spans="3:8" ht="12.75">
      <c r="C84" s="17"/>
      <c r="D84" s="17"/>
      <c r="E84" s="89">
        <v>42586</v>
      </c>
      <c r="F84" s="45"/>
      <c r="G84" s="45">
        <v>52988.38</v>
      </c>
      <c r="H84" s="17"/>
    </row>
    <row r="85" spans="3:8" ht="12.75">
      <c r="C85" s="17"/>
      <c r="D85" s="17"/>
      <c r="E85" s="89">
        <v>42634</v>
      </c>
      <c r="F85" s="45"/>
      <c r="G85" s="45">
        <v>11287.10</v>
      </c>
      <c r="H85" s="17"/>
    </row>
    <row r="86" spans="3:8" ht="12.75">
      <c r="C86" s="17"/>
      <c r="D86" s="17"/>
      <c r="E86" s="89">
        <v>42677</v>
      </c>
      <c r="F86" s="45"/>
      <c r="G86" s="45">
        <v>7607.96</v>
      </c>
      <c r="H86" s="17"/>
    </row>
    <row r="87" spans="3:8" ht="12.75">
      <c r="C87" s="17"/>
      <c r="D87" s="17"/>
      <c r="E87" s="89">
        <v>42709</v>
      </c>
      <c r="F87" s="45"/>
      <c r="G87" s="45">
        <v>17704.01</v>
      </c>
      <c r="H87" s="17"/>
    </row>
    <row r="88" spans="3:10" ht="12.75">
      <c r="C88" s="17"/>
      <c r="D88" s="17"/>
      <c r="E88" s="89">
        <v>42726</v>
      </c>
      <c r="F88" s="45"/>
      <c r="G88" s="45">
        <v>155129.46</v>
      </c>
      <c r="H88" s="17"/>
      <c r="I88" s="25"/>
      <c r="J88" s="17"/>
    </row>
    <row r="89" spans="3:10" ht="12.75">
      <c r="C89" s="17" t="s">
        <v>30</v>
      </c>
      <c r="D89" s="17"/>
      <c r="E89" s="89">
        <v>42753</v>
      </c>
      <c r="F89" s="45"/>
      <c r="G89" s="45">
        <v>-15772.21</v>
      </c>
      <c r="H89" s="17"/>
      <c r="I89" s="25"/>
      <c r="J89" s="17"/>
    </row>
    <row r="90" spans="3:10" ht="12.75">
      <c r="C90" s="17"/>
      <c r="D90" s="17"/>
      <c r="E90" s="89">
        <v>42816</v>
      </c>
      <c r="F90" s="45"/>
      <c r="G90" s="45">
        <v>-12241.40</v>
      </c>
      <c r="H90" s="17"/>
      <c r="I90" s="25"/>
      <c r="J90" s="17"/>
    </row>
    <row r="91" spans="3:10" ht="12.75">
      <c r="C91" s="17"/>
      <c r="D91" s="17"/>
      <c r="E91" s="89">
        <v>42838</v>
      </c>
      <c r="F91" s="45"/>
      <c r="G91" s="45">
        <v>-12125</v>
      </c>
      <c r="H91" s="17"/>
      <c r="I91" s="25"/>
      <c r="J91" s="17"/>
    </row>
    <row r="92" spans="3:10" ht="12.75">
      <c r="C92" s="17"/>
      <c r="D92" s="17"/>
      <c r="E92" s="89">
        <v>42879</v>
      </c>
      <c r="F92" s="45"/>
      <c r="G92" s="45">
        <v>-13114.40</v>
      </c>
      <c r="H92" s="17"/>
      <c r="I92" s="25"/>
      <c r="J92" s="17"/>
    </row>
    <row r="93" spans="3:10" ht="12.75">
      <c r="C93" s="17"/>
      <c r="D93" s="17"/>
      <c r="E93" s="89">
        <v>42908</v>
      </c>
      <c r="F93" s="45"/>
      <c r="G93" s="45">
        <v>-8497.2</v>
      </c>
      <c r="H93" s="17"/>
      <c r="I93" s="25"/>
      <c r="J93" s="17"/>
    </row>
    <row r="94" spans="3:10" ht="12.75">
      <c r="C94" s="17"/>
      <c r="D94" s="17"/>
      <c r="E94" s="89">
        <v>42933</v>
      </c>
      <c r="F94" s="45"/>
      <c r="G94" s="45">
        <v>-8303.19</v>
      </c>
      <c r="H94" s="17"/>
      <c r="I94" s="25"/>
      <c r="J94" s="17"/>
    </row>
    <row r="95" spans="3:10" ht="12.75">
      <c r="C95" s="17"/>
      <c r="D95" s="17"/>
      <c r="E95" s="89">
        <v>42963</v>
      </c>
      <c r="F95" s="45"/>
      <c r="G95" s="45">
        <v>-23862</v>
      </c>
      <c r="H95" s="17"/>
      <c r="I95" s="25"/>
      <c r="J95" s="17"/>
    </row>
    <row r="96" spans="3:10" ht="12.75">
      <c r="C96" s="17"/>
      <c r="D96" s="17"/>
      <c r="E96" s="89">
        <v>42997</v>
      </c>
      <c r="F96" s="45"/>
      <c r="G96" s="45">
        <v>-11834</v>
      </c>
      <c r="H96" s="17"/>
      <c r="I96" s="25"/>
      <c r="J96" s="17"/>
    </row>
    <row r="97" spans="3:10" ht="12.75">
      <c r="C97" s="17"/>
      <c r="D97" s="17"/>
      <c r="E97" s="89">
        <v>43014</v>
      </c>
      <c r="F97" s="45"/>
      <c r="G97" s="45">
        <v>-14821.60</v>
      </c>
      <c r="H97" s="17"/>
      <c r="I97" s="25"/>
      <c r="J97" s="17"/>
    </row>
    <row r="98" spans="3:10" ht="12.75">
      <c r="C98" s="17"/>
      <c r="D98" s="17"/>
      <c r="E98" s="89">
        <v>43091</v>
      </c>
      <c r="F98" s="45"/>
      <c r="G98" s="45">
        <v>-8691.2</v>
      </c>
      <c r="H98" s="17"/>
      <c r="I98" s="25"/>
      <c r="J98" s="17"/>
    </row>
    <row r="99" spans="3:8" ht="12.75">
      <c r="C99" s="17" t="s">
        <v>46</v>
      </c>
      <c r="D99" s="17"/>
      <c r="E99" s="89">
        <v>42745</v>
      </c>
      <c r="F99" s="45"/>
      <c r="G99" s="45">
        <v>145791.53</v>
      </c>
      <c r="H99" s="17"/>
    </row>
    <row r="100" spans="3:12" ht="15.75">
      <c r="C100" s="17"/>
      <c r="D100" s="17"/>
      <c r="E100" s="89">
        <v>42775</v>
      </c>
      <c r="F100" s="45"/>
      <c r="G100" s="45">
        <v>8665.25</v>
      </c>
      <c r="H100" s="17"/>
      <c r="I100" s="42"/>
      <c r="J100" s="42"/>
      <c r="K100" s="42"/>
      <c r="L100" s="177"/>
    </row>
    <row r="101" spans="3:12" ht="12.75">
      <c r="C101" s="17"/>
      <c r="D101" s="17"/>
      <c r="E101" s="89">
        <v>42824</v>
      </c>
      <c r="F101" s="45"/>
      <c r="G101" s="45">
        <v>5425.33</v>
      </c>
      <c r="H101" s="17"/>
      <c r="I101" s="44"/>
      <c r="J101" s="41"/>
      <c r="K101" s="42"/>
      <c r="L101" s="124"/>
    </row>
    <row r="102" spans="3:12" ht="12.75">
      <c r="C102" s="17"/>
      <c r="D102" s="17"/>
      <c r="E102" s="89">
        <v>42877</v>
      </c>
      <c r="F102" s="45"/>
      <c r="G102" s="45">
        <v>6038.39</v>
      </c>
      <c r="H102" s="17"/>
      <c r="I102" s="44"/>
      <c r="J102" s="41"/>
      <c r="K102" s="42"/>
      <c r="L102" s="124"/>
    </row>
    <row r="103" spans="3:12" ht="12.75">
      <c r="C103" s="17"/>
      <c r="D103" s="17"/>
      <c r="E103" s="89">
        <v>42914</v>
      </c>
      <c r="F103" s="45"/>
      <c r="G103" s="45">
        <v>54409.63</v>
      </c>
      <c r="H103" s="17"/>
      <c r="I103" s="44"/>
      <c r="J103" s="41"/>
      <c r="K103" s="42"/>
      <c r="L103" s="124"/>
    </row>
    <row r="104" spans="3:12" ht="12.75">
      <c r="C104" s="17"/>
      <c r="D104" s="17"/>
      <c r="E104" s="89">
        <v>42936</v>
      </c>
      <c r="F104" s="45"/>
      <c r="G104" s="45">
        <v>5808.96</v>
      </c>
      <c r="H104" s="17"/>
      <c r="I104" s="44"/>
      <c r="J104" s="41"/>
      <c r="K104" s="42"/>
      <c r="L104" s="124"/>
    </row>
    <row r="105" spans="3:12" ht="12.75">
      <c r="C105" s="17"/>
      <c r="D105" s="17"/>
      <c r="E105" s="89">
        <v>43019</v>
      </c>
      <c r="F105" s="45"/>
      <c r="G105" s="45">
        <v>4861.67</v>
      </c>
      <c r="H105" s="17"/>
      <c r="I105" s="44"/>
      <c r="J105" s="41"/>
      <c r="K105" s="42"/>
      <c r="L105" s="42"/>
    </row>
    <row r="106" spans="3:12" ht="12.75">
      <c r="C106" s="17"/>
      <c r="D106" s="17"/>
      <c r="E106" s="89">
        <v>43052</v>
      </c>
      <c r="F106" s="45"/>
      <c r="G106" s="45">
        <v>3105.78</v>
      </c>
      <c r="H106" s="17"/>
      <c r="I106" s="44"/>
      <c r="J106" s="41"/>
      <c r="K106" s="42"/>
      <c r="L106" s="42"/>
    </row>
    <row r="107" spans="3:12" ht="12.75">
      <c r="C107" s="17" t="s">
        <v>31</v>
      </c>
      <c r="D107" s="17"/>
      <c r="E107" s="89">
        <v>43178</v>
      </c>
      <c r="F107" s="45"/>
      <c r="G107" s="45">
        <v>-7003.40</v>
      </c>
      <c r="H107" s="17"/>
      <c r="I107" s="44"/>
      <c r="J107" s="41"/>
      <c r="K107" s="42"/>
      <c r="L107" s="42"/>
    </row>
    <row r="108" spans="3:10" ht="12.75">
      <c r="C108" s="17"/>
      <c r="D108" s="17"/>
      <c r="E108" s="89">
        <v>43194</v>
      </c>
      <c r="F108" s="45"/>
      <c r="G108" s="45">
        <v>-10223.8</v>
      </c>
      <c r="H108" s="17"/>
      <c r="I108" s="25"/>
      <c r="J108" s="17"/>
    </row>
    <row r="109" spans="3:10" ht="12.75">
      <c r="C109" s="17"/>
      <c r="D109" s="17"/>
      <c r="E109" s="89">
        <v>43251</v>
      </c>
      <c r="F109" s="45"/>
      <c r="G109" s="45">
        <v>-8439</v>
      </c>
      <c r="H109" s="17"/>
      <c r="I109" s="25"/>
      <c r="J109" s="17"/>
    </row>
    <row r="110" spans="3:10" ht="12.75">
      <c r="C110" s="17"/>
      <c r="D110" s="17"/>
      <c r="E110" s="89">
        <v>43342</v>
      </c>
      <c r="F110" s="45"/>
      <c r="G110" s="45">
        <v>-11058.01</v>
      </c>
      <c r="H110" s="17"/>
      <c r="I110" s="25"/>
      <c r="J110" s="17"/>
    </row>
    <row r="111" spans="3:10" ht="12.75">
      <c r="C111" s="17"/>
      <c r="D111" s="17"/>
      <c r="E111" s="89">
        <v>43434</v>
      </c>
      <c r="F111" s="45"/>
      <c r="G111" s="45">
        <v>-12571.20</v>
      </c>
      <c r="H111" s="17"/>
      <c r="I111" s="25"/>
      <c r="J111" s="17"/>
    </row>
    <row r="112" spans="3:10" ht="12.75">
      <c r="C112" s="17" t="s">
        <v>26</v>
      </c>
      <c r="D112" s="17"/>
      <c r="E112" s="89">
        <v>43116</v>
      </c>
      <c r="F112" s="45"/>
      <c r="G112" s="45">
        <v>26108.63</v>
      </c>
      <c r="H112" s="17"/>
      <c r="I112" s="25"/>
      <c r="J112" s="17"/>
    </row>
    <row r="113" spans="3:10" ht="12.75">
      <c r="C113" s="17"/>
      <c r="D113" s="17"/>
      <c r="E113" s="89">
        <v>43145</v>
      </c>
      <c r="F113" s="45"/>
      <c r="G113" s="45">
        <v>8058.97</v>
      </c>
      <c r="H113" s="17"/>
      <c r="I113" s="25"/>
      <c r="J113" s="17"/>
    </row>
    <row r="114" spans="3:10" ht="12.75">
      <c r="C114" s="17"/>
      <c r="D114" s="17"/>
      <c r="E114" s="89">
        <v>43222</v>
      </c>
      <c r="F114" s="45"/>
      <c r="G114" s="45">
        <v>16229.80</v>
      </c>
      <c r="H114" s="17"/>
      <c r="I114" s="25"/>
      <c r="J114" s="17"/>
    </row>
    <row r="115" spans="3:10" ht="12.75">
      <c r="C115" s="17"/>
      <c r="D115" s="17"/>
      <c r="E115" s="89">
        <v>43314</v>
      </c>
      <c r="F115" s="45"/>
      <c r="G115" s="45">
        <v>17321.99</v>
      </c>
      <c r="H115" s="17"/>
      <c r="I115" s="25"/>
      <c r="J115" s="17"/>
    </row>
    <row r="116" spans="3:10" ht="12.75">
      <c r="C116" s="17"/>
      <c r="D116" s="17"/>
      <c r="E116" s="89">
        <v>43341</v>
      </c>
      <c r="F116" s="45"/>
      <c r="G116" s="45">
        <v>48223.37</v>
      </c>
      <c r="H116" s="17"/>
      <c r="I116" s="25"/>
      <c r="J116" s="17"/>
    </row>
    <row r="117" spans="3:10" ht="12.75">
      <c r="C117" s="17"/>
      <c r="D117" s="17"/>
      <c r="E117" s="89">
        <v>43398</v>
      </c>
      <c r="F117" s="45"/>
      <c r="G117" s="45">
        <v>15335.35</v>
      </c>
      <c r="H117" s="17"/>
      <c r="I117" s="25"/>
      <c r="J117" s="17"/>
    </row>
    <row r="118" spans="3:10" ht="12.75">
      <c r="C118" s="17" t="s">
        <v>32</v>
      </c>
      <c r="D118" s="17"/>
      <c r="E118" s="89">
        <v>43529</v>
      </c>
      <c r="F118" s="45"/>
      <c r="G118" s="45">
        <v>-5800.60</v>
      </c>
      <c r="H118" s="17"/>
      <c r="I118" s="25"/>
      <c r="J118" s="17"/>
    </row>
    <row r="119" spans="3:10" ht="12.75">
      <c r="C119" s="17"/>
      <c r="D119" s="17"/>
      <c r="E119" s="89">
        <v>43564</v>
      </c>
      <c r="F119" s="45"/>
      <c r="G119" s="45">
        <v>-7197.40</v>
      </c>
      <c r="H119" s="17"/>
      <c r="I119" s="25"/>
      <c r="J119" s="17"/>
    </row>
    <row r="120" spans="3:10" ht="12.75">
      <c r="C120" s="17"/>
      <c r="D120" s="17"/>
      <c r="E120" s="89">
        <v>43782</v>
      </c>
      <c r="F120" s="45"/>
      <c r="G120" s="45">
        <v>-6227.40</v>
      </c>
      <c r="H120" s="17"/>
      <c r="I120" s="25"/>
      <c r="J120" s="17"/>
    </row>
    <row r="121" spans="3:10" ht="12.75">
      <c r="C121" s="17" t="s">
        <v>27</v>
      </c>
      <c r="D121" s="17"/>
      <c r="E121" s="89">
        <v>43479</v>
      </c>
      <c r="F121" s="45"/>
      <c r="G121" s="45">
        <v>5103.50</v>
      </c>
      <c r="H121" s="17"/>
      <c r="I121" s="25"/>
      <c r="J121" s="17"/>
    </row>
    <row r="122" spans="3:10" ht="12.75">
      <c r="C122" s="17"/>
      <c r="D122" s="17"/>
      <c r="E122" s="89">
        <v>43558</v>
      </c>
      <c r="F122" s="45"/>
      <c r="G122" s="45">
        <v>48982.15</v>
      </c>
      <c r="H122" s="17"/>
      <c r="I122" s="25"/>
      <c r="J122" s="17"/>
    </row>
    <row r="123" spans="3:10" ht="12.75">
      <c r="C123" s="17"/>
      <c r="D123" s="17"/>
      <c r="E123" s="89">
        <v>43622</v>
      </c>
      <c r="F123" s="45"/>
      <c r="G123" s="45">
        <v>6911.20</v>
      </c>
      <c r="H123" s="17"/>
      <c r="I123" s="25"/>
      <c r="J123" s="17"/>
    </row>
    <row r="124" spans="3:10" ht="12.75">
      <c r="C124" s="17"/>
      <c r="D124" s="17"/>
      <c r="E124" s="89">
        <v>43689</v>
      </c>
      <c r="F124" s="45"/>
      <c r="G124" s="45">
        <v>11739.53</v>
      </c>
      <c r="H124" s="17"/>
      <c r="I124" s="25"/>
      <c r="J124" s="17"/>
    </row>
    <row r="125" spans="3:10" ht="12.75">
      <c r="C125" s="17"/>
      <c r="D125" s="17"/>
      <c r="E125" s="89">
        <v>43753</v>
      </c>
      <c r="F125" s="45"/>
      <c r="G125" s="45">
        <v>5771.80</v>
      </c>
      <c r="H125" s="17"/>
      <c r="I125" s="25"/>
      <c r="J125" s="17"/>
    </row>
    <row r="126" spans="3:10" ht="12.75">
      <c r="C126" s="17" t="s">
        <v>33</v>
      </c>
      <c r="D126" s="17"/>
      <c r="E126" s="89">
        <v>43923</v>
      </c>
      <c r="F126" s="45"/>
      <c r="G126" s="45">
        <v>-5315.60</v>
      </c>
      <c r="H126" s="17"/>
      <c r="I126" s="25"/>
      <c r="J126" s="17"/>
    </row>
    <row r="127" spans="3:10" ht="12.75">
      <c r="C127" s="17"/>
      <c r="D127" s="17"/>
      <c r="E127" s="89">
        <v>44104</v>
      </c>
      <c r="F127" s="45"/>
      <c r="G127" s="45">
        <v>-6188.61</v>
      </c>
      <c r="H127" s="17"/>
      <c r="I127" s="25"/>
      <c r="J127" s="17"/>
    </row>
    <row r="128" spans="3:10" ht="12.75">
      <c r="C128" s="17" t="s">
        <v>47</v>
      </c>
      <c r="D128" s="17"/>
      <c r="E128" s="89">
        <v>43867</v>
      </c>
      <c r="F128" s="45"/>
      <c r="G128" s="45">
        <v>13193.28</v>
      </c>
      <c r="H128" s="17"/>
      <c r="I128" s="25"/>
      <c r="J128" s="17"/>
    </row>
    <row r="129" spans="3:12" ht="15.75">
      <c r="C129" s="17"/>
      <c r="D129" s="17"/>
      <c r="E129" s="89">
        <v>44153</v>
      </c>
      <c r="F129" s="45"/>
      <c r="G129" s="45">
        <v>8884.23</v>
      </c>
      <c r="H129" s="17"/>
      <c r="I129" s="25"/>
      <c r="J129" s="17"/>
      <c r="L129" s="80"/>
    </row>
    <row r="130" spans="3:10" ht="12.75">
      <c r="C130" s="17" t="s">
        <v>34</v>
      </c>
      <c r="D130" s="17"/>
      <c r="E130" s="89">
        <v>44279</v>
      </c>
      <c r="F130" s="45"/>
      <c r="G130" s="45">
        <v>-4171</v>
      </c>
      <c r="H130" s="17"/>
      <c r="I130" s="25"/>
      <c r="J130" s="17"/>
    </row>
    <row r="131" spans="3:10" ht="12.75">
      <c r="C131" s="17"/>
      <c r="D131" s="17"/>
      <c r="E131" s="89">
        <v>44463</v>
      </c>
      <c r="F131" s="45"/>
      <c r="G131" s="45">
        <v>-2832.40</v>
      </c>
      <c r="H131" s="17"/>
      <c r="I131" s="25"/>
      <c r="J131" s="17"/>
    </row>
    <row r="132" spans="3:12" ht="15.75">
      <c r="C132" s="17" t="s">
        <v>28</v>
      </c>
      <c r="D132" s="17"/>
      <c r="E132" s="89">
        <v>44224</v>
      </c>
      <c r="F132" s="45"/>
      <c r="G132" s="45">
        <v>6225.60</v>
      </c>
      <c r="H132" s="17"/>
      <c r="I132" s="25"/>
      <c r="J132" s="17"/>
      <c r="L132" s="80"/>
    </row>
    <row r="133" spans="3:12" ht="15.75">
      <c r="C133" s="17"/>
      <c r="D133" s="17"/>
      <c r="E133" s="89">
        <v>44259</v>
      </c>
      <c r="F133" s="45"/>
      <c r="G133" s="45">
        <v>13767.91</v>
      </c>
      <c r="H133" s="17"/>
      <c r="I133" s="25"/>
      <c r="J133" s="17"/>
      <c r="L133" s="80"/>
    </row>
    <row r="134" spans="3:12" ht="15.75">
      <c r="C134" s="17"/>
      <c r="D134" s="17"/>
      <c r="E134" s="89">
        <v>44383</v>
      </c>
      <c r="F134" s="45"/>
      <c r="G134" s="45">
        <v>62739.66</v>
      </c>
      <c r="H134" s="17"/>
      <c r="I134" s="25"/>
      <c r="J134" s="17"/>
      <c r="L134" s="80"/>
    </row>
    <row r="135" spans="3:12" ht="15.75">
      <c r="C135" s="17"/>
      <c r="D135" s="17"/>
      <c r="E135" s="89">
        <v>44441</v>
      </c>
      <c r="F135" s="45"/>
      <c r="G135" s="45">
        <v>5291.49</v>
      </c>
      <c r="H135" s="17"/>
      <c r="I135" s="25"/>
      <c r="J135" s="17"/>
      <c r="L135" s="80"/>
    </row>
    <row r="136" spans="3:12" ht="15.75">
      <c r="C136" s="17"/>
      <c r="D136" s="17"/>
      <c r="E136" s="89">
        <v>44502</v>
      </c>
      <c r="F136" s="45"/>
      <c r="G136" s="45">
        <v>24019.45</v>
      </c>
      <c r="H136" s="17"/>
      <c r="I136" s="25"/>
      <c r="J136" s="17"/>
      <c r="L136" s="80"/>
    </row>
    <row r="137" spans="3:12" ht="15.75">
      <c r="C137" s="17"/>
      <c r="D137" s="17"/>
      <c r="E137" s="89">
        <v>44551</v>
      </c>
      <c r="F137" s="45"/>
      <c r="G137" s="45">
        <v>7571.28</v>
      </c>
      <c r="H137" s="17"/>
      <c r="I137" s="25"/>
      <c r="J137" s="17"/>
      <c r="L137" s="80"/>
    </row>
    <row r="138" spans="3:12" ht="15.75">
      <c r="C138" s="17" t="s">
        <v>35</v>
      </c>
      <c r="D138" s="17"/>
      <c r="E138" s="89">
        <v>44651</v>
      </c>
      <c r="F138" s="45"/>
      <c r="G138" s="45">
        <v>-1571.40</v>
      </c>
      <c r="H138" s="17"/>
      <c r="I138" s="25"/>
      <c r="J138" s="17"/>
      <c r="L138" s="80"/>
    </row>
    <row r="139" spans="3:12" ht="15.75">
      <c r="C139" s="17"/>
      <c r="D139" s="17"/>
      <c r="E139" s="89">
        <v>44742</v>
      </c>
      <c r="F139" s="45"/>
      <c r="G139" s="45">
        <v>-1396.80</v>
      </c>
      <c r="H139" s="17"/>
      <c r="I139" s="25"/>
      <c r="J139" s="17"/>
      <c r="L139" s="80"/>
    </row>
    <row r="140" spans="3:12" ht="15.75">
      <c r="C140" s="17"/>
      <c r="D140" s="17"/>
      <c r="E140" s="89">
        <v>44827</v>
      </c>
      <c r="F140" s="45"/>
      <c r="G140" s="45">
        <v>-1319.20</v>
      </c>
      <c r="H140" s="17"/>
      <c r="I140" s="25"/>
      <c r="J140" s="17"/>
      <c r="L140" s="80"/>
    </row>
    <row r="141" spans="3:12" ht="15.75">
      <c r="C141" s="17" t="s">
        <v>29</v>
      </c>
      <c r="D141" s="17"/>
      <c r="E141" s="89">
        <v>44582</v>
      </c>
      <c r="F141" s="45"/>
      <c r="G141" s="45">
        <v>30889.58</v>
      </c>
      <c r="H141" s="17"/>
      <c r="I141" s="25"/>
      <c r="J141" s="17"/>
      <c r="L141" s="80"/>
    </row>
    <row r="142" spans="3:12" ht="15.75">
      <c r="C142" s="17"/>
      <c r="D142" s="17"/>
      <c r="E142" s="89">
        <v>44599</v>
      </c>
      <c r="F142" s="45"/>
      <c r="G142" s="45">
        <v>12658.15</v>
      </c>
      <c r="H142" s="17"/>
      <c r="I142" s="25"/>
      <c r="J142" s="17"/>
      <c r="L142" s="80"/>
    </row>
    <row r="143" spans="3:12" ht="15.75">
      <c r="C143" s="17"/>
      <c r="D143" s="17"/>
      <c r="E143" s="89">
        <v>44634</v>
      </c>
      <c r="F143" s="45"/>
      <c r="G143" s="45">
        <v>22379.35</v>
      </c>
      <c r="H143" s="17"/>
      <c r="I143" s="25"/>
      <c r="J143" s="17"/>
      <c r="L143" s="80"/>
    </row>
    <row r="144" spans="3:12" ht="15.75">
      <c r="C144" s="17"/>
      <c r="D144" s="17"/>
      <c r="E144" s="89">
        <v>44657</v>
      </c>
      <c r="F144" s="45"/>
      <c r="G144" s="45">
        <v>21681.51</v>
      </c>
      <c r="H144" s="17"/>
      <c r="I144" s="25"/>
      <c r="J144" s="17"/>
      <c r="L144" s="80"/>
    </row>
    <row r="145" spans="3:12" ht="15.75">
      <c r="C145" s="17"/>
      <c r="D145" s="17"/>
      <c r="E145" s="89">
        <v>44694</v>
      </c>
      <c r="F145" s="45"/>
      <c r="G145" s="45">
        <v>27260.29</v>
      </c>
      <c r="H145" s="17"/>
      <c r="I145" s="25"/>
      <c r="J145" s="17"/>
      <c r="L145" s="80"/>
    </row>
    <row r="146" spans="3:12" ht="15.75">
      <c r="C146" s="17"/>
      <c r="D146" s="17"/>
      <c r="E146" s="89">
        <v>44715</v>
      </c>
      <c r="F146" s="45"/>
      <c r="G146" s="45">
        <v>14232.74</v>
      </c>
      <c r="H146" s="17"/>
      <c r="I146" s="25"/>
      <c r="J146" s="17"/>
      <c r="L146" s="80"/>
    </row>
    <row r="147" spans="3:12" ht="15.75">
      <c r="C147" s="17"/>
      <c r="D147" s="17"/>
      <c r="E147" s="89">
        <v>44755</v>
      </c>
      <c r="F147" s="45"/>
      <c r="G147" s="45">
        <v>25502.76</v>
      </c>
      <c r="H147" s="17"/>
      <c r="I147" s="25"/>
      <c r="J147" s="17"/>
      <c r="L147" s="80"/>
    </row>
    <row r="148" spans="3:12" ht="15.75">
      <c r="C148" s="17"/>
      <c r="D148" s="17"/>
      <c r="E148" s="89">
        <v>44777</v>
      </c>
      <c r="F148" s="45"/>
      <c r="G148" s="45">
        <v>8644.26</v>
      </c>
      <c r="H148" s="17"/>
      <c r="I148" s="25"/>
      <c r="J148" s="17"/>
      <c r="L148" s="80"/>
    </row>
    <row r="149" spans="3:12" ht="15.75">
      <c r="C149" s="17"/>
      <c r="D149" s="17"/>
      <c r="E149" s="89">
        <v>44812</v>
      </c>
      <c r="F149" s="45"/>
      <c r="G149" s="45">
        <v>17805.38</v>
      </c>
      <c r="H149" s="17"/>
      <c r="I149" s="25"/>
      <c r="J149" s="17"/>
      <c r="L149" s="80"/>
    </row>
    <row r="150" spans="3:9" ht="4.5" customHeight="1">
      <c r="C150" s="17"/>
      <c r="D150" s="17"/>
      <c r="E150" s="89"/>
      <c r="F150" s="17"/>
      <c r="G150" s="45"/>
      <c r="H150" s="17"/>
      <c r="I150" s="25"/>
    </row>
    <row r="151" spans="3:12" ht="12.75">
      <c r="C151" s="17" t="s">
        <v>5</v>
      </c>
      <c r="D151" s="17"/>
      <c r="E151" s="89">
        <f>+E8</f>
        <v>44834</v>
      </c>
      <c r="F151" s="17"/>
      <c r="G151" s="94">
        <f>L151/0.97*C22</f>
        <v>432333.7717998097</v>
      </c>
      <c r="H151" s="17"/>
      <c r="I151" s="45">
        <f>+SUMIF($G$23:$G$150,"&lt;0",$G$23:$G$150)</f>
        <v>-1151434.3099999998</v>
      </c>
      <c r="J151" s="17" t="s">
        <v>20</v>
      </c>
      <c r="L151" s="124">
        <v>2.161668859E9</v>
      </c>
    </row>
    <row r="152" spans="3:10" ht="12.75">
      <c r="C152" s="17"/>
      <c r="D152" s="17"/>
      <c r="E152" s="17"/>
      <c r="F152" s="17"/>
      <c r="G152" s="17"/>
      <c r="H152" s="17"/>
      <c r="I152" s="45">
        <f>+SUMIF($G$23:$G$150,"&gt;0",$G$23:$G$150)</f>
        <v>1176500.8800000001</v>
      </c>
      <c r="J152" s="17" t="s">
        <v>21</v>
      </c>
    </row>
    <row r="153" spans="3:8" ht="12.75">
      <c r="C153" s="15" t="s">
        <v>0</v>
      </c>
      <c r="G153" s="72">
        <f>+XIRR(G23:G151,E23:E151,0.1)</f>
        <v>0.0990406095981598</v>
      </c>
      <c r="H153" s="17"/>
    </row>
    <row r="154" spans="3:12" ht="12.75">
      <c r="C154" s="17"/>
      <c r="D154" s="17"/>
      <c r="E154" s="17"/>
      <c r="F154" s="17"/>
      <c r="G154" s="25"/>
      <c r="H154" s="17"/>
      <c r="L154" s="134"/>
    </row>
    <row r="155" spans="3:8" ht="12.75">
      <c r="C155" s="17"/>
      <c r="D155" s="17"/>
      <c r="E155" s="17"/>
      <c r="F155" s="17"/>
      <c r="G155" s="17"/>
      <c r="H155" s="17"/>
    </row>
    <row r="156" spans="3:8" ht="12.75">
      <c r="C156" s="110"/>
      <c r="D156" s="17"/>
      <c r="E156" s="136"/>
      <c r="F156" s="17"/>
      <c r="G156" s="136"/>
      <c r="H156" s="17"/>
    </row>
    <row r="157" spans="3:8" ht="12.75">
      <c r="C157" s="137"/>
      <c r="D157" s="28"/>
      <c r="E157" s="136"/>
      <c r="F157" s="28"/>
      <c r="G157" s="136"/>
      <c r="H157" s="17"/>
    </row>
    <row r="158" spans="3:8" ht="12.75">
      <c r="C158" s="137"/>
      <c r="D158" s="28"/>
      <c r="E158" s="136"/>
      <c r="F158" s="28"/>
      <c r="G158" s="136"/>
      <c r="H158" s="17"/>
    </row>
    <row r="159" spans="3:8" ht="12.75">
      <c r="C159" s="28"/>
      <c r="D159" s="28"/>
      <c r="E159" s="76"/>
      <c r="F159" s="76"/>
      <c r="G159" s="76"/>
      <c r="H159" s="15"/>
    </row>
    <row r="160" spans="3:8" ht="12.75">
      <c r="C160" s="28"/>
      <c r="D160" s="28"/>
      <c r="E160" s="75"/>
      <c r="F160" s="75"/>
      <c r="G160" s="75"/>
      <c r="H160" s="15"/>
    </row>
    <row r="161" spans="3:8" ht="12.75">
      <c r="C161" s="28"/>
      <c r="D161" s="28"/>
      <c r="E161" s="28"/>
      <c r="F161" s="28"/>
      <c r="G161" s="28"/>
      <c r="H161" s="15"/>
    </row>
    <row r="162" spans="3:8" ht="12.75">
      <c r="C162" s="171"/>
      <c r="D162" s="171"/>
      <c r="E162" s="173"/>
      <c r="F162" s="96"/>
      <c r="G162" s="32"/>
      <c r="H162" s="15"/>
    </row>
    <row r="163" spans="3:8" ht="12.75">
      <c r="C163" s="171"/>
      <c r="D163" s="171"/>
      <c r="E163" s="97"/>
      <c r="F163" s="96"/>
      <c r="G163" s="97"/>
      <c r="H163" s="15"/>
    </row>
    <row r="164" spans="3:8" ht="12.75">
      <c r="C164" s="171"/>
      <c r="D164" s="171"/>
      <c r="E164" s="97"/>
      <c r="F164" s="96"/>
      <c r="G164" s="97"/>
      <c r="H164" s="15"/>
    </row>
    <row r="165" spans="3:8" ht="12.75">
      <c r="C165" s="189"/>
      <c r="D165" s="171"/>
      <c r="E165" s="97"/>
      <c r="F165" s="96"/>
      <c r="G165" s="97"/>
      <c r="H165" s="15"/>
    </row>
    <row r="166" spans="3:8" ht="12.75">
      <c r="C166" s="189"/>
      <c r="D166" s="171"/>
      <c r="E166" s="97"/>
      <c r="F166" s="96"/>
      <c r="G166" s="97"/>
      <c r="H166" s="15"/>
    </row>
    <row r="167" spans="3:8" ht="12.75">
      <c r="C167" s="190"/>
      <c r="D167" s="171"/>
      <c r="E167" s="97"/>
      <c r="F167" s="96"/>
      <c r="G167" s="97"/>
      <c r="H167" s="15"/>
    </row>
    <row r="168" spans="3:8" ht="12.75">
      <c r="C168" s="171"/>
      <c r="D168" s="171"/>
      <c r="E168" s="97"/>
      <c r="F168" s="96"/>
      <c r="G168" s="97"/>
      <c r="H168" s="15"/>
    </row>
    <row r="169" spans="3:8" ht="12.75">
      <c r="C169" s="171"/>
      <c r="D169" s="171"/>
      <c r="E169" s="97"/>
      <c r="F169" s="96"/>
      <c r="G169" s="97"/>
      <c r="H169" s="15"/>
    </row>
    <row r="170" spans="3:8" ht="12.75">
      <c r="C170" s="171"/>
      <c r="D170" s="171"/>
      <c r="E170" s="97"/>
      <c r="F170" s="96"/>
      <c r="G170" s="97"/>
      <c r="H170" s="15"/>
    </row>
    <row r="171" spans="3:8" ht="12.75">
      <c r="C171" s="171"/>
      <c r="D171" s="171"/>
      <c r="E171" s="97"/>
      <c r="F171" s="96"/>
      <c r="G171" s="97"/>
      <c r="H171" s="15"/>
    </row>
    <row r="172" spans="3:8" ht="12.75">
      <c r="C172" s="171"/>
      <c r="D172" s="171"/>
      <c r="E172" s="97"/>
      <c r="F172" s="96"/>
      <c r="G172" s="97"/>
      <c r="H172" s="15"/>
    </row>
    <row r="173" spans="3:8" ht="12.75">
      <c r="C173" s="171"/>
      <c r="D173" s="171"/>
      <c r="E173" s="97"/>
      <c r="F173" s="96"/>
      <c r="G173" s="97"/>
      <c r="H173" s="15"/>
    </row>
    <row r="174" spans="3:8" s="111" customFormat="1" ht="5.1" customHeight="1">
      <c r="C174" s="15"/>
      <c r="D174" s="15"/>
      <c r="E174" s="99"/>
      <c r="F174" s="99"/>
      <c r="G174" s="99"/>
      <c r="H174" s="121"/>
    </row>
    <row r="175" spans="3:8" ht="12.75">
      <c r="C175" s="15"/>
      <c r="D175" s="15"/>
      <c r="E175" s="101"/>
      <c r="F175" s="101"/>
      <c r="G175" s="101"/>
      <c r="H175" s="15"/>
    </row>
    <row r="176" spans="3:8" ht="12.75">
      <c r="C176" s="17"/>
      <c r="D176" s="17"/>
      <c r="E176" s="103"/>
      <c r="F176" s="103"/>
      <c r="G176" s="103"/>
      <c r="H176" s="17"/>
    </row>
    <row r="177" spans="3:8" ht="12.75">
      <c r="C177" s="17"/>
      <c r="D177" s="17"/>
      <c r="E177" s="103"/>
      <c r="F177" s="103"/>
      <c r="G177" s="103"/>
      <c r="H177" s="17"/>
    </row>
    <row r="178" spans="3:8" ht="12.75">
      <c r="C178" s="17"/>
      <c r="D178" s="17"/>
      <c r="E178" s="103"/>
      <c r="F178" s="103"/>
      <c r="G178" s="103"/>
      <c r="H178" s="17"/>
    </row>
    <row r="179" spans="3:8" ht="12.75">
      <c r="C179" s="17"/>
      <c r="D179" s="17"/>
      <c r="E179" s="104"/>
      <c r="F179" s="104"/>
      <c r="G179" s="104"/>
      <c r="H179" s="17"/>
    </row>
    <row r="180" spans="3:8" ht="12.75">
      <c r="C180" s="17"/>
      <c r="D180" s="17"/>
      <c r="E180" s="17"/>
      <c r="F180" s="17"/>
      <c r="G180" s="17"/>
      <c r="H180" s="17"/>
    </row>
    <row r="181" spans="3:8" ht="12.75">
      <c r="C181" s="17"/>
      <c r="D181" s="17"/>
      <c r="E181" s="17"/>
      <c r="F181" s="17"/>
      <c r="G181" s="17"/>
      <c r="H181" s="17"/>
    </row>
    <row r="182" spans="3:8" ht="12.75">
      <c r="C182" s="17"/>
      <c r="D182" s="17"/>
      <c r="E182" s="17"/>
      <c r="F182" s="17"/>
      <c r="G182" s="17"/>
      <c r="H182" s="17"/>
    </row>
    <row r="183" spans="3:8" ht="12.75">
      <c r="C183" s="17"/>
      <c r="D183" s="17"/>
      <c r="E183" s="17"/>
      <c r="F183" s="17"/>
      <c r="G183" s="17"/>
      <c r="H183" s="17"/>
    </row>
    <row r="184" spans="3:8" ht="12.75">
      <c r="C184" s="17"/>
      <c r="D184" s="17"/>
      <c r="E184" s="17"/>
      <c r="F184" s="17"/>
      <c r="G184" s="17"/>
      <c r="H184" s="17"/>
    </row>
    <row r="185" spans="3:8" ht="12.75">
      <c r="C185" s="17"/>
      <c r="D185" s="17"/>
      <c r="E185" s="17"/>
      <c r="F185" s="17"/>
      <c r="G185" s="17"/>
      <c r="H185" s="17"/>
    </row>
    <row r="186" spans="3:8" ht="12.75">
      <c r="C186" s="17"/>
      <c r="D186" s="17"/>
      <c r="E186" s="17"/>
      <c r="F186" s="17"/>
      <c r="G186" s="17"/>
      <c r="H186" s="17"/>
    </row>
    <row r="187" spans="3:8" ht="12.75">
      <c r="C187" s="17"/>
      <c r="D187" s="17"/>
      <c r="E187" s="17"/>
      <c r="F187" s="17"/>
      <c r="G187" s="17"/>
      <c r="H187" s="17"/>
    </row>
    <row r="188" spans="3:8" ht="12.75">
      <c r="C188" s="17"/>
      <c r="D188" s="17"/>
      <c r="E188" s="17"/>
      <c r="F188" s="17"/>
      <c r="G188" s="17"/>
      <c r="H188" s="17"/>
    </row>
    <row r="189" spans="3:8" ht="12.75">
      <c r="C189" s="17"/>
      <c r="D189" s="17"/>
      <c r="E189" s="17"/>
      <c r="F189" s="17"/>
      <c r="G189" s="17"/>
      <c r="H189" s="17"/>
    </row>
  </sheetData>
  <mergeCells count="1">
    <mergeCell ref="E159:G159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9520781-638A-438C-B630-CA329E8442C1}">
  <sheetPr>
    <pageSetUpPr fitToPage="1"/>
  </sheetPr>
  <dimension ref="B4:L176"/>
  <sheetViews>
    <sheetView showGridLines="0" view="pageLayout" zoomScaleNormal="100" workbookViewId="0" topLeftCell="A1">
      <selection pane="topLeft" activeCell="C9" sqref="C9"/>
    </sheetView>
  </sheetViews>
  <sheetFormatPr defaultRowHeight="12.75"/>
  <cols>
    <col min="2" max="2" width="4.857142857142857" customWidth="1"/>
    <col min="3" max="3" width="43.42857142857143" customWidth="1"/>
    <col min="4" max="4" width="1.4285714285714286" customWidth="1"/>
    <col min="5" max="5" width="10.571428571428571" customWidth="1"/>
    <col min="6" max="6" width="1.4285714285714286" customWidth="1"/>
    <col min="7" max="7" width="11.714285714285714" bestFit="1" customWidth="1"/>
    <col min="8" max="8" width="2.4285714285714284" style="111" customWidth="1"/>
    <col min="9" max="9" width="12.571428571428571" bestFit="1" customWidth="1"/>
    <col min="10" max="10" width="10.571428571428571" bestFit="1" customWidth="1"/>
    <col min="12" max="12" width="17" customWidth="1"/>
    <col min="13" max="13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8" ht="15.75">
      <c r="C8" s="5"/>
      <c r="D8" s="5"/>
      <c r="E8" s="77">
        <f>+'Fund IX'!E8</f>
        <v>44834</v>
      </c>
      <c r="F8" s="13"/>
      <c r="G8" s="78"/>
      <c r="H8" s="138"/>
    </row>
    <row r="9" spans="3:7" ht="15.75">
      <c r="C9" s="182"/>
      <c r="D9" s="182"/>
      <c r="E9" s="182"/>
      <c r="F9" s="182"/>
      <c r="G9" s="183"/>
    </row>
    <row r="10" spans="3:8" ht="12.75">
      <c r="C10" s="184"/>
      <c r="D10" s="184"/>
      <c r="E10" s="185"/>
      <c r="F10" s="184"/>
      <c r="G10" s="191"/>
      <c r="H10" s="139"/>
    </row>
    <row r="11" spans="3:8" ht="12.75">
      <c r="C11" s="184"/>
      <c r="D11" s="184"/>
      <c r="E11" s="185"/>
      <c r="F11" s="184"/>
      <c r="G11" s="194"/>
      <c r="H11" s="139"/>
    </row>
    <row r="12" spans="3:8" ht="15.75">
      <c r="C12" s="166"/>
      <c r="D12" s="166"/>
      <c r="E12" s="186"/>
      <c r="F12" s="166"/>
      <c r="G12" s="195"/>
      <c r="H12" s="140"/>
    </row>
    <row r="13" spans="3:8" ht="12.75">
      <c r="C13" s="184"/>
      <c r="D13" s="184"/>
      <c r="E13" s="187"/>
      <c r="F13" s="184"/>
      <c r="G13" s="191"/>
      <c r="H13" s="141"/>
    </row>
    <row r="14" spans="3:8" ht="12.75">
      <c r="C14" s="184"/>
      <c r="D14" s="184"/>
      <c r="E14" s="188"/>
      <c r="F14" s="184"/>
      <c r="G14" s="191"/>
      <c r="H14" s="142"/>
    </row>
    <row r="15" spans="3:8" ht="12.75">
      <c r="C15" s="184"/>
      <c r="D15" s="184"/>
      <c r="E15" s="185"/>
      <c r="F15" s="184"/>
      <c r="G15" s="185"/>
      <c r="H15" s="139"/>
    </row>
    <row r="16" spans="3:8" ht="15.75">
      <c r="C16" s="5"/>
      <c r="D16" s="5"/>
      <c r="E16" s="10"/>
      <c r="F16" s="5"/>
      <c r="G16" s="10"/>
      <c r="H16" s="140"/>
    </row>
    <row r="17" spans="3:8" ht="15.75">
      <c r="C17" s="83" t="s">
        <v>15</v>
      </c>
      <c r="D17" s="83"/>
      <c r="E17" s="10"/>
      <c r="F17" s="83"/>
      <c r="G17" s="10"/>
      <c r="H17" s="140"/>
    </row>
    <row r="18" spans="3:8" ht="12.75" customHeight="1">
      <c r="C18" s="6" t="s">
        <v>16</v>
      </c>
      <c r="D18" s="6"/>
      <c r="E18" s="84">
        <f>G154</f>
        <v>0.08971951901912689</v>
      </c>
      <c r="F18" s="6"/>
      <c r="G18" s="11"/>
      <c r="H18" s="141"/>
    </row>
    <row r="19" spans="3:8" ht="12.75">
      <c r="C19" s="6" t="s">
        <v>17</v>
      </c>
      <c r="D19" s="6"/>
      <c r="E19" s="87">
        <f>(G152+I153)/-I152</f>
        <v>1.394770838512073</v>
      </c>
      <c r="F19" s="6"/>
      <c r="G19" s="9"/>
      <c r="H19" s="139"/>
    </row>
    <row r="20" spans="3:7" ht="12.75">
      <c r="C20" s="6"/>
      <c r="D20" s="6"/>
      <c r="E20" s="6"/>
      <c r="F20" s="6"/>
      <c r="G20" s="81"/>
    </row>
    <row r="21" spans="3:11" ht="15.75">
      <c r="C21" s="88" t="s">
        <v>50</v>
      </c>
      <c r="D21" s="7"/>
      <c r="E21" s="7"/>
      <c r="F21" s="7"/>
      <c r="I21" s="17"/>
      <c r="K21" s="119"/>
    </row>
    <row r="22" spans="3:9" ht="12.75">
      <c r="C22" s="90">
        <v>0.013382981362945806</v>
      </c>
      <c r="D22" s="17"/>
      <c r="E22" s="17"/>
      <c r="F22" s="17"/>
      <c r="G22" s="91"/>
      <c r="H22" s="110"/>
      <c r="I22" s="17"/>
    </row>
    <row r="23" spans="3:9" ht="12.75">
      <c r="C23" s="17" t="s">
        <v>18</v>
      </c>
      <c r="D23" s="17"/>
      <c r="E23" s="89">
        <v>41282</v>
      </c>
      <c r="F23" s="45"/>
      <c r="G23" s="22">
        <v>-90000</v>
      </c>
      <c r="H23" s="110"/>
      <c r="I23" s="25"/>
    </row>
    <row r="24" spans="3:9" ht="12.75">
      <c r="C24" s="17"/>
      <c r="D24" s="17"/>
      <c r="E24" s="89">
        <v>41359</v>
      </c>
      <c r="F24" s="45"/>
      <c r="G24" s="22">
        <v>-74205</v>
      </c>
      <c r="H24" s="110"/>
      <c r="I24" s="25"/>
    </row>
    <row r="25" spans="3:9" ht="12.75">
      <c r="C25" s="17"/>
      <c r="D25" s="17"/>
      <c r="E25" s="89">
        <v>41381</v>
      </c>
      <c r="F25" s="45"/>
      <c r="G25" s="22">
        <v>-28809</v>
      </c>
      <c r="H25" s="110"/>
      <c r="I25" s="25"/>
    </row>
    <row r="26" spans="3:9" ht="12.75">
      <c r="C26" s="17"/>
      <c r="D26" s="17"/>
      <c r="E26" s="89">
        <v>41424</v>
      </c>
      <c r="F26" s="45"/>
      <c r="G26" s="22">
        <v>-24153.01</v>
      </c>
      <c r="H26" s="110"/>
      <c r="I26" s="25"/>
    </row>
    <row r="27" spans="3:9" ht="12.75">
      <c r="C27" s="17"/>
      <c r="D27" s="17"/>
      <c r="E27" s="89">
        <v>41446</v>
      </c>
      <c r="F27" s="45"/>
      <c r="G27" s="22">
        <v>-879983.99</v>
      </c>
      <c r="H27" s="110"/>
      <c r="I27" s="25"/>
    </row>
    <row r="28" spans="3:9" ht="12.75">
      <c r="C28" s="17"/>
      <c r="D28" s="17"/>
      <c r="E28" s="89">
        <v>41498</v>
      </c>
      <c r="F28" s="45"/>
      <c r="G28" s="22">
        <v>-58782</v>
      </c>
      <c r="H28" s="110"/>
      <c r="I28" s="25"/>
    </row>
    <row r="29" spans="3:9" ht="12.75">
      <c r="C29" s="17"/>
      <c r="D29" s="17"/>
      <c r="E29" s="89">
        <v>41527</v>
      </c>
      <c r="F29" s="45"/>
      <c r="G29" s="22">
        <v>-147828</v>
      </c>
      <c r="H29" s="110"/>
      <c r="I29" s="25"/>
    </row>
    <row r="30" spans="3:8" ht="12.75">
      <c r="C30" s="17"/>
      <c r="D30" s="17"/>
      <c r="E30" s="89">
        <v>41534</v>
      </c>
      <c r="F30" s="45"/>
      <c r="G30" s="22">
        <v>-75369.01</v>
      </c>
      <c r="H30" s="110"/>
    </row>
    <row r="31" spans="3:8" ht="12.75">
      <c r="C31" s="17"/>
      <c r="D31" s="17"/>
      <c r="E31" s="89">
        <v>41551</v>
      </c>
      <c r="F31" s="45"/>
      <c r="G31" s="22">
        <v>-71586</v>
      </c>
      <c r="H31" s="110"/>
    </row>
    <row r="32" spans="3:8" ht="12.75">
      <c r="C32" s="17"/>
      <c r="D32" s="17"/>
      <c r="E32" s="89">
        <v>41585</v>
      </c>
      <c r="F32" s="45"/>
      <c r="G32" s="22">
        <v>-137061</v>
      </c>
      <c r="H32" s="110"/>
    </row>
    <row r="33" spans="3:8" ht="12.75">
      <c r="C33" s="17"/>
      <c r="D33" s="17"/>
      <c r="E33" s="89">
        <v>41621</v>
      </c>
      <c r="F33" s="45"/>
      <c r="G33" s="22">
        <v>-249387</v>
      </c>
      <c r="H33" s="110"/>
    </row>
    <row r="34" spans="3:8" ht="12.75">
      <c r="C34" s="17"/>
      <c r="D34" s="17"/>
      <c r="E34" s="89">
        <v>41635</v>
      </c>
      <c r="F34" s="45"/>
      <c r="G34" s="22">
        <v>-101559</v>
      </c>
      <c r="H34" s="110"/>
    </row>
    <row r="35" spans="3:10" ht="12.75">
      <c r="C35" s="17" t="s">
        <v>23</v>
      </c>
      <c r="D35" s="17"/>
      <c r="E35" s="89">
        <v>41670</v>
      </c>
      <c r="F35" s="45"/>
      <c r="G35" s="45">
        <v>-86718</v>
      </c>
      <c r="H35" s="110"/>
      <c r="I35" s="25"/>
      <c r="J35" s="17"/>
    </row>
    <row r="36" spans="3:10" ht="12.75">
      <c r="C36" s="17"/>
      <c r="D36" s="17"/>
      <c r="E36" s="89">
        <v>41712</v>
      </c>
      <c r="F36" s="45"/>
      <c r="G36" s="45">
        <v>-219997.24</v>
      </c>
      <c r="H36" s="110"/>
      <c r="I36" s="25"/>
      <c r="J36" s="17"/>
    </row>
    <row r="37" spans="3:10" ht="12.75">
      <c r="C37" s="17"/>
      <c r="D37" s="17"/>
      <c r="E37" s="89">
        <v>41724</v>
      </c>
      <c r="F37" s="45"/>
      <c r="G37" s="45">
        <v>-79734</v>
      </c>
      <c r="H37" s="110"/>
      <c r="I37" s="25"/>
      <c r="J37" s="17"/>
    </row>
    <row r="38" spans="3:10" ht="12.75">
      <c r="C38" s="17"/>
      <c r="D38" s="17"/>
      <c r="E38" s="89">
        <v>41733</v>
      </c>
      <c r="F38" s="45"/>
      <c r="G38" s="45">
        <v>-125712</v>
      </c>
      <c r="H38" s="110"/>
      <c r="I38" s="25"/>
      <c r="J38" s="17"/>
    </row>
    <row r="39" spans="3:10" ht="12.75">
      <c r="C39" s="17"/>
      <c r="D39" s="17"/>
      <c r="E39" s="89">
        <v>41764</v>
      </c>
      <c r="F39" s="45"/>
      <c r="G39" s="45">
        <v>-109998</v>
      </c>
      <c r="H39" s="110"/>
      <c r="I39" s="25"/>
      <c r="J39" s="17"/>
    </row>
    <row r="40" spans="3:10" ht="12.75">
      <c r="C40" s="17"/>
      <c r="D40" s="17"/>
      <c r="E40" s="89">
        <v>41774</v>
      </c>
      <c r="F40" s="45"/>
      <c r="G40" s="45">
        <v>-154812</v>
      </c>
      <c r="H40" s="110"/>
      <c r="I40" s="25"/>
      <c r="J40" s="17"/>
    </row>
    <row r="41" spans="3:10" ht="12.75">
      <c r="C41" s="17"/>
      <c r="D41" s="17"/>
      <c r="E41" s="89">
        <v>41788</v>
      </c>
      <c r="F41" s="45"/>
      <c r="G41" s="45">
        <v>-120183.01</v>
      </c>
      <c r="H41" s="110"/>
      <c r="I41" s="25"/>
      <c r="J41" s="17"/>
    </row>
    <row r="42" spans="3:10" ht="12.75">
      <c r="C42" s="17"/>
      <c r="D42" s="17"/>
      <c r="E42" s="89">
        <v>41817</v>
      </c>
      <c r="F42" s="45"/>
      <c r="G42" s="45">
        <v>-215922</v>
      </c>
      <c r="H42" s="110"/>
      <c r="I42" s="25"/>
      <c r="J42" s="17"/>
    </row>
    <row r="43" spans="3:10" ht="12.75">
      <c r="C43" s="17"/>
      <c r="D43" s="17"/>
      <c r="E43" s="89">
        <v>41830</v>
      </c>
      <c r="F43" s="45"/>
      <c r="G43" s="45">
        <v>-136478.99</v>
      </c>
      <c r="H43" s="110"/>
      <c r="I43" s="25"/>
      <c r="J43" s="17"/>
    </row>
    <row r="44" spans="3:10" ht="12.75">
      <c r="C44" s="17"/>
      <c r="D44" s="17"/>
      <c r="E44" s="89">
        <v>41851</v>
      </c>
      <c r="F44" s="45"/>
      <c r="G44" s="45">
        <v>-76824</v>
      </c>
      <c r="H44" s="110"/>
      <c r="I44" s="25"/>
      <c r="J44" s="17"/>
    </row>
    <row r="45" spans="3:8" ht="12.75">
      <c r="C45" s="17"/>
      <c r="D45" s="17"/>
      <c r="E45" s="89">
        <v>41859</v>
      </c>
      <c r="F45" s="45"/>
      <c r="G45" s="45">
        <v>-146664</v>
      </c>
      <c r="H45" s="110"/>
    </row>
    <row r="46" spans="3:8" ht="12.75">
      <c r="C46" s="17"/>
      <c r="D46" s="17"/>
      <c r="E46" s="89">
        <v>41880</v>
      </c>
      <c r="F46" s="45"/>
      <c r="G46" s="45">
        <v>-90792</v>
      </c>
      <c r="H46" s="110"/>
    </row>
    <row r="47" spans="3:8" ht="12.75">
      <c r="C47" s="17"/>
      <c r="D47" s="17"/>
      <c r="E47" s="89">
        <v>41900</v>
      </c>
      <c r="F47" s="45"/>
      <c r="G47" s="45">
        <v>-374226</v>
      </c>
      <c r="H47" s="110"/>
    </row>
    <row r="48" spans="3:8" ht="12.75">
      <c r="C48" s="17"/>
      <c r="D48" s="17"/>
      <c r="E48" s="89">
        <v>41915</v>
      </c>
      <c r="F48" s="45"/>
      <c r="G48" s="45">
        <v>-384993</v>
      </c>
      <c r="H48" s="110"/>
    </row>
    <row r="49" spans="3:8" ht="12.75">
      <c r="C49" s="17"/>
      <c r="D49" s="17"/>
      <c r="E49" s="89">
        <v>41929</v>
      </c>
      <c r="F49" s="45"/>
      <c r="G49" s="45">
        <v>-285470.99</v>
      </c>
      <c r="H49" s="110"/>
    </row>
    <row r="50" spans="3:8" ht="12.75">
      <c r="C50" s="17"/>
      <c r="D50" s="17"/>
      <c r="E50" s="89">
        <v>41943</v>
      </c>
      <c r="F50" s="45"/>
      <c r="G50" s="45">
        <v>-189732</v>
      </c>
      <c r="H50" s="110"/>
    </row>
    <row r="51" spans="3:8" ht="12.75">
      <c r="C51" s="17"/>
      <c r="D51" s="17"/>
      <c r="E51" s="89">
        <v>41977</v>
      </c>
      <c r="F51" s="45"/>
      <c r="G51" s="45">
        <v>-286635</v>
      </c>
      <c r="H51" s="110"/>
    </row>
    <row r="52" spans="3:8" ht="12.75">
      <c r="C52" s="17" t="s">
        <v>22</v>
      </c>
      <c r="D52" s="17"/>
      <c r="E52" s="89">
        <v>41817</v>
      </c>
      <c r="F52" s="45"/>
      <c r="G52" s="45">
        <v>197235.54</v>
      </c>
      <c r="H52" s="110"/>
    </row>
    <row r="53" spans="3:8" ht="12.75">
      <c r="C53" s="17" t="s">
        <v>44</v>
      </c>
      <c r="D53" s="17"/>
      <c r="E53" s="89">
        <v>42009</v>
      </c>
      <c r="F53" s="45"/>
      <c r="G53" s="45">
        <v>-925089.01</v>
      </c>
      <c r="H53" s="110"/>
    </row>
    <row r="54" spans="3:10" ht="12.75">
      <c r="C54" s="17"/>
      <c r="D54" s="17"/>
      <c r="E54" s="89">
        <v>42027</v>
      </c>
      <c r="F54" s="45"/>
      <c r="G54" s="45">
        <v>-438246</v>
      </c>
      <c r="H54" s="110"/>
      <c r="I54" s="25"/>
      <c r="J54" s="17"/>
    </row>
    <row r="55" spans="3:10" ht="12.75">
      <c r="C55" s="17"/>
      <c r="D55" s="17"/>
      <c r="E55" s="89">
        <v>42048</v>
      </c>
      <c r="F55" s="45"/>
      <c r="G55" s="45">
        <v>-196133.99</v>
      </c>
      <c r="H55" s="110"/>
      <c r="I55" s="25"/>
      <c r="J55" s="17"/>
    </row>
    <row r="56" spans="3:10" ht="12.75">
      <c r="C56" s="17"/>
      <c r="D56" s="17"/>
      <c r="E56" s="89">
        <v>42061</v>
      </c>
      <c r="F56" s="45"/>
      <c r="G56" s="45">
        <v>-142881</v>
      </c>
      <c r="H56" s="110"/>
      <c r="I56" s="25"/>
      <c r="J56" s="17"/>
    </row>
    <row r="57" spans="3:10" ht="12.75">
      <c r="C57" s="17"/>
      <c r="D57" s="17"/>
      <c r="E57" s="89">
        <v>42088</v>
      </c>
      <c r="F57" s="45"/>
      <c r="G57" s="45">
        <v>-304968.01</v>
      </c>
      <c r="H57" s="110"/>
      <c r="I57" s="25"/>
      <c r="J57" s="17"/>
    </row>
    <row r="58" spans="3:8" ht="12.75">
      <c r="C58" s="17"/>
      <c r="D58" s="17"/>
      <c r="E58" s="89">
        <v>42111</v>
      </c>
      <c r="F58" s="45"/>
      <c r="G58" s="45">
        <v>-246477.01</v>
      </c>
      <c r="H58" s="110"/>
    </row>
    <row r="59" spans="3:8" ht="12.75">
      <c r="C59" s="17"/>
      <c r="D59" s="17"/>
      <c r="E59" s="89">
        <v>42138</v>
      </c>
      <c r="F59" s="45"/>
      <c r="G59" s="45">
        <v>-213012</v>
      </c>
      <c r="H59" s="110"/>
    </row>
    <row r="60" spans="3:8" ht="12.75">
      <c r="C60" s="17"/>
      <c r="D60" s="17"/>
      <c r="E60" s="89">
        <v>42156</v>
      </c>
      <c r="F60" s="45"/>
      <c r="G60" s="45">
        <v>-261608.99</v>
      </c>
      <c r="H60" s="110"/>
    </row>
    <row r="61" spans="3:8" ht="12.75">
      <c r="C61" s="17"/>
      <c r="D61" s="17"/>
      <c r="E61" s="89">
        <v>42187</v>
      </c>
      <c r="F61" s="45"/>
      <c r="G61" s="45">
        <v>-207192</v>
      </c>
      <c r="H61" s="110"/>
    </row>
    <row r="62" spans="3:8" ht="12.75">
      <c r="C62" s="17"/>
      <c r="D62" s="17"/>
      <c r="E62" s="89">
        <v>42230</v>
      </c>
      <c r="F62" s="45"/>
      <c r="G62" s="45">
        <v>-139389.01</v>
      </c>
      <c r="H62" s="110"/>
    </row>
    <row r="63" spans="3:8" ht="12.75">
      <c r="C63" s="17"/>
      <c r="D63" s="17"/>
      <c r="E63" s="89">
        <v>42258</v>
      </c>
      <c r="F63" s="45"/>
      <c r="G63" s="45">
        <v>-276159</v>
      </c>
      <c r="H63" s="110"/>
    </row>
    <row r="64" spans="3:8" ht="12.75">
      <c r="C64" s="17"/>
      <c r="D64" s="17"/>
      <c r="E64" s="89">
        <v>42272</v>
      </c>
      <c r="F64" s="45"/>
      <c r="G64" s="45">
        <v>-386156.99</v>
      </c>
      <c r="H64" s="110"/>
    </row>
    <row r="65" spans="3:10" ht="12.75">
      <c r="C65" s="17"/>
      <c r="D65" s="17"/>
      <c r="E65" s="89">
        <v>42293</v>
      </c>
      <c r="F65" s="45"/>
      <c r="G65" s="45">
        <v>-368696.99</v>
      </c>
      <c r="H65" s="110"/>
      <c r="I65" s="25"/>
      <c r="J65" s="17"/>
    </row>
    <row r="66" spans="3:8" ht="12.75">
      <c r="C66" s="17"/>
      <c r="D66" s="17"/>
      <c r="E66" s="89">
        <v>42345</v>
      </c>
      <c r="F66" s="45"/>
      <c r="G66" s="45">
        <v>-172854</v>
      </c>
      <c r="H66" s="110"/>
    </row>
    <row r="67" spans="3:10" ht="12.75">
      <c r="C67" s="17"/>
      <c r="D67" s="17"/>
      <c r="E67" s="89">
        <v>42361</v>
      </c>
      <c r="F67" s="45"/>
      <c r="G67" s="45">
        <v>-132987</v>
      </c>
      <c r="H67" s="110"/>
      <c r="I67" s="25"/>
      <c r="J67" s="17"/>
    </row>
    <row r="68" spans="3:10" ht="12.75">
      <c r="C68" s="17" t="s">
        <v>24</v>
      </c>
      <c r="D68" s="17"/>
      <c r="E68" s="89">
        <v>42249</v>
      </c>
      <c r="F68" s="45"/>
      <c r="G68" s="45">
        <v>288567.1</v>
      </c>
      <c r="H68" s="110"/>
      <c r="I68" s="25"/>
      <c r="J68" s="17"/>
    </row>
    <row r="69" spans="3:10" ht="12.75">
      <c r="C69" s="17" t="s">
        <v>45</v>
      </c>
      <c r="D69" s="17"/>
      <c r="E69" s="89">
        <v>42382</v>
      </c>
      <c r="F69" s="45"/>
      <c r="G69" s="45">
        <v>-241530</v>
      </c>
      <c r="H69" s="110"/>
      <c r="I69" s="25"/>
      <c r="J69" s="17"/>
    </row>
    <row r="70" spans="3:10" ht="12.75">
      <c r="C70" s="17"/>
      <c r="D70" s="17"/>
      <c r="E70" s="89">
        <v>42457</v>
      </c>
      <c r="F70" s="45"/>
      <c r="G70" s="45">
        <v>-269757.01</v>
      </c>
      <c r="H70" s="110"/>
      <c r="I70" s="25"/>
      <c r="J70" s="17"/>
    </row>
    <row r="71" spans="3:10" ht="12.75">
      <c r="C71" s="17"/>
      <c r="D71" s="17"/>
      <c r="E71" s="89">
        <v>42468</v>
      </c>
      <c r="F71" s="45"/>
      <c r="G71" s="45">
        <v>-311952</v>
      </c>
      <c r="H71" s="110"/>
      <c r="I71" s="25"/>
      <c r="J71" s="17"/>
    </row>
    <row r="72" spans="3:10" ht="12.75">
      <c r="C72" s="17"/>
      <c r="D72" s="17"/>
      <c r="E72" s="89">
        <v>42507</v>
      </c>
      <c r="F72" s="45"/>
      <c r="G72" s="45">
        <v>-1122969</v>
      </c>
      <c r="H72" s="110"/>
      <c r="I72" s="25"/>
      <c r="J72" s="17"/>
    </row>
    <row r="73" spans="3:10" ht="12.75">
      <c r="C73" s="17"/>
      <c r="D73" s="17"/>
      <c r="E73" s="89">
        <v>42543</v>
      </c>
      <c r="F73" s="45"/>
      <c r="G73" s="45">
        <v>-577926</v>
      </c>
      <c r="H73" s="110"/>
      <c r="I73" s="25"/>
      <c r="J73" s="17"/>
    </row>
    <row r="74" spans="3:10" ht="12.75">
      <c r="C74" s="17"/>
      <c r="D74" s="17"/>
      <c r="E74" s="89">
        <v>42557</v>
      </c>
      <c r="F74" s="45"/>
      <c r="G74" s="45">
        <v>-128913</v>
      </c>
      <c r="H74" s="110"/>
      <c r="I74" s="25"/>
      <c r="J74" s="17"/>
    </row>
    <row r="75" spans="3:10" ht="12.75">
      <c r="C75" s="17"/>
      <c r="D75" s="17"/>
      <c r="E75" s="89">
        <v>42590</v>
      </c>
      <c r="F75" s="45"/>
      <c r="G75" s="45">
        <v>-270048</v>
      </c>
      <c r="H75" s="110"/>
      <c r="I75" s="25"/>
      <c r="J75" s="17"/>
    </row>
    <row r="76" spans="3:8" ht="12.75">
      <c r="C76" s="17"/>
      <c r="D76" s="17"/>
      <c r="E76" s="89">
        <v>42607</v>
      </c>
      <c r="F76" s="45"/>
      <c r="G76" s="45">
        <v>-479277</v>
      </c>
      <c r="H76" s="110"/>
    </row>
    <row r="77" spans="3:8" ht="12.75">
      <c r="C77" s="17"/>
      <c r="D77" s="17"/>
      <c r="E77" s="89">
        <v>42628</v>
      </c>
      <c r="F77" s="45"/>
      <c r="G77" s="45">
        <v>-273249</v>
      </c>
      <c r="H77" s="110"/>
    </row>
    <row r="78" spans="3:8" ht="12.75">
      <c r="C78" s="17"/>
      <c r="D78" s="17"/>
      <c r="E78" s="89">
        <v>42634</v>
      </c>
      <c r="F78" s="45"/>
      <c r="G78" s="45">
        <v>-178092</v>
      </c>
      <c r="H78" s="110"/>
    </row>
    <row r="79" spans="3:8" ht="12.75">
      <c r="C79" s="17"/>
      <c r="D79" s="17"/>
      <c r="E79" s="89">
        <v>42663</v>
      </c>
      <c r="F79" s="45"/>
      <c r="G79" s="45">
        <v>-315735</v>
      </c>
      <c r="H79" s="110"/>
    </row>
    <row r="80" spans="3:8" ht="12.75">
      <c r="C80" s="17"/>
      <c r="D80" s="17"/>
      <c r="E80" s="89">
        <v>42731</v>
      </c>
      <c r="F80" s="45"/>
      <c r="G80" s="45">
        <v>-357929.99</v>
      </c>
      <c r="H80" s="110"/>
    </row>
    <row r="81" spans="3:8" ht="12.75">
      <c r="C81" s="17" t="s">
        <v>25</v>
      </c>
      <c r="D81" s="17"/>
      <c r="E81" s="89">
        <v>42377</v>
      </c>
      <c r="F81" s="45"/>
      <c r="G81" s="45">
        <v>1014530.40</v>
      </c>
      <c r="H81" s="110"/>
    </row>
    <row r="82" spans="3:8" ht="12.75">
      <c r="C82" s="17"/>
      <c r="D82" s="17"/>
      <c r="E82" s="89">
        <v>42486</v>
      </c>
      <c r="F82" s="45"/>
      <c r="G82" s="45">
        <v>401489.44</v>
      </c>
      <c r="H82" s="110"/>
    </row>
    <row r="83" spans="3:8" ht="12.75">
      <c r="C83" s="17"/>
      <c r="D83" s="17"/>
      <c r="E83" s="89">
        <v>42542</v>
      </c>
      <c r="F83" s="45"/>
      <c r="G83" s="45">
        <v>210673.20</v>
      </c>
      <c r="H83" s="110"/>
    </row>
    <row r="84" spans="3:8" ht="12.75">
      <c r="C84" s="17"/>
      <c r="D84" s="17"/>
      <c r="E84" s="89">
        <v>42570</v>
      </c>
      <c r="F84" s="45"/>
      <c r="G84" s="45">
        <v>66041.17</v>
      </c>
      <c r="H84" s="110"/>
    </row>
    <row r="85" spans="3:10" ht="12.75">
      <c r="C85" s="17"/>
      <c r="D85" s="17"/>
      <c r="E85" s="89">
        <v>42586</v>
      </c>
      <c r="F85" s="45"/>
      <c r="G85" s="45">
        <v>527166.21</v>
      </c>
      <c r="H85" s="110"/>
      <c r="I85" s="25"/>
      <c r="J85" s="17"/>
    </row>
    <row r="86" spans="3:10" ht="12.75">
      <c r="C86" s="17"/>
      <c r="D86" s="17"/>
      <c r="E86" s="89">
        <v>42634</v>
      </c>
      <c r="F86" s="45"/>
      <c r="G86" s="45">
        <v>249347.58</v>
      </c>
      <c r="H86" s="110"/>
      <c r="I86" s="25"/>
      <c r="J86" s="17"/>
    </row>
    <row r="87" spans="3:10" ht="12.75">
      <c r="C87" s="17"/>
      <c r="D87" s="17"/>
      <c r="E87" s="89">
        <v>42677</v>
      </c>
      <c r="F87" s="45"/>
      <c r="G87" s="45">
        <v>113721.19</v>
      </c>
      <c r="H87" s="110"/>
      <c r="I87" s="25"/>
      <c r="J87" s="17"/>
    </row>
    <row r="88" spans="3:10" ht="12.75">
      <c r="C88" s="17"/>
      <c r="D88" s="17"/>
      <c r="E88" s="89">
        <v>42709</v>
      </c>
      <c r="F88" s="45"/>
      <c r="G88" s="45">
        <v>265560.19</v>
      </c>
      <c r="H88" s="110"/>
      <c r="I88" s="25"/>
      <c r="J88" s="17"/>
    </row>
    <row r="89" spans="3:10" ht="12.75">
      <c r="C89" s="17"/>
      <c r="D89" s="17"/>
      <c r="E89" s="89">
        <v>42726</v>
      </c>
      <c r="F89" s="45"/>
      <c r="G89" s="45">
        <v>1590878.05</v>
      </c>
      <c r="H89" s="110"/>
      <c r="I89" s="25"/>
      <c r="J89" s="17"/>
    </row>
    <row r="90" spans="3:10" ht="12.75">
      <c r="C90" s="17" t="s">
        <v>30</v>
      </c>
      <c r="D90" s="17"/>
      <c r="E90" s="89">
        <v>42753</v>
      </c>
      <c r="F90" s="45"/>
      <c r="G90" s="45">
        <v>-236583</v>
      </c>
      <c r="H90" s="110"/>
      <c r="I90" s="25"/>
      <c r="J90" s="17"/>
    </row>
    <row r="91" spans="3:10" ht="12.75">
      <c r="C91" s="17"/>
      <c r="D91" s="17"/>
      <c r="E91" s="89">
        <v>42816</v>
      </c>
      <c r="F91" s="45"/>
      <c r="G91" s="45">
        <v>-183621</v>
      </c>
      <c r="H91" s="110"/>
      <c r="I91" s="25"/>
      <c r="J91" s="17"/>
    </row>
    <row r="92" spans="3:10" ht="12.75">
      <c r="C92" s="17"/>
      <c r="D92" s="17"/>
      <c r="E92" s="89">
        <v>42838</v>
      </c>
      <c r="F92" s="45"/>
      <c r="G92" s="45">
        <v>-181875</v>
      </c>
      <c r="H92" s="110"/>
      <c r="I92" s="25"/>
      <c r="J92" s="17"/>
    </row>
    <row r="93" spans="3:10" ht="12.75">
      <c r="C93" s="17"/>
      <c r="D93" s="17"/>
      <c r="E93" s="89">
        <v>42879</v>
      </c>
      <c r="F93" s="45"/>
      <c r="G93" s="45">
        <v>-196716</v>
      </c>
      <c r="H93" s="110"/>
      <c r="I93" s="25"/>
      <c r="J93" s="17"/>
    </row>
    <row r="94" spans="3:10" ht="12.75">
      <c r="C94" s="17"/>
      <c r="D94" s="17"/>
      <c r="E94" s="89">
        <v>42908</v>
      </c>
      <c r="F94" s="45"/>
      <c r="G94" s="45">
        <v>-127458</v>
      </c>
      <c r="H94" s="110"/>
      <c r="I94" s="25"/>
      <c r="J94" s="17"/>
    </row>
    <row r="95" spans="3:10" ht="12.75">
      <c r="C95" s="17"/>
      <c r="D95" s="17"/>
      <c r="E95" s="89">
        <v>42933</v>
      </c>
      <c r="F95" s="45"/>
      <c r="G95" s="45">
        <v>-124547.99</v>
      </c>
      <c r="H95" s="110"/>
      <c r="I95" s="25"/>
      <c r="J95" s="17"/>
    </row>
    <row r="96" spans="3:10" ht="12.75">
      <c r="C96" s="17"/>
      <c r="D96" s="17"/>
      <c r="E96" s="89">
        <v>42963</v>
      </c>
      <c r="F96" s="45"/>
      <c r="G96" s="45">
        <v>-357929.99</v>
      </c>
      <c r="H96" s="110"/>
      <c r="I96" s="25"/>
      <c r="J96" s="17"/>
    </row>
    <row r="97" spans="3:10" ht="12.75">
      <c r="C97" s="17"/>
      <c r="D97" s="17"/>
      <c r="E97" s="89">
        <v>42997</v>
      </c>
      <c r="F97" s="45"/>
      <c r="G97" s="45">
        <v>-177510</v>
      </c>
      <c r="H97" s="17"/>
      <c r="I97" s="25"/>
      <c r="J97" s="17"/>
    </row>
    <row r="98" spans="3:10" ht="12.75">
      <c r="C98" s="17"/>
      <c r="D98" s="17"/>
      <c r="E98" s="89">
        <v>43014</v>
      </c>
      <c r="F98" s="45"/>
      <c r="G98" s="45">
        <v>-222324</v>
      </c>
      <c r="H98" s="17"/>
      <c r="I98" s="25"/>
      <c r="J98" s="17"/>
    </row>
    <row r="99" spans="3:12" ht="15.75">
      <c r="C99" s="17"/>
      <c r="D99" s="17"/>
      <c r="E99" s="89">
        <v>43091</v>
      </c>
      <c r="F99" s="45"/>
      <c r="G99" s="45">
        <v>-130367.99</v>
      </c>
      <c r="H99" s="17"/>
      <c r="I99" s="44"/>
      <c r="J99" s="41"/>
      <c r="K99" s="42"/>
      <c r="L99" s="177"/>
    </row>
    <row r="100" spans="3:12" ht="12.75">
      <c r="C100" s="17" t="s">
        <v>46</v>
      </c>
      <c r="D100" s="17"/>
      <c r="E100" s="89">
        <v>42745</v>
      </c>
      <c r="F100" s="45"/>
      <c r="G100" s="45">
        <v>1517724</v>
      </c>
      <c r="H100" s="110"/>
      <c r="I100" s="44"/>
      <c r="J100" s="41"/>
      <c r="K100" s="42"/>
      <c r="L100" s="124"/>
    </row>
    <row r="101" spans="3:12" ht="12.75">
      <c r="C101" s="17"/>
      <c r="D101" s="17"/>
      <c r="E101" s="89">
        <v>42775</v>
      </c>
      <c r="F101" s="45"/>
      <c r="G101" s="45">
        <v>127992.01</v>
      </c>
      <c r="H101" s="110"/>
      <c r="I101" s="44"/>
      <c r="J101" s="41"/>
      <c r="K101" s="42"/>
      <c r="L101" s="124"/>
    </row>
    <row r="102" spans="3:12" ht="12.75">
      <c r="C102" s="17"/>
      <c r="D102" s="17"/>
      <c r="E102" s="89">
        <v>42824</v>
      </c>
      <c r="F102" s="45"/>
      <c r="G102" s="45">
        <v>215209.81</v>
      </c>
      <c r="H102" s="110"/>
      <c r="I102" s="44"/>
      <c r="J102" s="41"/>
      <c r="K102" s="42"/>
      <c r="L102" s="124"/>
    </row>
    <row r="103" spans="3:12" ht="12.75">
      <c r="C103" s="17"/>
      <c r="D103" s="17"/>
      <c r="E103" s="89">
        <v>42877</v>
      </c>
      <c r="F103" s="45"/>
      <c r="G103" s="45">
        <v>89851.49</v>
      </c>
      <c r="H103" s="110"/>
      <c r="I103" s="44"/>
      <c r="J103" s="41"/>
      <c r="K103" s="42"/>
      <c r="L103" s="124"/>
    </row>
    <row r="104" spans="3:12" ht="12.75">
      <c r="C104" s="17"/>
      <c r="D104" s="17"/>
      <c r="E104" s="89">
        <v>42914</v>
      </c>
      <c r="F104" s="45"/>
      <c r="G104" s="45">
        <v>815427.31</v>
      </c>
      <c r="H104" s="110"/>
      <c r="I104" s="44"/>
      <c r="J104" s="41"/>
      <c r="K104" s="42"/>
      <c r="L104" s="42"/>
    </row>
    <row r="105" spans="3:12" ht="12.75">
      <c r="C105" s="17"/>
      <c r="D105" s="17"/>
      <c r="E105" s="89">
        <v>42936</v>
      </c>
      <c r="F105" s="45"/>
      <c r="G105" s="45">
        <v>86694.10</v>
      </c>
      <c r="H105" s="17"/>
      <c r="I105" s="44"/>
      <c r="J105" s="41"/>
      <c r="K105" s="42"/>
      <c r="L105" s="42"/>
    </row>
    <row r="106" spans="3:12" ht="12.75">
      <c r="C106" s="17"/>
      <c r="D106" s="17"/>
      <c r="E106" s="89">
        <v>43019</v>
      </c>
      <c r="F106" s="45"/>
      <c r="G106" s="45">
        <v>71768.57</v>
      </c>
      <c r="H106" s="17"/>
      <c r="I106" s="44"/>
      <c r="J106" s="41"/>
      <c r="K106" s="42"/>
      <c r="L106" s="42"/>
    </row>
    <row r="107" spans="3:10" ht="12.75">
      <c r="C107" s="17"/>
      <c r="D107" s="17"/>
      <c r="E107" s="89">
        <v>43052</v>
      </c>
      <c r="F107" s="45"/>
      <c r="G107" s="45">
        <v>312687.29</v>
      </c>
      <c r="H107" s="17"/>
      <c r="I107" s="25"/>
      <c r="J107" s="17"/>
    </row>
    <row r="108" spans="3:10" ht="12.75">
      <c r="C108" s="17" t="s">
        <v>31</v>
      </c>
      <c r="D108" s="17"/>
      <c r="E108" s="89">
        <v>43178</v>
      </c>
      <c r="F108" s="45"/>
      <c r="G108" s="45">
        <v>-105051</v>
      </c>
      <c r="H108" s="17"/>
      <c r="I108" s="25"/>
      <c r="J108" s="17"/>
    </row>
    <row r="109" spans="3:10" ht="12.75">
      <c r="C109" s="17"/>
      <c r="D109" s="17"/>
      <c r="E109" s="89">
        <v>43194</v>
      </c>
      <c r="F109" s="45"/>
      <c r="G109" s="45">
        <v>-153356.99</v>
      </c>
      <c r="H109" s="17"/>
      <c r="I109" s="25"/>
      <c r="J109" s="17"/>
    </row>
    <row r="110" spans="3:10" ht="12.75">
      <c r="C110" s="17"/>
      <c r="D110" s="17"/>
      <c r="E110" s="89">
        <v>43251</v>
      </c>
      <c r="F110" s="45"/>
      <c r="G110" s="45">
        <v>-126585</v>
      </c>
      <c r="H110" s="17"/>
      <c r="I110" s="25"/>
      <c r="J110" s="17"/>
    </row>
    <row r="111" spans="3:10" ht="12.75">
      <c r="C111" s="17"/>
      <c r="D111" s="17"/>
      <c r="E111" s="89">
        <v>43342</v>
      </c>
      <c r="F111" s="45"/>
      <c r="G111" s="45">
        <v>-165870</v>
      </c>
      <c r="H111" s="17"/>
      <c r="I111" s="25"/>
      <c r="J111" s="17"/>
    </row>
    <row r="112" spans="3:10" ht="12.75">
      <c r="C112" s="17"/>
      <c r="D112" s="17"/>
      <c r="E112" s="89">
        <v>43434</v>
      </c>
      <c r="F112" s="45"/>
      <c r="G112" s="45">
        <v>-188568.01</v>
      </c>
      <c r="H112" s="17"/>
      <c r="I112" s="25"/>
      <c r="J112" s="17"/>
    </row>
    <row r="113" spans="3:10" ht="12.75">
      <c r="C113" s="17" t="s">
        <v>26</v>
      </c>
      <c r="D113" s="17"/>
      <c r="E113" s="89">
        <v>43116</v>
      </c>
      <c r="F113" s="45"/>
      <c r="G113" s="45">
        <v>389832.04</v>
      </c>
      <c r="H113" s="17"/>
      <c r="I113" s="25"/>
      <c r="J113" s="17"/>
    </row>
    <row r="114" spans="3:10" ht="12.75">
      <c r="C114" s="17"/>
      <c r="D114" s="17"/>
      <c r="E114" s="89">
        <v>43145</v>
      </c>
      <c r="F114" s="45"/>
      <c r="G114" s="45">
        <v>120707.31</v>
      </c>
      <c r="H114" s="17"/>
      <c r="I114" s="25"/>
      <c r="J114" s="17"/>
    </row>
    <row r="115" spans="3:10" ht="12.75">
      <c r="C115" s="17"/>
      <c r="D115" s="17"/>
      <c r="E115" s="89">
        <v>43222</v>
      </c>
      <c r="F115" s="45"/>
      <c r="G115" s="45">
        <v>249398.55</v>
      </c>
      <c r="H115" s="17"/>
      <c r="I115" s="25"/>
      <c r="J115" s="17"/>
    </row>
    <row r="116" spans="3:10" ht="12.75">
      <c r="C116" s="17"/>
      <c r="D116" s="17"/>
      <c r="E116" s="89">
        <v>43314</v>
      </c>
      <c r="F116" s="45"/>
      <c r="G116" s="45">
        <v>259408.59</v>
      </c>
      <c r="H116" s="17"/>
      <c r="I116" s="25"/>
      <c r="J116" s="17"/>
    </row>
    <row r="117" spans="3:10" ht="12.75">
      <c r="C117" s="17"/>
      <c r="D117" s="17"/>
      <c r="E117" s="89">
        <v>43341</v>
      </c>
      <c r="F117" s="45"/>
      <c r="G117" s="45">
        <v>723326.43</v>
      </c>
      <c r="H117" s="17"/>
      <c r="I117" s="25"/>
      <c r="J117" s="17"/>
    </row>
    <row r="118" spans="3:10" ht="12.75">
      <c r="C118" s="17"/>
      <c r="D118" s="17"/>
      <c r="E118" s="89">
        <v>43398</v>
      </c>
      <c r="F118" s="45"/>
      <c r="G118" s="45">
        <v>556911.08</v>
      </c>
      <c r="H118" s="17"/>
      <c r="I118" s="25"/>
      <c r="J118" s="17"/>
    </row>
    <row r="119" spans="3:10" ht="12.75">
      <c r="C119" s="17" t="s">
        <v>32</v>
      </c>
      <c r="D119" s="17"/>
      <c r="E119" s="89">
        <v>43529</v>
      </c>
      <c r="F119" s="45"/>
      <c r="G119" s="45">
        <v>-87009.01</v>
      </c>
      <c r="H119" s="17"/>
      <c r="I119" s="25"/>
      <c r="J119" s="17"/>
    </row>
    <row r="120" spans="3:10" ht="12.75">
      <c r="C120" s="17"/>
      <c r="D120" s="17"/>
      <c r="E120" s="89">
        <v>43564</v>
      </c>
      <c r="F120" s="45"/>
      <c r="G120" s="45">
        <v>-107961</v>
      </c>
      <c r="H120" s="17"/>
      <c r="I120" s="25"/>
      <c r="J120" s="17"/>
    </row>
    <row r="121" spans="3:10" ht="12.75">
      <c r="C121" s="17"/>
      <c r="D121" s="17"/>
      <c r="E121" s="89">
        <v>43782</v>
      </c>
      <c r="F121" s="45"/>
      <c r="G121" s="45">
        <v>-93411</v>
      </c>
      <c r="H121" s="17"/>
      <c r="I121" s="25"/>
      <c r="J121" s="17"/>
    </row>
    <row r="122" spans="3:10" ht="12.75">
      <c r="C122" s="17" t="s">
        <v>27</v>
      </c>
      <c r="D122" s="17"/>
      <c r="E122" s="89">
        <v>43479</v>
      </c>
      <c r="F122" s="45"/>
      <c r="G122" s="45">
        <v>76369.08</v>
      </c>
      <c r="H122" s="17"/>
      <c r="I122" s="25"/>
      <c r="J122" s="17"/>
    </row>
    <row r="123" spans="3:10" ht="12.75">
      <c r="C123" s="17"/>
      <c r="D123" s="17"/>
      <c r="E123" s="89">
        <v>43558</v>
      </c>
      <c r="F123" s="45"/>
      <c r="G123" s="45">
        <v>734732.44</v>
      </c>
      <c r="H123" s="17"/>
      <c r="I123" s="25"/>
      <c r="J123" s="17"/>
    </row>
    <row r="124" spans="3:10" ht="12.75">
      <c r="C124" s="17"/>
      <c r="D124" s="17"/>
      <c r="E124" s="89">
        <v>43622</v>
      </c>
      <c r="F124" s="45"/>
      <c r="G124" s="45">
        <v>111430.20</v>
      </c>
      <c r="H124" s="17"/>
      <c r="I124" s="25"/>
      <c r="J124" s="17"/>
    </row>
    <row r="125" spans="3:10" ht="12.75">
      <c r="C125" s="17"/>
      <c r="D125" s="17"/>
      <c r="E125" s="89">
        <v>43689</v>
      </c>
      <c r="F125" s="45"/>
      <c r="G125" s="45">
        <v>176093.01</v>
      </c>
      <c r="H125" s="17"/>
      <c r="I125" s="25"/>
      <c r="J125" s="17"/>
    </row>
    <row r="126" spans="3:10" ht="12.75">
      <c r="C126" s="17"/>
      <c r="D126" s="17"/>
      <c r="E126" s="89">
        <v>43753</v>
      </c>
      <c r="F126" s="45"/>
      <c r="G126" s="45">
        <v>85913.24</v>
      </c>
      <c r="H126" s="17"/>
      <c r="I126" s="25"/>
      <c r="J126" s="17"/>
    </row>
    <row r="127" spans="3:10" ht="12.75">
      <c r="C127" s="17" t="s">
        <v>33</v>
      </c>
      <c r="D127" s="17"/>
      <c r="E127" s="89">
        <v>43923</v>
      </c>
      <c r="F127" s="45"/>
      <c r="G127" s="45">
        <v>-79734</v>
      </c>
      <c r="H127" s="17"/>
      <c r="I127" s="25"/>
      <c r="J127" s="17"/>
    </row>
    <row r="128" spans="3:10" ht="12.75">
      <c r="C128" s="17"/>
      <c r="D128" s="17"/>
      <c r="E128" s="89">
        <v>44104</v>
      </c>
      <c r="F128" s="45"/>
      <c r="G128" s="45">
        <v>-92829</v>
      </c>
      <c r="H128" s="17"/>
      <c r="I128" s="25"/>
      <c r="J128" s="17"/>
    </row>
    <row r="129" spans="3:10" ht="12.75">
      <c r="C129" s="17" t="s">
        <v>47</v>
      </c>
      <c r="D129" s="17"/>
      <c r="E129" s="89">
        <v>43867</v>
      </c>
      <c r="F129" s="45"/>
      <c r="G129" s="45">
        <v>197899.42</v>
      </c>
      <c r="H129" s="17"/>
      <c r="I129" s="25"/>
      <c r="J129" s="17"/>
    </row>
    <row r="130" spans="3:12" ht="15.75">
      <c r="C130" s="17"/>
      <c r="D130" s="17"/>
      <c r="E130" s="89">
        <v>44153</v>
      </c>
      <c r="F130" s="45"/>
      <c r="G130" s="45">
        <v>143633.63</v>
      </c>
      <c r="H130" s="17"/>
      <c r="I130" s="25"/>
      <c r="J130" s="17"/>
      <c r="L130" s="80"/>
    </row>
    <row r="131" spans="3:10" ht="12.75">
      <c r="C131" s="17" t="s">
        <v>34</v>
      </c>
      <c r="D131" s="17"/>
      <c r="E131" s="89">
        <v>44279</v>
      </c>
      <c r="F131" s="45"/>
      <c r="G131" s="45">
        <v>-62565</v>
      </c>
      <c r="H131" s="17"/>
      <c r="I131" s="25"/>
      <c r="J131" s="17"/>
    </row>
    <row r="132" spans="3:10" ht="12.75">
      <c r="C132" s="17"/>
      <c r="D132" s="17"/>
      <c r="E132" s="89">
        <v>44463</v>
      </c>
      <c r="F132" s="45"/>
      <c r="G132" s="45">
        <v>-42485.99</v>
      </c>
      <c r="H132" s="17"/>
      <c r="I132" s="25"/>
      <c r="J132" s="17"/>
    </row>
    <row r="133" spans="3:12" ht="15.75">
      <c r="C133" s="17" t="s">
        <v>28</v>
      </c>
      <c r="D133" s="17"/>
      <c r="E133" s="89">
        <v>44224</v>
      </c>
      <c r="F133" s="45"/>
      <c r="G133" s="45">
        <v>93091.16</v>
      </c>
      <c r="H133" s="17"/>
      <c r="I133" s="25"/>
      <c r="J133" s="17"/>
      <c r="L133" s="80"/>
    </row>
    <row r="134" spans="3:12" ht="15.75">
      <c r="C134" s="17"/>
      <c r="D134" s="17"/>
      <c r="E134" s="89">
        <v>44259</v>
      </c>
      <c r="F134" s="45"/>
      <c r="G134" s="45">
        <v>206439.50</v>
      </c>
      <c r="H134" s="17"/>
      <c r="I134" s="25"/>
      <c r="J134" s="17"/>
      <c r="L134" s="80"/>
    </row>
    <row r="135" spans="3:12" ht="15.75">
      <c r="C135" s="17"/>
      <c r="D135" s="17"/>
      <c r="E135" s="89">
        <v>44383</v>
      </c>
      <c r="F135" s="45"/>
      <c r="G135" s="45">
        <v>1572895.70</v>
      </c>
      <c r="H135" s="17"/>
      <c r="I135" s="25"/>
      <c r="J135" s="17"/>
      <c r="L135" s="80"/>
    </row>
    <row r="136" spans="3:12" ht="15.75">
      <c r="C136" s="17"/>
      <c r="D136" s="17"/>
      <c r="E136" s="89">
        <v>44441</v>
      </c>
      <c r="F136" s="45"/>
      <c r="G136" s="45">
        <v>79212.51</v>
      </c>
      <c r="H136" s="17"/>
      <c r="I136" s="25"/>
      <c r="J136" s="17"/>
      <c r="L136" s="80"/>
    </row>
    <row r="137" spans="3:12" ht="15.75">
      <c r="C137" s="17"/>
      <c r="D137" s="17"/>
      <c r="E137" s="89">
        <v>44502</v>
      </c>
      <c r="F137" s="45"/>
      <c r="G137" s="45">
        <v>359209.20</v>
      </c>
      <c r="H137" s="17"/>
      <c r="I137" s="25"/>
      <c r="J137" s="17"/>
      <c r="L137" s="80"/>
    </row>
    <row r="138" spans="3:12" ht="15.75">
      <c r="C138" s="17"/>
      <c r="D138" s="17"/>
      <c r="E138" s="89">
        <v>44551</v>
      </c>
      <c r="F138" s="45"/>
      <c r="G138" s="45">
        <v>113569.17</v>
      </c>
      <c r="H138" s="17"/>
      <c r="I138" s="25"/>
      <c r="J138" s="17"/>
      <c r="L138" s="80"/>
    </row>
    <row r="139" spans="3:12" ht="15.75">
      <c r="C139" s="17" t="s">
        <v>35</v>
      </c>
      <c r="D139" s="17"/>
      <c r="E139" s="89">
        <v>44651</v>
      </c>
      <c r="F139" s="45"/>
      <c r="G139" s="45">
        <v>-23571</v>
      </c>
      <c r="H139" s="17"/>
      <c r="I139" s="25"/>
      <c r="J139" s="17"/>
      <c r="L139" s="80"/>
    </row>
    <row r="140" spans="3:12" ht="15.75">
      <c r="C140" s="17"/>
      <c r="D140" s="17"/>
      <c r="E140" s="89">
        <v>44742</v>
      </c>
      <c r="F140" s="45"/>
      <c r="G140" s="45">
        <v>-20952</v>
      </c>
      <c r="H140" s="17"/>
      <c r="I140" s="25"/>
      <c r="J140" s="17"/>
      <c r="L140" s="80"/>
    </row>
    <row r="141" spans="3:12" ht="15.75">
      <c r="C141" s="17"/>
      <c r="D141" s="17"/>
      <c r="E141" s="89">
        <v>44827</v>
      </c>
      <c r="F141" s="45"/>
      <c r="G141" s="45">
        <v>-19788</v>
      </c>
      <c r="H141" s="17"/>
      <c r="I141" s="25"/>
      <c r="J141" s="17"/>
      <c r="L141" s="80"/>
    </row>
    <row r="142" spans="3:12" ht="15.75">
      <c r="C142" s="17" t="s">
        <v>29</v>
      </c>
      <c r="D142" s="17"/>
      <c r="E142" s="89">
        <v>44582</v>
      </c>
      <c r="F142" s="45"/>
      <c r="G142" s="45">
        <v>463062.55</v>
      </c>
      <c r="H142" s="17"/>
      <c r="I142" s="25"/>
      <c r="J142" s="17"/>
      <c r="L142" s="80"/>
    </row>
    <row r="143" spans="3:12" ht="15.75">
      <c r="C143" s="17"/>
      <c r="D143" s="17"/>
      <c r="E143" s="89">
        <v>44599</v>
      </c>
      <c r="F143" s="45"/>
      <c r="G143" s="45">
        <v>189520.29</v>
      </c>
      <c r="H143" s="17"/>
      <c r="I143" s="25"/>
      <c r="J143" s="17"/>
      <c r="L143" s="80"/>
    </row>
    <row r="144" spans="3:12" ht="15.75">
      <c r="C144" s="17"/>
      <c r="D144" s="17"/>
      <c r="E144" s="89">
        <v>44634</v>
      </c>
      <c r="F144" s="45"/>
      <c r="G144" s="45">
        <v>335690.32</v>
      </c>
      <c r="H144" s="17"/>
      <c r="I144" s="25"/>
      <c r="J144" s="17"/>
      <c r="L144" s="80"/>
    </row>
    <row r="145" spans="3:12" ht="15.75">
      <c r="C145" s="17"/>
      <c r="D145" s="17"/>
      <c r="E145" s="89">
        <v>44657</v>
      </c>
      <c r="F145" s="45"/>
      <c r="G145" s="45">
        <v>325222.55</v>
      </c>
      <c r="H145" s="17"/>
      <c r="I145" s="25"/>
      <c r="J145" s="17"/>
      <c r="L145" s="80"/>
    </row>
    <row r="146" spans="3:12" ht="15.75">
      <c r="C146" s="17"/>
      <c r="D146" s="17"/>
      <c r="E146" s="89">
        <v>44694</v>
      </c>
      <c r="F146" s="45"/>
      <c r="G146" s="45">
        <v>408724.47</v>
      </c>
      <c r="H146" s="17"/>
      <c r="I146" s="25"/>
      <c r="J146" s="17"/>
      <c r="L146" s="80"/>
    </row>
    <row r="147" spans="3:12" ht="15.75">
      <c r="C147" s="17"/>
      <c r="D147" s="17"/>
      <c r="E147" s="89">
        <v>44715</v>
      </c>
      <c r="F147" s="45"/>
      <c r="G147" s="45">
        <v>212586.08</v>
      </c>
      <c r="H147" s="17"/>
      <c r="I147" s="25"/>
      <c r="J147" s="17"/>
      <c r="L147" s="80"/>
    </row>
    <row r="148" spans="3:12" ht="15.75">
      <c r="C148" s="17"/>
      <c r="D148" s="17"/>
      <c r="E148" s="89">
        <v>44755</v>
      </c>
      <c r="F148" s="45"/>
      <c r="G148" s="45">
        <v>382541.50</v>
      </c>
      <c r="H148" s="17"/>
      <c r="I148" s="25"/>
      <c r="J148" s="17"/>
      <c r="L148" s="80"/>
    </row>
    <row r="149" spans="3:12" ht="15.75">
      <c r="C149" s="17"/>
      <c r="D149" s="17"/>
      <c r="E149" s="89">
        <v>44777</v>
      </c>
      <c r="F149" s="45"/>
      <c r="G149" s="45">
        <v>129234.45</v>
      </c>
      <c r="H149" s="17"/>
      <c r="I149" s="25"/>
      <c r="J149" s="17"/>
      <c r="L149" s="80"/>
    </row>
    <row r="150" spans="3:12" ht="15.75">
      <c r="C150" s="17"/>
      <c r="D150" s="17"/>
      <c r="E150" s="89">
        <v>44812</v>
      </c>
      <c r="F150" s="45"/>
      <c r="G150" s="45">
        <v>266992.18</v>
      </c>
      <c r="H150" s="17"/>
      <c r="I150" s="25"/>
      <c r="J150" s="17"/>
      <c r="L150" s="80"/>
    </row>
    <row r="151" spans="3:9" ht="4.5" customHeight="1">
      <c r="C151" s="17"/>
      <c r="D151" s="17"/>
      <c r="E151" s="89"/>
      <c r="F151" s="17"/>
      <c r="G151" s="45"/>
      <c r="H151" s="110"/>
      <c r="I151" s="25"/>
    </row>
    <row r="152" spans="3:12" ht="12.75">
      <c r="C152" s="17" t="s">
        <v>5</v>
      </c>
      <c r="D152" s="17"/>
      <c r="E152" s="89">
        <f>+E8</f>
        <v>44834</v>
      </c>
      <c r="F152" s="17"/>
      <c r="G152" s="94">
        <f>L152*C22</f>
        <v>6963593.057054876</v>
      </c>
      <c r="H152" s="110"/>
      <c r="I152" s="45">
        <f>+SUMIF($G$23:$G$151,"&lt;0",$G$23:$G$151)</f>
        <v>-1.7271514209999997E7</v>
      </c>
      <c r="J152" s="17" t="s">
        <v>20</v>
      </c>
      <c r="L152" s="124">
        <v>520331970</v>
      </c>
    </row>
    <row r="153" spans="3:10" ht="12.75">
      <c r="C153" s="17"/>
      <c r="D153" s="17"/>
      <c r="E153" s="17"/>
      <c r="F153" s="17"/>
      <c r="G153" s="17"/>
      <c r="H153" s="110"/>
      <c r="I153" s="45">
        <f>+SUMIF($G$23:$G$151,"&gt;0",$G$23:$G$151)</f>
        <v>1.71262113E7</v>
      </c>
      <c r="J153" s="17" t="s">
        <v>21</v>
      </c>
    </row>
    <row r="154" spans="3:8" ht="12.75">
      <c r="C154" s="15" t="s">
        <v>0</v>
      </c>
      <c r="G154" s="72">
        <f>+XIRR(G23:G152,E23:E152,0.1)</f>
        <v>0.08971951901912689</v>
      </c>
      <c r="H154" s="110"/>
    </row>
    <row r="155" spans="3:8" ht="12.75">
      <c r="C155" s="17"/>
      <c r="D155" s="17"/>
      <c r="E155" s="17"/>
      <c r="F155" s="17"/>
      <c r="G155" s="17"/>
      <c r="H155" s="110"/>
    </row>
    <row r="156" spans="3:8" ht="12.75">
      <c r="C156" s="17"/>
      <c r="D156" s="17"/>
      <c r="E156" s="17"/>
      <c r="F156" s="17"/>
      <c r="G156" s="25"/>
      <c r="H156" s="110"/>
    </row>
    <row r="157" spans="3:8" ht="12.75">
      <c r="C157" s="110"/>
      <c r="D157" s="17"/>
      <c r="E157" s="136"/>
      <c r="F157" s="17"/>
      <c r="G157" s="136"/>
      <c r="H157" s="110"/>
    </row>
    <row r="158" spans="3:8" ht="12.75">
      <c r="C158" s="137"/>
      <c r="D158" s="28"/>
      <c r="E158" s="136"/>
      <c r="F158" s="28"/>
      <c r="G158" s="136"/>
      <c r="H158" s="110"/>
    </row>
    <row r="159" spans="3:8" ht="12.75">
      <c r="C159" s="137"/>
      <c r="D159" s="28"/>
      <c r="E159" s="136"/>
      <c r="F159" s="28"/>
      <c r="G159" s="136"/>
      <c r="H159" s="110"/>
    </row>
    <row r="160" spans="3:8" ht="12.75">
      <c r="C160" s="28"/>
      <c r="D160" s="28"/>
      <c r="E160" s="76"/>
      <c r="F160" s="76"/>
      <c r="G160" s="76"/>
      <c r="H160" s="15"/>
    </row>
    <row r="161" spans="3:8" ht="12.75">
      <c r="C161" s="28"/>
      <c r="D161" s="28"/>
      <c r="E161" s="75"/>
      <c r="F161" s="75"/>
      <c r="G161" s="75"/>
      <c r="H161" s="15"/>
    </row>
    <row r="162" spans="3:8" ht="12.75">
      <c r="C162" s="28"/>
      <c r="D162" s="28"/>
      <c r="E162" s="28"/>
      <c r="F162" s="28"/>
      <c r="G162" s="28"/>
      <c r="H162" s="15"/>
    </row>
    <row r="163" spans="3:8" ht="12.75">
      <c r="C163" s="171"/>
      <c r="D163" s="171"/>
      <c r="E163" s="173"/>
      <c r="F163" s="17"/>
      <c r="G163" s="32"/>
      <c r="H163" s="110"/>
    </row>
    <row r="164" spans="3:8" ht="12.75">
      <c r="C164" s="171"/>
      <c r="D164" s="171"/>
      <c r="E164" s="97"/>
      <c r="F164" s="17"/>
      <c r="G164" s="97"/>
      <c r="H164" s="110"/>
    </row>
    <row r="165" spans="3:8" ht="12.75">
      <c r="C165" s="171"/>
      <c r="D165" s="171"/>
      <c r="E165" s="97"/>
      <c r="F165" s="17"/>
      <c r="G165" s="97"/>
      <c r="H165" s="110"/>
    </row>
    <row r="166" spans="3:8" ht="12.75">
      <c r="C166" s="189"/>
      <c r="D166" s="171"/>
      <c r="E166" s="97"/>
      <c r="F166" s="17"/>
      <c r="G166" s="97"/>
      <c r="H166" s="110"/>
    </row>
    <row r="167" spans="3:8" ht="12.75">
      <c r="C167" s="189"/>
      <c r="D167" s="171"/>
      <c r="E167" s="97"/>
      <c r="F167" s="17"/>
      <c r="G167" s="97"/>
      <c r="H167" s="110"/>
    </row>
    <row r="168" spans="3:8" ht="12.75">
      <c r="C168" s="190"/>
      <c r="D168" s="171"/>
      <c r="E168" s="97"/>
      <c r="F168" s="17"/>
      <c r="G168" s="97"/>
      <c r="H168" s="110"/>
    </row>
    <row r="169" spans="3:8" ht="12.75">
      <c r="C169" s="171"/>
      <c r="D169" s="171"/>
      <c r="E169" s="97"/>
      <c r="F169" s="17"/>
      <c r="G169" s="97"/>
      <c r="H169" s="110"/>
    </row>
    <row r="170" spans="3:8" ht="12.75">
      <c r="C170" s="171"/>
      <c r="D170" s="171"/>
      <c r="E170" s="97"/>
      <c r="F170" s="17"/>
      <c r="G170" s="97"/>
      <c r="H170" s="110"/>
    </row>
    <row r="171" spans="3:8" ht="12.75">
      <c r="C171" s="171"/>
      <c r="D171" s="171"/>
      <c r="E171" s="97"/>
      <c r="F171" s="17"/>
      <c r="G171" s="97"/>
      <c r="H171" s="110"/>
    </row>
    <row r="172" spans="3:8" ht="12.75">
      <c r="C172" s="171"/>
      <c r="D172" s="171"/>
      <c r="E172" s="97"/>
      <c r="F172" s="17"/>
      <c r="G172" s="97"/>
      <c r="H172" s="110"/>
    </row>
    <row r="173" spans="3:8" ht="12.75">
      <c r="C173" s="171"/>
      <c r="D173" s="171"/>
      <c r="E173" s="97"/>
      <c r="F173" s="17"/>
      <c r="G173" s="97"/>
      <c r="H173" s="110"/>
    </row>
    <row r="174" spans="3:8" ht="12.75">
      <c r="C174" s="171"/>
      <c r="D174" s="171"/>
      <c r="E174" s="97"/>
      <c r="F174" s="17"/>
      <c r="G174" s="97"/>
      <c r="H174" s="110"/>
    </row>
    <row r="175" spans="3:8" s="111" customFormat="1" ht="5.1" customHeight="1">
      <c r="C175" s="17"/>
      <c r="D175" s="17"/>
      <c r="E175" s="17"/>
      <c r="F175" s="17"/>
      <c r="G175" s="17"/>
      <c r="H175" s="110"/>
    </row>
    <row r="176" spans="3:8" ht="12.75">
      <c r="C176" s="17"/>
      <c r="D176" s="17"/>
      <c r="E176" s="17"/>
      <c r="F176" s="17"/>
      <c r="G176" s="17"/>
      <c r="H176" s="110"/>
    </row>
  </sheetData>
  <mergeCells count="1">
    <mergeCell ref="E160:G160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F212F0A-77CE-493A-A79D-B03A7BF8BD63}">
  <sheetPr>
    <pageSetUpPr fitToPage="1"/>
  </sheetPr>
  <dimension ref="B4:M176"/>
  <sheetViews>
    <sheetView showGridLines="0" view="pageLayout" zoomScaleNormal="100" workbookViewId="0" topLeftCell="A1">
      <selection pane="topLeft" activeCell="C17" sqref="C17"/>
    </sheetView>
  </sheetViews>
  <sheetFormatPr defaultRowHeight="12.75"/>
  <cols>
    <col min="2" max="2" width="4.857142857142857" customWidth="1"/>
    <col min="3" max="3" width="47.142857142857146" customWidth="1"/>
    <col min="4" max="4" width="1.4285714285714286" style="111" customWidth="1"/>
    <col min="5" max="5" width="10.571428571428571" customWidth="1"/>
    <col min="6" max="6" width="1.4285714285714286" customWidth="1"/>
    <col min="7" max="7" width="10.571428571428571" customWidth="1"/>
    <col min="8" max="8" width="2.4285714285714284" style="111" customWidth="1"/>
    <col min="9" max="10" width="11.714285714285714" customWidth="1"/>
    <col min="12" max="12" width="17.571428571428573" customWidth="1"/>
  </cols>
  <sheetData>
    <row r="4" spans="2:6" ht="18">
      <c r="B4" s="1"/>
      <c r="C4" s="1"/>
      <c r="D4" s="143"/>
      <c r="E4" s="1"/>
      <c r="F4" s="1"/>
    </row>
    <row r="6" spans="3:6" ht="12.75">
      <c r="C6" s="2"/>
      <c r="D6" s="144"/>
      <c r="E6" s="2"/>
      <c r="F6" s="2"/>
    </row>
    <row r="7" spans="2:6" ht="12.75">
      <c r="B7" s="4"/>
      <c r="C7" s="3"/>
      <c r="D7" s="145"/>
      <c r="E7" s="3"/>
      <c r="F7" s="3"/>
    </row>
    <row r="8" spans="3:8" ht="15.75">
      <c r="C8" s="140"/>
      <c r="D8" s="140"/>
      <c r="E8" s="146">
        <f>+'Fund IX'!E8</f>
        <v>44834</v>
      </c>
      <c r="F8" s="13"/>
      <c r="G8" s="78"/>
      <c r="H8" s="138"/>
    </row>
    <row r="9" spans="3:7" ht="15.75">
      <c r="C9" s="65"/>
      <c r="D9" s="65"/>
      <c r="E9" s="65"/>
      <c r="F9" s="65"/>
      <c r="G9" s="177"/>
    </row>
    <row r="10" spans="3:8" ht="12.75">
      <c r="C10" s="178"/>
      <c r="D10" s="178"/>
      <c r="E10" s="179"/>
      <c r="F10" s="178"/>
      <c r="G10" s="124"/>
      <c r="H10" s="139"/>
    </row>
    <row r="11" spans="3:8" ht="12.75">
      <c r="C11" s="178"/>
      <c r="D11" s="178"/>
      <c r="E11" s="179"/>
      <c r="F11" s="178"/>
      <c r="G11" s="179"/>
      <c r="H11" s="139"/>
    </row>
    <row r="12" spans="3:8" ht="15.75">
      <c r="C12" s="180"/>
      <c r="D12" s="180"/>
      <c r="E12" s="70"/>
      <c r="F12" s="180"/>
      <c r="G12" s="70"/>
      <c r="H12" s="140"/>
    </row>
    <row r="13" spans="3:8" ht="12.75">
      <c r="C13" s="178"/>
      <c r="D13" s="178"/>
      <c r="E13" s="71"/>
      <c r="F13" s="178"/>
      <c r="G13" s="124"/>
      <c r="H13" s="141"/>
    </row>
    <row r="14" spans="3:8" ht="12.75">
      <c r="C14" s="178"/>
      <c r="D14" s="178"/>
      <c r="E14" s="181"/>
      <c r="F14" s="178"/>
      <c r="G14" s="124"/>
      <c r="H14" s="142"/>
    </row>
    <row r="15" spans="3:8" ht="12.75">
      <c r="C15" s="178"/>
      <c r="D15" s="178"/>
      <c r="E15" s="179"/>
      <c r="F15" s="178"/>
      <c r="G15" s="179"/>
      <c r="H15" s="139"/>
    </row>
    <row r="16" spans="3:8" ht="15.75">
      <c r="C16" s="5"/>
      <c r="D16" s="5"/>
      <c r="E16" s="10"/>
      <c r="F16" s="5"/>
      <c r="G16" s="10"/>
      <c r="H16" s="140"/>
    </row>
    <row r="17" spans="3:8" ht="15.75">
      <c r="C17" s="83" t="s">
        <v>15</v>
      </c>
      <c r="D17" s="147"/>
      <c r="E17" s="10"/>
      <c r="F17" s="83"/>
      <c r="G17" s="10"/>
      <c r="H17" s="140"/>
    </row>
    <row r="18" spans="3:8" ht="12.75" customHeight="1">
      <c r="C18" s="6" t="s">
        <v>16</v>
      </c>
      <c r="D18" s="148"/>
      <c r="E18" s="84">
        <f>G153</f>
        <v>0.09860445857048036</v>
      </c>
      <c r="F18" s="6"/>
      <c r="G18" s="11"/>
      <c r="H18" s="141"/>
    </row>
    <row r="19" spans="3:8" ht="12.75">
      <c r="C19" s="6" t="s">
        <v>17</v>
      </c>
      <c r="D19" s="148"/>
      <c r="E19" s="87">
        <f>(G151+I152)/-I151</f>
        <v>1.3955865207520914</v>
      </c>
      <c r="F19" s="6"/>
      <c r="G19" s="9"/>
      <c r="H19" s="139"/>
    </row>
    <row r="20" spans="3:7" ht="12.75">
      <c r="C20" s="6"/>
      <c r="D20" s="148"/>
      <c r="E20" s="6"/>
      <c r="F20" s="6"/>
      <c r="G20" s="81"/>
    </row>
    <row r="21" spans="3:11" ht="15.75">
      <c r="C21" s="88" t="s">
        <v>50</v>
      </c>
      <c r="D21" s="149"/>
      <c r="E21" s="7"/>
      <c r="F21" s="7"/>
      <c r="I21" s="17"/>
      <c r="K21" s="119"/>
    </row>
    <row r="22" spans="3:9" ht="12.75">
      <c r="C22" s="90">
        <v>0.0030979701811262032</v>
      </c>
      <c r="D22" s="110"/>
      <c r="E22" s="17"/>
      <c r="F22" s="17"/>
      <c r="G22" s="91"/>
      <c r="H22" s="110"/>
      <c r="I22" s="17"/>
    </row>
    <row r="23" spans="3:9" ht="12.75">
      <c r="C23" s="17" t="s">
        <v>18</v>
      </c>
      <c r="D23" s="110"/>
      <c r="E23" s="89">
        <v>41282</v>
      </c>
      <c r="F23" s="45"/>
      <c r="G23" s="22">
        <v>-6000</v>
      </c>
      <c r="H23" s="110"/>
      <c r="I23" s="25"/>
    </row>
    <row r="24" spans="3:9" ht="12.75">
      <c r="C24" s="17"/>
      <c r="D24" s="110"/>
      <c r="E24" s="89">
        <v>41359</v>
      </c>
      <c r="F24" s="45"/>
      <c r="G24" s="22">
        <v>-4947</v>
      </c>
      <c r="H24" s="110"/>
      <c r="I24" s="25"/>
    </row>
    <row r="25" spans="3:9" ht="12.75">
      <c r="C25" s="17"/>
      <c r="D25" s="110"/>
      <c r="E25" s="89">
        <v>41381</v>
      </c>
      <c r="F25" s="45"/>
      <c r="G25" s="22">
        <v>-1920.60</v>
      </c>
      <c r="H25" s="110"/>
      <c r="I25" s="25"/>
    </row>
    <row r="26" spans="3:9" ht="12.75">
      <c r="C26" s="17"/>
      <c r="D26" s="110"/>
      <c r="E26" s="89">
        <v>41424</v>
      </c>
      <c r="F26" s="45"/>
      <c r="G26" s="22">
        <v>-1610.20</v>
      </c>
      <c r="H26" s="110"/>
      <c r="I26" s="25"/>
    </row>
    <row r="27" spans="3:9" ht="12.75">
      <c r="C27" s="17"/>
      <c r="D27" s="110"/>
      <c r="E27" s="89">
        <v>41446</v>
      </c>
      <c r="F27" s="45"/>
      <c r="G27" s="22">
        <v>-58665.60</v>
      </c>
      <c r="H27" s="110"/>
      <c r="I27" s="25"/>
    </row>
    <row r="28" spans="3:9" ht="12.75">
      <c r="C28" s="17"/>
      <c r="D28" s="110"/>
      <c r="E28" s="89">
        <v>41498</v>
      </c>
      <c r="F28" s="45"/>
      <c r="G28" s="22">
        <v>-3918.80</v>
      </c>
      <c r="H28" s="110"/>
      <c r="I28" s="25"/>
    </row>
    <row r="29" spans="3:9" ht="12.75">
      <c r="C29" s="17"/>
      <c r="D29" s="110"/>
      <c r="E29" s="89">
        <v>41527</v>
      </c>
      <c r="F29" s="45"/>
      <c r="G29" s="22">
        <v>-9855.2</v>
      </c>
      <c r="H29" s="110"/>
      <c r="I29" s="25"/>
    </row>
    <row r="30" spans="3:13" ht="12.75">
      <c r="C30" s="17"/>
      <c r="D30" s="110"/>
      <c r="E30" s="89">
        <v>41534</v>
      </c>
      <c r="F30" s="45"/>
      <c r="G30" s="22">
        <v>-5024.6</v>
      </c>
      <c r="H30" s="110"/>
      <c r="L30" s="134"/>
      <c r="M30" s="134"/>
    </row>
    <row r="31" spans="3:12" ht="12.75">
      <c r="C31" s="17"/>
      <c r="D31" s="110"/>
      <c r="E31" s="89">
        <v>41551</v>
      </c>
      <c r="F31" s="45"/>
      <c r="G31" s="22">
        <v>-4772.4</v>
      </c>
      <c r="H31" s="110"/>
      <c r="L31" s="134"/>
    </row>
    <row r="32" spans="3:12" ht="12.75">
      <c r="C32" s="17"/>
      <c r="D32" s="110"/>
      <c r="E32" s="89">
        <v>41585</v>
      </c>
      <c r="F32" s="45"/>
      <c r="G32" s="22">
        <v>-9137.40</v>
      </c>
      <c r="H32" s="110"/>
      <c r="L32" s="134"/>
    </row>
    <row r="33" spans="3:12" ht="12.75">
      <c r="C33" s="17"/>
      <c r="D33" s="110"/>
      <c r="E33" s="89">
        <v>41621</v>
      </c>
      <c r="F33" s="45"/>
      <c r="G33" s="22">
        <v>-16625.80</v>
      </c>
      <c r="H33" s="110"/>
      <c r="L33" s="134"/>
    </row>
    <row r="34" spans="3:12" ht="12.75">
      <c r="C34" s="17"/>
      <c r="D34" s="110"/>
      <c r="E34" s="89">
        <v>41635</v>
      </c>
      <c r="F34" s="45"/>
      <c r="G34" s="22">
        <v>-6770.60</v>
      </c>
      <c r="H34" s="110"/>
      <c r="L34" s="134"/>
    </row>
    <row r="35" spans="3:10" ht="12.75">
      <c r="C35" s="17" t="s">
        <v>23</v>
      </c>
      <c r="D35" s="110"/>
      <c r="E35" s="89">
        <v>41670</v>
      </c>
      <c r="F35" s="45"/>
      <c r="G35" s="45">
        <v>-5781.20</v>
      </c>
      <c r="H35" s="110"/>
      <c r="I35" s="25"/>
      <c r="J35" s="17"/>
    </row>
    <row r="36" spans="3:10" ht="12.75">
      <c r="C36" s="17"/>
      <c r="D36" s="110"/>
      <c r="E36" s="89">
        <v>41712</v>
      </c>
      <c r="F36" s="45"/>
      <c r="G36" s="45">
        <v>-14666.47</v>
      </c>
      <c r="H36" s="110"/>
      <c r="I36" s="25"/>
      <c r="J36" s="17"/>
    </row>
    <row r="37" spans="3:10" ht="12.75">
      <c r="C37" s="17"/>
      <c r="D37" s="110"/>
      <c r="E37" s="89">
        <v>41724</v>
      </c>
      <c r="F37" s="45"/>
      <c r="G37" s="45">
        <v>-5315.60</v>
      </c>
      <c r="H37" s="110"/>
      <c r="I37" s="25"/>
      <c r="J37" s="17"/>
    </row>
    <row r="38" spans="3:10" ht="12.75">
      <c r="C38" s="17"/>
      <c r="D38" s="110"/>
      <c r="E38" s="89">
        <v>41733</v>
      </c>
      <c r="F38" s="45"/>
      <c r="G38" s="45">
        <v>-8380.8</v>
      </c>
      <c r="H38" s="110"/>
      <c r="I38" s="25"/>
      <c r="J38" s="17"/>
    </row>
    <row r="39" spans="3:10" ht="12.75">
      <c r="C39" s="17"/>
      <c r="D39" s="110"/>
      <c r="E39" s="89">
        <v>41764</v>
      </c>
      <c r="F39" s="45"/>
      <c r="G39" s="45">
        <v>-7333.21</v>
      </c>
      <c r="H39" s="110"/>
      <c r="I39" s="25"/>
      <c r="J39" s="17"/>
    </row>
    <row r="40" spans="3:10" ht="12.75">
      <c r="C40" s="17"/>
      <c r="D40" s="110"/>
      <c r="E40" s="89">
        <v>41774</v>
      </c>
      <c r="F40" s="45"/>
      <c r="G40" s="45">
        <v>-10320.8</v>
      </c>
      <c r="H40" s="110"/>
      <c r="I40" s="25"/>
      <c r="J40" s="17"/>
    </row>
    <row r="41" spans="3:10" ht="12.75">
      <c r="C41" s="17"/>
      <c r="D41" s="110"/>
      <c r="E41" s="89">
        <v>41788</v>
      </c>
      <c r="F41" s="45"/>
      <c r="G41" s="45">
        <v>-8012.20</v>
      </c>
      <c r="H41" s="110"/>
      <c r="I41" s="25"/>
      <c r="J41" s="17"/>
    </row>
    <row r="42" spans="3:10" ht="12.75">
      <c r="C42" s="17"/>
      <c r="D42" s="110"/>
      <c r="E42" s="89">
        <v>41817</v>
      </c>
      <c r="F42" s="45"/>
      <c r="G42" s="45">
        <v>-14394.80</v>
      </c>
      <c r="H42" s="110"/>
      <c r="I42" s="25"/>
      <c r="J42" s="17"/>
    </row>
    <row r="43" spans="3:10" ht="12.75">
      <c r="C43" s="17"/>
      <c r="D43" s="110"/>
      <c r="E43" s="89">
        <v>41830</v>
      </c>
      <c r="F43" s="45"/>
      <c r="G43" s="45">
        <v>-9098.61</v>
      </c>
      <c r="H43" s="110"/>
      <c r="I43" s="25"/>
      <c r="J43" s="17"/>
    </row>
    <row r="44" spans="3:10" ht="12.75">
      <c r="C44" s="17"/>
      <c r="D44" s="110"/>
      <c r="E44" s="89">
        <v>41851</v>
      </c>
      <c r="F44" s="45"/>
      <c r="G44" s="45">
        <v>-5121.6</v>
      </c>
      <c r="H44" s="110"/>
      <c r="I44" s="25"/>
      <c r="J44" s="17"/>
    </row>
    <row r="45" spans="3:8" ht="12.75">
      <c r="C45" s="17"/>
      <c r="D45" s="110"/>
      <c r="E45" s="89">
        <v>41859</v>
      </c>
      <c r="F45" s="45"/>
      <c r="G45" s="45">
        <v>-9777.60</v>
      </c>
      <c r="H45" s="110"/>
    </row>
    <row r="46" spans="3:8" ht="12.75">
      <c r="C46" s="17"/>
      <c r="D46" s="110"/>
      <c r="E46" s="89">
        <v>41880</v>
      </c>
      <c r="F46" s="45"/>
      <c r="G46" s="45">
        <v>-6052.80</v>
      </c>
      <c r="H46" s="110"/>
    </row>
    <row r="47" spans="3:8" ht="12.75">
      <c r="C47" s="17"/>
      <c r="D47" s="110"/>
      <c r="E47" s="89">
        <v>41900</v>
      </c>
      <c r="F47" s="45"/>
      <c r="G47" s="45">
        <v>-24948.41</v>
      </c>
      <c r="H47" s="110"/>
    </row>
    <row r="48" spans="3:8" ht="12.75">
      <c r="C48" s="17"/>
      <c r="D48" s="110"/>
      <c r="E48" s="89">
        <v>41915</v>
      </c>
      <c r="F48" s="45"/>
      <c r="G48" s="45">
        <v>-25666.19</v>
      </c>
      <c r="H48" s="110"/>
    </row>
    <row r="49" spans="3:8" ht="12.75">
      <c r="C49" s="17"/>
      <c r="D49" s="110"/>
      <c r="E49" s="89">
        <v>41929</v>
      </c>
      <c r="F49" s="45"/>
      <c r="G49" s="45">
        <v>-19031.40</v>
      </c>
      <c r="H49" s="110"/>
    </row>
    <row r="50" spans="3:8" ht="12.75">
      <c r="C50" s="17"/>
      <c r="D50" s="110"/>
      <c r="E50" s="89">
        <v>41943</v>
      </c>
      <c r="F50" s="45"/>
      <c r="G50" s="45">
        <v>-12648.80</v>
      </c>
      <c r="H50" s="110"/>
    </row>
    <row r="51" spans="3:8" ht="12.75">
      <c r="C51" s="17"/>
      <c r="D51" s="110"/>
      <c r="E51" s="89">
        <v>41977</v>
      </c>
      <c r="F51" s="45"/>
      <c r="G51" s="45">
        <v>-19109</v>
      </c>
      <c r="H51" s="110"/>
    </row>
    <row r="52" spans="3:10" ht="12.75">
      <c r="C52" s="17" t="s">
        <v>22</v>
      </c>
      <c r="D52" s="110"/>
      <c r="E52" s="89">
        <v>41817</v>
      </c>
      <c r="F52" s="45"/>
      <c r="G52" s="45">
        <v>13980.57</v>
      </c>
      <c r="H52" s="110"/>
      <c r="I52" s="25"/>
      <c r="J52" s="17"/>
    </row>
    <row r="53" spans="3:10" ht="12.75">
      <c r="C53" s="17" t="s">
        <v>44</v>
      </c>
      <c r="D53" s="110"/>
      <c r="E53" s="89">
        <v>42009</v>
      </c>
      <c r="F53" s="45"/>
      <c r="G53" s="45">
        <v>-61672.60</v>
      </c>
      <c r="H53" s="110"/>
      <c r="I53" s="25"/>
      <c r="J53" s="17"/>
    </row>
    <row r="54" spans="3:10" ht="12.75">
      <c r="C54" s="17"/>
      <c r="D54" s="110"/>
      <c r="E54" s="89">
        <v>42027</v>
      </c>
      <c r="F54" s="45"/>
      <c r="G54" s="45">
        <v>-29216.40</v>
      </c>
      <c r="H54" s="110"/>
      <c r="I54" s="25"/>
      <c r="J54" s="17"/>
    </row>
    <row r="55" spans="3:10" ht="12.75">
      <c r="C55" s="17"/>
      <c r="D55" s="110"/>
      <c r="E55" s="89">
        <v>42048</v>
      </c>
      <c r="F55" s="45"/>
      <c r="G55" s="45">
        <v>-13075.61</v>
      </c>
      <c r="H55" s="110"/>
      <c r="I55" s="25"/>
      <c r="J55" s="17"/>
    </row>
    <row r="56" spans="3:10" ht="12.75">
      <c r="C56" s="17"/>
      <c r="D56" s="110"/>
      <c r="E56" s="89">
        <v>42061</v>
      </c>
      <c r="F56" s="45"/>
      <c r="G56" s="45">
        <v>-9525.40</v>
      </c>
      <c r="H56" s="110"/>
      <c r="I56" s="25"/>
      <c r="J56" s="17"/>
    </row>
    <row r="57" spans="3:10" ht="12.75">
      <c r="C57" s="17"/>
      <c r="D57" s="110"/>
      <c r="E57" s="89">
        <v>42088</v>
      </c>
      <c r="F57" s="45"/>
      <c r="G57" s="45">
        <v>-20331.20</v>
      </c>
      <c r="H57" s="110"/>
      <c r="I57" s="25"/>
      <c r="J57" s="17"/>
    </row>
    <row r="58" spans="3:10" ht="12.75">
      <c r="C58" s="17"/>
      <c r="D58" s="110"/>
      <c r="E58" s="89">
        <v>42111</v>
      </c>
      <c r="F58" s="45"/>
      <c r="G58" s="45">
        <v>-16431.80</v>
      </c>
      <c r="H58" s="110"/>
      <c r="I58" s="25"/>
      <c r="J58" s="17"/>
    </row>
    <row r="59" spans="3:10" ht="12.75">
      <c r="C59" s="17"/>
      <c r="D59" s="110"/>
      <c r="E59" s="89">
        <v>42138</v>
      </c>
      <c r="F59" s="45"/>
      <c r="G59" s="45">
        <v>-14200.80</v>
      </c>
      <c r="H59" s="110"/>
      <c r="I59" s="25"/>
      <c r="J59" s="17"/>
    </row>
    <row r="60" spans="3:10" ht="12.75">
      <c r="C60" s="17"/>
      <c r="D60" s="110"/>
      <c r="E60" s="89">
        <v>42156</v>
      </c>
      <c r="F60" s="45"/>
      <c r="G60" s="45">
        <v>-17440.60</v>
      </c>
      <c r="H60" s="110"/>
      <c r="I60" s="25"/>
      <c r="J60" s="17"/>
    </row>
    <row r="61" spans="3:8" ht="12.75">
      <c r="C61" s="17"/>
      <c r="D61" s="110"/>
      <c r="E61" s="89">
        <v>42187</v>
      </c>
      <c r="F61" s="45"/>
      <c r="G61" s="45">
        <v>-13812.80</v>
      </c>
      <c r="H61" s="110"/>
    </row>
    <row r="62" spans="3:8" ht="12.75">
      <c r="C62" s="17"/>
      <c r="D62" s="110"/>
      <c r="E62" s="89">
        <v>42230</v>
      </c>
      <c r="F62" s="45"/>
      <c r="G62" s="45">
        <v>-9292.60</v>
      </c>
      <c r="H62" s="110"/>
    </row>
    <row r="63" spans="3:8" ht="12.75">
      <c r="C63" s="17"/>
      <c r="D63" s="110"/>
      <c r="E63" s="89">
        <v>42258</v>
      </c>
      <c r="F63" s="45"/>
      <c r="G63" s="45">
        <v>-18410.59</v>
      </c>
      <c r="H63" s="110"/>
    </row>
    <row r="64" spans="3:8" ht="12.75">
      <c r="C64" s="17"/>
      <c r="D64" s="110"/>
      <c r="E64" s="89">
        <v>42272</v>
      </c>
      <c r="F64" s="45"/>
      <c r="G64" s="45">
        <v>-25743.81</v>
      </c>
      <c r="H64" s="110"/>
    </row>
    <row r="65" spans="3:8" ht="12.75">
      <c r="C65" s="17"/>
      <c r="D65" s="110"/>
      <c r="E65" s="89">
        <v>42293</v>
      </c>
      <c r="F65" s="45"/>
      <c r="G65" s="45">
        <v>-24579.80</v>
      </c>
      <c r="H65" s="110"/>
    </row>
    <row r="66" spans="3:8" ht="12.75">
      <c r="C66" s="17"/>
      <c r="D66" s="110"/>
      <c r="E66" s="89">
        <v>42345</v>
      </c>
      <c r="F66" s="45"/>
      <c r="G66" s="45">
        <v>-11523.60</v>
      </c>
      <c r="H66" s="110"/>
    </row>
    <row r="67" spans="3:8" ht="12.75">
      <c r="C67" s="17"/>
      <c r="D67" s="110"/>
      <c r="E67" s="89">
        <v>42361</v>
      </c>
      <c r="F67" s="45"/>
      <c r="G67" s="45">
        <v>-8865.81</v>
      </c>
      <c r="H67" s="110"/>
    </row>
    <row r="68" spans="3:10" ht="12.75">
      <c r="C68" s="17" t="s">
        <v>24</v>
      </c>
      <c r="D68" s="110"/>
      <c r="E68" s="89">
        <v>42249</v>
      </c>
      <c r="F68" s="45"/>
      <c r="G68" s="45">
        <v>19173.78</v>
      </c>
      <c r="H68" s="110"/>
      <c r="I68" s="25"/>
      <c r="J68" s="17"/>
    </row>
    <row r="69" spans="3:10" ht="12.75">
      <c r="C69" s="17" t="s">
        <v>45</v>
      </c>
      <c r="D69" s="110"/>
      <c r="E69" s="89">
        <v>42382</v>
      </c>
      <c r="F69" s="45"/>
      <c r="G69" s="45">
        <v>-16101.99</v>
      </c>
      <c r="H69" s="110"/>
      <c r="I69" s="25"/>
      <c r="J69" s="17"/>
    </row>
    <row r="70" spans="3:10" ht="12.75">
      <c r="C70" s="17"/>
      <c r="D70" s="17"/>
      <c r="E70" s="89">
        <v>42457</v>
      </c>
      <c r="F70" s="45"/>
      <c r="G70" s="45">
        <v>-17983.81</v>
      </c>
      <c r="H70" s="110"/>
      <c r="I70" s="25"/>
      <c r="J70" s="17"/>
    </row>
    <row r="71" spans="3:10" ht="12.75">
      <c r="C71" s="17"/>
      <c r="D71" s="17"/>
      <c r="E71" s="89">
        <v>42468</v>
      </c>
      <c r="F71" s="45"/>
      <c r="G71" s="45">
        <v>-20796.80</v>
      </c>
      <c r="H71" s="110"/>
      <c r="I71" s="25"/>
      <c r="J71" s="17"/>
    </row>
    <row r="72" spans="3:10" ht="12.75">
      <c r="C72" s="17"/>
      <c r="D72" s="17"/>
      <c r="E72" s="89">
        <v>42507</v>
      </c>
      <c r="F72" s="45"/>
      <c r="G72" s="45">
        <v>-74864.6</v>
      </c>
      <c r="H72" s="110"/>
      <c r="I72" s="25"/>
      <c r="J72" s="17"/>
    </row>
    <row r="73" spans="3:10" ht="12.75">
      <c r="C73" s="17"/>
      <c r="D73" s="17"/>
      <c r="E73" s="89">
        <v>42543</v>
      </c>
      <c r="F73" s="45"/>
      <c r="G73" s="45">
        <v>-38528.40</v>
      </c>
      <c r="H73" s="110"/>
      <c r="I73" s="25"/>
      <c r="J73" s="17"/>
    </row>
    <row r="74" spans="3:10" ht="12.75">
      <c r="C74" s="17"/>
      <c r="D74" s="17"/>
      <c r="E74" s="89">
        <v>42557</v>
      </c>
      <c r="F74" s="45"/>
      <c r="G74" s="45">
        <v>-8594.19</v>
      </c>
      <c r="H74" s="110"/>
      <c r="I74" s="25"/>
      <c r="J74" s="17"/>
    </row>
    <row r="75" spans="3:10" ht="12.75">
      <c r="C75" s="17"/>
      <c r="D75" s="17"/>
      <c r="E75" s="89">
        <v>42590</v>
      </c>
      <c r="F75" s="45"/>
      <c r="G75" s="45">
        <v>-18003.21</v>
      </c>
      <c r="H75" s="110"/>
      <c r="I75" s="25"/>
      <c r="J75" s="17"/>
    </row>
    <row r="76" spans="3:10" ht="12.75">
      <c r="C76" s="17"/>
      <c r="D76" s="17"/>
      <c r="E76" s="89">
        <v>42607</v>
      </c>
      <c r="F76" s="45"/>
      <c r="G76" s="45">
        <v>-31951.80</v>
      </c>
      <c r="H76" s="110"/>
      <c r="I76" s="25"/>
      <c r="J76" s="17"/>
    </row>
    <row r="77" spans="3:10" ht="12.75">
      <c r="C77" s="17"/>
      <c r="D77" s="17"/>
      <c r="E77" s="89">
        <v>42628</v>
      </c>
      <c r="F77" s="45"/>
      <c r="G77" s="45">
        <v>-18216.60</v>
      </c>
      <c r="H77" s="110"/>
      <c r="I77" s="25"/>
      <c r="J77" s="17"/>
    </row>
    <row r="78" spans="3:10" ht="12.75">
      <c r="C78" s="17"/>
      <c r="D78" s="17"/>
      <c r="E78" s="89">
        <v>42634</v>
      </c>
      <c r="F78" s="45"/>
      <c r="G78" s="45">
        <v>-11872.81</v>
      </c>
      <c r="H78" s="110"/>
      <c r="I78" s="25"/>
      <c r="J78" s="17"/>
    </row>
    <row r="79" spans="3:8" ht="12.75">
      <c r="C79" s="17"/>
      <c r="D79" s="17"/>
      <c r="E79" s="89">
        <v>42663</v>
      </c>
      <c r="F79" s="45"/>
      <c r="G79" s="45">
        <v>-21049</v>
      </c>
      <c r="H79" s="110"/>
    </row>
    <row r="80" spans="3:8" ht="12.75">
      <c r="C80" s="17"/>
      <c r="D80" s="17"/>
      <c r="E80" s="89">
        <v>42731</v>
      </c>
      <c r="F80" s="45"/>
      <c r="G80" s="45">
        <v>-23862</v>
      </c>
      <c r="H80" s="110"/>
    </row>
    <row r="81" spans="3:8" ht="12.75">
      <c r="C81" s="17" t="s">
        <v>25</v>
      </c>
      <c r="D81" s="17"/>
      <c r="E81" s="89">
        <v>42377</v>
      </c>
      <c r="F81" s="45"/>
      <c r="G81" s="45">
        <v>112925.78</v>
      </c>
      <c r="H81" s="110"/>
    </row>
    <row r="82" spans="3:8" ht="12.75">
      <c r="C82" s="17"/>
      <c r="D82" s="17"/>
      <c r="E82" s="89">
        <v>42542</v>
      </c>
      <c r="F82" s="45"/>
      <c r="G82" s="45">
        <v>14043.42</v>
      </c>
      <c r="H82" s="110"/>
    </row>
    <row r="83" spans="3:8" ht="12.75">
      <c r="C83" s="17"/>
      <c r="D83" s="17"/>
      <c r="E83" s="89">
        <v>42570</v>
      </c>
      <c r="F83" s="45"/>
      <c r="G83" s="45">
        <v>4460.6</v>
      </c>
      <c r="H83" s="110"/>
    </row>
    <row r="84" spans="3:8" ht="12.75">
      <c r="C84" s="17"/>
      <c r="D84" s="17"/>
      <c r="E84" s="89">
        <v>42586</v>
      </c>
      <c r="F84" s="45"/>
      <c r="G84" s="45">
        <v>52988.38</v>
      </c>
      <c r="H84" s="110"/>
    </row>
    <row r="85" spans="3:8" ht="12.75">
      <c r="C85" s="17"/>
      <c r="D85" s="17"/>
      <c r="E85" s="89">
        <v>42634</v>
      </c>
      <c r="F85" s="45"/>
      <c r="G85" s="45">
        <v>11280.90</v>
      </c>
      <c r="H85" s="110"/>
    </row>
    <row r="86" spans="3:10" ht="12.75">
      <c r="C86" s="17"/>
      <c r="D86" s="17"/>
      <c r="E86" s="89">
        <v>42677</v>
      </c>
      <c r="F86" s="45"/>
      <c r="G86" s="45">
        <v>7598.56</v>
      </c>
      <c r="H86" s="110"/>
      <c r="I86" s="25"/>
      <c r="J86" s="17"/>
    </row>
    <row r="87" spans="3:10" ht="12.75">
      <c r="C87" s="17"/>
      <c r="D87" s="17"/>
      <c r="E87" s="89">
        <v>42709</v>
      </c>
      <c r="F87" s="45"/>
      <c r="G87" s="45">
        <v>17704.01</v>
      </c>
      <c r="H87" s="110"/>
      <c r="I87" s="25"/>
      <c r="J87" s="17"/>
    </row>
    <row r="88" spans="3:10" ht="12.75">
      <c r="C88" s="17"/>
      <c r="D88" s="17"/>
      <c r="E88" s="89">
        <v>42726</v>
      </c>
      <c r="F88" s="45"/>
      <c r="G88" s="45">
        <v>155129.46</v>
      </c>
      <c r="H88" s="110"/>
      <c r="I88" s="25"/>
      <c r="J88" s="17"/>
    </row>
    <row r="89" spans="3:10" ht="12.75">
      <c r="C89" s="17" t="s">
        <v>30</v>
      </c>
      <c r="D89" s="17"/>
      <c r="E89" s="89">
        <v>42753</v>
      </c>
      <c r="F89" s="45"/>
      <c r="G89" s="45">
        <v>-15772.21</v>
      </c>
      <c r="H89" s="110"/>
      <c r="I89" s="25"/>
      <c r="J89" s="17"/>
    </row>
    <row r="90" spans="3:10" ht="12.75">
      <c r="C90" s="17"/>
      <c r="D90" s="17"/>
      <c r="E90" s="89">
        <v>42816</v>
      </c>
      <c r="F90" s="45"/>
      <c r="G90" s="45">
        <v>-12241.40</v>
      </c>
      <c r="H90" s="110"/>
      <c r="I90" s="25"/>
      <c r="J90" s="17"/>
    </row>
    <row r="91" spans="3:10" ht="12.75">
      <c r="C91" s="17"/>
      <c r="D91" s="17"/>
      <c r="E91" s="89">
        <v>42838</v>
      </c>
      <c r="F91" s="45"/>
      <c r="G91" s="45">
        <v>-12125</v>
      </c>
      <c r="H91" s="110"/>
      <c r="I91" s="25"/>
      <c r="J91" s="17"/>
    </row>
    <row r="92" spans="3:10" ht="12.75">
      <c r="C92" s="17"/>
      <c r="D92" s="17"/>
      <c r="E92" s="89">
        <v>42879</v>
      </c>
      <c r="F92" s="45"/>
      <c r="G92" s="45">
        <v>-13114.40</v>
      </c>
      <c r="H92" s="110"/>
      <c r="I92" s="25"/>
      <c r="J92" s="17"/>
    </row>
    <row r="93" spans="3:10" ht="12.75">
      <c r="C93" s="17"/>
      <c r="D93" s="17"/>
      <c r="E93" s="89">
        <v>42908</v>
      </c>
      <c r="F93" s="45"/>
      <c r="G93" s="45">
        <v>-8497.2</v>
      </c>
      <c r="H93" s="110"/>
      <c r="I93" s="25"/>
      <c r="J93" s="17"/>
    </row>
    <row r="94" spans="3:10" ht="12.75">
      <c r="C94" s="17"/>
      <c r="D94" s="17"/>
      <c r="E94" s="89">
        <v>42933</v>
      </c>
      <c r="F94" s="45"/>
      <c r="G94" s="45">
        <v>-8303.21</v>
      </c>
      <c r="H94" s="110"/>
      <c r="I94" s="25"/>
      <c r="J94" s="17"/>
    </row>
    <row r="95" spans="3:10" ht="12.75">
      <c r="C95" s="17"/>
      <c r="D95" s="17"/>
      <c r="E95" s="89">
        <v>42963</v>
      </c>
      <c r="F95" s="45"/>
      <c r="G95" s="45">
        <v>-23862</v>
      </c>
      <c r="H95" s="110"/>
      <c r="I95" s="25"/>
      <c r="J95" s="17"/>
    </row>
    <row r="96" spans="3:10" ht="12.75">
      <c r="C96" s="17"/>
      <c r="D96" s="17"/>
      <c r="E96" s="89">
        <v>42997</v>
      </c>
      <c r="F96" s="45"/>
      <c r="G96" s="45">
        <v>-11834</v>
      </c>
      <c r="H96" s="17"/>
      <c r="I96" s="25"/>
      <c r="J96" s="17"/>
    </row>
    <row r="97" spans="3:10" ht="12.75">
      <c r="C97" s="17"/>
      <c r="D97" s="17"/>
      <c r="E97" s="89">
        <v>43014</v>
      </c>
      <c r="F97" s="45"/>
      <c r="G97" s="45">
        <v>-14821.60</v>
      </c>
      <c r="H97" s="17"/>
      <c r="I97" s="25"/>
      <c r="J97" s="17"/>
    </row>
    <row r="98" spans="3:12" ht="15.75">
      <c r="C98" s="17"/>
      <c r="D98" s="17"/>
      <c r="E98" s="89">
        <v>43091</v>
      </c>
      <c r="F98" s="45"/>
      <c r="G98" s="45">
        <v>-8691.21</v>
      </c>
      <c r="H98" s="17"/>
      <c r="I98" s="44"/>
      <c r="J98" s="41"/>
      <c r="K98" s="42"/>
      <c r="L98" s="177"/>
    </row>
    <row r="99" spans="3:12" ht="12.75">
      <c r="C99" s="17" t="s">
        <v>46</v>
      </c>
      <c r="D99" s="17"/>
      <c r="E99" s="89">
        <v>42745</v>
      </c>
      <c r="F99" s="45"/>
      <c r="G99" s="45">
        <v>145791.53</v>
      </c>
      <c r="H99" s="110"/>
      <c r="I99" s="44"/>
      <c r="J99" s="41"/>
      <c r="K99" s="42"/>
      <c r="L99" s="124"/>
    </row>
    <row r="100" spans="3:12" ht="12.75">
      <c r="C100" s="17"/>
      <c r="D100" s="17"/>
      <c r="E100" s="89">
        <v>42775</v>
      </c>
      <c r="F100" s="45"/>
      <c r="G100" s="45">
        <v>8650.21</v>
      </c>
      <c r="H100" s="110"/>
      <c r="I100" s="44"/>
      <c r="J100" s="41"/>
      <c r="K100" s="42"/>
      <c r="L100" s="124"/>
    </row>
    <row r="101" spans="3:12" ht="12.75">
      <c r="C101" s="17"/>
      <c r="D101" s="17"/>
      <c r="E101" s="89">
        <v>42824</v>
      </c>
      <c r="F101" s="45"/>
      <c r="G101" s="45">
        <v>5425.33</v>
      </c>
      <c r="H101" s="110"/>
      <c r="I101" s="44"/>
      <c r="J101" s="41"/>
      <c r="K101" s="42"/>
      <c r="L101" s="124"/>
    </row>
    <row r="102" spans="3:12" ht="12.75">
      <c r="C102" s="17"/>
      <c r="D102" s="17"/>
      <c r="E102" s="89">
        <v>42877</v>
      </c>
      <c r="F102" s="45"/>
      <c r="G102" s="45">
        <v>5979.52</v>
      </c>
      <c r="H102" s="110"/>
      <c r="I102" s="44"/>
      <c r="J102" s="41"/>
      <c r="K102" s="42"/>
      <c r="L102" s="124"/>
    </row>
    <row r="103" spans="3:12" ht="12.75">
      <c r="C103" s="17"/>
      <c r="D103" s="17"/>
      <c r="E103" s="89">
        <v>42914</v>
      </c>
      <c r="F103" s="45"/>
      <c r="G103" s="45">
        <v>54363.16</v>
      </c>
      <c r="H103" s="110"/>
      <c r="I103" s="44"/>
      <c r="J103" s="41"/>
      <c r="K103" s="42"/>
      <c r="L103" s="42"/>
    </row>
    <row r="104" spans="3:12" ht="12.75">
      <c r="C104" s="17"/>
      <c r="D104" s="17"/>
      <c r="E104" s="89">
        <v>42936</v>
      </c>
      <c r="F104" s="45"/>
      <c r="G104" s="45">
        <v>5767.47</v>
      </c>
      <c r="H104" s="17"/>
      <c r="I104" s="44"/>
      <c r="J104" s="41"/>
      <c r="K104" s="42"/>
      <c r="L104" s="42"/>
    </row>
    <row r="105" spans="3:12" ht="12.75">
      <c r="C105" s="17"/>
      <c r="D105" s="17"/>
      <c r="E105" s="89">
        <v>43019</v>
      </c>
      <c r="F105" s="45"/>
      <c r="G105" s="45">
        <v>4812.14</v>
      </c>
      <c r="H105" s="17"/>
      <c r="I105" s="44"/>
      <c r="J105" s="41"/>
      <c r="K105" s="42"/>
      <c r="L105" s="42"/>
    </row>
    <row r="106" spans="3:10" ht="12.75">
      <c r="C106" s="17"/>
      <c r="D106" s="17"/>
      <c r="E106" s="89">
        <v>43052</v>
      </c>
      <c r="F106" s="45"/>
      <c r="G106" s="45">
        <v>3102.40</v>
      </c>
      <c r="H106" s="17"/>
      <c r="I106" s="25"/>
      <c r="J106" s="17"/>
    </row>
    <row r="107" spans="3:10" ht="12.75">
      <c r="C107" s="17" t="s">
        <v>31</v>
      </c>
      <c r="D107" s="17"/>
      <c r="E107" s="89">
        <v>43178</v>
      </c>
      <c r="F107" s="45"/>
      <c r="G107" s="45">
        <v>-7003.40</v>
      </c>
      <c r="H107" s="17"/>
      <c r="I107" s="25"/>
      <c r="J107" s="17"/>
    </row>
    <row r="108" spans="3:10" ht="12.75">
      <c r="C108" s="17"/>
      <c r="D108" s="17"/>
      <c r="E108" s="89">
        <v>43194</v>
      </c>
      <c r="F108" s="45"/>
      <c r="G108" s="45">
        <v>-10223.81</v>
      </c>
      <c r="H108" s="17"/>
      <c r="I108" s="25"/>
      <c r="J108" s="17"/>
    </row>
    <row r="109" spans="3:10" ht="12.75">
      <c r="C109" s="17"/>
      <c r="D109" s="17"/>
      <c r="E109" s="89">
        <v>43251</v>
      </c>
      <c r="F109" s="45"/>
      <c r="G109" s="45">
        <v>-8439</v>
      </c>
      <c r="H109" s="17"/>
      <c r="I109" s="25"/>
      <c r="J109" s="17"/>
    </row>
    <row r="110" spans="3:10" ht="12.75">
      <c r="C110" s="17"/>
      <c r="D110" s="17"/>
      <c r="E110" s="89">
        <v>43342</v>
      </c>
      <c r="F110" s="45"/>
      <c r="G110" s="45">
        <v>-11058.01</v>
      </c>
      <c r="H110" s="17"/>
      <c r="I110" s="25"/>
      <c r="J110" s="17"/>
    </row>
    <row r="111" spans="3:10" ht="12.75">
      <c r="C111" s="17"/>
      <c r="D111" s="17"/>
      <c r="E111" s="89">
        <v>43434</v>
      </c>
      <c r="F111" s="45"/>
      <c r="G111" s="45">
        <v>-12571.20</v>
      </c>
      <c r="H111" s="17"/>
      <c r="I111" s="25"/>
      <c r="J111" s="17"/>
    </row>
    <row r="112" spans="3:10" ht="12.75">
      <c r="C112" s="17" t="s">
        <v>26</v>
      </c>
      <c r="D112" s="17"/>
      <c r="E112" s="89">
        <v>43116</v>
      </c>
      <c r="F112" s="45"/>
      <c r="G112" s="45">
        <v>26087.71</v>
      </c>
      <c r="H112" s="17"/>
      <c r="I112" s="25"/>
      <c r="J112" s="17"/>
    </row>
    <row r="113" spans="3:10" ht="12.75">
      <c r="C113" s="17"/>
      <c r="D113" s="17"/>
      <c r="E113" s="89">
        <v>43145</v>
      </c>
      <c r="F113" s="45"/>
      <c r="G113" s="45">
        <v>8035.12</v>
      </c>
      <c r="H113" s="17"/>
      <c r="I113" s="25"/>
      <c r="J113" s="17"/>
    </row>
    <row r="114" spans="3:10" ht="12.75">
      <c r="C114" s="17"/>
      <c r="D114" s="17"/>
      <c r="E114" s="89">
        <v>43222</v>
      </c>
      <c r="F114" s="45"/>
      <c r="G114" s="45">
        <v>16037.40</v>
      </c>
      <c r="H114" s="17"/>
      <c r="I114" s="25"/>
      <c r="J114" s="17"/>
    </row>
    <row r="115" spans="3:10" ht="12.75">
      <c r="C115" s="17"/>
      <c r="D115" s="17"/>
      <c r="E115" s="89">
        <v>43314</v>
      </c>
      <c r="F115" s="45"/>
      <c r="G115" s="45">
        <v>17282.37</v>
      </c>
      <c r="H115" s="17"/>
      <c r="I115" s="25"/>
      <c r="J115" s="17"/>
    </row>
    <row r="116" spans="3:10" ht="12.75">
      <c r="C116" s="17"/>
      <c r="D116" s="17"/>
      <c r="E116" s="89">
        <v>43341</v>
      </c>
      <c r="F116" s="45"/>
      <c r="G116" s="45">
        <v>48223.37</v>
      </c>
      <c r="H116" s="17"/>
      <c r="I116" s="25"/>
      <c r="J116" s="17"/>
    </row>
    <row r="117" spans="3:10" ht="12.75">
      <c r="C117" s="17"/>
      <c r="D117" s="17"/>
      <c r="E117" s="89">
        <v>43398</v>
      </c>
      <c r="F117" s="45"/>
      <c r="G117" s="45">
        <v>15331.47</v>
      </c>
      <c r="H117" s="17"/>
      <c r="I117" s="25"/>
      <c r="J117" s="17"/>
    </row>
    <row r="118" spans="3:10" ht="12.75">
      <c r="C118" s="17" t="s">
        <v>32</v>
      </c>
      <c r="D118" s="17"/>
      <c r="E118" s="89">
        <v>43529</v>
      </c>
      <c r="F118" s="45"/>
      <c r="G118" s="45">
        <v>-5800.60</v>
      </c>
      <c r="H118" s="17"/>
      <c r="I118" s="25"/>
      <c r="J118" s="17"/>
    </row>
    <row r="119" spans="3:10" ht="12.75">
      <c r="C119" s="17"/>
      <c r="D119" s="17"/>
      <c r="E119" s="89">
        <v>43564</v>
      </c>
      <c r="F119" s="45"/>
      <c r="G119" s="45">
        <v>-7197.40</v>
      </c>
      <c r="H119" s="17"/>
      <c r="I119" s="25"/>
      <c r="J119" s="17"/>
    </row>
    <row r="120" spans="3:10" ht="12.75">
      <c r="C120" s="17"/>
      <c r="D120" s="17"/>
      <c r="E120" s="89">
        <v>43782</v>
      </c>
      <c r="F120" s="45"/>
      <c r="G120" s="45">
        <v>-6227.40</v>
      </c>
      <c r="H120" s="17"/>
      <c r="I120" s="25"/>
      <c r="J120" s="17"/>
    </row>
    <row r="121" spans="3:10" ht="12.75">
      <c r="C121" s="17" t="s">
        <v>27</v>
      </c>
      <c r="D121" s="17"/>
      <c r="E121" s="89">
        <v>43479</v>
      </c>
      <c r="F121" s="45"/>
      <c r="G121" s="45">
        <v>5081.35</v>
      </c>
      <c r="H121" s="17"/>
      <c r="I121" s="25"/>
      <c r="J121" s="17"/>
    </row>
    <row r="122" spans="3:10" ht="12.75">
      <c r="C122" s="17"/>
      <c r="D122" s="17"/>
      <c r="E122" s="89">
        <v>43558</v>
      </c>
      <c r="F122" s="45"/>
      <c r="G122" s="45">
        <v>48961.84</v>
      </c>
      <c r="H122" s="17"/>
      <c r="I122" s="25"/>
      <c r="J122" s="17"/>
    </row>
    <row r="123" spans="3:10" ht="12.75">
      <c r="C123" s="17"/>
      <c r="D123" s="17"/>
      <c r="E123" s="89">
        <v>43622</v>
      </c>
      <c r="F123" s="45"/>
      <c r="G123" s="45">
        <v>6911.20</v>
      </c>
      <c r="H123" s="17"/>
      <c r="I123" s="25"/>
      <c r="J123" s="17"/>
    </row>
    <row r="124" spans="3:10" ht="12.75">
      <c r="C124" s="17"/>
      <c r="D124" s="17"/>
      <c r="E124" s="89">
        <v>43689</v>
      </c>
      <c r="F124" s="45"/>
      <c r="G124" s="45">
        <v>11739.53</v>
      </c>
      <c r="H124" s="17"/>
      <c r="I124" s="25"/>
      <c r="J124" s="17"/>
    </row>
    <row r="125" spans="3:10" ht="12.75">
      <c r="C125" s="17"/>
      <c r="D125" s="17"/>
      <c r="E125" s="89">
        <v>43753</v>
      </c>
      <c r="F125" s="45"/>
      <c r="G125" s="45">
        <v>5524.96</v>
      </c>
      <c r="H125" s="17"/>
      <c r="I125" s="25"/>
      <c r="J125" s="17"/>
    </row>
    <row r="126" spans="3:10" ht="12.75">
      <c r="C126" s="17" t="s">
        <v>33</v>
      </c>
      <c r="D126" s="17"/>
      <c r="E126" s="89">
        <v>43923</v>
      </c>
      <c r="F126" s="45"/>
      <c r="G126" s="45">
        <v>-5315.61</v>
      </c>
      <c r="H126" s="17"/>
      <c r="I126" s="25"/>
      <c r="J126" s="17"/>
    </row>
    <row r="127" spans="3:10" ht="12.75">
      <c r="C127" s="17"/>
      <c r="D127" s="17"/>
      <c r="E127" s="89">
        <v>44104</v>
      </c>
      <c r="F127" s="45"/>
      <c r="G127" s="45">
        <v>-6188.61</v>
      </c>
      <c r="H127" s="17"/>
      <c r="I127" s="25"/>
      <c r="J127" s="17"/>
    </row>
    <row r="128" spans="3:10" ht="12.75">
      <c r="C128" s="17" t="s">
        <v>47</v>
      </c>
      <c r="D128" s="17"/>
      <c r="E128" s="89">
        <v>43867</v>
      </c>
      <c r="F128" s="45"/>
      <c r="G128" s="45">
        <v>13187.27</v>
      </c>
      <c r="H128" s="17"/>
      <c r="I128" s="25"/>
      <c r="J128" s="17"/>
    </row>
    <row r="129" spans="3:12" ht="15.75">
      <c r="C129" s="17"/>
      <c r="D129" s="17"/>
      <c r="E129" s="89">
        <v>44153</v>
      </c>
      <c r="F129" s="45"/>
      <c r="G129" s="45">
        <v>8637.33</v>
      </c>
      <c r="H129" s="17"/>
      <c r="I129" s="25"/>
      <c r="J129" s="17"/>
      <c r="L129" s="80"/>
    </row>
    <row r="130" spans="3:10" ht="12.75">
      <c r="C130" s="17" t="s">
        <v>34</v>
      </c>
      <c r="D130" s="17"/>
      <c r="E130" s="89">
        <v>44279</v>
      </c>
      <c r="F130" s="45"/>
      <c r="G130" s="45">
        <v>-4171</v>
      </c>
      <c r="H130" s="17"/>
      <c r="I130" s="25"/>
      <c r="J130" s="17"/>
    </row>
    <row r="131" spans="3:10" ht="12.75">
      <c r="C131" s="17"/>
      <c r="D131" s="17"/>
      <c r="E131" s="89">
        <v>44463</v>
      </c>
      <c r="F131" s="45"/>
      <c r="G131" s="45">
        <v>-2832.40</v>
      </c>
      <c r="H131" s="17"/>
      <c r="I131" s="25"/>
      <c r="J131" s="17"/>
    </row>
    <row r="132" spans="3:12" ht="15.75">
      <c r="C132" s="17" t="s">
        <v>28</v>
      </c>
      <c r="D132" s="17"/>
      <c r="E132" s="89">
        <v>44224</v>
      </c>
      <c r="F132" s="45"/>
      <c r="G132" s="45">
        <v>6183.64</v>
      </c>
      <c r="H132" s="17"/>
      <c r="I132" s="25"/>
      <c r="J132" s="17"/>
      <c r="L132" s="80"/>
    </row>
    <row r="133" spans="3:12" ht="15.75">
      <c r="C133" s="17"/>
      <c r="D133" s="17"/>
      <c r="E133" s="89">
        <v>44259</v>
      </c>
      <c r="F133" s="45"/>
      <c r="G133" s="45">
        <v>13767.33</v>
      </c>
      <c r="H133" s="17"/>
      <c r="I133" s="25"/>
      <c r="J133" s="17"/>
      <c r="L133" s="80"/>
    </row>
    <row r="134" spans="3:12" ht="15.75">
      <c r="C134" s="17"/>
      <c r="D134" s="17"/>
      <c r="E134" s="89">
        <v>44383</v>
      </c>
      <c r="F134" s="45"/>
      <c r="G134" s="45">
        <v>62582.64</v>
      </c>
      <c r="H134" s="17"/>
      <c r="I134" s="25"/>
      <c r="J134" s="17"/>
      <c r="L134" s="80"/>
    </row>
    <row r="135" spans="3:12" ht="15.75">
      <c r="C135" s="17"/>
      <c r="D135" s="17"/>
      <c r="E135" s="89">
        <v>44441</v>
      </c>
      <c r="F135" s="45"/>
      <c r="G135" s="45">
        <v>5274.05</v>
      </c>
      <c r="H135" s="17"/>
      <c r="I135" s="25"/>
      <c r="J135" s="17"/>
      <c r="L135" s="80"/>
    </row>
    <row r="136" spans="3:12" ht="15.75">
      <c r="C136" s="17"/>
      <c r="D136" s="17"/>
      <c r="E136" s="89">
        <v>44502</v>
      </c>
      <c r="F136" s="45"/>
      <c r="G136" s="45">
        <v>24015.59</v>
      </c>
      <c r="H136" s="17"/>
      <c r="I136" s="25"/>
      <c r="J136" s="17"/>
      <c r="L136" s="80"/>
    </row>
    <row r="137" spans="3:12" ht="15.75">
      <c r="C137" s="17"/>
      <c r="D137" s="17"/>
      <c r="E137" s="89">
        <v>44551</v>
      </c>
      <c r="F137" s="45"/>
      <c r="G137" s="45">
        <v>7571.28</v>
      </c>
      <c r="H137" s="17"/>
      <c r="I137" s="25"/>
      <c r="J137" s="17"/>
      <c r="L137" s="80"/>
    </row>
    <row r="138" spans="3:12" ht="15.75">
      <c r="C138" s="17" t="s">
        <v>35</v>
      </c>
      <c r="D138" s="17"/>
      <c r="E138" s="89">
        <v>44651</v>
      </c>
      <c r="F138" s="45"/>
      <c r="G138" s="45">
        <v>-1571.40</v>
      </c>
      <c r="H138" s="17"/>
      <c r="I138" s="25"/>
      <c r="J138" s="17"/>
      <c r="L138" s="80"/>
    </row>
    <row r="139" spans="3:12" ht="15.75">
      <c r="C139" s="17"/>
      <c r="D139" s="17"/>
      <c r="E139" s="89">
        <v>44742</v>
      </c>
      <c r="F139" s="45"/>
      <c r="G139" s="45">
        <v>-1396.80</v>
      </c>
      <c r="H139" s="17"/>
      <c r="I139" s="25"/>
      <c r="J139" s="17"/>
      <c r="L139" s="80"/>
    </row>
    <row r="140" spans="3:12" ht="15.75">
      <c r="C140" s="17"/>
      <c r="D140" s="17"/>
      <c r="E140" s="89">
        <v>44827</v>
      </c>
      <c r="F140" s="45"/>
      <c r="G140" s="45">
        <v>-1319.20</v>
      </c>
      <c r="H140" s="17"/>
      <c r="I140" s="25"/>
      <c r="J140" s="17"/>
      <c r="L140" s="80"/>
    </row>
    <row r="141" spans="3:12" ht="15.75">
      <c r="C141" s="17" t="s">
        <v>29</v>
      </c>
      <c r="D141" s="17"/>
      <c r="E141" s="89">
        <v>44582</v>
      </c>
      <c r="F141" s="45"/>
      <c r="G141" s="45">
        <v>30866.37</v>
      </c>
      <c r="H141" s="17"/>
      <c r="I141" s="25"/>
      <c r="J141" s="17"/>
      <c r="L141" s="80"/>
    </row>
    <row r="142" spans="3:12" ht="15.75">
      <c r="C142" s="17"/>
      <c r="D142" s="17"/>
      <c r="E142" s="89">
        <v>44599</v>
      </c>
      <c r="F142" s="45"/>
      <c r="G142" s="45">
        <v>12638.01</v>
      </c>
      <c r="H142" s="17"/>
      <c r="I142" s="25"/>
      <c r="J142" s="17"/>
      <c r="L142" s="80"/>
    </row>
    <row r="143" spans="3:12" ht="15.75">
      <c r="C143" s="17"/>
      <c r="D143" s="17"/>
      <c r="E143" s="89">
        <v>44634</v>
      </c>
      <c r="F143" s="45"/>
      <c r="G143" s="45">
        <v>22379.35</v>
      </c>
      <c r="H143" s="17"/>
      <c r="I143" s="25"/>
      <c r="J143" s="17"/>
      <c r="L143" s="80"/>
    </row>
    <row r="144" spans="3:12" ht="15.75">
      <c r="C144" s="17"/>
      <c r="D144" s="17"/>
      <c r="E144" s="89">
        <v>44657</v>
      </c>
      <c r="F144" s="45"/>
      <c r="G144" s="45">
        <v>21681.51</v>
      </c>
      <c r="H144" s="17"/>
      <c r="I144" s="25"/>
      <c r="J144" s="17"/>
      <c r="L144" s="80"/>
    </row>
    <row r="145" spans="3:12" ht="15.75">
      <c r="C145" s="17"/>
      <c r="D145" s="17"/>
      <c r="E145" s="89">
        <v>44694</v>
      </c>
      <c r="F145" s="45"/>
      <c r="G145" s="45">
        <v>27235.79</v>
      </c>
      <c r="H145" s="17"/>
      <c r="I145" s="25"/>
      <c r="J145" s="17"/>
      <c r="L145" s="80"/>
    </row>
    <row r="146" spans="3:12" ht="15.75">
      <c r="C146" s="17"/>
      <c r="D146" s="17"/>
      <c r="E146" s="89">
        <v>44715</v>
      </c>
      <c r="F146" s="45"/>
      <c r="G146" s="45">
        <v>14139.90</v>
      </c>
      <c r="H146" s="17"/>
      <c r="I146" s="25"/>
      <c r="J146" s="17"/>
      <c r="L146" s="80"/>
    </row>
    <row r="147" spans="3:12" ht="15.75">
      <c r="C147" s="17"/>
      <c r="D147" s="17"/>
      <c r="E147" s="89">
        <v>44755</v>
      </c>
      <c r="F147" s="45"/>
      <c r="G147" s="45">
        <v>25502.76</v>
      </c>
      <c r="H147" s="17"/>
      <c r="I147" s="25"/>
      <c r="J147" s="17"/>
      <c r="L147" s="80"/>
    </row>
    <row r="148" spans="3:12" ht="15.75">
      <c r="C148" s="17"/>
      <c r="D148" s="17"/>
      <c r="E148" s="89">
        <v>44777</v>
      </c>
      <c r="F148" s="45"/>
      <c r="G148" s="45">
        <v>8593.05</v>
      </c>
      <c r="H148" s="17"/>
      <c r="I148" s="25"/>
      <c r="J148" s="17"/>
      <c r="L148" s="80"/>
    </row>
    <row r="149" spans="3:12" ht="15.75">
      <c r="C149" s="17"/>
      <c r="D149" s="17"/>
      <c r="E149" s="89">
        <v>44812</v>
      </c>
      <c r="F149" s="45"/>
      <c r="G149" s="45">
        <v>17789.17</v>
      </c>
      <c r="H149" s="17"/>
      <c r="I149" s="25"/>
      <c r="J149" s="17"/>
      <c r="L149" s="80"/>
    </row>
    <row r="150" spans="3:9" ht="4.5" customHeight="1">
      <c r="C150" s="17"/>
      <c r="D150" s="17"/>
      <c r="E150" s="89"/>
      <c r="F150" s="17"/>
      <c r="G150" s="45"/>
      <c r="H150" s="17"/>
      <c r="I150" s="25"/>
    </row>
    <row r="151" spans="3:12" ht="12.75">
      <c r="C151" s="17" t="s">
        <v>5</v>
      </c>
      <c r="D151" s="110"/>
      <c r="E151" s="89">
        <f>+E8</f>
        <v>44834</v>
      </c>
      <c r="F151" s="17"/>
      <c r="G151" s="94">
        <f>L151*C22</f>
        <v>432487.73421440675</v>
      </c>
      <c r="H151" s="110"/>
      <c r="I151" s="45">
        <f>+SUMIF($G$23:$G$150,"&lt;0",$G$23:$G$150)</f>
        <v>-1151434.39</v>
      </c>
      <c r="J151" s="17" t="s">
        <v>20</v>
      </c>
      <c r="L151" s="124">
        <v>139603582</v>
      </c>
    </row>
    <row r="152" spans="3:10" ht="12.75">
      <c r="C152" s="17"/>
      <c r="D152" s="110"/>
      <c r="E152" s="17"/>
      <c r="F152" s="17"/>
      <c r="G152" s="17"/>
      <c r="H152" s="110"/>
      <c r="I152" s="45">
        <f>+SUMIF($G$23:$G$150,"&gt;0",$G$23:$G$150)</f>
        <v>1174438.5799999998</v>
      </c>
      <c r="J152" s="17" t="s">
        <v>21</v>
      </c>
    </row>
    <row r="153" spans="3:8" ht="12.75">
      <c r="C153" s="15" t="s">
        <v>0</v>
      </c>
      <c r="G153" s="72">
        <f>+XIRR(G23:G151,E23:E151,0.1)</f>
        <v>0.09860445857048036</v>
      </c>
      <c r="H153" s="110"/>
    </row>
    <row r="154" spans="3:8" ht="12.75">
      <c r="C154" s="17"/>
      <c r="D154" s="110"/>
      <c r="E154" s="17"/>
      <c r="F154" s="17"/>
      <c r="G154" s="17"/>
      <c r="H154" s="110"/>
    </row>
    <row r="155" spans="3:8" ht="12.75">
      <c r="C155" s="17"/>
      <c r="D155" s="110"/>
      <c r="E155" s="17"/>
      <c r="F155" s="17"/>
      <c r="G155" s="17"/>
      <c r="H155" s="110"/>
    </row>
    <row r="156" spans="3:8" ht="12.75">
      <c r="C156" s="110"/>
      <c r="D156" s="110"/>
      <c r="E156" s="136"/>
      <c r="F156" s="17"/>
      <c r="G156" s="136"/>
      <c r="H156" s="110"/>
    </row>
    <row r="157" spans="3:8" ht="12.75">
      <c r="C157" s="137"/>
      <c r="D157" s="137"/>
      <c r="E157" s="136"/>
      <c r="F157" s="28"/>
      <c r="G157" s="136"/>
      <c r="H157" s="110"/>
    </row>
    <row r="158" spans="3:8" ht="12.75">
      <c r="C158" s="137"/>
      <c r="D158" s="137"/>
      <c r="E158" s="136"/>
      <c r="F158" s="28"/>
      <c r="G158" s="136"/>
      <c r="H158" s="110"/>
    </row>
    <row r="159" spans="3:8" ht="12.75">
      <c r="C159" s="28"/>
      <c r="D159" s="28"/>
      <c r="E159" s="76"/>
      <c r="F159" s="76"/>
      <c r="G159" s="76"/>
      <c r="H159" s="15"/>
    </row>
    <row r="160" spans="3:8" ht="12.75">
      <c r="C160" s="28"/>
      <c r="D160" s="28"/>
      <c r="E160" s="75"/>
      <c r="F160" s="75"/>
      <c r="G160" s="75"/>
      <c r="H160" s="15"/>
    </row>
    <row r="161" spans="3:8" ht="12.75">
      <c r="C161" s="28"/>
      <c r="D161" s="28"/>
      <c r="E161" s="28"/>
      <c r="F161" s="28"/>
      <c r="G161" s="28"/>
      <c r="H161" s="15"/>
    </row>
    <row r="162" spans="3:8" ht="12.75">
      <c r="C162" s="171"/>
      <c r="D162" s="171"/>
      <c r="E162" s="173"/>
      <c r="F162" s="104"/>
      <c r="G162" s="32"/>
      <c r="H162" s="110"/>
    </row>
    <row r="163" spans="3:8" s="111" customFormat="1" ht="12.75">
      <c r="C163" s="171"/>
      <c r="D163" s="171"/>
      <c r="E163" s="97"/>
      <c r="F163" s="17"/>
      <c r="G163" s="97"/>
      <c r="H163" s="110"/>
    </row>
    <row r="164" spans="3:8" s="111" customFormat="1" ht="12.75">
      <c r="C164" s="171"/>
      <c r="D164" s="171"/>
      <c r="E164" s="97"/>
      <c r="F164" s="17"/>
      <c r="G164" s="97"/>
      <c r="H164" s="110"/>
    </row>
    <row r="165" spans="3:8" ht="12.75">
      <c r="C165" s="189"/>
      <c r="D165" s="171"/>
      <c r="E165" s="97"/>
      <c r="F165" s="17"/>
      <c r="G165" s="97"/>
      <c r="H165" s="110"/>
    </row>
    <row r="166" spans="3:8" ht="12.75">
      <c r="C166" s="189"/>
      <c r="D166" s="171"/>
      <c r="E166" s="97"/>
      <c r="F166" s="17"/>
      <c r="G166" s="97"/>
      <c r="H166" s="110"/>
    </row>
    <row r="167" spans="3:8" ht="12.75">
      <c r="C167" s="190"/>
      <c r="D167" s="171"/>
      <c r="E167" s="97"/>
      <c r="F167" s="17"/>
      <c r="G167" s="97"/>
      <c r="H167" s="110"/>
    </row>
    <row r="168" spans="3:8" s="111" customFormat="1" ht="12.75">
      <c r="C168" s="171"/>
      <c r="D168" s="171"/>
      <c r="E168" s="97"/>
      <c r="F168" s="17"/>
      <c r="G168" s="97"/>
      <c r="H168" s="110"/>
    </row>
    <row r="169" spans="3:8" ht="12.75">
      <c r="C169" s="171"/>
      <c r="D169" s="171"/>
      <c r="E169" s="97"/>
      <c r="F169" s="17"/>
      <c r="G169" s="97"/>
      <c r="H169" s="110"/>
    </row>
    <row r="170" spans="3:8" ht="12.75">
      <c r="C170" s="171"/>
      <c r="D170" s="171"/>
      <c r="E170" s="97"/>
      <c r="F170" s="17"/>
      <c r="G170" s="97"/>
      <c r="H170" s="110"/>
    </row>
    <row r="171" spans="3:8" ht="12.75">
      <c r="C171" s="171"/>
      <c r="D171" s="171"/>
      <c r="E171" s="97"/>
      <c r="F171" s="17"/>
      <c r="G171" s="97"/>
      <c r="H171" s="110"/>
    </row>
    <row r="172" spans="3:8" ht="12.75">
      <c r="C172" s="171"/>
      <c r="D172" s="171"/>
      <c r="E172" s="97"/>
      <c r="F172" s="17"/>
      <c r="G172" s="97"/>
      <c r="H172" s="110"/>
    </row>
    <row r="173" spans="3:8" ht="12.75">
      <c r="C173" s="171"/>
      <c r="D173" s="171"/>
      <c r="E173" s="97"/>
      <c r="F173" s="17"/>
      <c r="G173" s="97"/>
      <c r="H173" s="110"/>
    </row>
    <row r="174" spans="3:8" ht="5.1" customHeight="1">
      <c r="C174" s="17"/>
      <c r="D174" s="17"/>
      <c r="E174" s="17"/>
      <c r="F174" s="17"/>
      <c r="G174" s="17"/>
      <c r="H174" s="110"/>
    </row>
    <row r="175" spans="3:8" ht="12.75">
      <c r="C175" s="17"/>
      <c r="D175" s="17"/>
      <c r="E175" s="17"/>
      <c r="F175" s="17"/>
      <c r="G175" s="17"/>
      <c r="H175" s="17"/>
    </row>
    <row r="176" spans="3:8" ht="12.75">
      <c r="C176" s="17"/>
      <c r="D176" s="110"/>
      <c r="E176" s="17"/>
      <c r="F176" s="17"/>
      <c r="G176" s="17"/>
      <c r="H176" s="110"/>
    </row>
  </sheetData>
  <mergeCells count="1">
    <mergeCell ref="E159:G159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5DE4ADB-A58C-454C-BD94-1C790E682267}">
  <sheetPr>
    <pageSetUpPr fitToPage="1"/>
  </sheetPr>
  <dimension ref="B4:O176"/>
  <sheetViews>
    <sheetView showGridLines="0" view="pageLayout" zoomScaleNormal="100" workbookViewId="0" topLeftCell="A1">
      <selection pane="topLeft" activeCell="E12" sqref="E12"/>
    </sheetView>
  </sheetViews>
  <sheetFormatPr defaultRowHeight="12.75"/>
  <cols>
    <col min="2" max="2" width="4.857142857142857" customWidth="1"/>
    <col min="3" max="3" width="48.142857142857146" customWidth="1"/>
    <col min="4" max="4" width="1.4285714285714286" customWidth="1"/>
    <col min="5" max="5" width="12.571428571428571" customWidth="1"/>
    <col min="6" max="6" width="1.4285714285714286" customWidth="1"/>
    <col min="7" max="7" width="12.428571428571429" customWidth="1"/>
    <col min="8" max="8" width="2.4285714285714284" customWidth="1"/>
    <col min="9" max="9" width="7.428571428571429" customWidth="1"/>
    <col min="10" max="10" width="11.714285714285714" customWidth="1"/>
    <col min="11" max="11" width="16.571428571428573" bestFit="1" customWidth="1"/>
    <col min="12" max="12" width="16.857142857142858" customWidth="1"/>
    <col min="13" max="13" width="19.571428571428573" customWidth="1"/>
    <col min="14" max="15" width="15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77">
        <v>44834</v>
      </c>
      <c r="F8" s="13"/>
      <c r="G8" s="78"/>
      <c r="H8" s="78"/>
      <c r="I8" s="79"/>
    </row>
    <row r="9" spans="3:7" ht="15.75">
      <c r="C9" s="65"/>
      <c r="D9" s="65"/>
      <c r="E9" s="65"/>
      <c r="F9" s="65"/>
      <c r="G9" s="177"/>
    </row>
    <row r="10" spans="3:14" ht="12.75">
      <c r="C10" s="178"/>
      <c r="D10" s="178"/>
      <c r="E10" s="179"/>
      <c r="F10" s="178"/>
      <c r="G10" s="124"/>
      <c r="H10" s="81"/>
      <c r="I10" s="82"/>
      <c r="N10" s="118"/>
    </row>
    <row r="11" spans="3:9" ht="12.75">
      <c r="C11" s="178"/>
      <c r="D11" s="178"/>
      <c r="E11" s="179"/>
      <c r="F11" s="178"/>
      <c r="G11" s="179"/>
      <c r="H11" s="81"/>
      <c r="I11" s="82"/>
    </row>
    <row r="12" spans="3:9" ht="15.75">
      <c r="C12" s="180"/>
      <c r="D12" s="180"/>
      <c r="E12" s="70"/>
      <c r="F12" s="180"/>
      <c r="G12" s="70"/>
      <c r="H12" s="5"/>
      <c r="I12" s="82"/>
    </row>
    <row r="13" spans="3:9" ht="12.75">
      <c r="C13" s="178"/>
      <c r="D13" s="178"/>
      <c r="E13" s="71"/>
      <c r="F13" s="178"/>
      <c r="G13" s="124"/>
      <c r="H13" s="84"/>
      <c r="I13" s="82"/>
    </row>
    <row r="14" spans="3:9" ht="12.75">
      <c r="C14" s="178"/>
      <c r="D14" s="178"/>
      <c r="E14" s="181"/>
      <c r="F14" s="178"/>
      <c r="G14" s="124"/>
      <c r="H14" s="85"/>
      <c r="I14" s="82"/>
    </row>
    <row r="15" spans="3:9" ht="12.75">
      <c r="C15" s="178"/>
      <c r="D15" s="178"/>
      <c r="E15" s="179"/>
      <c r="F15" s="178"/>
      <c r="G15" s="179"/>
      <c r="H15" s="81"/>
      <c r="I15" s="82"/>
    </row>
    <row r="16" spans="3:9" ht="15.75">
      <c r="C16" s="5"/>
      <c r="D16" s="5"/>
      <c r="E16" s="10"/>
      <c r="F16" s="5"/>
      <c r="G16" s="10"/>
      <c r="H16" s="5"/>
      <c r="I16" s="82"/>
    </row>
    <row r="17" spans="3:9" ht="15.75">
      <c r="C17" s="83" t="s">
        <v>15</v>
      </c>
      <c r="D17" s="83"/>
      <c r="E17" s="10"/>
      <c r="F17" s="83"/>
      <c r="G17" s="10"/>
      <c r="H17" s="5"/>
      <c r="I17" s="86"/>
    </row>
    <row r="18" spans="3:9" ht="12.75" customHeight="1">
      <c r="C18" s="6" t="s">
        <v>16</v>
      </c>
      <c r="D18" s="6"/>
      <c r="E18" s="84">
        <f>G140</f>
        <v>0.15694598555564884</v>
      </c>
      <c r="F18" s="6"/>
      <c r="G18" s="11"/>
      <c r="H18" s="84"/>
      <c r="I18" s="86"/>
    </row>
    <row r="19" spans="3:8" ht="12.75">
      <c r="C19" s="6" t="s">
        <v>17</v>
      </c>
      <c r="D19" s="6"/>
      <c r="E19" s="87">
        <f>-(G138+J141)/J140</f>
        <v>1.805135035383941</v>
      </c>
      <c r="F19" s="6"/>
      <c r="G19" s="9"/>
      <c r="H19" s="81"/>
    </row>
    <row r="20" spans="3:7" ht="12.75">
      <c r="C20" s="6"/>
      <c r="D20" s="6"/>
      <c r="E20" s="6"/>
      <c r="F20" s="6"/>
      <c r="G20" s="81"/>
    </row>
    <row r="21" spans="3:12" ht="15.75">
      <c r="C21" s="88" t="s">
        <v>50</v>
      </c>
      <c r="D21" s="7"/>
      <c r="E21" s="7"/>
      <c r="F21" s="7"/>
      <c r="I21" s="89"/>
      <c r="J21" s="17"/>
      <c r="L21" s="119"/>
    </row>
    <row r="22" spans="3:10" ht="12.75">
      <c r="C22" s="90">
        <v>2.23846E-4</v>
      </c>
      <c r="D22" s="17"/>
      <c r="E22" s="17"/>
      <c r="F22" s="17"/>
      <c r="G22" s="91"/>
      <c r="H22" s="17"/>
      <c r="I22" s="17"/>
      <c r="J22" s="17"/>
    </row>
    <row r="23" spans="3:15" ht="12.75">
      <c r="C23" s="17"/>
      <c r="D23" s="17"/>
      <c r="E23" s="89"/>
      <c r="F23" s="45"/>
      <c r="G23" s="45"/>
      <c r="H23" s="17"/>
      <c r="I23" s="25"/>
      <c r="J23" s="25"/>
      <c r="N23" s="95"/>
      <c r="O23" s="95"/>
    </row>
    <row r="24" spans="3:15" ht="12.75">
      <c r="C24" s="17" t="s">
        <v>44</v>
      </c>
      <c r="D24" s="17"/>
      <c r="E24" s="89">
        <v>42089</v>
      </c>
      <c r="F24" s="45"/>
      <c r="G24" s="45">
        <v>-71700</v>
      </c>
      <c r="H24" s="17"/>
      <c r="I24" s="25"/>
      <c r="N24" s="95"/>
      <c r="O24" s="95"/>
    </row>
    <row r="25" spans="3:14" ht="12.75">
      <c r="C25" s="17"/>
      <c r="D25" s="17"/>
      <c r="E25" s="89">
        <v>42118</v>
      </c>
      <c r="F25" s="45"/>
      <c r="G25" s="45">
        <v>23052.40</v>
      </c>
      <c r="H25" s="17"/>
      <c r="I25" s="25"/>
      <c r="N25" s="95"/>
    </row>
    <row r="26" spans="3:14" ht="12.75">
      <c r="C26" s="17"/>
      <c r="D26" s="17"/>
      <c r="E26" s="89">
        <v>42180</v>
      </c>
      <c r="F26" s="45"/>
      <c r="G26" s="45">
        <v>-7095.93</v>
      </c>
      <c r="H26" s="17"/>
      <c r="I26" s="25"/>
      <c r="N26" s="95"/>
    </row>
    <row r="27" spans="3:14" ht="12.75">
      <c r="C27" s="17"/>
      <c r="D27" s="17"/>
      <c r="E27" s="89">
        <v>42201</v>
      </c>
      <c r="F27" s="45"/>
      <c r="G27" s="45">
        <v>-2216.09</v>
      </c>
      <c r="H27" s="17"/>
      <c r="I27" s="25"/>
      <c r="N27" s="95"/>
    </row>
    <row r="28" spans="3:14" ht="12.75">
      <c r="C28" s="17"/>
      <c r="D28" s="17"/>
      <c r="E28" s="89">
        <v>42271</v>
      </c>
      <c r="F28" s="45"/>
      <c r="G28" s="45">
        <v>-6961.62</v>
      </c>
      <c r="H28" s="17"/>
      <c r="I28" s="25"/>
      <c r="N28" s="95"/>
    </row>
    <row r="29" spans="3:14" ht="12.75">
      <c r="C29" s="17"/>
      <c r="D29" s="17"/>
      <c r="E29" s="89">
        <v>42324</v>
      </c>
      <c r="F29" s="45"/>
      <c r="G29" s="45">
        <v>-10587.93</v>
      </c>
      <c r="H29" s="17"/>
      <c r="I29" s="25"/>
      <c r="J29" s="25"/>
      <c r="K29" s="17"/>
      <c r="N29" s="95"/>
    </row>
    <row r="30" spans="3:14" ht="12.75">
      <c r="C30" s="17"/>
      <c r="D30" s="17"/>
      <c r="E30" s="89">
        <v>42367</v>
      </c>
      <c r="F30" s="45"/>
      <c r="G30" s="45">
        <v>-28316.54</v>
      </c>
      <c r="H30" s="17"/>
      <c r="I30" s="25"/>
      <c r="J30" s="25"/>
      <c r="K30" s="17"/>
      <c r="N30" s="95"/>
    </row>
    <row r="31" spans="3:14" ht="12.75">
      <c r="C31" s="17" t="s">
        <v>45</v>
      </c>
      <c r="D31" s="17"/>
      <c r="E31" s="89">
        <v>42396</v>
      </c>
      <c r="F31" s="45"/>
      <c r="G31" s="45">
        <v>-46425.69</v>
      </c>
      <c r="H31" s="17"/>
      <c r="I31" s="25"/>
      <c r="J31" s="25"/>
      <c r="K31" s="17"/>
      <c r="N31" s="95"/>
    </row>
    <row r="32" spans="3:14" ht="12.75">
      <c r="C32" s="17"/>
      <c r="D32" s="17"/>
      <c r="E32" s="89">
        <v>42453</v>
      </c>
      <c r="F32" s="45"/>
      <c r="G32" s="45">
        <v>-10319.32</v>
      </c>
      <c r="H32" s="17"/>
      <c r="I32" s="25"/>
      <c r="J32" s="25"/>
      <c r="K32" s="17"/>
      <c r="N32" s="95"/>
    </row>
    <row r="33" spans="3:14" ht="12.75">
      <c r="C33" s="17"/>
      <c r="D33" s="17"/>
      <c r="E33" s="89">
        <v>42461</v>
      </c>
      <c r="F33" s="45"/>
      <c r="G33" s="45">
        <v>-7476.46</v>
      </c>
      <c r="H33" s="17"/>
      <c r="I33" s="25"/>
      <c r="J33" s="25"/>
      <c r="K33" s="17"/>
      <c r="N33" s="95"/>
    </row>
    <row r="34" spans="3:14" ht="12.75">
      <c r="C34" s="17"/>
      <c r="D34" s="17"/>
      <c r="E34" s="89">
        <v>42500</v>
      </c>
      <c r="F34" s="45"/>
      <c r="G34" s="45">
        <v>-6446.76</v>
      </c>
      <c r="H34" s="17"/>
      <c r="I34" s="25"/>
      <c r="J34" s="25"/>
      <c r="K34" s="17"/>
      <c r="N34" s="95"/>
    </row>
    <row r="35" spans="3:14" ht="12.75">
      <c r="C35" s="17"/>
      <c r="D35" s="17"/>
      <c r="E35" s="89">
        <v>42513</v>
      </c>
      <c r="F35" s="45"/>
      <c r="G35" s="45">
        <v>-21354.92</v>
      </c>
      <c r="H35" s="17"/>
      <c r="I35" s="25"/>
      <c r="J35" s="25"/>
      <c r="K35" s="17"/>
      <c r="N35" s="95"/>
    </row>
    <row r="36" spans="3:14" ht="12.75">
      <c r="C36" s="17"/>
      <c r="D36" s="17"/>
      <c r="E36" s="89">
        <v>42524</v>
      </c>
      <c r="F36" s="45"/>
      <c r="G36" s="45">
        <v>-50052</v>
      </c>
      <c r="H36" s="17"/>
      <c r="I36" s="25"/>
      <c r="J36" s="25"/>
      <c r="K36" s="17"/>
      <c r="N36" s="95"/>
    </row>
    <row r="37" spans="3:14" ht="12.75">
      <c r="C37" s="17"/>
      <c r="D37" s="17"/>
      <c r="E37" s="89">
        <v>42544</v>
      </c>
      <c r="F37" s="45"/>
      <c r="G37" s="45">
        <v>-73690.16</v>
      </c>
      <c r="H37" s="17"/>
      <c r="I37" s="25"/>
      <c r="J37" s="25"/>
      <c r="K37" s="17"/>
      <c r="N37" s="95"/>
    </row>
    <row r="38" spans="3:14" ht="12.75">
      <c r="C38" s="17"/>
      <c r="D38" s="17"/>
      <c r="E38" s="89">
        <v>42564</v>
      </c>
      <c r="F38" s="45"/>
      <c r="G38" s="45">
        <v>-8058.46</v>
      </c>
      <c r="H38" s="17"/>
      <c r="I38" s="25"/>
      <c r="J38" s="25"/>
      <c r="K38" s="17"/>
      <c r="N38" s="95"/>
    </row>
    <row r="39" spans="3:14" ht="12.75">
      <c r="C39" s="17"/>
      <c r="D39" s="17"/>
      <c r="E39" s="89">
        <v>42585</v>
      </c>
      <c r="F39" s="45"/>
      <c r="G39" s="45">
        <v>-35860.15</v>
      </c>
      <c r="H39" s="17"/>
      <c r="I39" s="25"/>
      <c r="J39" s="25"/>
      <c r="K39" s="17"/>
      <c r="N39" s="95"/>
    </row>
    <row r="40" spans="3:14" ht="12.75">
      <c r="C40" s="17"/>
      <c r="D40" s="17"/>
      <c r="E40" s="89">
        <v>42614</v>
      </c>
      <c r="F40" s="45"/>
      <c r="G40" s="45">
        <v>-13676.99</v>
      </c>
      <c r="H40" s="17"/>
      <c r="I40" s="25"/>
      <c r="J40" s="25"/>
      <c r="K40" s="17"/>
      <c r="N40" s="95"/>
    </row>
    <row r="41" spans="3:14" ht="12.75">
      <c r="C41" s="17"/>
      <c r="D41" s="17"/>
      <c r="E41" s="89">
        <v>42641</v>
      </c>
      <c r="F41" s="45"/>
      <c r="G41" s="45">
        <v>-20952</v>
      </c>
      <c r="H41" s="17"/>
      <c r="I41" s="25"/>
      <c r="N41" s="95"/>
    </row>
    <row r="42" spans="3:14" ht="12.75">
      <c r="C42" s="17"/>
      <c r="D42" s="17"/>
      <c r="E42" s="89">
        <v>42656</v>
      </c>
      <c r="F42" s="45"/>
      <c r="G42" s="45">
        <v>-22362.23</v>
      </c>
      <c r="H42" s="17"/>
      <c r="I42" s="25"/>
      <c r="N42" s="95"/>
    </row>
    <row r="43" spans="3:14" ht="12.75">
      <c r="C43" s="17"/>
      <c r="D43" s="17"/>
      <c r="E43" s="89">
        <v>42704</v>
      </c>
      <c r="F43" s="45"/>
      <c r="G43" s="45">
        <v>-19183.62</v>
      </c>
      <c r="H43" s="17"/>
      <c r="I43" s="25"/>
      <c r="N43" s="95"/>
    </row>
    <row r="44" spans="3:14" ht="12.75">
      <c r="C44" s="17"/>
      <c r="D44" s="17"/>
      <c r="E44" s="89">
        <v>42719</v>
      </c>
      <c r="F44" s="45"/>
      <c r="G44" s="45">
        <v>-20593.85</v>
      </c>
      <c r="H44" s="17"/>
      <c r="I44" s="25"/>
      <c r="N44" s="95"/>
    </row>
    <row r="45" spans="3:14" ht="12.75">
      <c r="C45" s="17"/>
      <c r="D45" s="17"/>
      <c r="E45" s="89">
        <v>42733</v>
      </c>
      <c r="F45" s="45"/>
      <c r="G45" s="45">
        <v>-13318.84</v>
      </c>
      <c r="H45" s="17"/>
      <c r="I45" s="25"/>
      <c r="N45" s="95"/>
    </row>
    <row r="46" spans="3:14" ht="12.75">
      <c r="C46" s="17" t="s">
        <v>25</v>
      </c>
      <c r="D46" s="17"/>
      <c r="E46" s="89">
        <v>42716</v>
      </c>
      <c r="F46" s="45"/>
      <c r="G46" s="45">
        <v>17744.73</v>
      </c>
      <c r="H46" s="17"/>
      <c r="I46" s="25"/>
      <c r="N46" s="95"/>
    </row>
    <row r="47" spans="3:14" ht="12.75">
      <c r="C47" s="17" t="s">
        <v>30</v>
      </c>
      <c r="D47" s="17"/>
      <c r="E47" s="89">
        <v>42754</v>
      </c>
      <c r="F47" s="45"/>
      <c r="G47" s="45">
        <v>-12983.08</v>
      </c>
      <c r="H47" s="17"/>
      <c r="I47" s="25"/>
      <c r="N47" s="95"/>
    </row>
    <row r="48" spans="3:14" ht="12.75">
      <c r="C48" s="17"/>
      <c r="D48" s="17"/>
      <c r="E48" s="89">
        <v>42765</v>
      </c>
      <c r="F48" s="45"/>
      <c r="G48" s="45">
        <v>-13251.70</v>
      </c>
      <c r="H48" s="17"/>
      <c r="I48" s="25"/>
      <c r="J48" s="25"/>
      <c r="K48" s="17"/>
      <c r="N48" s="95"/>
    </row>
    <row r="49" spans="3:14" ht="12.75">
      <c r="C49" s="17"/>
      <c r="D49" s="17"/>
      <c r="E49" s="89">
        <v>42773</v>
      </c>
      <c r="F49" s="45"/>
      <c r="G49" s="45">
        <v>-22608.46</v>
      </c>
      <c r="H49" s="17"/>
      <c r="I49" s="25"/>
      <c r="J49" s="25"/>
      <c r="K49" s="17"/>
      <c r="N49" s="95"/>
    </row>
    <row r="50" spans="3:14" ht="12.75">
      <c r="C50" s="17"/>
      <c r="D50" s="17"/>
      <c r="E50" s="89">
        <v>42797</v>
      </c>
      <c r="F50" s="45"/>
      <c r="G50" s="45">
        <v>-31629.46</v>
      </c>
      <c r="H50" s="17"/>
      <c r="I50" s="25"/>
      <c r="J50" s="25"/>
      <c r="K50" s="17"/>
      <c r="N50" s="95"/>
    </row>
    <row r="51" spans="3:14" ht="12.75">
      <c r="C51" s="17"/>
      <c r="D51" s="17"/>
      <c r="E51" s="89">
        <v>42817</v>
      </c>
      <c r="F51" s="45"/>
      <c r="G51" s="45">
        <v>-18758.31</v>
      </c>
      <c r="H51" s="17"/>
      <c r="I51" s="25"/>
      <c r="J51" s="25"/>
      <c r="K51" s="17"/>
      <c r="N51" s="95"/>
    </row>
    <row r="52" spans="3:14" ht="12.75">
      <c r="C52" s="17"/>
      <c r="D52" s="17"/>
      <c r="E52" s="89">
        <v>42828</v>
      </c>
      <c r="F52" s="45"/>
      <c r="G52" s="45">
        <v>-16296</v>
      </c>
      <c r="H52" s="17"/>
      <c r="I52" s="25"/>
      <c r="J52" s="25"/>
      <c r="K52" s="17"/>
      <c r="N52" s="95"/>
    </row>
    <row r="53" spans="3:14" ht="12.75">
      <c r="C53" s="17"/>
      <c r="D53" s="17"/>
      <c r="E53" s="89">
        <v>42851</v>
      </c>
      <c r="F53" s="45"/>
      <c r="G53" s="45">
        <v>-71496.45</v>
      </c>
      <c r="H53" s="17"/>
      <c r="I53" s="25"/>
      <c r="J53" s="25"/>
      <c r="K53" s="17"/>
      <c r="N53" s="95"/>
    </row>
    <row r="54" spans="3:14" ht="12.75">
      <c r="C54" s="17"/>
      <c r="D54" s="17"/>
      <c r="E54" s="89">
        <v>42863</v>
      </c>
      <c r="F54" s="45"/>
      <c r="G54" s="45">
        <v>-15087.24</v>
      </c>
      <c r="H54" s="17"/>
      <c r="I54" s="25"/>
      <c r="J54" s="25"/>
      <c r="K54" s="17"/>
      <c r="N54" s="95"/>
    </row>
    <row r="55" spans="3:14" ht="12.75">
      <c r="C55" s="17"/>
      <c r="D55" s="17"/>
      <c r="E55" s="89">
        <v>42878</v>
      </c>
      <c r="F55" s="45"/>
      <c r="G55" s="45">
        <v>-17057.08</v>
      </c>
      <c r="H55" s="17"/>
      <c r="I55" s="25"/>
      <c r="N55" s="95"/>
    </row>
    <row r="56" spans="3:14" ht="12.75">
      <c r="C56" s="17"/>
      <c r="D56" s="17"/>
      <c r="E56" s="89">
        <v>42893</v>
      </c>
      <c r="F56" s="45"/>
      <c r="G56" s="45">
        <v>-32032.38</v>
      </c>
      <c r="H56" s="17"/>
      <c r="I56" s="25"/>
      <c r="N56" s="95"/>
    </row>
    <row r="57" spans="3:14" ht="12.75">
      <c r="C57" s="17"/>
      <c r="D57" s="17"/>
      <c r="E57" s="89">
        <v>42907</v>
      </c>
      <c r="F57" s="45"/>
      <c r="G57" s="45">
        <v>-16989.92</v>
      </c>
      <c r="H57" s="17"/>
      <c r="I57" s="25"/>
      <c r="N57" s="95"/>
    </row>
    <row r="58" spans="3:14" ht="12.75">
      <c r="C58" s="17"/>
      <c r="D58" s="17"/>
      <c r="E58" s="89">
        <v>42915</v>
      </c>
      <c r="F58" s="45"/>
      <c r="G58" s="45">
        <v>-38949.24</v>
      </c>
      <c r="H58" s="17"/>
      <c r="I58" s="25"/>
      <c r="N58" s="95"/>
    </row>
    <row r="59" spans="3:14" ht="12.75">
      <c r="C59" s="17"/>
      <c r="D59" s="17"/>
      <c r="E59" s="89">
        <v>42927</v>
      </c>
      <c r="F59" s="45"/>
      <c r="G59" s="45">
        <v>-13878.47</v>
      </c>
      <c r="H59" s="17"/>
      <c r="I59" s="25"/>
      <c r="N59" s="95"/>
    </row>
    <row r="60" spans="3:14" ht="12.75">
      <c r="C60" s="17"/>
      <c r="D60" s="17"/>
      <c r="E60" s="89">
        <v>42957</v>
      </c>
      <c r="F60" s="45"/>
      <c r="G60" s="45">
        <v>-21265.38</v>
      </c>
      <c r="H60" s="17"/>
      <c r="I60" s="25"/>
      <c r="N60" s="95"/>
    </row>
    <row r="61" spans="3:14" ht="12.75">
      <c r="C61" s="17"/>
      <c r="D61" s="17"/>
      <c r="E61" s="89">
        <v>42970</v>
      </c>
      <c r="F61" s="45"/>
      <c r="G61" s="45">
        <v>-45910.85</v>
      </c>
      <c r="H61" s="17"/>
      <c r="I61" s="25"/>
      <c r="N61" s="95"/>
    </row>
    <row r="62" spans="3:14" ht="12.75">
      <c r="C62" s="17"/>
      <c r="D62" s="17"/>
      <c r="E62" s="89">
        <v>42993</v>
      </c>
      <c r="F62" s="45"/>
      <c r="G62" s="45">
        <v>-16452.68</v>
      </c>
      <c r="H62" s="17"/>
      <c r="I62" s="25"/>
      <c r="J62" s="25"/>
      <c r="K62" s="17"/>
      <c r="N62" s="95"/>
    </row>
    <row r="63" spans="3:14" ht="12.75">
      <c r="C63" s="17"/>
      <c r="D63" s="17"/>
      <c r="E63" s="89">
        <v>43000</v>
      </c>
      <c r="F63" s="45"/>
      <c r="G63" s="45">
        <v>-23817.22</v>
      </c>
      <c r="H63" s="17"/>
      <c r="I63" s="25"/>
      <c r="J63" s="25"/>
      <c r="K63" s="17"/>
      <c r="N63" s="95"/>
    </row>
    <row r="64" spans="3:14" ht="15.75">
      <c r="C64" s="17"/>
      <c r="D64" s="17"/>
      <c r="E64" s="89">
        <v>43012</v>
      </c>
      <c r="F64" s="45"/>
      <c r="G64" s="45">
        <v>-23794.85</v>
      </c>
      <c r="H64" s="17"/>
      <c r="I64" s="25"/>
      <c r="J64" s="44"/>
      <c r="K64" s="41"/>
      <c r="L64" s="177"/>
      <c r="N64" s="95"/>
    </row>
    <row r="65" spans="3:14" ht="12.75">
      <c r="C65" s="17"/>
      <c r="D65" s="17"/>
      <c r="E65" s="89">
        <v>43027</v>
      </c>
      <c r="F65" s="45"/>
      <c r="G65" s="45">
        <v>-23347.15</v>
      </c>
      <c r="H65" s="17"/>
      <c r="I65" s="25"/>
      <c r="J65" s="44"/>
      <c r="K65" s="41"/>
      <c r="L65" s="124"/>
      <c r="N65" s="95"/>
    </row>
    <row r="66" spans="3:14" ht="12.75">
      <c r="C66" s="17"/>
      <c r="D66" s="17"/>
      <c r="E66" s="89">
        <v>43046</v>
      </c>
      <c r="F66" s="45"/>
      <c r="G66" s="45">
        <v>-23481.45</v>
      </c>
      <c r="H66" s="17"/>
      <c r="I66" s="25"/>
      <c r="J66" s="44"/>
      <c r="K66" s="41"/>
      <c r="L66" s="124"/>
      <c r="N66" s="95"/>
    </row>
    <row r="67" spans="3:14" ht="12.75">
      <c r="C67" s="17"/>
      <c r="D67" s="17"/>
      <c r="E67" s="89">
        <v>43056</v>
      </c>
      <c r="F67" s="45"/>
      <c r="G67" s="45">
        <v>-21713.07</v>
      </c>
      <c r="H67" s="17"/>
      <c r="I67" s="25"/>
      <c r="J67" s="44"/>
      <c r="K67" s="41"/>
      <c r="L67" s="124"/>
      <c r="N67" s="95"/>
    </row>
    <row r="68" spans="3:14" ht="12.75">
      <c r="C68" s="17"/>
      <c r="D68" s="17"/>
      <c r="E68" s="89">
        <v>43083</v>
      </c>
      <c r="F68" s="45"/>
      <c r="G68" s="45">
        <v>-20996.77</v>
      </c>
      <c r="H68" s="17"/>
      <c r="I68" s="25"/>
      <c r="J68" s="44"/>
      <c r="K68" s="41"/>
      <c r="L68" s="124"/>
      <c r="N68" s="95"/>
    </row>
    <row r="69" spans="3:14" ht="12.75">
      <c r="C69" s="17" t="s">
        <v>46</v>
      </c>
      <c r="D69" s="17"/>
      <c r="E69" s="89">
        <v>42780</v>
      </c>
      <c r="F69" s="45"/>
      <c r="G69" s="45">
        <v>101415.12</v>
      </c>
      <c r="H69" s="17"/>
      <c r="I69" s="25"/>
      <c r="J69" s="44"/>
      <c r="K69" s="41"/>
      <c r="L69" s="42"/>
      <c r="N69" s="95"/>
    </row>
    <row r="70" spans="3:14" ht="12.75">
      <c r="C70" s="17"/>
      <c r="D70" s="17"/>
      <c r="E70" s="89">
        <v>42822</v>
      </c>
      <c r="F70" s="45"/>
      <c r="G70" s="45">
        <v>72434.42</v>
      </c>
      <c r="H70" s="17"/>
      <c r="I70" s="25"/>
      <c r="J70" s="44"/>
      <c r="K70" s="41"/>
      <c r="L70" s="42"/>
      <c r="N70" s="95"/>
    </row>
    <row r="71" spans="3:14" ht="12.75">
      <c r="C71" s="17"/>
      <c r="D71" s="17"/>
      <c r="E71" s="89">
        <v>42906</v>
      </c>
      <c r="F71" s="45"/>
      <c r="G71" s="45">
        <v>12538.72</v>
      </c>
      <c r="H71" s="17"/>
      <c r="I71" s="25"/>
      <c r="J71" s="44"/>
      <c r="K71" s="41"/>
      <c r="L71" s="42"/>
      <c r="N71" s="95"/>
    </row>
    <row r="72" spans="3:14" ht="12.75">
      <c r="C72" s="17"/>
      <c r="D72" s="17"/>
      <c r="E72" s="89">
        <v>42970</v>
      </c>
      <c r="F72" s="45"/>
      <c r="G72" s="45">
        <v>4971.53</v>
      </c>
      <c r="H72" s="17"/>
      <c r="I72" s="25"/>
      <c r="J72" s="25"/>
      <c r="K72" s="17"/>
      <c r="N72" s="95"/>
    </row>
    <row r="73" spans="3:14" ht="12.75">
      <c r="C73" s="17" t="s">
        <v>31</v>
      </c>
      <c r="D73" s="17"/>
      <c r="E73" s="89">
        <v>43104</v>
      </c>
      <c r="F73" s="45"/>
      <c r="G73" s="45">
        <v>-19586.53</v>
      </c>
      <c r="H73" s="17"/>
      <c r="I73" s="25"/>
      <c r="J73" s="25"/>
      <c r="K73" s="17"/>
      <c r="N73" s="95"/>
    </row>
    <row r="74" spans="3:14" ht="12.75">
      <c r="C74" s="17"/>
      <c r="D74" s="17"/>
      <c r="E74" s="89">
        <v>43157</v>
      </c>
      <c r="F74" s="45"/>
      <c r="G74" s="45">
        <v>-18825.46</v>
      </c>
      <c r="H74" s="17"/>
      <c r="I74" s="25"/>
      <c r="J74" s="25"/>
      <c r="K74" s="17"/>
      <c r="N74" s="95"/>
    </row>
    <row r="75" spans="3:14" ht="12.75">
      <c r="C75" s="17"/>
      <c r="D75" s="17"/>
      <c r="E75" s="89">
        <v>43181</v>
      </c>
      <c r="F75" s="45"/>
      <c r="G75" s="45">
        <v>-51798</v>
      </c>
      <c r="H75" s="17"/>
      <c r="I75" s="25"/>
      <c r="J75" s="25"/>
      <c r="K75" s="17"/>
      <c r="N75" s="95"/>
    </row>
    <row r="76" spans="3:14" ht="12.75">
      <c r="C76" s="17"/>
      <c r="D76" s="17"/>
      <c r="E76" s="89">
        <v>43256</v>
      </c>
      <c r="F76" s="45"/>
      <c r="G76" s="45">
        <v>-20772.92</v>
      </c>
      <c r="H76" s="17"/>
      <c r="I76" s="25"/>
      <c r="J76" s="25"/>
      <c r="K76" s="17"/>
      <c r="N76" s="95"/>
    </row>
    <row r="77" spans="3:14" ht="12.75">
      <c r="C77" s="17"/>
      <c r="D77" s="17"/>
      <c r="E77" s="89">
        <v>43278</v>
      </c>
      <c r="F77" s="45"/>
      <c r="G77" s="45">
        <v>-16564.61</v>
      </c>
      <c r="H77" s="17"/>
      <c r="I77" s="25"/>
      <c r="J77" s="25"/>
      <c r="K77" s="17"/>
      <c r="N77" s="95"/>
    </row>
    <row r="78" spans="3:14" ht="12.75">
      <c r="C78" s="17"/>
      <c r="D78" s="17"/>
      <c r="E78" s="89">
        <v>43336</v>
      </c>
      <c r="F78" s="45"/>
      <c r="G78" s="45">
        <v>-21511.63</v>
      </c>
      <c r="H78" s="17"/>
      <c r="I78" s="25"/>
      <c r="J78" s="25"/>
      <c r="K78" s="17"/>
      <c r="N78" s="95"/>
    </row>
    <row r="79" spans="3:14" ht="12.75">
      <c r="C79" s="17"/>
      <c r="D79" s="17"/>
      <c r="E79" s="89">
        <v>43367</v>
      </c>
      <c r="F79" s="45"/>
      <c r="G79" s="45">
        <v>-36509.3</v>
      </c>
      <c r="H79" s="17"/>
      <c r="I79" s="25"/>
      <c r="J79" s="25"/>
      <c r="K79" s="17"/>
      <c r="N79" s="95"/>
    </row>
    <row r="80" spans="3:14" ht="12.75">
      <c r="C80" s="17"/>
      <c r="D80" s="17"/>
      <c r="E80" s="89">
        <v>43439</v>
      </c>
      <c r="F80" s="45"/>
      <c r="G80" s="45">
        <v>-22787.54</v>
      </c>
      <c r="H80" s="17"/>
      <c r="I80" s="25"/>
      <c r="J80" s="25"/>
      <c r="K80" s="17"/>
      <c r="N80" s="95"/>
    </row>
    <row r="81" spans="3:14" ht="12.75">
      <c r="C81" s="17" t="s">
        <v>26</v>
      </c>
      <c r="D81" s="17"/>
      <c r="E81" s="89">
        <v>43167</v>
      </c>
      <c r="F81" s="45"/>
      <c r="G81" s="45">
        <v>5659.93</v>
      </c>
      <c r="H81" s="17"/>
      <c r="I81" s="25"/>
      <c r="J81" s="25"/>
      <c r="K81" s="17"/>
      <c r="N81" s="95"/>
    </row>
    <row r="82" spans="3:14" ht="12.75">
      <c r="C82" s="17"/>
      <c r="D82" s="17"/>
      <c r="E82" s="89">
        <v>43255</v>
      </c>
      <c r="F82" s="45"/>
      <c r="G82" s="45">
        <v>13720.21</v>
      </c>
      <c r="H82" s="17"/>
      <c r="I82" s="25"/>
      <c r="J82" s="25"/>
      <c r="K82" s="17"/>
      <c r="N82" s="95"/>
    </row>
    <row r="83" spans="3:14" ht="12.75">
      <c r="C83" s="17"/>
      <c r="D83" s="17"/>
      <c r="E83" s="89">
        <v>43444</v>
      </c>
      <c r="F83" s="45"/>
      <c r="G83" s="45">
        <v>8033.52</v>
      </c>
      <c r="H83" s="17"/>
      <c r="I83" s="25"/>
      <c r="J83" s="25"/>
      <c r="K83" s="17"/>
      <c r="N83" s="95"/>
    </row>
    <row r="84" spans="3:14" ht="12.75">
      <c r="C84" s="17" t="s">
        <v>32</v>
      </c>
      <c r="D84" s="17"/>
      <c r="E84" s="89">
        <v>43481</v>
      </c>
      <c r="F84" s="45"/>
      <c r="G84" s="45">
        <v>-12983.08</v>
      </c>
      <c r="H84" s="17"/>
      <c r="I84" s="25"/>
      <c r="J84" s="25"/>
      <c r="K84" s="17"/>
      <c r="N84" s="95"/>
    </row>
    <row r="85" spans="4:14" ht="12.75">
      <c r="D85" s="17"/>
      <c r="E85" s="89">
        <v>43544</v>
      </c>
      <c r="F85" s="45"/>
      <c r="G85" s="45">
        <v>-14370.91</v>
      </c>
      <c r="H85" s="17"/>
      <c r="I85" s="25"/>
      <c r="J85" s="25"/>
      <c r="K85" s="17"/>
      <c r="N85" s="95"/>
    </row>
    <row r="86" spans="4:14" ht="12.75">
      <c r="D86" s="17"/>
      <c r="E86" s="89">
        <v>43591</v>
      </c>
      <c r="F86" s="45"/>
      <c r="G86" s="45">
        <v>-12826.38</v>
      </c>
      <c r="H86" s="17"/>
      <c r="I86" s="25"/>
      <c r="J86" s="25"/>
      <c r="K86" s="17"/>
      <c r="N86" s="95"/>
    </row>
    <row r="87" spans="4:14" ht="12.75">
      <c r="D87" s="17"/>
      <c r="E87" s="89">
        <v>43675</v>
      </c>
      <c r="F87" s="45"/>
      <c r="G87" s="45">
        <v>-20056.62</v>
      </c>
      <c r="H87" s="17"/>
      <c r="I87" s="25"/>
      <c r="J87" s="25"/>
      <c r="K87" s="17"/>
      <c r="N87" s="95"/>
    </row>
    <row r="88" spans="4:14" ht="12.75">
      <c r="D88" s="17"/>
      <c r="E88" s="89">
        <v>43707</v>
      </c>
      <c r="F88" s="45"/>
      <c r="G88" s="45">
        <v>-34427.54</v>
      </c>
      <c r="H88" s="17"/>
      <c r="I88" s="25"/>
      <c r="J88" s="25"/>
      <c r="K88" s="17"/>
      <c r="N88" s="95"/>
    </row>
    <row r="89" spans="4:14" ht="12.75">
      <c r="D89" s="17"/>
      <c r="E89" s="89">
        <v>43769</v>
      </c>
      <c r="F89" s="45"/>
      <c r="G89" s="45">
        <v>-15781.16</v>
      </c>
      <c r="H89" s="17"/>
      <c r="I89" s="25"/>
      <c r="J89" s="25"/>
      <c r="K89" s="17"/>
      <c r="N89" s="95"/>
    </row>
    <row r="90" spans="4:14" ht="12.75">
      <c r="D90" s="17"/>
      <c r="E90" s="89">
        <v>43804</v>
      </c>
      <c r="F90" s="45"/>
      <c r="G90" s="45">
        <v>-15758.78</v>
      </c>
      <c r="H90" s="17"/>
      <c r="I90" s="25"/>
      <c r="J90" s="25"/>
      <c r="K90" s="17"/>
      <c r="N90" s="95"/>
    </row>
    <row r="91" spans="3:14" ht="12.75">
      <c r="C91" s="17" t="s">
        <v>27</v>
      </c>
      <c r="D91" s="17"/>
      <c r="E91" s="89">
        <v>43550</v>
      </c>
      <c r="F91" s="45"/>
      <c r="G91" s="45">
        <v>4511.33</v>
      </c>
      <c r="H91" s="17"/>
      <c r="I91" s="25"/>
      <c r="J91" s="25"/>
      <c r="K91" s="17"/>
      <c r="N91" s="95"/>
    </row>
    <row r="92" spans="3:14" ht="12.75">
      <c r="C92" s="17"/>
      <c r="D92" s="17"/>
      <c r="E92" s="89">
        <v>43629</v>
      </c>
      <c r="F92" s="45"/>
      <c r="G92" s="45">
        <v>5034.82</v>
      </c>
      <c r="H92" s="17"/>
      <c r="I92" s="25"/>
      <c r="J92" s="25"/>
      <c r="K92" s="17"/>
      <c r="N92" s="95"/>
    </row>
    <row r="93" spans="3:14" ht="12.75">
      <c r="C93" s="17"/>
      <c r="D93" s="17"/>
      <c r="E93" s="89">
        <v>43760</v>
      </c>
      <c r="F93" s="45"/>
      <c r="G93" s="45">
        <v>28035.04</v>
      </c>
      <c r="H93" s="17"/>
      <c r="I93" s="25"/>
      <c r="J93" s="25"/>
      <c r="K93" s="17"/>
      <c r="N93" s="95"/>
    </row>
    <row r="94" spans="3:14" ht="12.75">
      <c r="C94" s="17"/>
      <c r="D94" s="17"/>
      <c r="E94" s="89">
        <v>43816</v>
      </c>
      <c r="F94" s="45"/>
      <c r="G94" s="45">
        <v>5278.68</v>
      </c>
      <c r="H94" s="17"/>
      <c r="I94" s="25"/>
      <c r="J94" s="25"/>
      <c r="K94" s="17"/>
      <c r="N94" s="95"/>
    </row>
    <row r="95" spans="3:14" ht="12.75">
      <c r="C95" s="17" t="s">
        <v>33</v>
      </c>
      <c r="D95" s="17"/>
      <c r="E95" s="89">
        <v>43896</v>
      </c>
      <c r="F95" s="45"/>
      <c r="G95" s="45">
        <v>-9759.68</v>
      </c>
      <c r="H95" s="17"/>
      <c r="I95" s="25"/>
      <c r="J95" s="25"/>
      <c r="K95" s="17"/>
      <c r="N95" s="95"/>
    </row>
    <row r="96" spans="3:14" ht="12.75">
      <c r="C96" s="17"/>
      <c r="D96" s="17"/>
      <c r="E96" s="89">
        <v>43922</v>
      </c>
      <c r="F96" s="45"/>
      <c r="G96" s="45">
        <v>-7297.39</v>
      </c>
      <c r="H96" s="17"/>
      <c r="I96" s="25"/>
      <c r="J96" s="25"/>
      <c r="K96" s="17"/>
      <c r="N96" s="95"/>
    </row>
    <row r="97" spans="3:14" ht="12.75">
      <c r="C97" s="17"/>
      <c r="D97" s="17"/>
      <c r="E97" s="89">
        <v>43979</v>
      </c>
      <c r="F97" s="45"/>
      <c r="G97" s="45">
        <v>-9513.47</v>
      </c>
      <c r="H97" s="17"/>
      <c r="I97" s="25"/>
      <c r="J97" s="25"/>
      <c r="K97" s="17"/>
      <c r="N97" s="95"/>
    </row>
    <row r="98" spans="3:14" ht="12.75">
      <c r="C98" s="17"/>
      <c r="D98" s="17"/>
      <c r="E98" s="89">
        <v>44015</v>
      </c>
      <c r="F98" s="45"/>
      <c r="G98" s="45">
        <v>-8259.92</v>
      </c>
      <c r="H98" s="17"/>
      <c r="I98" s="25"/>
      <c r="J98" s="25"/>
      <c r="K98" s="17"/>
      <c r="N98" s="95"/>
    </row>
    <row r="99" spans="3:14" ht="12.75">
      <c r="C99" s="17"/>
      <c r="D99" s="17"/>
      <c r="E99" s="89">
        <v>44109</v>
      </c>
      <c r="F99" s="45"/>
      <c r="G99" s="45">
        <v>-5842.39</v>
      </c>
      <c r="H99" s="17"/>
      <c r="I99" s="25"/>
      <c r="J99" s="25"/>
      <c r="K99" s="17"/>
      <c r="N99" s="95"/>
    </row>
    <row r="100" spans="3:14" ht="12.75">
      <c r="C100" s="17"/>
      <c r="D100" s="17"/>
      <c r="E100" s="89">
        <v>44160</v>
      </c>
      <c r="F100" s="45"/>
      <c r="G100" s="45">
        <v>-11080.38</v>
      </c>
      <c r="H100" s="17"/>
      <c r="I100" s="25"/>
      <c r="J100" s="25"/>
      <c r="K100" s="17"/>
      <c r="N100" s="95"/>
    </row>
    <row r="101" spans="3:14" ht="12.75">
      <c r="C101" s="17" t="s">
        <v>47</v>
      </c>
      <c r="D101" s="17"/>
      <c r="E101" s="89">
        <v>43885</v>
      </c>
      <c r="F101" s="45"/>
      <c r="G101" s="45">
        <v>16738.80</v>
      </c>
      <c r="H101" s="17"/>
      <c r="I101" s="25"/>
      <c r="J101" s="25"/>
      <c r="K101" s="17"/>
      <c r="N101" s="95"/>
    </row>
    <row r="102" spans="3:14" ht="12.75">
      <c r="C102" s="17"/>
      <c r="D102" s="17"/>
      <c r="E102" s="89">
        <v>44082</v>
      </c>
      <c r="F102" s="45"/>
      <c r="G102" s="45">
        <v>9918.10</v>
      </c>
      <c r="H102" s="17"/>
      <c r="I102" s="25"/>
      <c r="J102" s="25"/>
      <c r="K102" s="17"/>
      <c r="N102" s="95"/>
    </row>
    <row r="103" spans="3:14" ht="12.75">
      <c r="C103" s="17" t="s">
        <v>34</v>
      </c>
      <c r="D103" s="17"/>
      <c r="E103" s="89">
        <v>44201</v>
      </c>
      <c r="F103" s="45"/>
      <c r="G103" s="45">
        <v>-5909.54</v>
      </c>
      <c r="H103" s="17"/>
      <c r="I103" s="25"/>
      <c r="J103" s="25"/>
      <c r="K103" s="17"/>
      <c r="N103" s="95"/>
    </row>
    <row r="104" spans="3:14" ht="12.75">
      <c r="C104" s="17"/>
      <c r="D104" s="17"/>
      <c r="E104" s="89">
        <v>44246</v>
      </c>
      <c r="F104" s="45"/>
      <c r="G104" s="45">
        <v>-33576.92</v>
      </c>
      <c r="H104" s="17"/>
      <c r="I104" s="25"/>
      <c r="J104" s="25"/>
      <c r="K104" s="17"/>
      <c r="N104" s="95"/>
    </row>
    <row r="105" spans="3:14" ht="12.75">
      <c r="C105" s="17"/>
      <c r="D105" s="17"/>
      <c r="E105" s="89">
        <v>44267</v>
      </c>
      <c r="F105" s="45"/>
      <c r="G105" s="45">
        <v>-3335.31</v>
      </c>
      <c r="H105" s="17"/>
      <c r="I105" s="25"/>
      <c r="J105" s="25"/>
      <c r="K105" s="17"/>
      <c r="N105" s="95"/>
    </row>
    <row r="106" spans="3:14" ht="12.75">
      <c r="C106" s="17"/>
      <c r="D106" s="17"/>
      <c r="E106" s="89">
        <v>44285</v>
      </c>
      <c r="F106" s="45"/>
      <c r="G106" s="45">
        <v>-4208.31</v>
      </c>
      <c r="H106" s="17"/>
      <c r="I106" s="25"/>
      <c r="J106" s="25"/>
      <c r="K106" s="17"/>
      <c r="N106" s="95"/>
    </row>
    <row r="107" spans="3:14" ht="12.75">
      <c r="C107" s="17"/>
      <c r="D107" s="17"/>
      <c r="E107" s="89">
        <v>44308</v>
      </c>
      <c r="F107" s="45"/>
      <c r="G107" s="45">
        <v>-11147.53</v>
      </c>
      <c r="H107" s="17"/>
      <c r="I107" s="25"/>
      <c r="J107" s="25"/>
      <c r="K107" s="17"/>
      <c r="N107" s="95"/>
    </row>
    <row r="108" spans="3:14" ht="12.75">
      <c r="C108" s="17"/>
      <c r="D108" s="17"/>
      <c r="E108" s="89">
        <v>44348</v>
      </c>
      <c r="F108" s="45"/>
      <c r="G108" s="45">
        <v>-24690.23</v>
      </c>
      <c r="H108" s="17"/>
      <c r="I108" s="25"/>
      <c r="J108" s="25"/>
      <c r="K108" s="17"/>
      <c r="N108" s="95"/>
    </row>
    <row r="109" spans="3:14" ht="12.75">
      <c r="C109" s="17"/>
      <c r="D109" s="17"/>
      <c r="E109" s="89">
        <v>44467</v>
      </c>
      <c r="F109" s="45"/>
      <c r="G109" s="45">
        <v>-3626.31</v>
      </c>
      <c r="H109" s="17"/>
      <c r="I109" s="25"/>
      <c r="J109" s="25"/>
      <c r="K109" s="17"/>
      <c r="N109" s="95"/>
    </row>
    <row r="110" spans="3:14" ht="12.75">
      <c r="C110" s="17"/>
      <c r="D110" s="17"/>
      <c r="E110" s="89">
        <v>44546</v>
      </c>
      <c r="F110" s="45"/>
      <c r="G110" s="45">
        <v>-16564.61</v>
      </c>
      <c r="H110" s="17"/>
      <c r="I110" s="25"/>
      <c r="J110" s="25"/>
      <c r="K110" s="17"/>
      <c r="N110" s="95"/>
    </row>
    <row r="111" spans="3:14" ht="12.75">
      <c r="C111" s="17" t="s">
        <v>28</v>
      </c>
      <c r="D111" s="17"/>
      <c r="E111" s="89">
        <v>44217</v>
      </c>
      <c r="F111" s="45"/>
      <c r="G111" s="45">
        <v>15809.21</v>
      </c>
      <c r="H111" s="17"/>
      <c r="I111" s="25"/>
      <c r="J111" s="25"/>
      <c r="K111" s="17"/>
      <c r="N111" s="95"/>
    </row>
    <row r="112" spans="3:14" ht="12.75">
      <c r="C112" s="17"/>
      <c r="D112" s="17"/>
      <c r="E112" s="89">
        <v>44256</v>
      </c>
      <c r="F112" s="45"/>
      <c r="G112" s="45">
        <v>127901.59</v>
      </c>
      <c r="H112" s="17"/>
      <c r="I112" s="25"/>
      <c r="J112" s="25"/>
      <c r="K112" s="17"/>
      <c r="N112" s="95"/>
    </row>
    <row r="113" spans="3:14" ht="12.75">
      <c r="C113" s="17"/>
      <c r="D113" s="17"/>
      <c r="E113" s="89">
        <v>44279</v>
      </c>
      <c r="F113" s="45"/>
      <c r="G113" s="45">
        <v>27339.20</v>
      </c>
      <c r="H113" s="17"/>
      <c r="I113" s="25"/>
      <c r="J113" s="25"/>
      <c r="K113" s="17"/>
      <c r="N113" s="95"/>
    </row>
    <row r="114" spans="3:14" ht="12.75">
      <c r="C114" s="17"/>
      <c r="D114" s="17"/>
      <c r="E114" s="89">
        <v>44295</v>
      </c>
      <c r="F114" s="45"/>
      <c r="G114" s="45">
        <v>35769.09</v>
      </c>
      <c r="H114" s="17"/>
      <c r="I114" s="25"/>
      <c r="J114" s="25"/>
      <c r="K114" s="17"/>
      <c r="N114" s="95"/>
    </row>
    <row r="115" spans="3:14" ht="12.75">
      <c r="C115" s="17"/>
      <c r="D115" s="17"/>
      <c r="E115" s="89">
        <v>44371</v>
      </c>
      <c r="F115" s="45"/>
      <c r="G115" s="45">
        <v>4987.34</v>
      </c>
      <c r="H115" s="17"/>
      <c r="I115" s="25"/>
      <c r="J115" s="25"/>
      <c r="K115" s="17"/>
      <c r="N115" s="95"/>
    </row>
    <row r="116" spans="3:14" ht="12.75">
      <c r="C116" s="17"/>
      <c r="D116" s="17"/>
      <c r="E116" s="89">
        <v>44386</v>
      </c>
      <c r="F116" s="45"/>
      <c r="G116" s="45">
        <v>8549.05</v>
      </c>
      <c r="H116" s="17"/>
      <c r="I116" s="25"/>
      <c r="J116" s="25"/>
      <c r="K116" s="17"/>
      <c r="N116" s="95"/>
    </row>
    <row r="117" spans="3:14" ht="12.75">
      <c r="C117" s="17"/>
      <c r="D117" s="17"/>
      <c r="E117" s="89">
        <v>44417</v>
      </c>
      <c r="F117" s="45"/>
      <c r="G117" s="45">
        <v>9288.05</v>
      </c>
      <c r="H117" s="17"/>
      <c r="I117" s="25"/>
      <c r="J117" s="25"/>
      <c r="K117" s="17"/>
      <c r="N117" s="95"/>
    </row>
    <row r="118" spans="3:14" ht="12.75">
      <c r="C118" s="17"/>
      <c r="D118" s="17"/>
      <c r="E118" s="89">
        <v>44446</v>
      </c>
      <c r="F118" s="45"/>
      <c r="G118" s="45">
        <v>8948.94</v>
      </c>
      <c r="H118" s="17"/>
      <c r="I118" s="25"/>
      <c r="J118" s="25"/>
      <c r="K118" s="17"/>
      <c r="N118" s="95"/>
    </row>
    <row r="119" spans="3:14" ht="12.75">
      <c r="C119" s="17"/>
      <c r="D119" s="17"/>
      <c r="E119" s="89">
        <v>44473</v>
      </c>
      <c r="F119" s="45"/>
      <c r="G119" s="45">
        <v>14044.16</v>
      </c>
      <c r="H119" s="17"/>
      <c r="I119" s="25"/>
      <c r="J119" s="25"/>
      <c r="K119" s="17"/>
      <c r="N119" s="95"/>
    </row>
    <row r="120" spans="3:14" ht="12.75">
      <c r="C120" s="17"/>
      <c r="D120" s="17"/>
      <c r="E120" s="89">
        <v>44489</v>
      </c>
      <c r="F120" s="45"/>
      <c r="G120" s="45">
        <v>36522.88</v>
      </c>
      <c r="H120" s="17"/>
      <c r="I120" s="25"/>
      <c r="J120" s="25"/>
      <c r="K120" s="17"/>
      <c r="N120" s="95"/>
    </row>
    <row r="121" spans="3:14" ht="12.75">
      <c r="C121" s="17"/>
      <c r="D121" s="17"/>
      <c r="E121" s="89">
        <v>44496</v>
      </c>
      <c r="F121" s="45"/>
      <c r="G121" s="45">
        <v>75188.57</v>
      </c>
      <c r="H121" s="17"/>
      <c r="I121" s="25"/>
      <c r="J121" s="25"/>
      <c r="K121" s="17"/>
      <c r="N121" s="95"/>
    </row>
    <row r="122" spans="3:14" ht="12.75">
      <c r="C122" s="17"/>
      <c r="D122" s="17"/>
      <c r="E122" s="89">
        <v>44505</v>
      </c>
      <c r="F122" s="45"/>
      <c r="G122" s="45">
        <v>7588.54</v>
      </c>
      <c r="H122" s="17"/>
      <c r="I122" s="25"/>
      <c r="J122" s="25"/>
      <c r="K122" s="17"/>
      <c r="N122" s="95"/>
    </row>
    <row r="123" spans="3:14" ht="12.75">
      <c r="C123" s="17"/>
      <c r="D123" s="17"/>
      <c r="E123" s="89">
        <v>44547</v>
      </c>
      <c r="F123" s="45"/>
      <c r="G123" s="45">
        <v>57433.86</v>
      </c>
      <c r="H123" s="17"/>
      <c r="I123" s="25"/>
      <c r="J123" s="25"/>
      <c r="K123" s="17"/>
      <c r="N123" s="95"/>
    </row>
    <row r="124" spans="3:14" ht="12.75">
      <c r="C124" s="17" t="s">
        <v>35</v>
      </c>
      <c r="D124" s="17"/>
      <c r="E124" s="89">
        <v>44585</v>
      </c>
      <c r="F124" s="45"/>
      <c r="G124" s="45">
        <v>-6872.07</v>
      </c>
      <c r="H124" s="17"/>
      <c r="I124" s="25"/>
      <c r="J124" s="25"/>
      <c r="K124" s="17"/>
      <c r="N124" s="95"/>
    </row>
    <row r="125" spans="3:14" ht="12.75">
      <c r="C125" s="17"/>
      <c r="D125" s="17"/>
      <c r="E125" s="89">
        <v>44630</v>
      </c>
      <c r="F125" s="45"/>
      <c r="G125" s="45">
        <v>-8282.31</v>
      </c>
      <c r="H125" s="17"/>
      <c r="I125" s="25"/>
      <c r="J125" s="25"/>
      <c r="K125" s="17"/>
      <c r="N125" s="95"/>
    </row>
    <row r="126" spans="3:14" ht="12.75">
      <c r="C126" s="17"/>
      <c r="D126" s="17"/>
      <c r="E126" s="89">
        <v>44741</v>
      </c>
      <c r="F126" s="45"/>
      <c r="G126" s="45">
        <v>-3492</v>
      </c>
      <c r="H126" s="17"/>
      <c r="I126" s="25"/>
      <c r="J126" s="25"/>
      <c r="K126" s="17"/>
      <c r="N126" s="95"/>
    </row>
    <row r="127" spans="3:14" ht="12.75">
      <c r="C127" s="17"/>
      <c r="D127" s="17"/>
      <c r="E127" s="89">
        <v>44830</v>
      </c>
      <c r="F127" s="45"/>
      <c r="G127" s="45">
        <v>-3424.85</v>
      </c>
      <c r="H127" s="17"/>
      <c r="I127" s="25"/>
      <c r="J127" s="25"/>
      <c r="K127" s="17"/>
      <c r="N127" s="95"/>
    </row>
    <row r="128" spans="3:14" ht="12.75">
      <c r="C128" s="17" t="s">
        <v>29</v>
      </c>
      <c r="D128" s="17"/>
      <c r="E128" s="89">
        <v>44580</v>
      </c>
      <c r="F128" s="45"/>
      <c r="G128" s="45">
        <v>90440.08</v>
      </c>
      <c r="H128" s="17"/>
      <c r="I128" s="25"/>
      <c r="J128" s="25"/>
      <c r="K128" s="17"/>
      <c r="N128" s="95"/>
    </row>
    <row r="129" spans="3:14" ht="12.75">
      <c r="C129" s="17"/>
      <c r="D129" s="17"/>
      <c r="E129" s="89">
        <v>44595</v>
      </c>
      <c r="F129" s="45"/>
      <c r="G129" s="45">
        <v>34837.28</v>
      </c>
      <c r="H129" s="17"/>
      <c r="I129" s="25"/>
      <c r="J129" s="25"/>
      <c r="K129" s="17"/>
      <c r="N129" s="95"/>
    </row>
    <row r="130" spans="3:14" ht="12.75">
      <c r="C130" s="17"/>
      <c r="D130" s="17"/>
      <c r="E130" s="89">
        <v>44630</v>
      </c>
      <c r="F130" s="45"/>
      <c r="G130" s="45">
        <v>48745.82</v>
      </c>
      <c r="H130" s="17"/>
      <c r="I130" s="25"/>
      <c r="J130" s="25"/>
      <c r="K130" s="17"/>
      <c r="N130" s="95"/>
    </row>
    <row r="131" spans="3:14" ht="12.75">
      <c r="C131" s="17"/>
      <c r="D131" s="17"/>
      <c r="E131" s="89">
        <v>44655</v>
      </c>
      <c r="F131" s="45"/>
      <c r="G131" s="45">
        <v>88493.71</v>
      </c>
      <c r="H131" s="17"/>
      <c r="I131" s="25"/>
      <c r="J131" s="25"/>
      <c r="K131" s="17"/>
      <c r="N131" s="95"/>
    </row>
    <row r="132" spans="3:14" ht="12.75">
      <c r="C132" s="17"/>
      <c r="D132" s="17"/>
      <c r="E132" s="89">
        <v>44690</v>
      </c>
      <c r="F132" s="45"/>
      <c r="G132" s="45">
        <v>44167.72</v>
      </c>
      <c r="H132" s="17"/>
      <c r="I132" s="25"/>
      <c r="J132" s="25"/>
      <c r="K132" s="17"/>
      <c r="N132" s="95"/>
    </row>
    <row r="133" spans="3:14" ht="12.75">
      <c r="C133" s="17"/>
      <c r="D133" s="17"/>
      <c r="E133" s="89">
        <v>44714</v>
      </c>
      <c r="F133" s="45"/>
      <c r="G133" s="45">
        <v>66332.74</v>
      </c>
      <c r="H133" s="17"/>
      <c r="I133" s="25"/>
      <c r="J133" s="25"/>
      <c r="K133" s="17"/>
      <c r="N133" s="95"/>
    </row>
    <row r="134" spans="3:14" ht="12.75">
      <c r="C134" s="17"/>
      <c r="D134" s="17"/>
      <c r="E134" s="89">
        <v>44754</v>
      </c>
      <c r="F134" s="45"/>
      <c r="G134" s="45">
        <v>63791.21</v>
      </c>
      <c r="H134" s="17"/>
      <c r="I134" s="25"/>
      <c r="J134" s="25"/>
      <c r="K134" s="17"/>
      <c r="N134" s="95"/>
    </row>
    <row r="135" spans="3:14" ht="12.75">
      <c r="C135" s="17"/>
      <c r="D135" s="17"/>
      <c r="E135" s="89">
        <v>44782</v>
      </c>
      <c r="F135" s="45"/>
      <c r="G135" s="45">
        <v>19406.66</v>
      </c>
      <c r="H135" s="17"/>
      <c r="I135" s="25"/>
      <c r="J135" s="25"/>
      <c r="K135" s="17"/>
      <c r="N135" s="95"/>
    </row>
    <row r="136" spans="3:14" ht="12.75">
      <c r="C136" s="17"/>
      <c r="D136" s="17"/>
      <c r="E136" s="89">
        <v>44806</v>
      </c>
      <c r="F136" s="45"/>
      <c r="G136" s="45">
        <v>57189.52</v>
      </c>
      <c r="H136" s="17"/>
      <c r="I136" s="25"/>
      <c r="J136" s="25"/>
      <c r="K136" s="17"/>
      <c r="N136" s="95"/>
    </row>
    <row r="137" spans="3:14" ht="4.5" customHeight="1">
      <c r="C137" s="17"/>
      <c r="D137" s="17"/>
      <c r="E137" s="89"/>
      <c r="F137" s="17"/>
      <c r="G137" s="45"/>
      <c r="H137" s="17"/>
      <c r="I137" s="25"/>
      <c r="J137" s="25"/>
      <c r="N137" s="95"/>
    </row>
    <row r="138" spans="3:14" ht="15.75">
      <c r="C138" s="17" t="s">
        <v>5</v>
      </c>
      <c r="D138" s="17"/>
      <c r="E138" s="89">
        <f>+E8</f>
        <v>44834</v>
      </c>
      <c r="F138" s="17"/>
      <c r="G138" s="94">
        <f>L138/0.97*C22</f>
        <v>1507338.6874122971</v>
      </c>
      <c r="H138" s="17"/>
      <c r="I138" s="89"/>
      <c r="L138" s="124">
        <v>6.531805468E9</v>
      </c>
      <c r="M138" s="80"/>
      <c r="N138" s="95"/>
    </row>
    <row r="139" spans="3:14" ht="12.75">
      <c r="C139" s="17"/>
      <c r="D139" s="17"/>
      <c r="E139" s="17"/>
      <c r="F139" s="17"/>
      <c r="G139" s="17"/>
      <c r="H139" s="17"/>
      <c r="J139" s="25"/>
      <c r="N139" s="95"/>
    </row>
    <row r="140" spans="3:11" ht="12.75">
      <c r="C140" s="15" t="s">
        <v>0</v>
      </c>
      <c r="G140" s="72">
        <f>+XIRR(G24:G138,E24:E138,0.1)</f>
        <v>0.15694598555564884</v>
      </c>
      <c r="H140" s="17"/>
      <c r="J140" s="45">
        <f>+SUMIF($G$24:$G$137,"&lt;0",$G$24:$G$137)+23052.4</f>
        <v>-1526838.0499999998</v>
      </c>
      <c r="K140" s="17" t="s">
        <v>20</v>
      </c>
    </row>
    <row r="141" spans="3:11" ht="12.75">
      <c r="C141" s="17"/>
      <c r="D141" s="17"/>
      <c r="E141" s="17"/>
      <c r="F141" s="17"/>
      <c r="G141" s="17"/>
      <c r="H141" s="17"/>
      <c r="J141" s="45">
        <f>+SUMIF($G$24:$G$137,"&gt;0",$G$24:$G$137)-23052.4</f>
        <v>1248810.17</v>
      </c>
      <c r="K141" s="17" t="s">
        <v>21</v>
      </c>
    </row>
    <row r="142" spans="3:8" ht="12.75">
      <c r="C142" s="17"/>
      <c r="D142" s="17"/>
      <c r="E142" s="17"/>
      <c r="F142" s="17"/>
      <c r="G142" s="17"/>
      <c r="H142" s="17"/>
    </row>
    <row r="143" spans="3:11" ht="12.75">
      <c r="C143" s="17"/>
      <c r="D143" s="17"/>
      <c r="E143" s="75"/>
      <c r="F143" s="17"/>
      <c r="G143" s="75"/>
      <c r="H143" s="17"/>
      <c r="K143" s="75"/>
    </row>
    <row r="144" spans="3:11" ht="12.75">
      <c r="C144" s="28"/>
      <c r="D144" s="28"/>
      <c r="E144" s="75"/>
      <c r="F144" s="28"/>
      <c r="G144" s="75"/>
      <c r="H144" s="17"/>
      <c r="K144" s="75"/>
    </row>
    <row r="145" spans="3:11" ht="12.75">
      <c r="C145" s="28"/>
      <c r="D145" s="28"/>
      <c r="E145" s="75"/>
      <c r="F145" s="28"/>
      <c r="G145" s="75"/>
      <c r="H145" s="17"/>
      <c r="K145" s="75"/>
    </row>
    <row r="146" spans="3:11" ht="12.75">
      <c r="C146" s="28"/>
      <c r="D146" s="28"/>
      <c r="E146" s="28"/>
      <c r="F146" s="28"/>
      <c r="G146" s="28"/>
      <c r="H146" s="15"/>
      <c r="K146" s="75"/>
    </row>
    <row r="147" spans="3:11" ht="12.75">
      <c r="C147" s="28"/>
      <c r="D147" s="28"/>
      <c r="E147" s="75"/>
      <c r="F147" s="75"/>
      <c r="G147" s="75"/>
      <c r="H147" s="15"/>
      <c r="K147" s="75"/>
    </row>
    <row r="148" spans="3:11" ht="12.75">
      <c r="C148" s="28"/>
      <c r="D148" s="28"/>
      <c r="E148" s="28"/>
      <c r="F148" s="28"/>
      <c r="G148" s="28"/>
      <c r="H148" s="15"/>
      <c r="K148" s="95"/>
    </row>
    <row r="149" spans="3:8" ht="12.75">
      <c r="C149" s="171"/>
      <c r="D149" s="171"/>
      <c r="E149" s="173"/>
      <c r="F149" s="97"/>
      <c r="G149" s="32"/>
      <c r="H149" s="15"/>
    </row>
    <row r="150" spans="3:11" ht="12.75">
      <c r="C150" s="171"/>
      <c r="D150" s="171"/>
      <c r="E150" s="97"/>
      <c r="F150" s="97"/>
      <c r="G150" s="97"/>
      <c r="H150" s="15"/>
      <c r="K150" s="95"/>
    </row>
    <row r="151" spans="3:8" ht="12.75">
      <c r="C151" s="171"/>
      <c r="D151" s="171"/>
      <c r="E151" s="97"/>
      <c r="F151" s="97"/>
      <c r="G151" s="97"/>
      <c r="H151" s="15"/>
    </row>
    <row r="152" spans="3:8" ht="12.75">
      <c r="C152" s="189"/>
      <c r="D152" s="171"/>
      <c r="E152" s="97"/>
      <c r="F152" s="97"/>
      <c r="G152" s="97"/>
      <c r="H152" s="15"/>
    </row>
    <row r="153" spans="3:8" ht="12.75">
      <c r="C153" s="189"/>
      <c r="D153" s="171"/>
      <c r="E153" s="97"/>
      <c r="F153" s="97"/>
      <c r="G153" s="97"/>
      <c r="H153" s="15"/>
    </row>
    <row r="154" spans="3:8" ht="12.75">
      <c r="C154" s="190"/>
      <c r="D154" s="171"/>
      <c r="E154" s="97"/>
      <c r="F154" s="97"/>
      <c r="G154" s="97"/>
      <c r="H154" s="15"/>
    </row>
    <row r="155" spans="3:8" ht="12.75">
      <c r="C155" s="171"/>
      <c r="D155" s="171"/>
      <c r="E155" s="97"/>
      <c r="F155" s="97"/>
      <c r="G155" s="97"/>
      <c r="H155" s="15"/>
    </row>
    <row r="156" spans="3:8" ht="12.75">
      <c r="C156" s="171"/>
      <c r="D156" s="171"/>
      <c r="E156" s="97"/>
      <c r="F156" s="97"/>
      <c r="G156" s="97"/>
      <c r="H156" s="15"/>
    </row>
    <row r="157" spans="3:8" ht="12.75">
      <c r="C157" s="171"/>
      <c r="D157" s="171"/>
      <c r="E157" s="97"/>
      <c r="F157" s="97"/>
      <c r="G157" s="97"/>
      <c r="H157" s="15"/>
    </row>
    <row r="158" spans="3:8" ht="12.75">
      <c r="C158" s="171"/>
      <c r="D158" s="171"/>
      <c r="E158" s="97"/>
      <c r="F158" s="97"/>
      <c r="G158" s="97"/>
      <c r="H158" s="15"/>
    </row>
    <row r="159" spans="3:8" ht="12.75">
      <c r="C159" s="171"/>
      <c r="D159" s="171"/>
      <c r="E159" s="97"/>
      <c r="F159" s="97"/>
      <c r="G159" s="97"/>
      <c r="H159" s="15"/>
    </row>
    <row r="160" spans="3:8" ht="12.75">
      <c r="C160" s="171"/>
      <c r="D160" s="171"/>
      <c r="E160" s="97"/>
      <c r="F160" s="97"/>
      <c r="G160" s="97"/>
      <c r="H160" s="15"/>
    </row>
    <row r="161" spans="3:8" ht="5.1" customHeight="1">
      <c r="C161" s="15"/>
      <c r="D161" s="15"/>
      <c r="E161" s="98"/>
      <c r="F161" s="99"/>
      <c r="G161" s="98"/>
      <c r="H161" s="15"/>
    </row>
    <row r="162" spans="3:8" ht="12.75">
      <c r="C162" s="15"/>
      <c r="D162" s="15"/>
      <c r="E162" s="100"/>
      <c r="F162" s="101"/>
      <c r="G162" s="100"/>
      <c r="H162" s="15"/>
    </row>
    <row r="163" spans="3:8" ht="12.75">
      <c r="C163" s="17"/>
      <c r="D163" s="17"/>
      <c r="E163" s="102"/>
      <c r="F163" s="103"/>
      <c r="G163" s="102"/>
      <c r="H163" s="17"/>
    </row>
    <row r="164" spans="3:8" ht="12.75">
      <c r="C164" s="17"/>
      <c r="D164" s="17"/>
      <c r="E164" s="102"/>
      <c r="F164" s="103"/>
      <c r="G164" s="102"/>
      <c r="H164" s="17"/>
    </row>
    <row r="165" spans="3:8" ht="12.75">
      <c r="C165" s="17"/>
      <c r="D165" s="17"/>
      <c r="E165" s="102"/>
      <c r="F165" s="103"/>
      <c r="G165" s="102"/>
      <c r="H165" s="17"/>
    </row>
    <row r="166" spans="3:8" ht="12.75">
      <c r="C166" s="17"/>
      <c r="D166" s="17"/>
      <c r="E166" s="104"/>
      <c r="F166" s="104"/>
      <c r="G166" s="104"/>
      <c r="H166" s="17"/>
    </row>
    <row r="167" spans="3:8" ht="12.75">
      <c r="C167" s="17"/>
      <c r="D167" s="17"/>
      <c r="E167" s="17"/>
      <c r="F167" s="17"/>
      <c r="G167" s="17"/>
      <c r="H167" s="17"/>
    </row>
    <row r="168" spans="3:8" ht="12.75">
      <c r="C168" s="17"/>
      <c r="D168" s="17"/>
      <c r="E168" s="17"/>
      <c r="F168" s="17"/>
      <c r="G168" s="17"/>
      <c r="H168" s="17"/>
    </row>
    <row r="169" spans="3:8" ht="12.75">
      <c r="C169" s="17"/>
      <c r="D169" s="17"/>
      <c r="E169" s="17"/>
      <c r="F169" s="17"/>
      <c r="G169" s="17"/>
      <c r="H169" s="17"/>
    </row>
    <row r="170" spans="3:8" ht="12.75">
      <c r="C170" s="17"/>
      <c r="D170" s="17"/>
      <c r="E170" s="17"/>
      <c r="F170" s="17"/>
      <c r="G170" s="17"/>
      <c r="H170" s="17"/>
    </row>
    <row r="171" spans="3:8" ht="12.75">
      <c r="C171" s="17"/>
      <c r="D171" s="17"/>
      <c r="E171" s="17"/>
      <c r="F171" s="17"/>
      <c r="G171" s="17"/>
      <c r="H171" s="17"/>
    </row>
    <row r="172" spans="3:8" ht="12.75">
      <c r="C172" s="17"/>
      <c r="D172" s="17"/>
      <c r="E172" s="17"/>
      <c r="F172" s="17"/>
      <c r="G172" s="17"/>
      <c r="H172" s="17"/>
    </row>
    <row r="173" spans="3:8" ht="12.75">
      <c r="C173" s="17"/>
      <c r="D173" s="17"/>
      <c r="E173" s="17"/>
      <c r="F173" s="17"/>
      <c r="G173" s="17"/>
      <c r="H173" s="17"/>
    </row>
    <row r="174" spans="3:8" ht="12.75">
      <c r="C174" s="17"/>
      <c r="D174" s="17"/>
      <c r="E174" s="17"/>
      <c r="F174" s="17"/>
      <c r="G174" s="17"/>
      <c r="H174" s="17"/>
    </row>
    <row r="175" spans="3:8" ht="12.75">
      <c r="C175" s="17"/>
      <c r="D175" s="17"/>
      <c r="E175" s="17"/>
      <c r="F175" s="17"/>
      <c r="G175" s="17"/>
      <c r="H175" s="17"/>
    </row>
    <row r="176" spans="3:8" ht="12.75">
      <c r="C176" s="17"/>
      <c r="D176" s="17"/>
      <c r="E176" s="17"/>
      <c r="F176" s="17"/>
      <c r="G176" s="17"/>
      <c r="H176" s="17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7E5266A-BADB-4F39-B527-762D01B8286E}">
  <sheetPr>
    <pageSetUpPr fitToPage="1"/>
  </sheetPr>
  <dimension ref="B4:Q166"/>
  <sheetViews>
    <sheetView showGridLines="0" view="pageLayout" zoomScaleNormal="100" workbookViewId="0" topLeftCell="A1">
      <selection pane="topLeft" activeCell="C12" sqref="C12"/>
    </sheetView>
  </sheetViews>
  <sheetFormatPr defaultRowHeight="12.75"/>
  <cols>
    <col min="2" max="2" width="4.857142857142857" customWidth="1"/>
    <col min="3" max="3" width="48.857142857142854" customWidth="1"/>
    <col min="4" max="4" width="1.4285714285714286" customWidth="1"/>
    <col min="5" max="5" width="12.142857142857142" customWidth="1"/>
    <col min="6" max="6" width="1.4285714285714286" customWidth="1"/>
    <col min="7" max="7" width="12.142857142857142" customWidth="1"/>
    <col min="8" max="8" width="1.7142857142857142" customWidth="1"/>
    <col min="9" max="9" width="7.428571428571429" customWidth="1"/>
    <col min="10" max="10" width="11.714285714285714" customWidth="1"/>
    <col min="12" max="12" width="16.571428571428573" customWidth="1"/>
    <col min="13" max="13" width="16.714285714285715" customWidth="1"/>
    <col min="14" max="15" width="14" bestFit="1" customWidth="1"/>
    <col min="16" max="16" width="10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20">
        <f>+'Fund X'!E8</f>
        <v>44834</v>
      </c>
      <c r="F8" s="13"/>
      <c r="G8" s="78"/>
      <c r="H8" s="78"/>
      <c r="I8" s="79"/>
    </row>
    <row r="9" spans="3:7" ht="15.75">
      <c r="C9" s="65"/>
      <c r="D9" s="65"/>
      <c r="E9" s="65"/>
      <c r="F9" s="65"/>
      <c r="G9" s="177"/>
    </row>
    <row r="10" spans="3:9" ht="12.75">
      <c r="C10" s="178"/>
      <c r="D10" s="178"/>
      <c r="E10" s="179"/>
      <c r="F10" s="178"/>
      <c r="G10" s="124"/>
      <c r="H10" s="81"/>
      <c r="I10" s="86"/>
    </row>
    <row r="11" spans="3:9" ht="12.75">
      <c r="C11" s="178"/>
      <c r="D11" s="178"/>
      <c r="E11" s="179"/>
      <c r="F11" s="178"/>
      <c r="G11" s="179"/>
      <c r="H11" s="81"/>
      <c r="I11" s="86"/>
    </row>
    <row r="12" spans="3:9" ht="15.75">
      <c r="C12" s="180"/>
      <c r="D12" s="180"/>
      <c r="E12" s="70"/>
      <c r="F12" s="180"/>
      <c r="G12" s="70"/>
      <c r="H12" s="5"/>
      <c r="I12" s="86"/>
    </row>
    <row r="13" spans="3:9" ht="12.75">
      <c r="C13" s="178"/>
      <c r="D13" s="178"/>
      <c r="E13" s="71"/>
      <c r="F13" s="178"/>
      <c r="G13" s="124"/>
      <c r="H13" s="84"/>
      <c r="I13" s="86"/>
    </row>
    <row r="14" spans="3:9" ht="12.75">
      <c r="C14" s="178"/>
      <c r="D14" s="178"/>
      <c r="E14" s="181"/>
      <c r="F14" s="178"/>
      <c r="G14" s="124"/>
      <c r="H14" s="85"/>
      <c r="I14" s="86"/>
    </row>
    <row r="15" spans="3:9" ht="12.75">
      <c r="C15" s="178"/>
      <c r="D15" s="178"/>
      <c r="E15" s="179"/>
      <c r="F15" s="178"/>
      <c r="G15" s="179"/>
      <c r="H15" s="81"/>
      <c r="I15" s="86"/>
    </row>
    <row r="16" spans="3:9" ht="15.75">
      <c r="C16" s="5"/>
      <c r="D16" s="5"/>
      <c r="E16" s="10"/>
      <c r="F16" s="5"/>
      <c r="G16" s="10"/>
      <c r="H16" s="5"/>
      <c r="I16" s="86"/>
    </row>
    <row r="17" spans="3:9" ht="15.75">
      <c r="C17" s="83" t="s">
        <v>15</v>
      </c>
      <c r="D17" s="83"/>
      <c r="E17" s="10"/>
      <c r="F17" s="83"/>
      <c r="G17" s="10"/>
      <c r="H17" s="5"/>
      <c r="I17" s="86"/>
    </row>
    <row r="18" spans="3:9" ht="12.75" customHeight="1">
      <c r="C18" s="6" t="s">
        <v>16</v>
      </c>
      <c r="D18" s="6"/>
      <c r="E18" s="84">
        <f>G140</f>
        <v>0.14057466387748715</v>
      </c>
      <c r="F18" s="6"/>
      <c r="G18" s="11"/>
      <c r="H18" s="84"/>
      <c r="I18" s="86"/>
    </row>
    <row r="19" spans="3:16" ht="12.75">
      <c r="C19" s="6" t="s">
        <v>17</v>
      </c>
      <c r="D19" s="6"/>
      <c r="E19" s="87">
        <f>-(G138+J141)/J140</f>
        <v>1.6937211348196022</v>
      </c>
      <c r="F19" s="6"/>
      <c r="G19" s="9"/>
      <c r="H19" s="81"/>
      <c r="N19" s="95"/>
      <c r="O19" s="66"/>
      <c r="P19" s="95"/>
    </row>
    <row r="20" spans="3:16" ht="12.75">
      <c r="C20" s="6"/>
      <c r="D20" s="6"/>
      <c r="E20" s="6"/>
      <c r="F20" s="6"/>
      <c r="G20" s="81"/>
      <c r="N20" s="95"/>
      <c r="O20" s="66"/>
      <c r="P20" s="95"/>
    </row>
    <row r="21" spans="3:16" ht="15.75">
      <c r="C21" s="88" t="s">
        <v>50</v>
      </c>
      <c r="D21" s="7"/>
      <c r="E21" s="7"/>
      <c r="F21" s="7"/>
      <c r="I21" s="89"/>
      <c r="J21" s="17"/>
      <c r="L21" s="119"/>
      <c r="N21" s="95"/>
      <c r="O21" s="66"/>
      <c r="P21" s="95"/>
    </row>
    <row r="22" spans="3:17" ht="12.75">
      <c r="C22" s="90">
        <v>0.001086909</v>
      </c>
      <c r="D22" s="17"/>
      <c r="E22" s="17"/>
      <c r="F22" s="17"/>
      <c r="G22" s="91"/>
      <c r="H22" s="17"/>
      <c r="I22" s="17"/>
      <c r="J22" s="17"/>
      <c r="N22" s="95"/>
      <c r="O22" s="66"/>
      <c r="P22" s="95"/>
      <c r="Q22" s="118"/>
    </row>
    <row r="23" spans="3:16" ht="12.75">
      <c r="C23" s="17"/>
      <c r="D23" s="17"/>
      <c r="E23" s="89"/>
      <c r="F23" s="45"/>
      <c r="G23" s="45"/>
      <c r="H23" s="17"/>
      <c r="I23" s="25"/>
      <c r="N23" s="95"/>
      <c r="O23" s="66"/>
      <c r="P23" s="95"/>
    </row>
    <row r="24" spans="3:16" ht="12.75">
      <c r="C24" s="17" t="s">
        <v>44</v>
      </c>
      <c r="D24" s="17"/>
      <c r="E24" s="89">
        <v>42089</v>
      </c>
      <c r="F24" s="45"/>
      <c r="G24" s="45">
        <v>-71700</v>
      </c>
      <c r="H24" s="17"/>
      <c r="I24" s="25"/>
      <c r="N24" s="95"/>
      <c r="O24" s="66"/>
      <c r="P24" s="95"/>
    </row>
    <row r="25" spans="3:16" ht="12.75">
      <c r="C25" s="17"/>
      <c r="D25" s="17"/>
      <c r="E25" s="89">
        <v>42118</v>
      </c>
      <c r="F25" s="45"/>
      <c r="G25" s="45">
        <v>23052.40</v>
      </c>
      <c r="H25" s="17"/>
      <c r="I25" s="25"/>
      <c r="N25" s="95"/>
      <c r="O25" s="66"/>
      <c r="P25" s="95"/>
    </row>
    <row r="26" spans="3:16" ht="12.75">
      <c r="C26" s="17"/>
      <c r="D26" s="17"/>
      <c r="E26" s="89">
        <v>42180</v>
      </c>
      <c r="F26" s="45"/>
      <c r="G26" s="45">
        <v>-7095.93</v>
      </c>
      <c r="H26" s="17"/>
      <c r="I26" s="25"/>
      <c r="N26" s="95"/>
      <c r="O26" s="66"/>
      <c r="P26" s="95"/>
    </row>
    <row r="27" spans="3:16" ht="12.75">
      <c r="C27" s="17"/>
      <c r="D27" s="17"/>
      <c r="E27" s="89">
        <v>42201</v>
      </c>
      <c r="F27" s="45"/>
      <c r="G27" s="45">
        <v>-2216.09</v>
      </c>
      <c r="H27" s="17"/>
      <c r="I27" s="25"/>
      <c r="N27" s="95"/>
      <c r="O27" s="66"/>
      <c r="P27" s="95"/>
    </row>
    <row r="28" spans="3:16" ht="12.75">
      <c r="C28" s="17"/>
      <c r="E28" s="89">
        <v>42271</v>
      </c>
      <c r="G28" s="45">
        <v>-6961.62</v>
      </c>
      <c r="H28" s="17"/>
      <c r="I28" s="25"/>
      <c r="J28" s="25"/>
      <c r="K28" s="17"/>
      <c r="N28" s="95"/>
      <c r="O28" s="66"/>
      <c r="P28" s="95"/>
    </row>
    <row r="29" spans="3:11" ht="12.75">
      <c r="C29" s="17"/>
      <c r="E29" s="89">
        <v>42324</v>
      </c>
      <c r="G29" s="45">
        <v>-10587.93</v>
      </c>
      <c r="H29" s="17"/>
      <c r="I29" s="25"/>
      <c r="J29" s="25"/>
      <c r="K29" s="17"/>
    </row>
    <row r="30" spans="3:11" ht="12.75">
      <c r="C30" s="17"/>
      <c r="E30" s="89">
        <v>42367</v>
      </c>
      <c r="G30" s="45">
        <v>-28316.54</v>
      </c>
      <c r="H30" s="17"/>
      <c r="I30" s="25"/>
      <c r="J30" s="25"/>
      <c r="K30" s="17"/>
    </row>
    <row r="31" spans="3:11" ht="12.75">
      <c r="C31" s="17" t="s">
        <v>45</v>
      </c>
      <c r="D31" s="17"/>
      <c r="E31" s="89">
        <v>42396</v>
      </c>
      <c r="G31" s="45">
        <v>-46425.69</v>
      </c>
      <c r="H31" s="17"/>
      <c r="I31" s="25"/>
      <c r="J31" s="25"/>
      <c r="K31" s="17"/>
    </row>
    <row r="32" spans="3:11" ht="12.75">
      <c r="C32" s="17"/>
      <c r="D32" s="17"/>
      <c r="E32" s="89">
        <v>42453</v>
      </c>
      <c r="G32" s="45">
        <v>-10319.32</v>
      </c>
      <c r="H32" s="17"/>
      <c r="I32" s="25"/>
      <c r="J32" s="25"/>
      <c r="K32" s="17"/>
    </row>
    <row r="33" spans="3:11" ht="12.75">
      <c r="C33" s="17"/>
      <c r="D33" s="17"/>
      <c r="E33" s="89">
        <v>42461</v>
      </c>
      <c r="G33" s="45">
        <v>-7476.46</v>
      </c>
      <c r="H33" s="17"/>
      <c r="I33" s="25"/>
      <c r="J33" s="25"/>
      <c r="K33" s="17"/>
    </row>
    <row r="34" spans="3:11" ht="12.75">
      <c r="C34" s="17"/>
      <c r="D34" s="17"/>
      <c r="E34" s="89">
        <v>42500</v>
      </c>
      <c r="G34" s="45">
        <v>-6446.76</v>
      </c>
      <c r="H34" s="17"/>
      <c r="I34" s="25"/>
      <c r="J34" s="25"/>
      <c r="K34" s="17"/>
    </row>
    <row r="35" spans="3:11" ht="12.75">
      <c r="C35" s="17"/>
      <c r="D35" s="17"/>
      <c r="E35" s="89">
        <v>42513</v>
      </c>
      <c r="G35" s="45">
        <v>-21354.92</v>
      </c>
      <c r="H35" s="17"/>
      <c r="I35" s="25"/>
      <c r="J35" s="25"/>
      <c r="K35" s="17"/>
    </row>
    <row r="36" spans="3:11" ht="12.75">
      <c r="C36" s="17"/>
      <c r="D36" s="17"/>
      <c r="E36" s="89">
        <v>42524</v>
      </c>
      <c r="G36" s="45">
        <v>-50052</v>
      </c>
      <c r="H36" s="17"/>
      <c r="I36" s="25"/>
      <c r="J36" s="25"/>
      <c r="K36" s="17"/>
    </row>
    <row r="37" spans="3:11" ht="12.75">
      <c r="C37" s="17"/>
      <c r="D37" s="17"/>
      <c r="E37" s="89">
        <v>42544</v>
      </c>
      <c r="G37" s="45">
        <v>-73690.16</v>
      </c>
      <c r="H37" s="17"/>
      <c r="I37" s="25"/>
      <c r="J37" s="25"/>
      <c r="K37" s="17"/>
    </row>
    <row r="38" spans="3:11" ht="12.75">
      <c r="C38" s="17"/>
      <c r="D38" s="17"/>
      <c r="E38" s="89">
        <v>42564</v>
      </c>
      <c r="G38" s="45">
        <v>-8058.46</v>
      </c>
      <c r="H38" s="17"/>
      <c r="I38" s="25"/>
      <c r="J38" s="25"/>
      <c r="K38" s="17"/>
    </row>
    <row r="39" spans="3:11" ht="12.75">
      <c r="C39" s="17"/>
      <c r="D39" s="17"/>
      <c r="E39" s="89">
        <v>42585</v>
      </c>
      <c r="G39" s="45">
        <v>-35860.16</v>
      </c>
      <c r="H39" s="17"/>
      <c r="I39" s="25"/>
      <c r="J39" s="25"/>
      <c r="K39" s="17"/>
    </row>
    <row r="40" spans="3:11" ht="12.75">
      <c r="C40" s="17"/>
      <c r="D40" s="17"/>
      <c r="E40" s="89">
        <v>42614</v>
      </c>
      <c r="G40" s="45">
        <v>-13676.99</v>
      </c>
      <c r="H40" s="17"/>
      <c r="I40" s="25"/>
      <c r="J40" s="25"/>
      <c r="K40" s="17"/>
    </row>
    <row r="41" spans="3:9" ht="12.75">
      <c r="C41" s="17"/>
      <c r="D41" s="17"/>
      <c r="E41" s="89">
        <v>42641</v>
      </c>
      <c r="G41" s="45">
        <v>-20952</v>
      </c>
      <c r="H41" s="17"/>
      <c r="I41" s="25"/>
    </row>
    <row r="42" spans="3:9" ht="12.75">
      <c r="C42" s="17"/>
      <c r="D42" s="17"/>
      <c r="E42" s="89">
        <v>42656</v>
      </c>
      <c r="G42" s="45">
        <v>-22362.23</v>
      </c>
      <c r="H42" s="17"/>
      <c r="I42" s="25"/>
    </row>
    <row r="43" spans="3:9" ht="12.75">
      <c r="C43" s="17"/>
      <c r="D43" s="17"/>
      <c r="E43" s="89">
        <v>42704</v>
      </c>
      <c r="G43" s="45">
        <v>-19183.62</v>
      </c>
      <c r="H43" s="17"/>
      <c r="I43" s="25"/>
    </row>
    <row r="44" spans="3:9" ht="12.75">
      <c r="C44" s="17"/>
      <c r="D44" s="17"/>
      <c r="E44" s="89">
        <v>42719</v>
      </c>
      <c r="G44" s="45">
        <v>-20593.85</v>
      </c>
      <c r="H44" s="17"/>
      <c r="I44" s="25"/>
    </row>
    <row r="45" spans="3:9" ht="12.75">
      <c r="C45" s="17"/>
      <c r="D45" s="17"/>
      <c r="E45" s="89">
        <v>42733</v>
      </c>
      <c r="G45" s="45">
        <v>-13318.84</v>
      </c>
      <c r="H45" s="17"/>
      <c r="I45" s="25"/>
    </row>
    <row r="46" spans="3:11" ht="12.75">
      <c r="C46" s="17" t="s">
        <v>25</v>
      </c>
      <c r="D46" s="17"/>
      <c r="E46" s="89">
        <v>42716</v>
      </c>
      <c r="G46" s="45">
        <v>17585.47</v>
      </c>
      <c r="H46" s="17"/>
      <c r="I46" s="25"/>
      <c r="J46" s="25"/>
      <c r="K46" s="17"/>
    </row>
    <row r="47" spans="3:11" ht="12.75">
      <c r="C47" s="17" t="s">
        <v>30</v>
      </c>
      <c r="D47" s="17"/>
      <c r="E47" s="89">
        <v>42754</v>
      </c>
      <c r="G47" s="45">
        <v>-12983.08</v>
      </c>
      <c r="H47" s="17"/>
      <c r="I47" s="25"/>
      <c r="J47" s="25"/>
      <c r="K47" s="17"/>
    </row>
    <row r="48" spans="3:11" ht="12.75">
      <c r="C48" s="17"/>
      <c r="D48" s="17"/>
      <c r="E48" s="89">
        <v>42765</v>
      </c>
      <c r="G48" s="45">
        <v>-13251.70</v>
      </c>
      <c r="H48" s="17"/>
      <c r="I48" s="25"/>
      <c r="J48" s="25"/>
      <c r="K48" s="17"/>
    </row>
    <row r="49" spans="3:11" ht="12.75">
      <c r="C49" s="17"/>
      <c r="D49" s="17"/>
      <c r="E49" s="89">
        <v>42773</v>
      </c>
      <c r="G49" s="45">
        <v>-22608.46</v>
      </c>
      <c r="H49" s="17"/>
      <c r="I49" s="25"/>
      <c r="J49" s="25"/>
      <c r="K49" s="17"/>
    </row>
    <row r="50" spans="3:11" ht="12.75">
      <c r="C50" s="17"/>
      <c r="D50" s="17"/>
      <c r="E50" s="89">
        <v>42797</v>
      </c>
      <c r="G50" s="45">
        <v>-31629.46</v>
      </c>
      <c r="H50" s="17"/>
      <c r="I50" s="25"/>
      <c r="J50" s="25"/>
      <c r="K50" s="17"/>
    </row>
    <row r="51" spans="3:11" ht="12.75">
      <c r="C51" s="17"/>
      <c r="D51" s="17"/>
      <c r="E51" s="89">
        <v>42817</v>
      </c>
      <c r="G51" s="45">
        <v>-18758.31</v>
      </c>
      <c r="H51" s="17"/>
      <c r="I51" s="25"/>
      <c r="J51" s="25"/>
      <c r="K51" s="17"/>
    </row>
    <row r="52" spans="3:11" ht="12.75">
      <c r="C52" s="17"/>
      <c r="D52" s="17"/>
      <c r="E52" s="89">
        <v>42828</v>
      </c>
      <c r="G52" s="45">
        <v>-16296</v>
      </c>
      <c r="H52" s="17"/>
      <c r="I52" s="25"/>
      <c r="J52" s="25"/>
      <c r="K52" s="17"/>
    </row>
    <row r="53" spans="3:11" ht="12.75">
      <c r="C53" s="17"/>
      <c r="D53" s="17"/>
      <c r="E53" s="89">
        <v>42851</v>
      </c>
      <c r="G53" s="45">
        <v>-71496.45</v>
      </c>
      <c r="H53" s="17"/>
      <c r="I53" s="25"/>
      <c r="J53" s="25"/>
      <c r="K53" s="17"/>
    </row>
    <row r="54" spans="3:11" ht="12.75">
      <c r="C54" s="17"/>
      <c r="D54" s="17"/>
      <c r="E54" s="89">
        <v>42863</v>
      </c>
      <c r="G54" s="45">
        <v>-15087.24</v>
      </c>
      <c r="H54" s="17"/>
      <c r="I54" s="25"/>
      <c r="J54" s="25"/>
      <c r="K54" s="17"/>
    </row>
    <row r="55" spans="3:9" ht="12.75">
      <c r="C55" s="17"/>
      <c r="D55" s="17"/>
      <c r="E55" s="89">
        <v>42878</v>
      </c>
      <c r="G55" s="45">
        <v>-17057.08</v>
      </c>
      <c r="H55" s="17"/>
      <c r="I55" s="25"/>
    </row>
    <row r="56" spans="3:9" ht="12.75">
      <c r="C56" s="17"/>
      <c r="D56" s="17"/>
      <c r="E56" s="89">
        <v>42893</v>
      </c>
      <c r="G56" s="45">
        <v>-32032.38</v>
      </c>
      <c r="H56" s="17"/>
      <c r="I56" s="25"/>
    </row>
    <row r="57" spans="3:9" ht="12.75">
      <c r="C57" s="17"/>
      <c r="D57" s="17"/>
      <c r="E57" s="89">
        <v>42907</v>
      </c>
      <c r="G57" s="45">
        <v>-16989.92</v>
      </c>
      <c r="H57" s="17"/>
      <c r="I57" s="25"/>
    </row>
    <row r="58" spans="3:9" ht="12.75">
      <c r="C58" s="17"/>
      <c r="D58" s="17"/>
      <c r="E58" s="89">
        <v>42915</v>
      </c>
      <c r="G58" s="45">
        <v>-38949.24</v>
      </c>
      <c r="H58" s="17"/>
      <c r="I58" s="25"/>
    </row>
    <row r="59" spans="3:9" ht="12.75">
      <c r="C59" s="17"/>
      <c r="D59" s="17"/>
      <c r="E59" s="89">
        <v>42927</v>
      </c>
      <c r="G59" s="45">
        <v>-13878.47</v>
      </c>
      <c r="H59" s="17"/>
      <c r="I59" s="25"/>
    </row>
    <row r="60" spans="3:9" ht="12.75">
      <c r="C60" s="17"/>
      <c r="D60" s="17"/>
      <c r="E60" s="89">
        <v>42957</v>
      </c>
      <c r="G60" s="45">
        <v>-21265.38</v>
      </c>
      <c r="H60" s="17"/>
      <c r="I60" s="25"/>
    </row>
    <row r="61" spans="3:9" ht="12.75">
      <c r="C61" s="17"/>
      <c r="D61" s="17"/>
      <c r="E61" s="89">
        <v>42970</v>
      </c>
      <c r="G61" s="45">
        <v>-45910.85</v>
      </c>
      <c r="H61" s="17"/>
      <c r="I61" s="25"/>
    </row>
    <row r="62" spans="3:11" ht="12.75">
      <c r="C62" s="17"/>
      <c r="D62" s="17"/>
      <c r="E62" s="89">
        <v>42993</v>
      </c>
      <c r="G62" s="45">
        <v>-16452.68</v>
      </c>
      <c r="H62" s="17"/>
      <c r="I62" s="25"/>
      <c r="J62" s="25"/>
      <c r="K62" s="17"/>
    </row>
    <row r="63" spans="3:11" ht="12.75">
      <c r="C63" s="17"/>
      <c r="D63" s="17"/>
      <c r="E63" s="89">
        <v>43000</v>
      </c>
      <c r="G63" s="45">
        <v>-23817.22</v>
      </c>
      <c r="H63" s="17"/>
      <c r="I63" s="25"/>
      <c r="J63" s="25"/>
      <c r="K63" s="17"/>
    </row>
    <row r="64" spans="3:11" ht="12.75">
      <c r="C64" s="17"/>
      <c r="D64" s="17"/>
      <c r="E64" s="89">
        <v>43012</v>
      </c>
      <c r="G64" s="45">
        <v>-23794.85</v>
      </c>
      <c r="H64" s="17"/>
      <c r="I64" s="25"/>
      <c r="J64" s="25"/>
      <c r="K64" s="17"/>
    </row>
    <row r="65" spans="3:12" ht="15.75">
      <c r="C65" s="17"/>
      <c r="D65" s="17"/>
      <c r="E65" s="89">
        <v>43027</v>
      </c>
      <c r="G65" s="45">
        <v>-23347.15</v>
      </c>
      <c r="H65" s="17"/>
      <c r="I65" s="25"/>
      <c r="J65" s="44"/>
      <c r="K65" s="41"/>
      <c r="L65" s="177"/>
    </row>
    <row r="66" spans="3:12" ht="12.75">
      <c r="C66" s="17"/>
      <c r="D66" s="17"/>
      <c r="E66" s="89">
        <v>43046</v>
      </c>
      <c r="G66" s="45">
        <v>-23481.45</v>
      </c>
      <c r="H66" s="17"/>
      <c r="I66" s="25"/>
      <c r="J66" s="44"/>
      <c r="K66" s="41"/>
      <c r="L66" s="124"/>
    </row>
    <row r="67" spans="3:12" ht="12.75">
      <c r="C67" s="17"/>
      <c r="D67" s="17"/>
      <c r="E67" s="89">
        <v>43056</v>
      </c>
      <c r="G67" s="45">
        <v>-21713.07</v>
      </c>
      <c r="H67" s="17"/>
      <c r="I67" s="25"/>
      <c r="J67" s="44"/>
      <c r="K67" s="41"/>
      <c r="L67" s="124"/>
    </row>
    <row r="68" spans="3:12" ht="12.75">
      <c r="C68" s="17"/>
      <c r="D68" s="17"/>
      <c r="E68" s="89">
        <v>43083</v>
      </c>
      <c r="G68" s="45">
        <v>-20996.77</v>
      </c>
      <c r="H68" s="17"/>
      <c r="I68" s="25"/>
      <c r="J68" s="44"/>
      <c r="K68" s="41"/>
      <c r="L68" s="124"/>
    </row>
    <row r="69" spans="3:12" ht="12.75">
      <c r="C69" s="17" t="s">
        <v>46</v>
      </c>
      <c r="D69" s="17"/>
      <c r="E69" s="89">
        <v>42780</v>
      </c>
      <c r="G69" s="45">
        <v>101364.70</v>
      </c>
      <c r="H69" s="17"/>
      <c r="I69" s="25"/>
      <c r="J69" s="44"/>
      <c r="K69" s="41"/>
      <c r="L69" s="124"/>
    </row>
    <row r="70" spans="3:12" ht="12.75">
      <c r="C70" s="17"/>
      <c r="D70" s="17"/>
      <c r="E70" s="89">
        <v>42822</v>
      </c>
      <c r="G70" s="45">
        <v>70252.75</v>
      </c>
      <c r="H70" s="17"/>
      <c r="I70" s="25"/>
      <c r="J70" s="44"/>
      <c r="K70" s="41"/>
      <c r="L70" s="42"/>
    </row>
    <row r="71" spans="3:12" ht="12.75">
      <c r="C71" s="17"/>
      <c r="D71" s="17"/>
      <c r="E71" s="89">
        <v>42906</v>
      </c>
      <c r="G71" s="45">
        <v>12442.49</v>
      </c>
      <c r="H71" s="17"/>
      <c r="I71" s="25"/>
      <c r="J71" s="44"/>
      <c r="K71" s="41"/>
      <c r="L71" s="42"/>
    </row>
    <row r="72" spans="3:12" ht="12.75">
      <c r="C72" s="17"/>
      <c r="D72" s="17"/>
      <c r="E72" s="89">
        <v>42970</v>
      </c>
      <c r="G72" s="45">
        <v>4910.85</v>
      </c>
      <c r="H72" s="17"/>
      <c r="I72" s="25"/>
      <c r="J72" s="44"/>
      <c r="K72" s="41"/>
      <c r="L72" s="42"/>
    </row>
    <row r="73" spans="3:11" ht="12.75">
      <c r="C73" s="17" t="s">
        <v>31</v>
      </c>
      <c r="D73" s="17"/>
      <c r="E73" s="89">
        <v>43104</v>
      </c>
      <c r="G73" s="45">
        <v>-19586.53</v>
      </c>
      <c r="H73" s="17"/>
      <c r="I73" s="25"/>
      <c r="J73" s="25"/>
      <c r="K73" s="17"/>
    </row>
    <row r="74" spans="3:11" ht="12.75">
      <c r="C74" s="17"/>
      <c r="D74" s="17"/>
      <c r="E74" s="89">
        <v>43157</v>
      </c>
      <c r="G74" s="45">
        <v>-18825.46</v>
      </c>
      <c r="H74" s="17"/>
      <c r="I74" s="25"/>
      <c r="J74" s="25"/>
      <c r="K74" s="17"/>
    </row>
    <row r="75" spans="3:11" ht="12.75">
      <c r="C75" s="17"/>
      <c r="D75" s="17"/>
      <c r="E75" s="89">
        <v>43181</v>
      </c>
      <c r="G75" s="45">
        <v>-51798</v>
      </c>
      <c r="H75" s="17"/>
      <c r="I75" s="25"/>
      <c r="J75" s="25"/>
      <c r="K75" s="17"/>
    </row>
    <row r="76" spans="3:11" ht="12.75">
      <c r="C76" s="17"/>
      <c r="D76" s="17"/>
      <c r="E76" s="89">
        <v>43256</v>
      </c>
      <c r="G76" s="45">
        <v>-20772.92</v>
      </c>
      <c r="H76" s="17"/>
      <c r="I76" s="25"/>
      <c r="J76" s="25"/>
      <c r="K76" s="17"/>
    </row>
    <row r="77" spans="3:11" ht="12.75">
      <c r="C77" s="17"/>
      <c r="D77" s="17"/>
      <c r="E77" s="89">
        <v>43278</v>
      </c>
      <c r="G77" s="45">
        <v>-16564.61</v>
      </c>
      <c r="H77" s="17"/>
      <c r="I77" s="25"/>
      <c r="J77" s="25"/>
      <c r="K77" s="17"/>
    </row>
    <row r="78" spans="3:11" ht="12.75">
      <c r="C78" s="17"/>
      <c r="D78" s="17"/>
      <c r="E78" s="89">
        <v>43336</v>
      </c>
      <c r="G78" s="45">
        <v>-21511.63</v>
      </c>
      <c r="H78" s="17"/>
      <c r="I78" s="25"/>
      <c r="J78" s="25"/>
      <c r="K78" s="17"/>
    </row>
    <row r="79" spans="3:11" ht="12.75">
      <c r="C79" s="17"/>
      <c r="D79" s="17"/>
      <c r="E79" s="89">
        <v>43367</v>
      </c>
      <c r="G79" s="45">
        <v>-36509.3</v>
      </c>
      <c r="H79" s="17"/>
      <c r="I79" s="25"/>
      <c r="J79" s="25"/>
      <c r="K79" s="17"/>
    </row>
    <row r="80" spans="3:11" ht="12.75">
      <c r="C80" s="17" t="s">
        <v>26</v>
      </c>
      <c r="D80" s="17"/>
      <c r="E80" s="89">
        <v>43439</v>
      </c>
      <c r="G80" s="45">
        <v>-22787.54</v>
      </c>
      <c r="H80" s="17"/>
      <c r="I80" s="25"/>
      <c r="J80" s="25"/>
      <c r="K80" s="17"/>
    </row>
    <row r="81" spans="4:11" ht="12.75">
      <c r="D81" s="17"/>
      <c r="E81" s="89">
        <v>43167</v>
      </c>
      <c r="G81" s="45">
        <v>4586.18</v>
      </c>
      <c r="H81" s="17"/>
      <c r="I81" s="25"/>
      <c r="J81" s="25"/>
      <c r="K81" s="17"/>
    </row>
    <row r="82" spans="3:11" ht="12.75">
      <c r="C82" s="17"/>
      <c r="D82" s="17"/>
      <c r="E82" s="89">
        <v>43255</v>
      </c>
      <c r="G82" s="45">
        <v>13656.12</v>
      </c>
      <c r="H82" s="17"/>
      <c r="I82" s="25"/>
      <c r="J82" s="25"/>
      <c r="K82" s="17"/>
    </row>
    <row r="83" spans="3:11" ht="12.75">
      <c r="C83" s="17"/>
      <c r="D83" s="17"/>
      <c r="E83" s="89">
        <v>43444</v>
      </c>
      <c r="G83" s="45">
        <v>9094.49</v>
      </c>
      <c r="H83" s="17"/>
      <c r="I83" s="25"/>
      <c r="J83" s="25"/>
      <c r="K83" s="17"/>
    </row>
    <row r="84" spans="3:11" ht="12.75">
      <c r="C84" s="17" t="s">
        <v>32</v>
      </c>
      <c r="D84" s="17"/>
      <c r="E84" s="89">
        <v>43481</v>
      </c>
      <c r="F84" s="45"/>
      <c r="G84" s="45">
        <v>-12983.08</v>
      </c>
      <c r="H84" s="17"/>
      <c r="I84" s="25"/>
      <c r="J84" s="25"/>
      <c r="K84" s="17"/>
    </row>
    <row r="85" spans="4:11" ht="12.75">
      <c r="D85" s="17"/>
      <c r="E85" s="89">
        <v>43544</v>
      </c>
      <c r="F85" s="45"/>
      <c r="G85" s="45">
        <v>-14370.91</v>
      </c>
      <c r="H85" s="17"/>
      <c r="I85" s="25"/>
      <c r="J85" s="25"/>
      <c r="K85" s="17"/>
    </row>
    <row r="86" spans="4:11" ht="12.75">
      <c r="D86" s="17"/>
      <c r="E86" s="89">
        <v>43591</v>
      </c>
      <c r="F86" s="45"/>
      <c r="G86" s="45">
        <v>-12826.38</v>
      </c>
      <c r="H86" s="17"/>
      <c r="I86" s="25"/>
      <c r="J86" s="25"/>
      <c r="K86" s="17"/>
    </row>
    <row r="87" spans="4:11" ht="12.75">
      <c r="D87" s="17"/>
      <c r="E87" s="89">
        <v>43675</v>
      </c>
      <c r="F87" s="45"/>
      <c r="G87" s="45">
        <v>-20056.62</v>
      </c>
      <c r="H87" s="17"/>
      <c r="I87" s="25"/>
      <c r="J87" s="25"/>
      <c r="K87" s="17"/>
    </row>
    <row r="88" spans="4:11" ht="12.75">
      <c r="D88" s="17"/>
      <c r="E88" s="89">
        <v>43707</v>
      </c>
      <c r="F88" s="45"/>
      <c r="G88" s="45">
        <v>-34427.54</v>
      </c>
      <c r="H88" s="17"/>
      <c r="I88" s="25"/>
      <c r="J88" s="25"/>
      <c r="K88" s="17"/>
    </row>
    <row r="89" spans="4:11" ht="12.75">
      <c r="D89" s="17"/>
      <c r="E89" s="89">
        <v>43769</v>
      </c>
      <c r="F89" s="45"/>
      <c r="G89" s="45">
        <v>-15781.16</v>
      </c>
      <c r="H89" s="17"/>
      <c r="I89" s="25"/>
      <c r="J89" s="25"/>
      <c r="K89" s="17"/>
    </row>
    <row r="90" spans="4:11" ht="12.75">
      <c r="D90" s="17"/>
      <c r="E90" s="89">
        <v>43804</v>
      </c>
      <c r="F90" s="45"/>
      <c r="G90" s="45">
        <v>-15758.78</v>
      </c>
      <c r="H90" s="17"/>
      <c r="I90" s="25"/>
      <c r="J90" s="25"/>
      <c r="K90" s="17"/>
    </row>
    <row r="91" spans="3:11" ht="12.75">
      <c r="C91" s="17" t="s">
        <v>27</v>
      </c>
      <c r="D91" s="17"/>
      <c r="E91" s="89">
        <v>43550</v>
      </c>
      <c r="F91" s="45"/>
      <c r="G91" s="45">
        <v>4493.27</v>
      </c>
      <c r="H91" s="17"/>
      <c r="I91" s="25"/>
      <c r="J91" s="25"/>
      <c r="K91" s="17"/>
    </row>
    <row r="92" spans="3:11" ht="12.75">
      <c r="C92" s="17"/>
      <c r="D92" s="17"/>
      <c r="E92" s="89">
        <v>43629</v>
      </c>
      <c r="F92" s="45"/>
      <c r="G92" s="45">
        <v>5024.01</v>
      </c>
      <c r="H92" s="17"/>
      <c r="I92" s="25"/>
      <c r="J92" s="25"/>
      <c r="K92" s="17"/>
    </row>
    <row r="93" spans="3:11" ht="12.75">
      <c r="C93" s="17"/>
      <c r="D93" s="17"/>
      <c r="E93" s="89">
        <v>43760</v>
      </c>
      <c r="F93" s="45"/>
      <c r="G93" s="45">
        <v>27971.27</v>
      </c>
      <c r="H93" s="17"/>
      <c r="I93" s="25"/>
      <c r="J93" s="25"/>
      <c r="K93" s="17"/>
    </row>
    <row r="94" spans="3:11" ht="12.75">
      <c r="C94" s="17"/>
      <c r="D94" s="17"/>
      <c r="E94" s="89">
        <v>43816</v>
      </c>
      <c r="F94" s="45"/>
      <c r="G94" s="45">
        <v>5278.68</v>
      </c>
      <c r="H94" s="17"/>
      <c r="I94" s="25"/>
      <c r="J94" s="25"/>
      <c r="K94" s="17"/>
    </row>
    <row r="95" spans="3:11" ht="12.75">
      <c r="C95" s="17" t="s">
        <v>33</v>
      </c>
      <c r="D95" s="17"/>
      <c r="E95" s="89">
        <v>43896</v>
      </c>
      <c r="F95" s="45"/>
      <c r="G95" s="45">
        <v>-9759.68</v>
      </c>
      <c r="H95" s="17"/>
      <c r="I95" s="25"/>
      <c r="J95" s="25"/>
      <c r="K95" s="17"/>
    </row>
    <row r="96" spans="3:11" ht="12.75">
      <c r="C96" s="17"/>
      <c r="D96" s="17"/>
      <c r="E96" s="89">
        <v>43922</v>
      </c>
      <c r="F96" s="45"/>
      <c r="G96" s="45">
        <v>-7297.39</v>
      </c>
      <c r="H96" s="17"/>
      <c r="I96" s="25"/>
      <c r="J96" s="25"/>
      <c r="K96" s="17"/>
    </row>
    <row r="97" spans="3:11" ht="12.75">
      <c r="C97" s="17"/>
      <c r="D97" s="17"/>
      <c r="E97" s="89">
        <v>43979</v>
      </c>
      <c r="F97" s="45"/>
      <c r="G97" s="45">
        <v>-9513.47</v>
      </c>
      <c r="H97" s="17"/>
      <c r="I97" s="25"/>
      <c r="J97" s="25"/>
      <c r="K97" s="17"/>
    </row>
    <row r="98" spans="3:11" ht="12.75">
      <c r="C98" s="17"/>
      <c r="D98" s="17"/>
      <c r="E98" s="89">
        <v>44015</v>
      </c>
      <c r="F98" s="45"/>
      <c r="G98" s="45">
        <v>-8259.92</v>
      </c>
      <c r="H98" s="17"/>
      <c r="I98" s="25"/>
      <c r="J98" s="25"/>
      <c r="K98" s="17"/>
    </row>
    <row r="99" spans="3:11" ht="12.75">
      <c r="C99" s="17"/>
      <c r="D99" s="17"/>
      <c r="E99" s="89">
        <v>44109</v>
      </c>
      <c r="F99" s="45"/>
      <c r="G99" s="45">
        <v>-5842.39</v>
      </c>
      <c r="H99" s="17"/>
      <c r="I99" s="25"/>
      <c r="J99" s="25"/>
      <c r="K99" s="17"/>
    </row>
    <row r="100" spans="3:11" ht="12.75">
      <c r="C100" s="17"/>
      <c r="D100" s="17"/>
      <c r="E100" s="89">
        <v>44160</v>
      </c>
      <c r="F100" s="45"/>
      <c r="G100" s="45">
        <v>-11080.38</v>
      </c>
      <c r="H100" s="17"/>
      <c r="I100" s="25"/>
      <c r="J100" s="25"/>
      <c r="K100" s="17"/>
    </row>
    <row r="101" spans="3:11" ht="12.75">
      <c r="C101" s="17" t="s">
        <v>47</v>
      </c>
      <c r="D101" s="17"/>
      <c r="E101" s="89">
        <v>43885</v>
      </c>
      <c r="F101" s="45"/>
      <c r="G101" s="45">
        <v>16180.48</v>
      </c>
      <c r="H101" s="17"/>
      <c r="I101" s="25"/>
      <c r="J101" s="25"/>
      <c r="K101" s="17"/>
    </row>
    <row r="102" spans="3:11" ht="12.75">
      <c r="C102" s="17"/>
      <c r="D102" s="17"/>
      <c r="E102" s="89">
        <v>44082</v>
      </c>
      <c r="F102" s="45"/>
      <c r="G102" s="45">
        <v>9793.01</v>
      </c>
      <c r="H102" s="17"/>
      <c r="I102" s="25"/>
      <c r="J102" s="25"/>
      <c r="K102" s="17"/>
    </row>
    <row r="103" spans="3:11" ht="12.75">
      <c r="C103" s="17" t="s">
        <v>34</v>
      </c>
      <c r="D103" s="17"/>
      <c r="E103" s="89">
        <v>44201</v>
      </c>
      <c r="F103" s="45"/>
      <c r="G103" s="45">
        <v>-5909.54</v>
      </c>
      <c r="H103" s="17"/>
      <c r="I103" s="25"/>
      <c r="J103" s="25"/>
      <c r="K103" s="17"/>
    </row>
    <row r="104" spans="3:12" ht="15.75">
      <c r="C104" s="17"/>
      <c r="D104" s="17"/>
      <c r="E104" s="89">
        <v>44246</v>
      </c>
      <c r="F104" s="45"/>
      <c r="G104" s="45">
        <v>-33576.92</v>
      </c>
      <c r="H104" s="17"/>
      <c r="I104" s="25"/>
      <c r="J104" s="25"/>
      <c r="K104" s="17"/>
      <c r="L104" s="80"/>
    </row>
    <row r="105" spans="3:12" ht="15.75">
      <c r="C105" s="17"/>
      <c r="D105" s="17"/>
      <c r="E105" s="89">
        <v>44267</v>
      </c>
      <c r="F105" s="45"/>
      <c r="G105" s="45">
        <v>-3335.31</v>
      </c>
      <c r="H105" s="17"/>
      <c r="I105" s="25"/>
      <c r="J105" s="25"/>
      <c r="K105" s="17"/>
      <c r="L105" s="80"/>
    </row>
    <row r="106" spans="3:12" ht="15.75">
      <c r="C106" s="17"/>
      <c r="D106" s="17"/>
      <c r="E106" s="89">
        <v>44285</v>
      </c>
      <c r="F106" s="45"/>
      <c r="G106" s="45">
        <v>-4208.31</v>
      </c>
      <c r="H106" s="17"/>
      <c r="I106" s="25"/>
      <c r="J106" s="25"/>
      <c r="K106" s="17"/>
      <c r="L106" s="80"/>
    </row>
    <row r="107" spans="3:12" ht="15.75">
      <c r="C107" s="17"/>
      <c r="D107" s="17"/>
      <c r="E107" s="89">
        <v>44308</v>
      </c>
      <c r="F107" s="45"/>
      <c r="G107" s="45">
        <v>-11147.53</v>
      </c>
      <c r="H107" s="17"/>
      <c r="I107" s="25"/>
      <c r="J107" s="25"/>
      <c r="K107" s="17"/>
      <c r="L107" s="80"/>
    </row>
    <row r="108" spans="3:12" ht="15.75">
      <c r="C108" s="17"/>
      <c r="D108" s="17"/>
      <c r="E108" s="89">
        <v>44348</v>
      </c>
      <c r="F108" s="45"/>
      <c r="G108" s="45">
        <v>-24690.23</v>
      </c>
      <c r="H108" s="17"/>
      <c r="I108" s="25"/>
      <c r="J108" s="25"/>
      <c r="K108" s="17"/>
      <c r="L108" s="80"/>
    </row>
    <row r="109" spans="3:12" ht="15.75">
      <c r="C109" s="17"/>
      <c r="D109" s="17"/>
      <c r="E109" s="89">
        <v>44467</v>
      </c>
      <c r="F109" s="45"/>
      <c r="G109" s="45">
        <v>-3626.31</v>
      </c>
      <c r="H109" s="17"/>
      <c r="I109" s="25"/>
      <c r="J109" s="25"/>
      <c r="K109" s="17"/>
      <c r="L109" s="80"/>
    </row>
    <row r="110" spans="3:12" ht="15.75">
      <c r="C110" s="17"/>
      <c r="D110" s="17"/>
      <c r="E110" s="89">
        <v>44546</v>
      </c>
      <c r="F110" s="45"/>
      <c r="G110" s="45">
        <v>-16564.61</v>
      </c>
      <c r="H110" s="17"/>
      <c r="I110" s="25"/>
      <c r="J110" s="25"/>
      <c r="K110" s="17"/>
      <c r="L110" s="80"/>
    </row>
    <row r="111" spans="3:12" ht="15.75">
      <c r="C111" s="17" t="s">
        <v>28</v>
      </c>
      <c r="D111" s="17"/>
      <c r="E111" s="89">
        <v>44217</v>
      </c>
      <c r="F111" s="45"/>
      <c r="G111" s="45">
        <v>16848.9</v>
      </c>
      <c r="H111" s="17"/>
      <c r="I111" s="25"/>
      <c r="J111" s="25"/>
      <c r="K111" s="17"/>
      <c r="L111" s="80"/>
    </row>
    <row r="112" spans="3:12" ht="15.75">
      <c r="C112" s="17"/>
      <c r="D112" s="17"/>
      <c r="E112" s="89">
        <v>44256</v>
      </c>
      <c r="F112" s="45"/>
      <c r="G112" s="45">
        <v>127881.02</v>
      </c>
      <c r="H112" s="17"/>
      <c r="I112" s="25"/>
      <c r="J112" s="25"/>
      <c r="K112" s="17"/>
      <c r="L112" s="80"/>
    </row>
    <row r="113" spans="3:12" ht="15.75">
      <c r="C113" s="17"/>
      <c r="D113" s="17"/>
      <c r="E113" s="89">
        <v>44279</v>
      </c>
      <c r="F113" s="45"/>
      <c r="G113" s="45">
        <v>27339.20</v>
      </c>
      <c r="H113" s="17"/>
      <c r="I113" s="25"/>
      <c r="J113" s="25"/>
      <c r="K113" s="17"/>
      <c r="L113" s="80"/>
    </row>
    <row r="114" spans="3:12" ht="15.75">
      <c r="C114" s="17"/>
      <c r="D114" s="17"/>
      <c r="E114" s="89">
        <v>44295</v>
      </c>
      <c r="F114" s="45"/>
      <c r="G114" s="45">
        <v>35769.09</v>
      </c>
      <c r="H114" s="17"/>
      <c r="I114" s="25"/>
      <c r="J114" s="25"/>
      <c r="K114" s="17"/>
      <c r="L114" s="80"/>
    </row>
    <row r="115" spans="3:12" ht="15.75">
      <c r="C115" s="17"/>
      <c r="D115" s="17"/>
      <c r="E115" s="89">
        <v>44371</v>
      </c>
      <c r="F115" s="45"/>
      <c r="G115" s="45">
        <v>5986.33</v>
      </c>
      <c r="H115" s="17"/>
      <c r="I115" s="25"/>
      <c r="J115" s="25"/>
      <c r="K115" s="17"/>
      <c r="L115" s="80"/>
    </row>
    <row r="116" spans="3:12" ht="15.75">
      <c r="C116" s="17"/>
      <c r="D116" s="17"/>
      <c r="E116" s="89">
        <v>44386</v>
      </c>
      <c r="F116" s="45"/>
      <c r="G116" s="45">
        <v>8536.12</v>
      </c>
      <c r="H116" s="17"/>
      <c r="I116" s="25"/>
      <c r="J116" s="25"/>
      <c r="K116" s="17"/>
      <c r="L116" s="80"/>
    </row>
    <row r="117" spans="3:12" ht="15.75">
      <c r="C117" s="17"/>
      <c r="D117" s="17"/>
      <c r="E117" s="89">
        <v>44417</v>
      </c>
      <c r="F117" s="45"/>
      <c r="G117" s="45">
        <v>9278.22</v>
      </c>
      <c r="H117" s="17"/>
      <c r="I117" s="25"/>
      <c r="J117" s="25"/>
      <c r="K117" s="17"/>
      <c r="L117" s="80"/>
    </row>
    <row r="118" spans="3:12" ht="15.75">
      <c r="C118" s="17"/>
      <c r="D118" s="17"/>
      <c r="E118" s="89">
        <v>44446</v>
      </c>
      <c r="F118" s="45"/>
      <c r="G118" s="45">
        <v>8939.64</v>
      </c>
      <c r="H118" s="17"/>
      <c r="I118" s="25"/>
      <c r="J118" s="25"/>
      <c r="K118" s="17"/>
      <c r="L118" s="80"/>
    </row>
    <row r="119" spans="3:12" ht="15.75">
      <c r="C119" s="17"/>
      <c r="D119" s="17"/>
      <c r="E119" s="89">
        <v>44473</v>
      </c>
      <c r="F119" s="45"/>
      <c r="G119" s="45">
        <v>14044.16</v>
      </c>
      <c r="H119" s="17"/>
      <c r="I119" s="25"/>
      <c r="J119" s="25"/>
      <c r="K119" s="17"/>
      <c r="L119" s="80"/>
    </row>
    <row r="120" spans="3:12" ht="15.75">
      <c r="C120" s="17"/>
      <c r="D120" s="17"/>
      <c r="E120" s="89">
        <v>44489</v>
      </c>
      <c r="F120" s="45"/>
      <c r="G120" s="45">
        <v>36503.26</v>
      </c>
      <c r="H120" s="17"/>
      <c r="I120" s="25"/>
      <c r="J120" s="25"/>
      <c r="K120" s="17"/>
      <c r="L120" s="80"/>
    </row>
    <row r="121" spans="3:12" ht="15.75">
      <c r="C121" s="17"/>
      <c r="D121" s="17"/>
      <c r="E121" s="89">
        <v>44496</v>
      </c>
      <c r="F121" s="45"/>
      <c r="G121" s="45">
        <v>75188.57</v>
      </c>
      <c r="H121" s="17"/>
      <c r="I121" s="25"/>
      <c r="J121" s="25"/>
      <c r="K121" s="17"/>
      <c r="L121" s="80"/>
    </row>
    <row r="122" spans="3:12" ht="15.75">
      <c r="C122" s="17"/>
      <c r="D122" s="17"/>
      <c r="E122" s="89">
        <v>44505</v>
      </c>
      <c r="F122" s="45"/>
      <c r="G122" s="45">
        <v>7588.54</v>
      </c>
      <c r="H122" s="17"/>
      <c r="I122" s="25"/>
      <c r="J122" s="25"/>
      <c r="K122" s="17"/>
      <c r="L122" s="80"/>
    </row>
    <row r="123" spans="3:12" ht="15.75">
      <c r="C123" s="17"/>
      <c r="D123" s="17"/>
      <c r="E123" s="89">
        <v>44547</v>
      </c>
      <c r="F123" s="45"/>
      <c r="G123" s="45">
        <v>57433.86</v>
      </c>
      <c r="H123" s="17"/>
      <c r="I123" s="25"/>
      <c r="J123" s="25"/>
      <c r="K123" s="17"/>
      <c r="L123" s="80"/>
    </row>
    <row r="124" spans="3:12" ht="15.75">
      <c r="C124" s="17" t="s">
        <v>35</v>
      </c>
      <c r="D124" s="17"/>
      <c r="E124" s="89">
        <v>44585</v>
      </c>
      <c r="F124" s="45"/>
      <c r="G124" s="45">
        <v>-6872.07</v>
      </c>
      <c r="H124" s="17"/>
      <c r="I124" s="25"/>
      <c r="J124" s="25"/>
      <c r="K124" s="17"/>
      <c r="L124" s="80"/>
    </row>
    <row r="125" spans="3:12" ht="15.75">
      <c r="C125" s="17"/>
      <c r="D125" s="17"/>
      <c r="E125" s="89">
        <v>44630</v>
      </c>
      <c r="F125" s="45"/>
      <c r="G125" s="45">
        <v>-8282.31</v>
      </c>
      <c r="H125" s="17"/>
      <c r="I125" s="25"/>
      <c r="J125" s="25"/>
      <c r="K125" s="17"/>
      <c r="L125" s="80"/>
    </row>
    <row r="126" spans="3:12" ht="15.75">
      <c r="C126" s="17"/>
      <c r="D126" s="17"/>
      <c r="E126" s="89">
        <v>44741</v>
      </c>
      <c r="F126" s="45"/>
      <c r="G126" s="45">
        <v>-3492</v>
      </c>
      <c r="H126" s="17"/>
      <c r="I126" s="25"/>
      <c r="J126" s="25"/>
      <c r="K126" s="17"/>
      <c r="L126" s="80"/>
    </row>
    <row r="127" spans="3:12" ht="15.75">
      <c r="C127" s="17"/>
      <c r="D127" s="17"/>
      <c r="E127" s="89">
        <v>44830</v>
      </c>
      <c r="F127" s="45"/>
      <c r="G127" s="45">
        <v>-3424.85</v>
      </c>
      <c r="H127" s="17"/>
      <c r="I127" s="25"/>
      <c r="J127" s="25"/>
      <c r="K127" s="17"/>
      <c r="L127" s="80"/>
    </row>
    <row r="128" spans="3:12" ht="15.75">
      <c r="C128" s="17" t="s">
        <v>29</v>
      </c>
      <c r="D128" s="17"/>
      <c r="E128" s="89">
        <v>44580</v>
      </c>
      <c r="F128" s="45"/>
      <c r="G128" s="45">
        <v>90440.08</v>
      </c>
      <c r="H128" s="17"/>
      <c r="I128" s="25"/>
      <c r="J128" s="25"/>
      <c r="K128" s="17"/>
      <c r="L128" s="80"/>
    </row>
    <row r="129" spans="3:12" ht="15.75">
      <c r="C129" s="17"/>
      <c r="D129" s="17"/>
      <c r="E129" s="89">
        <v>44595</v>
      </c>
      <c r="F129" s="45"/>
      <c r="G129" s="45">
        <v>34793.75</v>
      </c>
      <c r="H129" s="17"/>
      <c r="I129" s="25"/>
      <c r="J129" s="25"/>
      <c r="K129" s="17"/>
      <c r="L129" s="80"/>
    </row>
    <row r="130" spans="3:12" ht="15.75">
      <c r="C130" s="17"/>
      <c r="D130" s="17"/>
      <c r="E130" s="89">
        <v>44630</v>
      </c>
      <c r="F130" s="45"/>
      <c r="G130" s="45">
        <v>48745.82</v>
      </c>
      <c r="H130" s="17"/>
      <c r="I130" s="25"/>
      <c r="J130" s="25"/>
      <c r="K130" s="17"/>
      <c r="L130" s="80"/>
    </row>
    <row r="131" spans="3:12" ht="15.75">
      <c r="C131" s="17"/>
      <c r="D131" s="17"/>
      <c r="E131" s="89">
        <v>44655</v>
      </c>
      <c r="F131" s="45"/>
      <c r="G131" s="45">
        <v>87950.26</v>
      </c>
      <c r="H131" s="17"/>
      <c r="I131" s="25"/>
      <c r="J131" s="25"/>
      <c r="K131" s="17"/>
      <c r="L131" s="80"/>
    </row>
    <row r="132" spans="3:12" ht="15.75">
      <c r="C132" s="17"/>
      <c r="D132" s="17"/>
      <c r="E132" s="89">
        <v>44690</v>
      </c>
      <c r="F132" s="45"/>
      <c r="G132" s="45">
        <v>44153.45</v>
      </c>
      <c r="H132" s="17"/>
      <c r="I132" s="25"/>
      <c r="J132" s="25"/>
      <c r="K132" s="17"/>
      <c r="L132" s="80"/>
    </row>
    <row r="133" spans="3:12" ht="15.75">
      <c r="C133" s="17"/>
      <c r="D133" s="17"/>
      <c r="E133" s="89">
        <v>44714</v>
      </c>
      <c r="F133" s="45"/>
      <c r="G133" s="45">
        <v>63546.11</v>
      </c>
      <c r="H133" s="17"/>
      <c r="I133" s="25"/>
      <c r="J133" s="25"/>
      <c r="K133" s="17"/>
      <c r="L133" s="80"/>
    </row>
    <row r="134" spans="3:12" ht="15.75">
      <c r="C134" s="17"/>
      <c r="D134" s="17"/>
      <c r="E134" s="89">
        <v>44754</v>
      </c>
      <c r="F134" s="45"/>
      <c r="G134" s="45">
        <v>63217.80</v>
      </c>
      <c r="H134" s="17"/>
      <c r="I134" s="25"/>
      <c r="J134" s="25"/>
      <c r="K134" s="17"/>
      <c r="L134" s="80"/>
    </row>
    <row r="135" spans="3:12" ht="15.75">
      <c r="C135" s="17"/>
      <c r="D135" s="17"/>
      <c r="E135" s="89">
        <v>44782</v>
      </c>
      <c r="F135" s="45"/>
      <c r="G135" s="45">
        <v>13407.07</v>
      </c>
      <c r="H135" s="17"/>
      <c r="I135" s="25"/>
      <c r="J135" s="25"/>
      <c r="K135" s="17"/>
      <c r="L135" s="80"/>
    </row>
    <row r="136" spans="3:12" ht="15.75">
      <c r="C136" s="17"/>
      <c r="D136" s="17"/>
      <c r="E136" s="89">
        <v>44806</v>
      </c>
      <c r="F136" s="45"/>
      <c r="G136" s="45">
        <v>62613.50</v>
      </c>
      <c r="H136" s="17"/>
      <c r="I136" s="25"/>
      <c r="J136" s="25"/>
      <c r="K136" s="17"/>
      <c r="L136" s="80"/>
    </row>
    <row r="137" spans="3:12" ht="4.5" customHeight="1">
      <c r="C137" s="17"/>
      <c r="D137" s="17"/>
      <c r="E137" s="89"/>
      <c r="F137" s="17"/>
      <c r="G137" s="45"/>
      <c r="H137" s="17"/>
      <c r="I137" s="25"/>
      <c r="J137" s="25"/>
      <c r="L137" s="80"/>
    </row>
    <row r="138" spans="3:13" ht="15.75">
      <c r="C138" s="17" t="s">
        <v>5</v>
      </c>
      <c r="D138" s="17"/>
      <c r="E138" s="89">
        <f>+E8</f>
        <v>44834</v>
      </c>
      <c r="F138" s="17"/>
      <c r="G138" s="94">
        <f>L138*C22</f>
        <v>1343199.371668959</v>
      </c>
      <c r="H138" s="17"/>
      <c r="I138" s="89"/>
      <c r="L138" s="124">
        <v>1.235797451E9</v>
      </c>
      <c r="M138" s="80"/>
    </row>
    <row r="139" spans="3:8" ht="12.75">
      <c r="C139" s="17"/>
      <c r="D139" s="17"/>
      <c r="E139" s="17"/>
      <c r="F139" s="17"/>
      <c r="G139" s="17"/>
      <c r="H139" s="17"/>
    </row>
    <row r="140" spans="3:11" ht="12.75">
      <c r="C140" s="15" t="s">
        <v>0</v>
      </c>
      <c r="G140" s="72">
        <f>+XIRR(G24:G138,E24:E138,0.1)</f>
        <v>0.14057466387748715</v>
      </c>
      <c r="H140" s="17"/>
      <c r="J140" s="45">
        <f>+SUMIF($G$24:$G$137,"&lt;0",$G$24:$G$137)+23052.4</f>
        <v>-1526838.0599999998</v>
      </c>
      <c r="K140" s="17" t="s">
        <v>20</v>
      </c>
    </row>
    <row r="141" spans="3:11" ht="12.75">
      <c r="C141" s="17"/>
      <c r="D141" s="17"/>
      <c r="E141" s="17"/>
      <c r="F141" s="17"/>
      <c r="G141" s="17"/>
      <c r="H141" s="17"/>
      <c r="J141" s="45">
        <f>+SUMIF($G$24:$G$137,"&gt;0",$G$24:$G$137)-23052.4</f>
        <v>1242838.5200000003</v>
      </c>
      <c r="K141" s="17" t="s">
        <v>21</v>
      </c>
    </row>
    <row r="142" spans="3:8" ht="12.75">
      <c r="C142" s="17"/>
      <c r="D142" s="17"/>
      <c r="E142" s="17"/>
      <c r="F142" s="17"/>
      <c r="G142" s="17"/>
      <c r="H142" s="17"/>
    </row>
    <row r="143" spans="3:8" ht="12.75">
      <c r="C143" s="28"/>
      <c r="D143" s="28"/>
      <c r="E143" s="75"/>
      <c r="F143" s="17"/>
      <c r="G143" s="75"/>
      <c r="H143" s="17"/>
    </row>
    <row r="144" spans="3:8" ht="12.75">
      <c r="C144" s="28"/>
      <c r="D144" s="28"/>
      <c r="E144" s="75"/>
      <c r="F144" s="28"/>
      <c r="G144" s="75"/>
      <c r="H144" s="17"/>
    </row>
    <row r="145" spans="3:8" ht="12.75">
      <c r="C145" s="28"/>
      <c r="D145" s="28"/>
      <c r="E145" s="75"/>
      <c r="F145" s="28"/>
      <c r="G145" s="75"/>
      <c r="H145" s="17"/>
    </row>
    <row r="146" spans="3:8" ht="12.75">
      <c r="C146" s="28"/>
      <c r="D146" s="28"/>
      <c r="E146" s="28"/>
      <c r="F146" s="28"/>
      <c r="G146" s="28"/>
      <c r="H146" s="15"/>
    </row>
    <row r="147" spans="3:8" ht="12.75">
      <c r="C147" s="28"/>
      <c r="D147" s="28"/>
      <c r="E147" s="75"/>
      <c r="F147" s="75"/>
      <c r="G147" s="75"/>
      <c r="H147" s="15"/>
    </row>
    <row r="148" spans="3:8" ht="12.75">
      <c r="C148" s="28"/>
      <c r="D148" s="28"/>
      <c r="E148" s="28"/>
      <c r="F148" s="28"/>
      <c r="G148" s="28"/>
      <c r="H148" s="15"/>
    </row>
    <row r="149" spans="3:8" ht="12.75">
      <c r="C149" s="171"/>
      <c r="D149" s="171"/>
      <c r="E149" s="173"/>
      <c r="F149" s="97"/>
      <c r="G149" s="32"/>
      <c r="H149" s="17"/>
    </row>
    <row r="150" spans="3:8" s="111" customFormat="1" ht="12.75">
      <c r="C150" s="171"/>
      <c r="D150" s="171"/>
      <c r="E150" s="97"/>
      <c r="F150" s="97"/>
      <c r="G150" s="97"/>
      <c r="H150" s="110"/>
    </row>
    <row r="151" spans="3:8" s="111" customFormat="1" ht="12.75">
      <c r="C151" s="171"/>
      <c r="D151" s="171"/>
      <c r="E151" s="97"/>
      <c r="F151" s="97"/>
      <c r="G151" s="97"/>
      <c r="H151" s="110"/>
    </row>
    <row r="152" spans="3:8" ht="12.75">
      <c r="C152" s="189"/>
      <c r="D152" s="171"/>
      <c r="E152" s="97"/>
      <c r="F152" s="97"/>
      <c r="G152" s="97"/>
      <c r="H152" s="17"/>
    </row>
    <row r="153" spans="3:8" ht="12.75">
      <c r="C153" s="189"/>
      <c r="D153" s="171"/>
      <c r="E153" s="97"/>
      <c r="F153" s="97"/>
      <c r="G153" s="97"/>
      <c r="H153" s="17"/>
    </row>
    <row r="154" spans="3:8" ht="12.75">
      <c r="C154" s="190"/>
      <c r="D154" s="171"/>
      <c r="E154" s="97"/>
      <c r="F154" s="97"/>
      <c r="G154" s="97"/>
      <c r="H154" s="17"/>
    </row>
    <row r="155" spans="3:8" s="111" customFormat="1" ht="12.75">
      <c r="C155" s="171"/>
      <c r="D155" s="171"/>
      <c r="E155" s="97"/>
      <c r="F155" s="97"/>
      <c r="G155" s="97"/>
      <c r="H155" s="110"/>
    </row>
    <row r="156" spans="3:8" ht="12.75">
      <c r="C156" s="171"/>
      <c r="D156" s="171"/>
      <c r="E156" s="97"/>
      <c r="F156" s="97"/>
      <c r="G156" s="97"/>
      <c r="H156" s="17"/>
    </row>
    <row r="157" spans="3:8" ht="12.75">
      <c r="C157" s="171"/>
      <c r="D157" s="171"/>
      <c r="E157" s="97"/>
      <c r="F157" s="97"/>
      <c r="G157" s="97"/>
      <c r="H157" s="17"/>
    </row>
    <row r="158" spans="3:8" ht="12.75">
      <c r="C158" s="171"/>
      <c r="D158" s="171"/>
      <c r="E158" s="97"/>
      <c r="F158" s="97"/>
      <c r="G158" s="97"/>
      <c r="H158" s="17"/>
    </row>
    <row r="159" spans="3:8" ht="12.75">
      <c r="C159" s="171"/>
      <c r="D159" s="171"/>
      <c r="E159" s="97"/>
      <c r="F159" s="97"/>
      <c r="G159" s="97"/>
      <c r="H159" s="17"/>
    </row>
    <row r="160" spans="3:8" ht="12.75">
      <c r="C160" s="171"/>
      <c r="D160" s="171"/>
      <c r="E160" s="97"/>
      <c r="F160" s="97"/>
      <c r="G160" s="97"/>
      <c r="H160" s="17"/>
    </row>
    <row r="161" spans="3:8" s="111" customFormat="1" ht="4.9" customHeight="1">
      <c r="C161" s="121"/>
      <c r="D161" s="15"/>
      <c r="E161" s="122"/>
      <c r="F161" s="99"/>
      <c r="G161" s="122"/>
      <c r="H161" s="110"/>
    </row>
    <row r="162" spans="3:8" ht="12.75">
      <c r="C162" s="17"/>
      <c r="D162" s="17"/>
      <c r="E162" s="17"/>
      <c r="F162" s="17"/>
      <c r="G162" s="17"/>
      <c r="H162" s="17"/>
    </row>
    <row r="163" spans="3:8" ht="12.75">
      <c r="C163" s="17"/>
      <c r="D163" s="17"/>
      <c r="E163" s="17"/>
      <c r="F163" s="17"/>
      <c r="G163" s="17"/>
      <c r="H163" s="17"/>
    </row>
    <row r="164" spans="3:8" ht="12.75">
      <c r="C164" s="17"/>
      <c r="D164" s="17"/>
      <c r="E164" s="17"/>
      <c r="F164" s="17"/>
      <c r="G164" s="17"/>
      <c r="H164" s="17"/>
    </row>
    <row r="165" spans="3:8" ht="12.75">
      <c r="C165" s="17"/>
      <c r="D165" s="17"/>
      <c r="E165" s="17"/>
      <c r="F165" s="17"/>
      <c r="G165" s="17"/>
      <c r="H165" s="17"/>
    </row>
    <row r="166" spans="3:8" ht="12.75">
      <c r="C166" s="17"/>
      <c r="D166" s="17"/>
      <c r="E166" s="17"/>
      <c r="F166" s="17"/>
      <c r="G166" s="17"/>
      <c r="H166" s="17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0C198C7-A6AC-4515-9EFE-BFC93C0F3654}">
  <sheetPr>
    <pageSetUpPr fitToPage="1"/>
  </sheetPr>
  <dimension ref="B4:O161"/>
  <sheetViews>
    <sheetView showGridLines="0" view="pageLayout" zoomScaleNormal="100" workbookViewId="0" topLeftCell="A1">
      <selection pane="topLeft" activeCell="E9" sqref="E9"/>
    </sheetView>
  </sheetViews>
  <sheetFormatPr defaultRowHeight="12.75"/>
  <cols>
    <col min="2" max="2" width="4.857142857142857" customWidth="1"/>
    <col min="3" max="3" width="49" customWidth="1"/>
    <col min="4" max="4" width="1.4285714285714286" customWidth="1"/>
    <col min="5" max="5" width="12" customWidth="1"/>
    <col min="6" max="6" width="1.4285714285714286" customWidth="1"/>
    <col min="7" max="7" width="12.428571428571429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714285714285714" customWidth="1"/>
    <col min="13" max="14" width="14" bestFit="1" customWidth="1"/>
    <col min="15" max="15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20">
        <f>+'Fund X'!E8</f>
        <v>44834</v>
      </c>
      <c r="F8" s="13"/>
      <c r="G8" s="78"/>
      <c r="H8" s="78"/>
      <c r="I8" s="79"/>
    </row>
    <row r="9" spans="3:7" ht="15.75">
      <c r="C9" s="65"/>
      <c r="D9" s="65"/>
      <c r="E9" s="65"/>
      <c r="F9" s="65"/>
      <c r="G9" s="177"/>
    </row>
    <row r="10" spans="3:9" ht="12.75">
      <c r="C10" s="178"/>
      <c r="D10" s="178"/>
      <c r="E10" s="179"/>
      <c r="F10" s="178"/>
      <c r="G10" s="124"/>
      <c r="H10" s="81"/>
      <c r="I10" s="86"/>
    </row>
    <row r="11" spans="3:9" ht="12.75">
      <c r="C11" s="178"/>
      <c r="D11" s="178"/>
      <c r="E11" s="179"/>
      <c r="F11" s="178"/>
      <c r="G11" s="179"/>
      <c r="H11" s="81"/>
      <c r="I11" s="86"/>
    </row>
    <row r="12" spans="3:9" ht="15.75">
      <c r="C12" s="180"/>
      <c r="D12" s="180"/>
      <c r="E12" s="70"/>
      <c r="F12" s="180"/>
      <c r="G12" s="70"/>
      <c r="H12" s="5"/>
      <c r="I12" s="86"/>
    </row>
    <row r="13" spans="3:9" ht="12.75">
      <c r="C13" s="178"/>
      <c r="D13" s="178"/>
      <c r="E13" s="71"/>
      <c r="F13" s="178"/>
      <c r="G13" s="124"/>
      <c r="H13" s="84"/>
      <c r="I13" s="86"/>
    </row>
    <row r="14" spans="3:9" ht="12.75">
      <c r="C14" s="178"/>
      <c r="D14" s="178"/>
      <c r="E14" s="181"/>
      <c r="F14" s="178"/>
      <c r="G14" s="124"/>
      <c r="H14" s="85"/>
      <c r="I14" s="86"/>
    </row>
    <row r="15" spans="3:9" ht="12.75">
      <c r="C15" s="178"/>
      <c r="D15" s="178"/>
      <c r="E15" s="179"/>
      <c r="F15" s="178"/>
      <c r="G15" s="179"/>
      <c r="H15" s="81"/>
      <c r="I15" s="86"/>
    </row>
    <row r="16" spans="3:9" ht="15.75">
      <c r="C16" s="5"/>
      <c r="D16" s="5"/>
      <c r="E16" s="10"/>
      <c r="F16" s="5"/>
      <c r="G16" s="10"/>
      <c r="H16" s="5"/>
      <c r="I16" s="86"/>
    </row>
    <row r="17" spans="3:9" ht="15.75">
      <c r="C17" s="83" t="s">
        <v>15</v>
      </c>
      <c r="D17" s="83"/>
      <c r="E17" s="10"/>
      <c r="F17" s="83"/>
      <c r="G17" s="10"/>
      <c r="H17" s="5"/>
      <c r="I17" s="86"/>
    </row>
    <row r="18" spans="3:15" ht="12.75" customHeight="1">
      <c r="C18" s="6" t="s">
        <v>16</v>
      </c>
      <c r="D18" s="6"/>
      <c r="E18" s="84">
        <f>G140</f>
        <v>0.15657299160957341</v>
      </c>
      <c r="F18" s="6"/>
      <c r="G18" s="11"/>
      <c r="H18" s="84"/>
      <c r="I18" s="86"/>
      <c r="M18" s="95"/>
      <c r="N18" s="66"/>
      <c r="O18" s="66"/>
    </row>
    <row r="19" spans="3:15" ht="12.75">
      <c r="C19" s="6" t="s">
        <v>17</v>
      </c>
      <c r="D19" s="6"/>
      <c r="E19" s="87">
        <f>-(G138+J141)/(J140)</f>
        <v>1.803478148871392</v>
      </c>
      <c r="F19" s="6"/>
      <c r="G19" s="9"/>
      <c r="H19" s="81"/>
      <c r="M19" s="95"/>
      <c r="N19" s="66"/>
      <c r="O19" s="66"/>
    </row>
    <row r="20" spans="3:15" ht="12.75">
      <c r="C20" s="6"/>
      <c r="D20" s="6"/>
      <c r="E20" s="6"/>
      <c r="F20" s="6"/>
      <c r="G20" s="81"/>
      <c r="M20" s="95"/>
      <c r="N20" s="66"/>
      <c r="O20" s="66"/>
    </row>
    <row r="21" spans="3:15" ht="15.75">
      <c r="C21" s="88" t="s">
        <v>50</v>
      </c>
      <c r="D21" s="7"/>
      <c r="E21" s="7"/>
      <c r="F21" s="7"/>
      <c r="I21" s="89"/>
      <c r="J21" s="17"/>
      <c r="L21" s="119"/>
      <c r="M21" s="95"/>
      <c r="N21" s="66"/>
      <c r="O21" s="66"/>
    </row>
    <row r="22" spans="3:15" ht="12.75">
      <c r="C22" s="105">
        <v>0.009989242</v>
      </c>
      <c r="D22" s="17"/>
      <c r="E22" s="17"/>
      <c r="F22" s="17"/>
      <c r="G22" s="91"/>
      <c r="H22" s="17"/>
      <c r="I22" s="17"/>
      <c r="J22" s="17"/>
      <c r="M22" s="95"/>
      <c r="N22" s="66"/>
      <c r="O22" s="66"/>
    </row>
    <row r="23" spans="3:15" ht="12.75">
      <c r="C23" s="17"/>
      <c r="D23" s="17"/>
      <c r="E23" s="89"/>
      <c r="F23" s="45"/>
      <c r="G23" s="45"/>
      <c r="H23" s="17"/>
      <c r="I23" s="25"/>
      <c r="M23" s="95"/>
      <c r="N23" s="66"/>
      <c r="O23" s="66"/>
    </row>
    <row r="24" spans="3:15" ht="12.75">
      <c r="C24" s="17" t="s">
        <v>44</v>
      </c>
      <c r="D24" s="17"/>
      <c r="E24" s="89">
        <v>42089</v>
      </c>
      <c r="F24" s="45"/>
      <c r="G24" s="45">
        <v>-155350</v>
      </c>
      <c r="H24" s="17"/>
      <c r="I24" s="25"/>
      <c r="M24" s="95"/>
      <c r="N24" s="66"/>
      <c r="O24" s="66"/>
    </row>
    <row r="25" spans="3:15" ht="12.75">
      <c r="C25" s="17"/>
      <c r="D25" s="17"/>
      <c r="E25" s="89">
        <v>42118</v>
      </c>
      <c r="F25" s="45"/>
      <c r="G25" s="45">
        <v>49946.86</v>
      </c>
      <c r="H25" s="17"/>
      <c r="I25" s="25"/>
      <c r="M25" s="95"/>
      <c r="N25" s="66"/>
      <c r="O25" s="66"/>
    </row>
    <row r="26" spans="3:15" ht="12.75">
      <c r="C26" s="17"/>
      <c r="D26" s="17"/>
      <c r="E26" s="89">
        <v>42180</v>
      </c>
      <c r="F26" s="45"/>
      <c r="G26" s="45">
        <v>-15374.51</v>
      </c>
      <c r="H26" s="17"/>
      <c r="I26" s="25"/>
      <c r="M26" s="95"/>
      <c r="N26" s="66"/>
      <c r="O26" s="66"/>
    </row>
    <row r="27" spans="3:15" ht="12.75">
      <c r="C27" s="17"/>
      <c r="D27" s="17"/>
      <c r="E27" s="89">
        <v>42201</v>
      </c>
      <c r="F27" s="45"/>
      <c r="G27" s="45">
        <v>-4801.51</v>
      </c>
      <c r="H27" s="17"/>
      <c r="I27" s="25"/>
      <c r="M27" s="95"/>
      <c r="N27" s="66"/>
      <c r="O27" s="66"/>
    </row>
    <row r="28" spans="3:15" ht="12.75">
      <c r="C28" s="17"/>
      <c r="E28" s="89">
        <v>42271</v>
      </c>
      <c r="G28" s="45">
        <v>-15083.50</v>
      </c>
      <c r="H28" s="17"/>
      <c r="I28" s="25"/>
      <c r="J28" s="25"/>
      <c r="K28" s="17"/>
      <c r="M28" s="95"/>
      <c r="N28" s="66"/>
      <c r="O28" s="66"/>
    </row>
    <row r="29" spans="5:11" ht="12.75">
      <c r="E29" s="89">
        <v>42324</v>
      </c>
      <c r="G29" s="45">
        <v>-22940.50</v>
      </c>
      <c r="H29" s="17"/>
      <c r="I29" s="25"/>
      <c r="J29" s="25"/>
      <c r="K29" s="17"/>
    </row>
    <row r="30" spans="5:11" ht="12.75">
      <c r="E30" s="89">
        <v>42367</v>
      </c>
      <c r="G30" s="45">
        <v>-61352.50</v>
      </c>
      <c r="H30" s="17"/>
      <c r="I30" s="25"/>
      <c r="J30" s="25"/>
      <c r="K30" s="17"/>
    </row>
    <row r="31" spans="3:11" ht="12.75">
      <c r="C31" s="17" t="s">
        <v>45</v>
      </c>
      <c r="D31" s="17"/>
      <c r="E31" s="89">
        <v>42396</v>
      </c>
      <c r="G31" s="45">
        <v>-100589</v>
      </c>
      <c r="H31" s="17"/>
      <c r="I31" s="25"/>
      <c r="J31" s="25"/>
      <c r="K31" s="17"/>
    </row>
    <row r="32" spans="3:11" ht="12.75">
      <c r="C32" s="17"/>
      <c r="D32" s="17"/>
      <c r="E32" s="89">
        <v>42453</v>
      </c>
      <c r="G32" s="45">
        <v>-22358.50</v>
      </c>
      <c r="H32" s="17"/>
      <c r="I32" s="25"/>
      <c r="J32" s="25"/>
      <c r="K32" s="17"/>
    </row>
    <row r="33" spans="3:11" ht="12.75">
      <c r="C33" s="17"/>
      <c r="D33" s="17"/>
      <c r="E33" s="89">
        <v>42461</v>
      </c>
      <c r="G33" s="45">
        <v>-16199</v>
      </c>
      <c r="H33" s="17"/>
      <c r="I33" s="25"/>
      <c r="J33" s="25"/>
      <c r="K33" s="17"/>
    </row>
    <row r="34" spans="3:11" ht="12.75">
      <c r="C34" s="17"/>
      <c r="D34" s="17"/>
      <c r="E34" s="89">
        <v>42500</v>
      </c>
      <c r="G34" s="45">
        <v>-13968</v>
      </c>
      <c r="H34" s="17"/>
      <c r="I34" s="25"/>
      <c r="J34" s="25"/>
      <c r="K34" s="17"/>
    </row>
    <row r="35" spans="3:11" ht="12.75">
      <c r="C35" s="17"/>
      <c r="D35" s="17"/>
      <c r="E35" s="89">
        <v>42513</v>
      </c>
      <c r="G35" s="45">
        <v>-46268.99</v>
      </c>
      <c r="H35" s="17"/>
      <c r="I35" s="25"/>
      <c r="J35" s="25"/>
      <c r="K35" s="17"/>
    </row>
    <row r="36" spans="3:11" ht="12.75">
      <c r="C36" s="17"/>
      <c r="D36" s="17"/>
      <c r="E36" s="89">
        <v>42524</v>
      </c>
      <c r="G36" s="45">
        <v>-108446</v>
      </c>
      <c r="H36" s="17"/>
      <c r="I36" s="25"/>
      <c r="J36" s="25"/>
      <c r="K36" s="17"/>
    </row>
    <row r="37" spans="3:11" ht="12.75">
      <c r="C37" s="17"/>
      <c r="D37" s="17"/>
      <c r="E37" s="89">
        <v>42544</v>
      </c>
      <c r="G37" s="45">
        <v>-159662</v>
      </c>
      <c r="H37" s="17"/>
      <c r="I37" s="25"/>
      <c r="J37" s="25"/>
      <c r="K37" s="17"/>
    </row>
    <row r="38" spans="3:11" ht="12.75">
      <c r="C38" s="17"/>
      <c r="D38" s="17"/>
      <c r="E38" s="89">
        <v>42564</v>
      </c>
      <c r="G38" s="45">
        <v>-17460</v>
      </c>
      <c r="H38" s="17"/>
      <c r="I38" s="25"/>
      <c r="J38" s="25"/>
      <c r="K38" s="17"/>
    </row>
    <row r="39" spans="3:11" ht="12.75">
      <c r="C39" s="17"/>
      <c r="D39" s="17"/>
      <c r="E39" s="89">
        <v>42585</v>
      </c>
      <c r="G39" s="45">
        <v>-77697.02</v>
      </c>
      <c r="H39" s="17"/>
      <c r="I39" s="25"/>
      <c r="J39" s="25"/>
      <c r="K39" s="17"/>
    </row>
    <row r="40" spans="3:11" ht="12.75">
      <c r="C40" s="17"/>
      <c r="D40" s="17"/>
      <c r="E40" s="89">
        <v>42614</v>
      </c>
      <c r="G40" s="45">
        <v>-29633.49</v>
      </c>
      <c r="H40" s="17"/>
      <c r="I40" s="25"/>
      <c r="J40" s="25"/>
      <c r="K40" s="17"/>
    </row>
    <row r="41" spans="3:9" ht="12.75">
      <c r="C41" s="17"/>
      <c r="D41" s="17"/>
      <c r="E41" s="89">
        <v>42641</v>
      </c>
      <c r="G41" s="45">
        <v>-45396</v>
      </c>
      <c r="H41" s="17"/>
      <c r="I41" s="25"/>
    </row>
    <row r="42" spans="3:9" ht="12.75">
      <c r="C42" s="17"/>
      <c r="D42" s="17"/>
      <c r="E42" s="89">
        <v>42656</v>
      </c>
      <c r="G42" s="45">
        <v>-48451.50</v>
      </c>
      <c r="H42" s="17"/>
      <c r="I42" s="25"/>
    </row>
    <row r="43" spans="3:9" ht="12.75">
      <c r="C43" s="17"/>
      <c r="D43" s="17"/>
      <c r="E43" s="89">
        <v>42704</v>
      </c>
      <c r="G43" s="45">
        <v>-41564.50</v>
      </c>
      <c r="H43" s="17"/>
      <c r="I43" s="25"/>
    </row>
    <row r="44" spans="3:9" ht="12.75">
      <c r="C44" s="17"/>
      <c r="D44" s="17"/>
      <c r="E44" s="89">
        <v>42719</v>
      </c>
      <c r="G44" s="45">
        <v>-44620</v>
      </c>
      <c r="H44" s="17"/>
      <c r="I44" s="25"/>
    </row>
    <row r="45" spans="3:9" ht="12.75">
      <c r="C45" s="17"/>
      <c r="D45" s="17"/>
      <c r="E45" s="89">
        <v>42733</v>
      </c>
      <c r="G45" s="45">
        <v>-28857.49</v>
      </c>
      <c r="H45" s="17"/>
      <c r="I45" s="25"/>
    </row>
    <row r="46" spans="3:11" ht="12.75">
      <c r="C46" s="17" t="s">
        <v>25</v>
      </c>
      <c r="D46" s="17"/>
      <c r="E46" s="89">
        <v>42716</v>
      </c>
      <c r="G46" s="45">
        <v>37881.40</v>
      </c>
      <c r="H46" s="17"/>
      <c r="I46" s="25"/>
      <c r="J46" s="25"/>
      <c r="K46" s="17"/>
    </row>
    <row r="47" spans="3:11" ht="12.75">
      <c r="C47" s="17" t="s">
        <v>30</v>
      </c>
      <c r="D47" s="17"/>
      <c r="E47" s="89">
        <v>42754</v>
      </c>
      <c r="G47" s="45">
        <v>-28130</v>
      </c>
      <c r="H47" s="17"/>
      <c r="I47" s="25"/>
      <c r="J47" s="25"/>
      <c r="K47" s="17"/>
    </row>
    <row r="48" spans="3:11" ht="12.75">
      <c r="C48" s="17"/>
      <c r="D48" s="17"/>
      <c r="E48" s="89">
        <v>42765</v>
      </c>
      <c r="G48" s="45">
        <v>-28711.99</v>
      </c>
      <c r="H48" s="17"/>
      <c r="I48" s="25"/>
      <c r="J48" s="25"/>
      <c r="K48" s="17"/>
    </row>
    <row r="49" spans="3:11" ht="12.75">
      <c r="C49" s="17"/>
      <c r="D49" s="17"/>
      <c r="E49" s="89">
        <v>42773</v>
      </c>
      <c r="G49" s="45">
        <v>-48985</v>
      </c>
      <c r="H49" s="17"/>
      <c r="I49" s="25"/>
      <c r="J49" s="25"/>
      <c r="K49" s="17"/>
    </row>
    <row r="50" spans="3:11" ht="12.75">
      <c r="C50" s="17"/>
      <c r="D50" s="17"/>
      <c r="E50" s="89">
        <v>42797</v>
      </c>
      <c r="G50" s="45">
        <v>-68530.51</v>
      </c>
      <c r="H50" s="17"/>
      <c r="I50" s="25"/>
      <c r="J50" s="25"/>
      <c r="K50" s="17"/>
    </row>
    <row r="51" spans="3:11" ht="12.75">
      <c r="C51" s="17"/>
      <c r="D51" s="17"/>
      <c r="E51" s="89">
        <v>42817</v>
      </c>
      <c r="G51" s="45">
        <v>-40643</v>
      </c>
      <c r="H51" s="17"/>
      <c r="I51" s="25"/>
      <c r="J51" s="25"/>
      <c r="K51" s="17"/>
    </row>
    <row r="52" spans="3:11" ht="12.75">
      <c r="C52" s="17"/>
      <c r="D52" s="17"/>
      <c r="E52" s="89">
        <v>42828</v>
      </c>
      <c r="G52" s="45">
        <v>-35308</v>
      </c>
      <c r="H52" s="17"/>
      <c r="I52" s="25"/>
      <c r="J52" s="25"/>
      <c r="K52" s="17"/>
    </row>
    <row r="53" spans="3:11" ht="12.75">
      <c r="C53" s="17"/>
      <c r="D53" s="17"/>
      <c r="E53" s="89">
        <v>42851</v>
      </c>
      <c r="G53" s="45">
        <v>-154909</v>
      </c>
      <c r="H53" s="17"/>
      <c r="I53" s="25"/>
      <c r="J53" s="25"/>
      <c r="K53" s="17"/>
    </row>
    <row r="54" spans="3:11" ht="12.75">
      <c r="C54" s="17"/>
      <c r="D54" s="17"/>
      <c r="E54" s="89">
        <v>42863</v>
      </c>
      <c r="G54" s="45">
        <v>-32689.01</v>
      </c>
      <c r="H54" s="17"/>
      <c r="I54" s="25"/>
      <c r="J54" s="25"/>
      <c r="K54" s="17"/>
    </row>
    <row r="55" spans="3:9" ht="12.75">
      <c r="C55" s="17"/>
      <c r="D55" s="17"/>
      <c r="E55" s="89">
        <v>42878</v>
      </c>
      <c r="G55" s="45">
        <v>-36957</v>
      </c>
      <c r="H55" s="17"/>
      <c r="I55" s="25"/>
    </row>
    <row r="56" spans="3:9" ht="12.75">
      <c r="C56" s="17"/>
      <c r="D56" s="17"/>
      <c r="E56" s="89">
        <v>42893</v>
      </c>
      <c r="G56" s="45">
        <v>-69403.50</v>
      </c>
      <c r="H56" s="17"/>
      <c r="I56" s="25"/>
    </row>
    <row r="57" spans="3:9" ht="12.75">
      <c r="C57" s="17"/>
      <c r="D57" s="17"/>
      <c r="E57" s="89">
        <v>42907</v>
      </c>
      <c r="G57" s="45">
        <v>-36811.50</v>
      </c>
      <c r="H57" s="17"/>
      <c r="I57" s="25"/>
    </row>
    <row r="58" spans="3:9" ht="12.75">
      <c r="C58" s="17"/>
      <c r="D58" s="17"/>
      <c r="E58" s="89">
        <v>42915</v>
      </c>
      <c r="G58" s="45">
        <v>-84390</v>
      </c>
      <c r="H58" s="17"/>
      <c r="I58" s="25"/>
    </row>
    <row r="59" spans="3:9" ht="12.75">
      <c r="C59" s="17"/>
      <c r="D59" s="17"/>
      <c r="E59" s="89">
        <v>42927</v>
      </c>
      <c r="G59" s="45">
        <v>-30070</v>
      </c>
      <c r="H59" s="17"/>
      <c r="I59" s="25"/>
    </row>
    <row r="60" spans="3:9" ht="12.75">
      <c r="C60" s="17"/>
      <c r="D60" s="17"/>
      <c r="E60" s="89">
        <v>42957</v>
      </c>
      <c r="G60" s="45">
        <v>-46075</v>
      </c>
      <c r="H60" s="17"/>
      <c r="I60" s="25"/>
    </row>
    <row r="61" spans="3:9" ht="12.75">
      <c r="C61" s="17"/>
      <c r="D61" s="17"/>
      <c r="E61" s="89">
        <v>42970</v>
      </c>
      <c r="G61" s="45">
        <v>-99473.50</v>
      </c>
      <c r="H61" s="17"/>
      <c r="I61" s="25"/>
    </row>
    <row r="62" spans="3:11" ht="12.75">
      <c r="C62" s="17"/>
      <c r="D62" s="17"/>
      <c r="E62" s="89">
        <v>42993</v>
      </c>
      <c r="G62" s="45">
        <v>-35647.50</v>
      </c>
      <c r="H62" s="17"/>
      <c r="I62" s="25"/>
      <c r="J62" s="25"/>
      <c r="K62" s="17"/>
    </row>
    <row r="63" spans="3:11" ht="12.75">
      <c r="C63" s="17"/>
      <c r="D63" s="17"/>
      <c r="E63" s="89">
        <v>43000</v>
      </c>
      <c r="G63" s="45">
        <v>-51604</v>
      </c>
      <c r="H63" s="17"/>
      <c r="I63" s="25"/>
      <c r="J63" s="25"/>
      <c r="K63" s="17"/>
    </row>
    <row r="64" spans="3:11" ht="12.75">
      <c r="C64" s="17"/>
      <c r="D64" s="17"/>
      <c r="E64" s="89">
        <v>43012</v>
      </c>
      <c r="G64" s="45">
        <v>-51555.50</v>
      </c>
      <c r="H64" s="17"/>
      <c r="I64" s="25"/>
      <c r="J64" s="25"/>
      <c r="K64" s="17"/>
    </row>
    <row r="65" spans="3:12" ht="15.75">
      <c r="C65" s="17"/>
      <c r="D65" s="17"/>
      <c r="E65" s="89">
        <v>43027</v>
      </c>
      <c r="G65" s="45">
        <v>-50585.50</v>
      </c>
      <c r="H65" s="17"/>
      <c r="I65" s="25"/>
      <c r="J65" s="44"/>
      <c r="K65" s="41"/>
      <c r="L65" s="177"/>
    </row>
    <row r="66" spans="3:12" ht="12.75">
      <c r="C66" s="17"/>
      <c r="D66" s="17"/>
      <c r="E66" s="89">
        <v>43046</v>
      </c>
      <c r="G66" s="45">
        <v>-50876.49</v>
      </c>
      <c r="H66" s="17"/>
      <c r="I66" s="25"/>
      <c r="J66" s="44"/>
      <c r="K66" s="41"/>
      <c r="L66" s="124"/>
    </row>
    <row r="67" spans="3:12" ht="12.75">
      <c r="C67" s="17"/>
      <c r="D67" s="17"/>
      <c r="E67" s="89">
        <v>43056</v>
      </c>
      <c r="G67" s="45">
        <v>-47045</v>
      </c>
      <c r="H67" s="17"/>
      <c r="I67" s="25"/>
      <c r="J67" s="44"/>
      <c r="K67" s="41"/>
      <c r="L67" s="124"/>
    </row>
    <row r="68" spans="3:12" ht="12.75">
      <c r="C68" s="17"/>
      <c r="D68" s="17"/>
      <c r="E68" s="89">
        <v>43083</v>
      </c>
      <c r="G68" s="45">
        <v>-45493</v>
      </c>
      <c r="H68" s="17"/>
      <c r="I68" s="25"/>
      <c r="J68" s="44"/>
      <c r="K68" s="41"/>
      <c r="L68" s="124"/>
    </row>
    <row r="69" spans="3:12" ht="12.75">
      <c r="C69" s="17" t="s">
        <v>46</v>
      </c>
      <c r="D69" s="17"/>
      <c r="E69" s="89">
        <v>42780</v>
      </c>
      <c r="G69" s="45">
        <v>219636.89</v>
      </c>
      <c r="H69" s="17"/>
      <c r="I69" s="25"/>
      <c r="J69" s="44"/>
      <c r="K69" s="41"/>
      <c r="L69" s="124"/>
    </row>
    <row r="70" spans="3:12" ht="12.75">
      <c r="C70" s="17"/>
      <c r="D70" s="17"/>
      <c r="E70" s="89">
        <v>42822</v>
      </c>
      <c r="G70" s="45">
        <v>156941.24</v>
      </c>
      <c r="H70" s="17"/>
      <c r="I70" s="25"/>
      <c r="J70" s="44"/>
      <c r="K70" s="41"/>
      <c r="L70" s="42"/>
    </row>
    <row r="71" spans="3:12" ht="12.75">
      <c r="C71" s="17"/>
      <c r="D71" s="17"/>
      <c r="E71" s="89">
        <v>42906</v>
      </c>
      <c r="G71" s="45">
        <v>26826.13</v>
      </c>
      <c r="H71" s="17"/>
      <c r="I71" s="25"/>
      <c r="J71" s="44"/>
      <c r="K71" s="41"/>
      <c r="L71" s="42"/>
    </row>
    <row r="72" spans="3:12" ht="12.75">
      <c r="C72" s="17"/>
      <c r="D72" s="17"/>
      <c r="E72" s="89">
        <v>42970</v>
      </c>
      <c r="G72" s="45">
        <v>10515.41</v>
      </c>
      <c r="H72" s="17"/>
      <c r="I72" s="25"/>
      <c r="J72" s="44"/>
      <c r="K72" s="41"/>
      <c r="L72" s="42"/>
    </row>
    <row r="73" spans="3:11" ht="12.75">
      <c r="C73" s="17" t="s">
        <v>31</v>
      </c>
      <c r="D73" s="17"/>
      <c r="E73" s="89">
        <v>43104</v>
      </c>
      <c r="G73" s="45">
        <v>-42437.51</v>
      </c>
      <c r="H73" s="17"/>
      <c r="I73" s="25"/>
      <c r="J73" s="25"/>
      <c r="K73" s="17"/>
    </row>
    <row r="74" spans="3:11" ht="12.75">
      <c r="C74" s="17"/>
      <c r="D74" s="17"/>
      <c r="E74" s="89">
        <v>43157</v>
      </c>
      <c r="G74" s="45">
        <v>-40788.50</v>
      </c>
      <c r="H74" s="17"/>
      <c r="I74" s="25"/>
      <c r="J74" s="25"/>
      <c r="K74" s="17"/>
    </row>
    <row r="75" spans="3:11" ht="12.75">
      <c r="C75" s="17"/>
      <c r="D75" s="17"/>
      <c r="E75" s="89">
        <v>43181</v>
      </c>
      <c r="G75" s="45">
        <v>-112229</v>
      </c>
      <c r="H75" s="17"/>
      <c r="I75" s="25"/>
      <c r="J75" s="25"/>
      <c r="K75" s="17"/>
    </row>
    <row r="76" spans="3:11" ht="12.75">
      <c r="C76" s="17"/>
      <c r="D76" s="17"/>
      <c r="E76" s="89">
        <v>43256</v>
      </c>
      <c r="G76" s="45">
        <v>-45007.99</v>
      </c>
      <c r="H76" s="17"/>
      <c r="I76" s="25"/>
      <c r="J76" s="25"/>
      <c r="K76" s="17"/>
    </row>
    <row r="77" spans="3:11" ht="12.75">
      <c r="C77" s="17"/>
      <c r="D77" s="17"/>
      <c r="E77" s="89">
        <v>43278</v>
      </c>
      <c r="G77" s="45">
        <v>-35890.01</v>
      </c>
      <c r="H77" s="17"/>
      <c r="I77" s="25"/>
      <c r="J77" s="25"/>
      <c r="K77" s="17"/>
    </row>
    <row r="78" spans="3:11" ht="12.75">
      <c r="C78" s="17"/>
      <c r="D78" s="17"/>
      <c r="E78" s="89">
        <v>43336</v>
      </c>
      <c r="G78" s="45">
        <v>-46608.51</v>
      </c>
      <c r="H78" s="17"/>
      <c r="I78" s="25"/>
      <c r="J78" s="25"/>
      <c r="K78" s="17"/>
    </row>
    <row r="79" spans="3:11" ht="12.75">
      <c r="C79" s="17"/>
      <c r="D79" s="17"/>
      <c r="E79" s="89">
        <v>43367</v>
      </c>
      <c r="G79" s="45">
        <v>-79103.50</v>
      </c>
      <c r="H79" s="17"/>
      <c r="I79" s="25"/>
      <c r="J79" s="25"/>
      <c r="K79" s="17"/>
    </row>
    <row r="80" spans="3:11" ht="12.75">
      <c r="C80" s="17"/>
      <c r="D80" s="17"/>
      <c r="E80" s="89">
        <v>43439</v>
      </c>
      <c r="G80" s="45">
        <v>-49373</v>
      </c>
      <c r="H80" s="17"/>
      <c r="I80" s="25"/>
      <c r="J80" s="25"/>
      <c r="K80" s="17"/>
    </row>
    <row r="81" spans="3:11" ht="12.75">
      <c r="C81" s="17" t="s">
        <v>26</v>
      </c>
      <c r="D81" s="17"/>
      <c r="E81" s="89">
        <v>43167</v>
      </c>
      <c r="G81" s="45">
        <v>11812.57</v>
      </c>
      <c r="H81" s="17"/>
      <c r="I81" s="25"/>
      <c r="J81" s="25"/>
      <c r="K81" s="17"/>
    </row>
    <row r="82" spans="3:11" ht="12.75">
      <c r="C82" s="17"/>
      <c r="D82" s="17"/>
      <c r="E82" s="89">
        <v>43255</v>
      </c>
      <c r="G82" s="45">
        <v>29353.12</v>
      </c>
      <c r="H82" s="17"/>
      <c r="I82" s="25"/>
      <c r="J82" s="25"/>
      <c r="K82" s="17"/>
    </row>
    <row r="83" spans="3:11" ht="12.75">
      <c r="C83" s="17"/>
      <c r="D83" s="17"/>
      <c r="E83" s="89">
        <v>43444</v>
      </c>
      <c r="G83" s="45">
        <v>17341.60</v>
      </c>
      <c r="H83" s="17"/>
      <c r="I83" s="25"/>
      <c r="J83" s="25"/>
      <c r="K83" s="17"/>
    </row>
    <row r="84" spans="3:11" ht="12.75">
      <c r="C84" s="17" t="s">
        <v>32</v>
      </c>
      <c r="D84" s="17"/>
      <c r="E84" s="89">
        <v>43481</v>
      </c>
      <c r="F84" s="45"/>
      <c r="G84" s="45">
        <v>-28129.99</v>
      </c>
      <c r="H84" s="17"/>
      <c r="I84" s="25"/>
      <c r="J84" s="25"/>
      <c r="K84" s="17"/>
    </row>
    <row r="85" spans="4:11" ht="12.75">
      <c r="D85" s="17"/>
      <c r="E85" s="89">
        <v>43544</v>
      </c>
      <c r="F85" s="45"/>
      <c r="G85" s="45">
        <v>-31137</v>
      </c>
      <c r="H85" s="17"/>
      <c r="I85" s="25"/>
      <c r="J85" s="25"/>
      <c r="K85" s="17"/>
    </row>
    <row r="86" spans="4:11" ht="12.75">
      <c r="D86" s="17"/>
      <c r="E86" s="89">
        <v>43591</v>
      </c>
      <c r="F86" s="45"/>
      <c r="G86" s="45">
        <v>-27790.50</v>
      </c>
      <c r="H86" s="17"/>
      <c r="I86" s="25"/>
      <c r="J86" s="25"/>
      <c r="K86" s="17"/>
    </row>
    <row r="87" spans="4:11" ht="12.75">
      <c r="D87" s="17"/>
      <c r="E87" s="89">
        <v>43675</v>
      </c>
      <c r="F87" s="45"/>
      <c r="G87" s="45">
        <v>-43456</v>
      </c>
      <c r="H87" s="17"/>
      <c r="I87" s="25"/>
      <c r="J87" s="25"/>
      <c r="K87" s="17"/>
    </row>
    <row r="88" spans="4:11" ht="12.75">
      <c r="D88" s="17"/>
      <c r="E88" s="89">
        <v>43707</v>
      </c>
      <c r="F88" s="45"/>
      <c r="G88" s="45">
        <v>-74593</v>
      </c>
      <c r="H88" s="17"/>
      <c r="I88" s="25"/>
      <c r="J88" s="25"/>
      <c r="K88" s="17"/>
    </row>
    <row r="89" spans="4:11" ht="12.75">
      <c r="D89" s="17"/>
      <c r="E89" s="89">
        <v>43769</v>
      </c>
      <c r="F89" s="45"/>
      <c r="G89" s="45">
        <v>-34192.50</v>
      </c>
      <c r="H89" s="17"/>
      <c r="I89" s="25"/>
      <c r="J89" s="25"/>
      <c r="K89" s="17"/>
    </row>
    <row r="90" spans="4:11" ht="12.75">
      <c r="D90" s="17"/>
      <c r="E90" s="89">
        <v>43804</v>
      </c>
      <c r="F90" s="45"/>
      <c r="G90" s="45">
        <v>-34144</v>
      </c>
      <c r="H90" s="17"/>
      <c r="I90" s="25"/>
      <c r="J90" s="25"/>
      <c r="K90" s="17"/>
    </row>
    <row r="91" spans="3:11" ht="12.75">
      <c r="C91" s="17" t="s">
        <v>27</v>
      </c>
      <c r="D91" s="17"/>
      <c r="E91" s="89">
        <v>43550</v>
      </c>
      <c r="F91" s="45"/>
      <c r="G91" s="45">
        <v>9634.96</v>
      </c>
      <c r="H91" s="17"/>
      <c r="I91" s="25"/>
      <c r="J91" s="25"/>
      <c r="K91" s="17"/>
    </row>
    <row r="92" spans="3:11" ht="12.75">
      <c r="C92" s="17"/>
      <c r="D92" s="17"/>
      <c r="E92" s="89">
        <v>43629</v>
      </c>
      <c r="F92" s="45"/>
      <c r="G92" s="45">
        <v>10836.58</v>
      </c>
      <c r="H92" s="17"/>
      <c r="I92" s="25"/>
      <c r="J92" s="25"/>
      <c r="K92" s="17"/>
    </row>
    <row r="93" spans="3:11" ht="12.75">
      <c r="C93" s="17"/>
      <c r="D93" s="17"/>
      <c r="E93" s="89">
        <v>43760</v>
      </c>
      <c r="F93" s="45"/>
      <c r="G93" s="45">
        <v>60129.25</v>
      </c>
      <c r="H93" s="17"/>
      <c r="I93" s="25"/>
      <c r="J93" s="25"/>
      <c r="K93" s="17"/>
    </row>
    <row r="94" spans="3:11" ht="12.75">
      <c r="C94" s="17"/>
      <c r="D94" s="17"/>
      <c r="E94" s="89">
        <v>43816</v>
      </c>
      <c r="F94" s="45"/>
      <c r="G94" s="45">
        <v>11437.15</v>
      </c>
      <c r="H94" s="17"/>
      <c r="I94" s="25"/>
      <c r="J94" s="25"/>
      <c r="K94" s="17"/>
    </row>
    <row r="95" spans="3:11" ht="12.75">
      <c r="C95" s="17" t="s">
        <v>33</v>
      </c>
      <c r="D95" s="17"/>
      <c r="E95" s="89">
        <v>43896</v>
      </c>
      <c r="F95" s="45"/>
      <c r="G95" s="45">
        <v>-21146</v>
      </c>
      <c r="H95" s="17"/>
      <c r="I95" s="25"/>
      <c r="J95" s="25"/>
      <c r="K95" s="17"/>
    </row>
    <row r="96" spans="3:11" ht="12.75">
      <c r="C96" s="17"/>
      <c r="D96" s="17"/>
      <c r="E96" s="89">
        <v>43922</v>
      </c>
      <c r="F96" s="45"/>
      <c r="G96" s="45">
        <v>-15811</v>
      </c>
      <c r="H96" s="17"/>
      <c r="I96" s="25"/>
      <c r="J96" s="25"/>
      <c r="K96" s="17"/>
    </row>
    <row r="97" spans="3:11" ht="12.75">
      <c r="C97" s="17"/>
      <c r="D97" s="17"/>
      <c r="E97" s="89">
        <v>43979</v>
      </c>
      <c r="F97" s="45"/>
      <c r="G97" s="45">
        <v>-20612.50</v>
      </c>
      <c r="H97" s="17"/>
      <c r="I97" s="25"/>
      <c r="J97" s="25"/>
      <c r="K97" s="17"/>
    </row>
    <row r="98" spans="3:11" ht="12.75">
      <c r="C98" s="17"/>
      <c r="D98" s="17"/>
      <c r="E98" s="89">
        <v>44015</v>
      </c>
      <c r="F98" s="45"/>
      <c r="G98" s="45">
        <v>-17896.50</v>
      </c>
      <c r="H98" s="17"/>
      <c r="I98" s="25"/>
      <c r="J98" s="25"/>
      <c r="K98" s="17"/>
    </row>
    <row r="99" spans="3:11" ht="12.75">
      <c r="C99" s="17"/>
      <c r="D99" s="17"/>
      <c r="E99" s="89">
        <v>44109</v>
      </c>
      <c r="F99" s="45"/>
      <c r="G99" s="45">
        <v>-12658.50</v>
      </c>
      <c r="H99" s="17"/>
      <c r="I99" s="25"/>
      <c r="J99" s="25"/>
      <c r="K99" s="17"/>
    </row>
    <row r="100" spans="3:11" ht="12.75">
      <c r="C100" s="17"/>
      <c r="D100" s="17"/>
      <c r="E100" s="89">
        <v>44160</v>
      </c>
      <c r="F100" s="45"/>
      <c r="G100" s="45">
        <v>-24007.50</v>
      </c>
      <c r="H100" s="17"/>
      <c r="I100" s="25"/>
      <c r="J100" s="25"/>
      <c r="K100" s="17"/>
    </row>
    <row r="101" spans="3:11" ht="12.75">
      <c r="C101" s="17" t="s">
        <v>47</v>
      </c>
      <c r="D101" s="17"/>
      <c r="E101" s="89">
        <v>43885</v>
      </c>
      <c r="F101" s="45"/>
      <c r="G101" s="45">
        <v>36192.72</v>
      </c>
      <c r="H101" s="17"/>
      <c r="I101" s="25"/>
      <c r="J101" s="25"/>
      <c r="K101" s="17"/>
    </row>
    <row r="102" spans="3:11" ht="12.75">
      <c r="C102" s="17"/>
      <c r="D102" s="17"/>
      <c r="E102" s="89">
        <v>44082</v>
      </c>
      <c r="F102" s="45"/>
      <c r="G102" s="45">
        <v>21489.23</v>
      </c>
      <c r="H102" s="17"/>
      <c r="I102" s="25"/>
      <c r="J102" s="25"/>
      <c r="K102" s="17"/>
    </row>
    <row r="103" spans="3:11" ht="12.75">
      <c r="C103" s="17" t="s">
        <v>34</v>
      </c>
      <c r="D103" s="17"/>
      <c r="E103" s="89">
        <v>44201</v>
      </c>
      <c r="F103" s="45"/>
      <c r="G103" s="45">
        <v>-12804</v>
      </c>
      <c r="H103" s="17"/>
      <c r="I103" s="25"/>
      <c r="J103" s="25"/>
      <c r="K103" s="17"/>
    </row>
    <row r="104" spans="3:11" ht="12.75">
      <c r="C104" s="17"/>
      <c r="D104" s="17"/>
      <c r="E104" s="89">
        <v>44246</v>
      </c>
      <c r="F104" s="45"/>
      <c r="G104" s="45">
        <v>-72750</v>
      </c>
      <c r="H104" s="17"/>
      <c r="I104" s="25"/>
      <c r="J104" s="25"/>
      <c r="K104" s="17"/>
    </row>
    <row r="105" spans="3:11" ht="12.75">
      <c r="C105" s="17"/>
      <c r="D105" s="17"/>
      <c r="E105" s="89">
        <v>44267</v>
      </c>
      <c r="F105" s="45"/>
      <c r="G105" s="45">
        <v>-7226.50</v>
      </c>
      <c r="H105" s="17"/>
      <c r="I105" s="25"/>
      <c r="J105" s="25"/>
      <c r="K105" s="17"/>
    </row>
    <row r="106" spans="3:11" ht="12.75">
      <c r="C106" s="17"/>
      <c r="D106" s="17"/>
      <c r="E106" s="89">
        <v>44285</v>
      </c>
      <c r="F106" s="45"/>
      <c r="G106" s="45">
        <v>-9118</v>
      </c>
      <c r="H106" s="17"/>
      <c r="I106" s="25"/>
      <c r="J106" s="25"/>
      <c r="K106" s="17"/>
    </row>
    <row r="107" spans="3:11" ht="12.75">
      <c r="C107" s="17"/>
      <c r="D107" s="17"/>
      <c r="E107" s="89">
        <v>44308</v>
      </c>
      <c r="F107" s="45"/>
      <c r="G107" s="45">
        <v>-24153</v>
      </c>
      <c r="H107" s="17"/>
      <c r="I107" s="25"/>
      <c r="J107" s="25"/>
      <c r="K107" s="17"/>
    </row>
    <row r="108" spans="3:11" ht="12.75">
      <c r="C108" s="17"/>
      <c r="D108" s="17"/>
      <c r="E108" s="89">
        <v>44348</v>
      </c>
      <c r="F108" s="45"/>
      <c r="G108" s="45">
        <v>-53495.50</v>
      </c>
      <c r="H108" s="17"/>
      <c r="I108" s="25"/>
      <c r="J108" s="25"/>
      <c r="K108" s="17"/>
    </row>
    <row r="109" spans="3:11" ht="12.75">
      <c r="C109" s="17"/>
      <c r="D109" s="17"/>
      <c r="E109" s="89">
        <v>44467</v>
      </c>
      <c r="F109" s="45"/>
      <c r="G109" s="45">
        <v>-7857</v>
      </c>
      <c r="H109" s="17"/>
      <c r="I109" s="25"/>
      <c r="J109" s="25"/>
      <c r="K109" s="17"/>
    </row>
    <row r="110" spans="3:11" ht="12.75">
      <c r="C110" s="17"/>
      <c r="D110" s="17"/>
      <c r="E110" s="89">
        <v>44546</v>
      </c>
      <c r="F110" s="45"/>
      <c r="G110" s="45">
        <v>-35890</v>
      </c>
      <c r="H110" s="17"/>
      <c r="I110" s="25"/>
      <c r="J110" s="25"/>
      <c r="K110" s="17"/>
    </row>
    <row r="111" spans="3:11" ht="12.75">
      <c r="C111" s="17" t="s">
        <v>28</v>
      </c>
      <c r="D111" s="17"/>
      <c r="E111" s="89">
        <v>44217</v>
      </c>
      <c r="F111" s="45"/>
      <c r="G111" s="45">
        <v>33239.26</v>
      </c>
      <c r="H111" s="17"/>
      <c r="I111" s="25"/>
      <c r="J111" s="25"/>
      <c r="K111" s="17"/>
    </row>
    <row r="112" spans="3:11" ht="12.75">
      <c r="C112" s="17"/>
      <c r="D112" s="17"/>
      <c r="E112" s="89">
        <v>44256</v>
      </c>
      <c r="F112" s="45"/>
      <c r="G112" s="45">
        <v>276993.05</v>
      </c>
      <c r="H112" s="17"/>
      <c r="I112" s="25"/>
      <c r="J112" s="25"/>
      <c r="K112" s="17"/>
    </row>
    <row r="113" spans="3:11" ht="12.75">
      <c r="C113" s="17"/>
      <c r="D113" s="17"/>
      <c r="E113" s="89">
        <v>44279</v>
      </c>
      <c r="F113" s="45"/>
      <c r="G113" s="45">
        <v>59234.92</v>
      </c>
      <c r="H113" s="17"/>
      <c r="I113" s="25"/>
      <c r="J113" s="25"/>
      <c r="K113" s="17"/>
    </row>
    <row r="114" spans="3:11" ht="12.75">
      <c r="C114" s="17"/>
      <c r="D114" s="17"/>
      <c r="E114" s="89">
        <v>44295</v>
      </c>
      <c r="F114" s="45"/>
      <c r="G114" s="45">
        <v>77499.69</v>
      </c>
      <c r="H114" s="17"/>
      <c r="I114" s="25"/>
      <c r="J114" s="25"/>
      <c r="K114" s="17"/>
    </row>
    <row r="115" spans="3:11" ht="12.75">
      <c r="C115" s="17"/>
      <c r="D115" s="17"/>
      <c r="E115" s="89">
        <v>44371</v>
      </c>
      <c r="F115" s="45"/>
      <c r="G115" s="45">
        <v>10182.89</v>
      </c>
      <c r="H115" s="17"/>
      <c r="I115" s="25"/>
      <c r="J115" s="25"/>
      <c r="K115" s="17"/>
    </row>
    <row r="116" spans="3:11" ht="12.75">
      <c r="C116" s="17"/>
      <c r="D116" s="17"/>
      <c r="E116" s="89">
        <v>44386</v>
      </c>
      <c r="F116" s="45"/>
      <c r="G116" s="45">
        <v>18470.01</v>
      </c>
      <c r="H116" s="17"/>
      <c r="I116" s="25"/>
      <c r="J116" s="25"/>
      <c r="K116" s="17"/>
    </row>
    <row r="117" spans="3:11" ht="12.75">
      <c r="C117" s="17"/>
      <c r="D117" s="17"/>
      <c r="E117" s="89">
        <v>44417</v>
      </c>
      <c r="F117" s="45"/>
      <c r="G117" s="45">
        <v>20081.81</v>
      </c>
      <c r="H117" s="17"/>
      <c r="I117" s="25"/>
      <c r="J117" s="25"/>
      <c r="K117" s="17"/>
    </row>
    <row r="118" spans="3:11" ht="12.75">
      <c r="C118" s="17"/>
      <c r="D118" s="17"/>
      <c r="E118" s="89">
        <v>44446</v>
      </c>
      <c r="F118" s="45"/>
      <c r="G118" s="45">
        <v>19372.30</v>
      </c>
      <c r="H118" s="17"/>
      <c r="I118" s="25"/>
      <c r="J118" s="25"/>
      <c r="K118" s="17"/>
    </row>
    <row r="119" spans="3:11" ht="12.75">
      <c r="C119" s="17"/>
      <c r="D119" s="17"/>
      <c r="E119" s="89">
        <v>44473</v>
      </c>
      <c r="F119" s="45"/>
      <c r="G119" s="45">
        <v>30429</v>
      </c>
      <c r="H119" s="17"/>
      <c r="I119" s="25"/>
      <c r="J119" s="25"/>
      <c r="K119" s="17"/>
    </row>
    <row r="120" spans="3:11" ht="12.75">
      <c r="C120" s="17"/>
      <c r="D120" s="17"/>
      <c r="E120" s="89">
        <v>44489</v>
      </c>
      <c r="F120" s="45"/>
      <c r="G120" s="45">
        <v>79017.88</v>
      </c>
      <c r="H120" s="17"/>
      <c r="I120" s="25"/>
      <c r="J120" s="25"/>
      <c r="K120" s="17"/>
    </row>
    <row r="121" spans="3:11" ht="12.75">
      <c r="C121" s="17"/>
      <c r="D121" s="17"/>
      <c r="E121" s="89">
        <v>44496</v>
      </c>
      <c r="F121" s="45"/>
      <c r="G121" s="45">
        <v>162908.57</v>
      </c>
      <c r="H121" s="17"/>
      <c r="I121" s="25"/>
      <c r="J121" s="25"/>
      <c r="K121" s="17"/>
    </row>
    <row r="122" spans="3:11" ht="12.75">
      <c r="C122" s="17"/>
      <c r="D122" s="17"/>
      <c r="E122" s="89">
        <v>44505</v>
      </c>
      <c r="F122" s="45"/>
      <c r="G122" s="45">
        <v>16441.85</v>
      </c>
      <c r="H122" s="17"/>
      <c r="I122" s="25"/>
      <c r="J122" s="25"/>
      <c r="K122" s="17"/>
    </row>
    <row r="123" spans="3:11" ht="12.75">
      <c r="C123" s="17"/>
      <c r="D123" s="17"/>
      <c r="E123" s="89">
        <v>44547</v>
      </c>
      <c r="F123" s="45"/>
      <c r="G123" s="45">
        <v>124440.06</v>
      </c>
      <c r="H123" s="17"/>
      <c r="I123" s="25"/>
      <c r="J123" s="25"/>
      <c r="K123" s="17"/>
    </row>
    <row r="124" spans="3:11" ht="12.75">
      <c r="C124" s="17" t="s">
        <v>35</v>
      </c>
      <c r="D124" s="17"/>
      <c r="E124" s="89">
        <v>44585</v>
      </c>
      <c r="F124" s="45"/>
      <c r="G124" s="45">
        <v>-14889.50</v>
      </c>
      <c r="H124" s="17"/>
      <c r="I124" s="25"/>
      <c r="J124" s="25"/>
      <c r="K124" s="17"/>
    </row>
    <row r="125" spans="3:11" ht="12.75">
      <c r="C125" s="17"/>
      <c r="D125" s="17"/>
      <c r="E125" s="89">
        <v>44630</v>
      </c>
      <c r="F125" s="45"/>
      <c r="G125" s="45">
        <v>-17945</v>
      </c>
      <c r="H125" s="17"/>
      <c r="I125" s="25"/>
      <c r="J125" s="25"/>
      <c r="K125" s="17"/>
    </row>
    <row r="126" spans="3:11" ht="12.75">
      <c r="C126" s="17"/>
      <c r="D126" s="17"/>
      <c r="E126" s="89">
        <v>44741</v>
      </c>
      <c r="F126" s="45"/>
      <c r="G126" s="45">
        <v>-7566</v>
      </c>
      <c r="H126" s="17"/>
      <c r="I126" s="25"/>
      <c r="J126" s="25"/>
      <c r="K126" s="17"/>
    </row>
    <row r="127" spans="3:11" ht="12.75">
      <c r="C127" s="17"/>
      <c r="D127" s="17"/>
      <c r="E127" s="89">
        <v>44830</v>
      </c>
      <c r="F127" s="45"/>
      <c r="G127" s="45">
        <v>-7420.50</v>
      </c>
      <c r="H127" s="17"/>
      <c r="I127" s="25"/>
      <c r="J127" s="25"/>
      <c r="K127" s="17"/>
    </row>
    <row r="128" spans="3:11" ht="12.75">
      <c r="C128" s="17" t="s">
        <v>29</v>
      </c>
      <c r="D128" s="17"/>
      <c r="E128" s="89">
        <v>44580</v>
      </c>
      <c r="F128" s="45"/>
      <c r="G128" s="45">
        <v>195953.50</v>
      </c>
      <c r="H128" s="17"/>
      <c r="I128" s="25"/>
      <c r="J128" s="25"/>
      <c r="K128" s="17"/>
    </row>
    <row r="129" spans="3:11" ht="12.75">
      <c r="C129" s="17"/>
      <c r="D129" s="17"/>
      <c r="E129" s="89">
        <v>44595</v>
      </c>
      <c r="F129" s="45"/>
      <c r="G129" s="45">
        <v>75341.20</v>
      </c>
      <c r="H129" s="17"/>
      <c r="I129" s="25"/>
      <c r="J129" s="25"/>
      <c r="K129" s="17"/>
    </row>
    <row r="130" spans="3:11" ht="12.75">
      <c r="C130" s="17"/>
      <c r="D130" s="17"/>
      <c r="E130" s="89">
        <v>44630</v>
      </c>
      <c r="F130" s="45"/>
      <c r="G130" s="45">
        <v>105615.95</v>
      </c>
      <c r="H130" s="17"/>
      <c r="I130" s="25"/>
      <c r="J130" s="25"/>
      <c r="K130" s="17"/>
    </row>
    <row r="131" spans="3:11" ht="12.75">
      <c r="C131" s="17"/>
      <c r="D131" s="17"/>
      <c r="E131" s="89">
        <v>44655</v>
      </c>
      <c r="F131" s="45"/>
      <c r="G131" s="45">
        <v>191736.38</v>
      </c>
      <c r="H131" s="17"/>
      <c r="I131" s="25"/>
      <c r="J131" s="25"/>
      <c r="K131" s="17"/>
    </row>
    <row r="132" spans="3:11" ht="12.75">
      <c r="C132" s="17"/>
      <c r="D132" s="17"/>
      <c r="E132" s="89">
        <v>44690</v>
      </c>
      <c r="F132" s="45"/>
      <c r="G132" s="45">
        <v>95616.97</v>
      </c>
      <c r="H132" s="17"/>
      <c r="I132" s="25"/>
      <c r="J132" s="25"/>
      <c r="K132" s="17"/>
    </row>
    <row r="133" spans="3:11" ht="12.75">
      <c r="C133" s="17"/>
      <c r="D133" s="17"/>
      <c r="E133" s="89">
        <v>44714</v>
      </c>
      <c r="F133" s="45"/>
      <c r="G133" s="45">
        <v>143347.05</v>
      </c>
      <c r="H133" s="17"/>
      <c r="I133" s="25"/>
      <c r="J133" s="25"/>
      <c r="K133" s="17"/>
    </row>
    <row r="134" spans="3:11" ht="12.75">
      <c r="C134" s="17"/>
      <c r="D134" s="17"/>
      <c r="E134" s="89">
        <v>44754</v>
      </c>
      <c r="F134" s="45"/>
      <c r="G134" s="45">
        <v>138214.31</v>
      </c>
      <c r="H134" s="17"/>
      <c r="I134" s="25"/>
      <c r="J134" s="25"/>
      <c r="K134" s="17"/>
    </row>
    <row r="135" spans="3:11" ht="12.75">
      <c r="C135" s="17"/>
      <c r="D135" s="17"/>
      <c r="E135" s="89">
        <v>44782</v>
      </c>
      <c r="F135" s="45"/>
      <c r="G135" s="45">
        <v>41814.62</v>
      </c>
      <c r="H135" s="17"/>
      <c r="I135" s="25"/>
      <c r="J135" s="25"/>
      <c r="K135" s="17"/>
    </row>
    <row r="136" spans="3:11" ht="12.75">
      <c r="C136" s="17"/>
      <c r="D136" s="17"/>
      <c r="E136" s="89">
        <v>44806</v>
      </c>
      <c r="F136" s="45"/>
      <c r="G136" s="45">
        <v>123851.67</v>
      </c>
      <c r="H136" s="17"/>
      <c r="I136" s="25"/>
      <c r="J136" s="25"/>
      <c r="K136" s="17"/>
    </row>
    <row r="137" spans="3:10" ht="4.5" customHeight="1">
      <c r="C137" s="17"/>
      <c r="D137" s="17"/>
      <c r="E137" s="89"/>
      <c r="F137" s="17"/>
      <c r="G137" s="45"/>
      <c r="H137" s="17"/>
      <c r="I137" s="25"/>
      <c r="J137" s="25"/>
    </row>
    <row r="138" spans="3:12" ht="12.75">
      <c r="C138" s="17" t="s">
        <v>5</v>
      </c>
      <c r="D138" s="17"/>
      <c r="E138" s="89">
        <f>+E8</f>
        <v>44834</v>
      </c>
      <c r="F138" s="17"/>
      <c r="G138" s="94">
        <f>L138*C22</f>
        <v>3266343.5332672503</v>
      </c>
      <c r="H138" s="17"/>
      <c r="I138" s="89"/>
      <c r="L138" s="124">
        <v>326986125</v>
      </c>
    </row>
    <row r="139" spans="3:8" ht="12.75">
      <c r="C139" s="17"/>
      <c r="D139" s="17"/>
      <c r="E139" s="17"/>
      <c r="F139" s="17"/>
      <c r="G139" s="17"/>
      <c r="H139" s="17"/>
    </row>
    <row r="140" spans="3:11" ht="12.75">
      <c r="C140" s="15" t="s">
        <v>0</v>
      </c>
      <c r="G140" s="72">
        <f>+XIRR(G24:G138,E24:E138,0.1)</f>
        <v>0.15657299160957341</v>
      </c>
      <c r="H140" s="17"/>
      <c r="J140" s="45">
        <f>+SUMIF($G$24:$G$137,"&lt;0",$G$24:$G$137)+49946.86</f>
        <v>-3308149.16</v>
      </c>
      <c r="K140" s="17" t="s">
        <v>20</v>
      </c>
    </row>
    <row r="141" spans="3:11" ht="12.75">
      <c r="C141" s="17"/>
      <c r="D141" s="17"/>
      <c r="E141" s="17"/>
      <c r="F141" s="17"/>
      <c r="G141" s="17"/>
      <c r="H141" s="17"/>
      <c r="J141" s="45">
        <f>+SUMIF($G$24:$G$137,"&gt;0",$G$24:$G$137)-49946.86</f>
        <v>2699831.1900000004</v>
      </c>
      <c r="K141" s="17" t="s">
        <v>21</v>
      </c>
    </row>
    <row r="142" spans="3:8" ht="12.75">
      <c r="C142" s="17"/>
      <c r="D142" s="17"/>
      <c r="E142" s="17"/>
      <c r="F142" s="17"/>
      <c r="G142" s="17"/>
      <c r="H142" s="17"/>
    </row>
    <row r="143" spans="3:8" ht="12.75">
      <c r="C143" s="28"/>
      <c r="D143" s="28"/>
      <c r="E143" s="75"/>
      <c r="F143" s="17"/>
      <c r="G143" s="75"/>
      <c r="H143" s="17"/>
    </row>
    <row r="144" spans="3:8" ht="12.75">
      <c r="C144" s="28"/>
      <c r="D144" s="28"/>
      <c r="E144" s="75"/>
      <c r="F144" s="28"/>
      <c r="G144" s="75"/>
      <c r="H144" s="17"/>
    </row>
    <row r="145" spans="3:8" ht="12.75">
      <c r="C145" s="28"/>
      <c r="D145" s="28"/>
      <c r="E145" s="75"/>
      <c r="F145" s="28"/>
      <c r="G145" s="75"/>
      <c r="H145" s="17"/>
    </row>
    <row r="146" spans="3:8" ht="12.75">
      <c r="C146" s="28"/>
      <c r="D146" s="28"/>
      <c r="E146" s="28"/>
      <c r="F146" s="28"/>
      <c r="G146" s="28"/>
      <c r="H146" s="15"/>
    </row>
    <row r="147" spans="3:8" ht="12.75">
      <c r="C147" s="28"/>
      <c r="D147" s="28"/>
      <c r="E147" s="75"/>
      <c r="F147" s="75"/>
      <c r="G147" s="75"/>
      <c r="H147" s="15"/>
    </row>
    <row r="148" spans="3:8" ht="12.75">
      <c r="C148" s="28"/>
      <c r="D148" s="28"/>
      <c r="E148" s="28"/>
      <c r="F148" s="28"/>
      <c r="G148" s="28"/>
      <c r="H148" s="15"/>
    </row>
    <row r="149" spans="3:8" ht="12.75">
      <c r="C149" s="171"/>
      <c r="D149" s="171"/>
      <c r="E149" s="173"/>
      <c r="F149" s="97"/>
      <c r="G149" s="32"/>
      <c r="H149" s="17"/>
    </row>
    <row r="150" spans="3:8" ht="12.75">
      <c r="C150" s="171"/>
      <c r="D150" s="171"/>
      <c r="E150" s="97"/>
      <c r="F150" s="97"/>
      <c r="G150" s="97"/>
      <c r="H150" s="17"/>
    </row>
    <row r="151" spans="3:8" ht="12.75">
      <c r="C151" s="171"/>
      <c r="D151" s="171"/>
      <c r="E151" s="97"/>
      <c r="F151" s="97"/>
      <c r="G151" s="97"/>
      <c r="H151" s="17"/>
    </row>
    <row r="152" spans="3:8" ht="12.75">
      <c r="C152" s="189"/>
      <c r="D152" s="171"/>
      <c r="E152" s="97"/>
      <c r="F152" s="97"/>
      <c r="G152" s="97"/>
      <c r="H152" s="17"/>
    </row>
    <row r="153" spans="3:8" ht="12.75">
      <c r="C153" s="189"/>
      <c r="D153" s="171"/>
      <c r="E153" s="97"/>
      <c r="F153" s="97"/>
      <c r="G153" s="97"/>
      <c r="H153" s="17"/>
    </row>
    <row r="154" spans="3:8" ht="12.75">
      <c r="C154" s="190"/>
      <c r="D154" s="171"/>
      <c r="E154" s="97"/>
      <c r="F154" s="97"/>
      <c r="G154" s="97"/>
      <c r="H154" s="17"/>
    </row>
    <row r="155" spans="3:8" ht="12.75">
      <c r="C155" s="171"/>
      <c r="D155" s="171"/>
      <c r="E155" s="97"/>
      <c r="F155" s="97"/>
      <c r="G155" s="97"/>
      <c r="H155" s="17"/>
    </row>
    <row r="156" spans="3:8" ht="12.75">
      <c r="C156" s="171"/>
      <c r="D156" s="171"/>
      <c r="E156" s="97"/>
      <c r="F156" s="97"/>
      <c r="G156" s="97"/>
      <c r="H156" s="17"/>
    </row>
    <row r="157" spans="3:8" ht="12.75">
      <c r="C157" s="171"/>
      <c r="D157" s="171"/>
      <c r="E157" s="97"/>
      <c r="F157" s="97"/>
      <c r="G157" s="97"/>
      <c r="H157" s="17"/>
    </row>
    <row r="158" spans="3:8" ht="12.75">
      <c r="C158" s="171"/>
      <c r="D158" s="171"/>
      <c r="E158" s="97"/>
      <c r="F158" s="97"/>
      <c r="G158" s="97"/>
      <c r="H158" s="17"/>
    </row>
    <row r="159" spans="3:8" ht="12.75">
      <c r="C159" s="171"/>
      <c r="D159" s="171"/>
      <c r="E159" s="97"/>
      <c r="F159" s="97"/>
      <c r="G159" s="97"/>
      <c r="H159" s="17"/>
    </row>
    <row r="160" spans="3:8" ht="12.75">
      <c r="C160" s="171"/>
      <c r="D160" s="171"/>
      <c r="E160" s="97"/>
      <c r="F160" s="97"/>
      <c r="G160" s="97"/>
      <c r="H160" s="17"/>
    </row>
    <row r="161" spans="3:8" ht="4.9" customHeight="1">
      <c r="C161" s="17"/>
      <c r="D161" s="17"/>
      <c r="E161" s="17"/>
      <c r="F161" s="17"/>
      <c r="G161" s="17"/>
      <c r="H161" s="17"/>
    </row>
  </sheetData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F0CC5AC-B7EF-45BC-997F-921392ADADA3}">
  <sheetPr>
    <pageSetUpPr fitToPage="1"/>
  </sheetPr>
  <dimension ref="B4:O129"/>
  <sheetViews>
    <sheetView showGridLines="0" view="pageLayout" zoomScaleNormal="100" workbookViewId="0" topLeftCell="A1">
      <selection pane="topLeft" activeCell="C1" sqref="C1"/>
    </sheetView>
  </sheetViews>
  <sheetFormatPr defaultRowHeight="12.75"/>
  <cols>
    <col min="2" max="2" width="4.857142857142857" customWidth="1"/>
    <col min="3" max="3" width="45.57142857142857" customWidth="1"/>
    <col min="4" max="4" width="2" customWidth="1"/>
    <col min="5" max="5" width="10.571428571428571" customWidth="1"/>
    <col min="6" max="6" width="2.2857142857142856" customWidth="1"/>
    <col min="7" max="7" width="14.571428571428571" customWidth="1"/>
    <col min="8" max="8" width="2.4285714285714284" customWidth="1"/>
    <col min="9" max="9" width="7.428571428571429" customWidth="1"/>
    <col min="10" max="10" width="11.714285714285714" customWidth="1"/>
    <col min="11" max="11" width="19" customWidth="1"/>
    <col min="12" max="12" width="15.428571428571429" bestFit="1" customWidth="1"/>
    <col min="13" max="13" width="5.142857142857143" customWidth="1"/>
    <col min="14" max="14" width="16.571428571428573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77">
        <v>44834</v>
      </c>
      <c r="F8" s="13"/>
      <c r="G8" s="78"/>
      <c r="H8" s="78"/>
      <c r="I8" s="79"/>
    </row>
    <row r="9" spans="3:7" ht="15.75">
      <c r="C9" s="65"/>
      <c r="D9" s="65"/>
      <c r="E9" s="65"/>
      <c r="F9" s="65"/>
      <c r="G9" s="177"/>
    </row>
    <row r="10" spans="3:9" ht="12.75">
      <c r="C10" s="178"/>
      <c r="D10" s="178"/>
      <c r="E10" s="179"/>
      <c r="F10" s="178"/>
      <c r="G10" s="124"/>
      <c r="H10" s="81"/>
      <c r="I10" s="82"/>
    </row>
    <row r="11" spans="3:9" ht="12.75">
      <c r="C11" s="178"/>
      <c r="D11" s="178"/>
      <c r="E11" s="179"/>
      <c r="F11" s="178"/>
      <c r="G11" s="179"/>
      <c r="H11" s="81"/>
      <c r="I11" s="82"/>
    </row>
    <row r="12" spans="3:9" ht="15.75">
      <c r="C12" s="180"/>
      <c r="D12" s="180"/>
      <c r="E12" s="70"/>
      <c r="F12" s="180"/>
      <c r="G12" s="70"/>
      <c r="H12" s="5"/>
      <c r="I12" s="82"/>
    </row>
    <row r="13" spans="3:9" ht="12.75">
      <c r="C13" s="178"/>
      <c r="D13" s="178"/>
      <c r="E13" s="71"/>
      <c r="F13" s="178"/>
      <c r="G13" s="124"/>
      <c r="H13" s="84"/>
      <c r="I13" s="82"/>
    </row>
    <row r="14" spans="3:9" ht="12.75">
      <c r="C14" s="178"/>
      <c r="D14" s="178"/>
      <c r="E14" s="181"/>
      <c r="F14" s="178"/>
      <c r="G14" s="124"/>
      <c r="H14" s="85"/>
      <c r="I14" s="82"/>
    </row>
    <row r="15" spans="3:9" ht="12.75">
      <c r="C15" s="178"/>
      <c r="D15" s="178"/>
      <c r="E15" s="179"/>
      <c r="F15" s="178"/>
      <c r="G15" s="179"/>
      <c r="H15" s="81"/>
      <c r="I15" s="82"/>
    </row>
    <row r="16" spans="3:9" ht="15.75">
      <c r="C16" s="5"/>
      <c r="D16" s="5"/>
      <c r="E16" s="10"/>
      <c r="F16" s="5"/>
      <c r="G16" s="10"/>
      <c r="H16" s="5"/>
      <c r="I16" s="82"/>
    </row>
    <row r="17" spans="3:9" ht="15.75">
      <c r="C17" s="83" t="s">
        <v>15</v>
      </c>
      <c r="D17" s="83"/>
      <c r="E17" s="10"/>
      <c r="F17" s="83"/>
      <c r="G17" s="10"/>
      <c r="H17" s="5"/>
      <c r="I17" s="86"/>
    </row>
    <row r="18" spans="3:9" ht="12.75" customHeight="1">
      <c r="C18" s="6" t="s">
        <v>16</v>
      </c>
      <c r="D18" s="6"/>
      <c r="E18" s="84">
        <f>G93</f>
        <v>0.18791353106498718</v>
      </c>
      <c r="F18" s="6"/>
      <c r="G18" s="11"/>
      <c r="H18" s="84"/>
      <c r="I18" s="86"/>
    </row>
    <row r="19" spans="3:8" ht="12.75">
      <c r="C19" s="6" t="s">
        <v>17</v>
      </c>
      <c r="D19" s="6"/>
      <c r="E19" s="87">
        <f>-(G91+J94)/J93</f>
        <v>1.4390994000218145</v>
      </c>
      <c r="F19" s="6"/>
      <c r="G19" s="9"/>
      <c r="H19" s="81"/>
    </row>
    <row r="20" spans="3:7" ht="12.75">
      <c r="C20" s="6"/>
      <c r="D20" s="6"/>
      <c r="E20" s="6"/>
      <c r="F20" s="6"/>
      <c r="G20" s="81"/>
    </row>
    <row r="21" spans="3:12" ht="15.75">
      <c r="C21" s="88" t="s">
        <v>50</v>
      </c>
      <c r="D21" s="7"/>
      <c r="E21" s="7"/>
      <c r="F21" s="7"/>
      <c r="I21" s="89"/>
      <c r="J21" s="17"/>
      <c r="L21" s="80"/>
    </row>
    <row r="22" spans="3:13" ht="12.75">
      <c r="C22" s="90">
        <f>2000000/6961190721.65</f>
        <v>2.8730716912837915E-4</v>
      </c>
      <c r="D22" s="17"/>
      <c r="E22" s="17"/>
      <c r="F22" s="17"/>
      <c r="G22" s="91"/>
      <c r="H22" s="17"/>
      <c r="I22" s="17"/>
      <c r="J22" s="44"/>
      <c r="K22" s="41"/>
      <c r="L22" s="124"/>
      <c r="M22" s="92"/>
    </row>
    <row r="23" spans="3:14" ht="12.75">
      <c r="C23" s="17"/>
      <c r="D23" s="17"/>
      <c r="E23" s="89"/>
      <c r="F23" s="45"/>
      <c r="G23" s="45"/>
      <c r="H23" s="17"/>
      <c r="I23" s="25"/>
      <c r="J23" s="44"/>
      <c r="K23" s="41"/>
      <c r="L23" s="124"/>
      <c r="M23" s="92"/>
      <c r="N23" s="93"/>
    </row>
    <row r="24" spans="3:15" ht="12.75">
      <c r="C24" s="17" t="s">
        <v>30</v>
      </c>
      <c r="D24" s="17"/>
      <c r="E24" s="89">
        <v>42933</v>
      </c>
      <c r="F24" s="45"/>
      <c r="G24" s="45">
        <v>-33800</v>
      </c>
      <c r="H24" s="17"/>
      <c r="I24" s="25"/>
      <c r="J24" s="44"/>
      <c r="K24" s="41"/>
      <c r="L24" s="124"/>
      <c r="M24" s="92"/>
      <c r="N24" s="67"/>
      <c r="O24" s="42"/>
    </row>
    <row r="25" spans="3:15" ht="12.75">
      <c r="C25" s="17"/>
      <c r="D25" s="17"/>
      <c r="E25" s="89">
        <v>43010</v>
      </c>
      <c r="F25" s="45"/>
      <c r="G25" s="45">
        <v>-8200</v>
      </c>
      <c r="H25" s="17"/>
      <c r="I25" s="25"/>
      <c r="J25" s="44"/>
      <c r="K25" s="41"/>
      <c r="L25" s="124"/>
      <c r="M25" s="92"/>
      <c r="N25" s="67"/>
      <c r="O25" s="42"/>
    </row>
    <row r="26" spans="3:15" ht="12.75">
      <c r="C26" s="17"/>
      <c r="D26" s="17"/>
      <c r="E26" s="89">
        <v>43052</v>
      </c>
      <c r="F26" s="45"/>
      <c r="G26" s="45">
        <v>-3600</v>
      </c>
      <c r="H26" s="17"/>
      <c r="I26" s="25"/>
      <c r="J26" s="44"/>
      <c r="K26" s="41"/>
      <c r="L26" s="196"/>
      <c r="M26" s="93"/>
      <c r="N26" s="67"/>
      <c r="O26" s="42"/>
    </row>
    <row r="27" spans="3:15" ht="12.75">
      <c r="C27" s="17"/>
      <c r="D27" s="17"/>
      <c r="E27" s="89">
        <v>43087</v>
      </c>
      <c r="F27" s="45"/>
      <c r="G27" s="45">
        <v>-15835.83</v>
      </c>
      <c r="H27" s="17"/>
      <c r="I27" s="25"/>
      <c r="J27" s="44"/>
      <c r="K27" s="42"/>
      <c r="L27" s="42"/>
      <c r="N27" s="67"/>
      <c r="O27" s="42"/>
    </row>
    <row r="28" spans="3:15" ht="12.75">
      <c r="C28" s="17"/>
      <c r="D28" s="17"/>
      <c r="E28" s="89">
        <v>43096</v>
      </c>
      <c r="F28" s="45"/>
      <c r="G28" s="45">
        <v>-9710.99</v>
      </c>
      <c r="H28" s="17"/>
      <c r="I28" s="25"/>
      <c r="J28" s="44"/>
      <c r="K28" s="41"/>
      <c r="L28" s="42"/>
      <c r="N28" s="67"/>
      <c r="O28" s="42"/>
    </row>
    <row r="29" spans="3:15" ht="12.75">
      <c r="C29" s="17" t="s">
        <v>31</v>
      </c>
      <c r="D29" s="17"/>
      <c r="E29" s="89">
        <v>43182</v>
      </c>
      <c r="F29" s="45"/>
      <c r="G29" s="45">
        <v>-70246.61</v>
      </c>
      <c r="H29" s="17"/>
      <c r="I29" s="25"/>
      <c r="J29" s="25"/>
      <c r="K29" s="17"/>
      <c r="N29" s="67"/>
      <c r="O29" s="42"/>
    </row>
    <row r="30" spans="3:15" ht="12.75">
      <c r="C30" s="17"/>
      <c r="D30" s="17"/>
      <c r="E30" s="89">
        <v>43276</v>
      </c>
      <c r="F30" s="45"/>
      <c r="G30" s="45">
        <v>-24938.27</v>
      </c>
      <c r="H30" s="17"/>
      <c r="I30" s="25"/>
      <c r="J30" s="25"/>
      <c r="K30" s="17"/>
      <c r="N30" s="67"/>
      <c r="O30" s="42"/>
    </row>
    <row r="31" spans="3:15" ht="12.75">
      <c r="C31" s="17"/>
      <c r="D31" s="17"/>
      <c r="E31" s="89">
        <v>43363</v>
      </c>
      <c r="F31" s="45"/>
      <c r="G31" s="45">
        <v>-18588.78</v>
      </c>
      <c r="H31" s="17"/>
      <c r="I31" s="25"/>
      <c r="J31" s="25"/>
      <c r="K31" s="17"/>
      <c r="N31" s="67"/>
      <c r="O31" s="42"/>
    </row>
    <row r="32" spans="3:15" ht="12.75">
      <c r="C32" s="17"/>
      <c r="D32" s="17"/>
      <c r="E32" s="89">
        <v>43398</v>
      </c>
      <c r="F32" s="45"/>
      <c r="G32" s="45">
        <v>-16290.31</v>
      </c>
      <c r="H32" s="17"/>
      <c r="I32" s="25"/>
      <c r="J32" s="25"/>
      <c r="K32" s="17"/>
      <c r="N32" s="67"/>
      <c r="O32" s="42"/>
    </row>
    <row r="33" spans="3:15" ht="12.75">
      <c r="C33" s="17"/>
      <c r="D33" s="17"/>
      <c r="E33" s="89">
        <v>43433</v>
      </c>
      <c r="F33" s="45"/>
      <c r="G33" s="45">
        <v>-13216.14</v>
      </c>
      <c r="H33" s="17"/>
      <c r="I33" s="25"/>
      <c r="J33" s="25"/>
      <c r="K33" s="17"/>
      <c r="N33" s="67"/>
      <c r="O33" s="42"/>
    </row>
    <row r="34" spans="3:15" ht="12.75">
      <c r="C34" s="17" t="s">
        <v>32</v>
      </c>
      <c r="D34" s="17"/>
      <c r="E34" s="89">
        <v>43468</v>
      </c>
      <c r="F34" s="45"/>
      <c r="G34" s="45">
        <v>-22438.69</v>
      </c>
      <c r="H34" s="17"/>
      <c r="I34" s="25"/>
      <c r="J34" s="25"/>
      <c r="K34" s="17"/>
      <c r="N34" s="67"/>
      <c r="O34" s="42"/>
    </row>
    <row r="35" spans="3:15" ht="12.75">
      <c r="C35" s="17"/>
      <c r="D35" s="17"/>
      <c r="E35" s="89">
        <v>43495</v>
      </c>
      <c r="F35" s="45"/>
      <c r="G35" s="45">
        <v>-36976.44</v>
      </c>
      <c r="H35" s="17"/>
      <c r="I35" s="25"/>
      <c r="J35" s="25"/>
      <c r="K35" s="17"/>
      <c r="N35" s="67"/>
      <c r="O35" s="42"/>
    </row>
    <row r="36" spans="3:15" ht="12.75">
      <c r="C36" s="17"/>
      <c r="D36" s="17"/>
      <c r="E36" s="89">
        <v>43510</v>
      </c>
      <c r="F36" s="45"/>
      <c r="G36" s="45">
        <v>-14853.79</v>
      </c>
      <c r="H36" s="17"/>
      <c r="I36" s="25"/>
      <c r="J36" s="25"/>
      <c r="K36" s="17"/>
      <c r="N36" s="67"/>
      <c r="O36" s="42"/>
    </row>
    <row r="37" spans="3:15" ht="12.75">
      <c r="C37" s="17"/>
      <c r="D37" s="17"/>
      <c r="E37" s="89">
        <v>43559</v>
      </c>
      <c r="F37" s="45"/>
      <c r="G37" s="45">
        <v>-20599.93</v>
      </c>
      <c r="H37" s="17"/>
      <c r="I37" s="25"/>
      <c r="J37" s="25"/>
      <c r="K37" s="17"/>
      <c r="N37" s="67"/>
      <c r="O37" s="42"/>
    </row>
    <row r="38" spans="3:15" ht="12.75">
      <c r="C38" s="17"/>
      <c r="D38" s="17"/>
      <c r="E38" s="89">
        <v>43593</v>
      </c>
      <c r="F38" s="45"/>
      <c r="G38" s="45">
        <v>-20542.46</v>
      </c>
      <c r="H38" s="17"/>
      <c r="I38" s="25"/>
      <c r="J38" s="25"/>
      <c r="K38" s="17"/>
      <c r="N38" s="67"/>
      <c r="O38" s="42"/>
    </row>
    <row r="39" spans="3:15" ht="12.75">
      <c r="C39" s="17"/>
      <c r="D39" s="17"/>
      <c r="E39" s="89">
        <v>43642</v>
      </c>
      <c r="F39" s="45"/>
      <c r="G39" s="45">
        <v>-32810.49</v>
      </c>
      <c r="H39" s="17"/>
      <c r="I39" s="25"/>
      <c r="J39" s="25"/>
      <c r="K39" s="17"/>
      <c r="N39" s="67"/>
      <c r="O39" s="42"/>
    </row>
    <row r="40" spans="3:15" ht="12.75">
      <c r="C40" s="17"/>
      <c r="D40" s="17"/>
      <c r="E40" s="89">
        <v>43656</v>
      </c>
      <c r="F40" s="45"/>
      <c r="G40" s="45">
        <v>-24363.64</v>
      </c>
      <c r="H40" s="17"/>
      <c r="I40" s="25"/>
      <c r="J40" s="25"/>
      <c r="K40" s="17"/>
      <c r="N40" s="67"/>
      <c r="O40" s="42"/>
    </row>
    <row r="41" spans="3:15" ht="12.75">
      <c r="C41" s="17"/>
      <c r="D41" s="17"/>
      <c r="E41" s="89">
        <v>43684</v>
      </c>
      <c r="F41" s="45"/>
      <c r="G41" s="45">
        <v>-21260.73</v>
      </c>
      <c r="H41" s="17"/>
      <c r="I41" s="25"/>
      <c r="J41" s="25"/>
      <c r="K41" s="17"/>
      <c r="N41" s="67"/>
      <c r="O41" s="42"/>
    </row>
    <row r="42" spans="3:15" ht="12.75">
      <c r="C42" s="17"/>
      <c r="D42" s="17"/>
      <c r="E42" s="89">
        <v>43768</v>
      </c>
      <c r="F42" s="45"/>
      <c r="G42" s="45">
        <v>-21030.88</v>
      </c>
      <c r="H42" s="17"/>
      <c r="I42" s="25"/>
      <c r="J42" s="25"/>
      <c r="K42" s="17"/>
      <c r="N42" s="67"/>
      <c r="O42" s="42"/>
    </row>
    <row r="43" spans="3:15" ht="12.75">
      <c r="C43" s="17"/>
      <c r="D43" s="17"/>
      <c r="E43" s="89">
        <v>43817</v>
      </c>
      <c r="F43" s="45"/>
      <c r="G43" s="45">
        <v>-161696.48</v>
      </c>
      <c r="H43" s="17"/>
      <c r="I43" s="25"/>
      <c r="J43" s="25"/>
      <c r="K43" s="17"/>
      <c r="N43" s="67"/>
      <c r="O43" s="42"/>
    </row>
    <row r="44" spans="3:15" ht="12.75">
      <c r="C44" s="17" t="s">
        <v>33</v>
      </c>
      <c r="D44" s="17"/>
      <c r="E44" s="89">
        <v>44006</v>
      </c>
      <c r="F44" s="45"/>
      <c r="G44" s="45">
        <v>-11980.70</v>
      </c>
      <c r="H44" s="17"/>
      <c r="I44" s="25"/>
      <c r="J44" s="25"/>
      <c r="K44" s="17"/>
      <c r="N44" s="67"/>
      <c r="O44" s="42"/>
    </row>
    <row r="45" spans="3:15" ht="12.75">
      <c r="C45" s="17"/>
      <c r="D45" s="17"/>
      <c r="E45" s="89">
        <v>44026</v>
      </c>
      <c r="F45" s="45"/>
      <c r="G45" s="45">
        <v>-29621.37</v>
      </c>
      <c r="H45" s="17"/>
      <c r="I45" s="25"/>
      <c r="J45" s="25"/>
      <c r="K45" s="17"/>
      <c r="N45" s="67"/>
      <c r="O45" s="42"/>
    </row>
    <row r="46" spans="3:15" ht="12.75">
      <c r="C46" s="17"/>
      <c r="D46" s="17"/>
      <c r="E46" s="89">
        <v>44106</v>
      </c>
      <c r="F46" s="45"/>
      <c r="G46" s="45">
        <v>-10170.67</v>
      </c>
      <c r="H46" s="17"/>
      <c r="I46" s="25"/>
      <c r="J46" s="25"/>
      <c r="K46" s="17"/>
      <c r="N46" s="67"/>
      <c r="O46" s="42"/>
    </row>
    <row r="47" spans="3:15" ht="12.75">
      <c r="C47" s="17"/>
      <c r="D47" s="17"/>
      <c r="E47" s="89">
        <v>44182</v>
      </c>
      <c r="F47" s="45"/>
      <c r="G47" s="45">
        <v>-41228.58</v>
      </c>
      <c r="H47" s="17"/>
      <c r="I47" s="25"/>
      <c r="J47" s="25"/>
      <c r="K47" s="17"/>
      <c r="N47" s="67"/>
      <c r="O47" s="42"/>
    </row>
    <row r="48" spans="3:15" ht="12.75">
      <c r="C48" s="17"/>
      <c r="D48" s="17"/>
      <c r="E48" s="89">
        <v>44188</v>
      </c>
      <c r="F48" s="45"/>
      <c r="G48" s="45">
        <v>-9596.06</v>
      </c>
      <c r="H48" s="17"/>
      <c r="I48" s="25"/>
      <c r="J48" s="25"/>
      <c r="K48" s="17"/>
      <c r="N48" s="67"/>
      <c r="O48" s="42"/>
    </row>
    <row r="49" spans="3:15" ht="12.75">
      <c r="C49" s="17" t="s">
        <v>34</v>
      </c>
      <c r="D49" s="17"/>
      <c r="E49" s="89">
        <v>44246</v>
      </c>
      <c r="F49" s="45"/>
      <c r="G49" s="45">
        <v>-8849.07</v>
      </c>
      <c r="H49" s="17"/>
      <c r="I49" s="25"/>
      <c r="J49" s="25"/>
      <c r="K49" s="17"/>
      <c r="N49" s="67"/>
      <c r="O49" s="42"/>
    </row>
    <row r="50" spans="3:15" ht="12.75">
      <c r="C50" s="17"/>
      <c r="D50" s="17"/>
      <c r="E50" s="89">
        <v>44250</v>
      </c>
      <c r="F50" s="45"/>
      <c r="G50" s="45">
        <v>-9337.48</v>
      </c>
      <c r="H50" s="17"/>
      <c r="I50" s="25"/>
      <c r="J50" s="25"/>
      <c r="K50" s="17"/>
      <c r="N50" s="67"/>
      <c r="O50" s="42"/>
    </row>
    <row r="51" spans="3:15" ht="12.75">
      <c r="C51" s="17"/>
      <c r="D51" s="17"/>
      <c r="E51" s="89">
        <v>44274</v>
      </c>
      <c r="F51" s="45"/>
      <c r="G51" s="45">
        <v>-14710.13</v>
      </c>
      <c r="H51" s="17"/>
      <c r="I51" s="25"/>
      <c r="J51" s="25"/>
      <c r="K51" s="17"/>
      <c r="N51" s="67"/>
      <c r="O51" s="42"/>
    </row>
    <row r="52" spans="3:15" ht="12.75">
      <c r="C52" s="17"/>
      <c r="D52" s="17"/>
      <c r="E52" s="89">
        <v>44305</v>
      </c>
      <c r="F52" s="45"/>
      <c r="G52" s="45">
        <v>-163880.01</v>
      </c>
      <c r="H52" s="17"/>
      <c r="I52" s="25"/>
      <c r="J52" s="25"/>
      <c r="K52" s="17"/>
      <c r="N52" s="67"/>
      <c r="O52" s="42"/>
    </row>
    <row r="53" spans="3:15" ht="12.75">
      <c r="C53" s="17"/>
      <c r="D53" s="17"/>
      <c r="E53" s="89">
        <v>44362</v>
      </c>
      <c r="F53" s="45"/>
      <c r="G53" s="45">
        <v>25713.99</v>
      </c>
      <c r="H53" s="17"/>
      <c r="I53" s="25"/>
      <c r="J53" s="25"/>
      <c r="K53" s="17"/>
      <c r="N53" s="67"/>
      <c r="O53" s="42"/>
    </row>
    <row r="54" spans="3:15" ht="12.75">
      <c r="C54" s="17"/>
      <c r="D54" s="17"/>
      <c r="E54" s="89">
        <v>44400</v>
      </c>
      <c r="F54" s="45"/>
      <c r="G54" s="45">
        <v>-20111.50</v>
      </c>
      <c r="H54" s="17"/>
      <c r="I54" s="25"/>
      <c r="J54" s="25"/>
      <c r="K54" s="17"/>
      <c r="N54" s="67"/>
      <c r="O54" s="42"/>
    </row>
    <row r="55" spans="3:15" ht="12.75">
      <c r="C55" s="17"/>
      <c r="D55" s="17"/>
      <c r="E55" s="89">
        <v>44407</v>
      </c>
      <c r="F55" s="45"/>
      <c r="G55" s="45">
        <v>-21548.04</v>
      </c>
      <c r="H55" s="17"/>
      <c r="I55" s="25"/>
      <c r="J55" s="25"/>
      <c r="K55" s="17"/>
      <c r="N55" s="67"/>
      <c r="O55" s="42"/>
    </row>
    <row r="56" spans="3:15" ht="12.75">
      <c r="C56" s="17"/>
      <c r="D56" s="17"/>
      <c r="E56" s="89">
        <v>44440</v>
      </c>
      <c r="F56" s="45"/>
      <c r="G56" s="45">
        <v>-10285.59</v>
      </c>
      <c r="H56" s="17"/>
      <c r="I56" s="25"/>
      <c r="J56" s="25"/>
      <c r="K56" s="17"/>
      <c r="N56" s="67"/>
      <c r="O56" s="42"/>
    </row>
    <row r="57" spans="3:15" ht="12.75">
      <c r="C57" s="17"/>
      <c r="D57" s="17"/>
      <c r="E57" s="89">
        <v>44453</v>
      </c>
      <c r="F57" s="45"/>
      <c r="G57" s="45">
        <v>-16979.85</v>
      </c>
      <c r="H57" s="17"/>
      <c r="I57" s="25"/>
      <c r="J57" s="25"/>
      <c r="K57" s="17"/>
      <c r="N57" s="67"/>
      <c r="O57" s="42"/>
    </row>
    <row r="58" spans="3:15" ht="12.75">
      <c r="C58" s="17"/>
      <c r="D58" s="17"/>
      <c r="E58" s="89">
        <v>44473</v>
      </c>
      <c r="F58" s="45"/>
      <c r="G58" s="45">
        <v>-10831.48</v>
      </c>
      <c r="H58" s="17"/>
      <c r="I58" s="25"/>
      <c r="J58" s="25"/>
      <c r="K58" s="17"/>
      <c r="N58" s="67"/>
      <c r="O58" s="42"/>
    </row>
    <row r="59" spans="3:15" ht="12.75">
      <c r="C59" s="17"/>
      <c r="D59" s="17"/>
      <c r="E59" s="89">
        <v>44496</v>
      </c>
      <c r="F59" s="45"/>
      <c r="G59" s="45">
        <v>-12354.21</v>
      </c>
      <c r="H59" s="17"/>
      <c r="I59" s="25"/>
      <c r="J59" s="25"/>
      <c r="K59" s="17"/>
      <c r="N59" s="67"/>
      <c r="O59" s="42"/>
    </row>
    <row r="60" spans="3:15" ht="12.75">
      <c r="C60" s="17"/>
      <c r="D60" s="17"/>
      <c r="E60" s="89">
        <v>44537</v>
      </c>
      <c r="F60" s="45"/>
      <c r="G60" s="45">
        <v>-48928.42</v>
      </c>
      <c r="H60" s="17"/>
      <c r="I60" s="25"/>
      <c r="J60" s="25"/>
      <c r="K60" s="17"/>
      <c r="N60" s="67"/>
      <c r="O60" s="42"/>
    </row>
    <row r="61" spans="3:15" ht="12.75">
      <c r="C61" s="17"/>
      <c r="D61" s="17"/>
      <c r="E61" s="89">
        <v>44550</v>
      </c>
      <c r="F61" s="45"/>
      <c r="G61" s="45">
        <v>-115928.44</v>
      </c>
      <c r="H61" s="17"/>
      <c r="I61" s="25"/>
      <c r="J61" s="25"/>
      <c r="K61" s="17"/>
      <c r="N61" s="67"/>
      <c r="O61" s="42"/>
    </row>
    <row r="62" spans="3:15" ht="12.75">
      <c r="C62" s="17" t="s">
        <v>28</v>
      </c>
      <c r="D62" s="17"/>
      <c r="E62" s="89">
        <v>44396</v>
      </c>
      <c r="F62" s="45"/>
      <c r="G62" s="45">
        <v>5204.69</v>
      </c>
      <c r="H62" s="17"/>
      <c r="I62" s="25"/>
      <c r="J62" s="25"/>
      <c r="K62" s="17"/>
      <c r="N62" s="67"/>
      <c r="O62" s="42"/>
    </row>
    <row r="63" spans="3:15" ht="12.75">
      <c r="C63" s="17"/>
      <c r="D63" s="17"/>
      <c r="E63" s="89">
        <v>44476</v>
      </c>
      <c r="F63" s="45"/>
      <c r="G63" s="45">
        <v>4954.93</v>
      </c>
      <c r="H63" s="17"/>
      <c r="I63" s="25"/>
      <c r="J63" s="25"/>
      <c r="K63" s="17"/>
      <c r="N63" s="67"/>
      <c r="O63" s="42"/>
    </row>
    <row r="64" spans="3:15" ht="12.75">
      <c r="C64" s="17"/>
      <c r="D64" s="17"/>
      <c r="E64" s="89">
        <v>44512</v>
      </c>
      <c r="F64" s="45"/>
      <c r="G64" s="45">
        <v>15882.82</v>
      </c>
      <c r="H64" s="17"/>
      <c r="I64" s="25"/>
      <c r="J64" s="25"/>
      <c r="K64" s="17"/>
      <c r="N64" s="67"/>
      <c r="O64" s="42"/>
    </row>
    <row r="65" spans="3:15" ht="12.75">
      <c r="C65" s="17" t="s">
        <v>35</v>
      </c>
      <c r="D65" s="17"/>
      <c r="E65" s="89">
        <v>44565</v>
      </c>
      <c r="F65" s="45"/>
      <c r="G65" s="45">
        <v>-5717.42</v>
      </c>
      <c r="H65" s="17"/>
      <c r="I65" s="25"/>
      <c r="J65" s="25"/>
      <c r="K65" s="17"/>
      <c r="N65" s="67"/>
      <c r="O65" s="42"/>
    </row>
    <row r="66" spans="3:15" ht="12.75">
      <c r="C66" s="17"/>
      <c r="D66" s="17"/>
      <c r="E66" s="89">
        <v>44602</v>
      </c>
      <c r="F66" s="45"/>
      <c r="G66" s="45">
        <v>-17669.40</v>
      </c>
      <c r="H66" s="17"/>
      <c r="I66" s="25"/>
      <c r="J66" s="25"/>
      <c r="K66" s="17"/>
      <c r="N66" s="67"/>
      <c r="O66" s="42"/>
    </row>
    <row r="67" spans="3:15" ht="12.75">
      <c r="C67" s="17"/>
      <c r="D67" s="17"/>
      <c r="E67" s="89">
        <v>44628</v>
      </c>
      <c r="F67" s="45"/>
      <c r="G67" s="45">
        <v>-13158.66</v>
      </c>
      <c r="H67" s="17"/>
      <c r="I67" s="25"/>
      <c r="J67" s="25"/>
      <c r="K67" s="17"/>
      <c r="N67" s="67"/>
      <c r="O67" s="42"/>
    </row>
    <row r="68" spans="3:15" ht="12.75">
      <c r="C68" s="17"/>
      <c r="D68" s="17"/>
      <c r="E68" s="89">
        <v>44641</v>
      </c>
      <c r="F68" s="45"/>
      <c r="G68" s="45">
        <v>-86192.15</v>
      </c>
      <c r="H68" s="17"/>
      <c r="I68" s="25"/>
      <c r="J68" s="25"/>
      <c r="K68" s="17"/>
      <c r="N68" s="67"/>
      <c r="O68" s="42"/>
    </row>
    <row r="69" spans="3:15" ht="12.75">
      <c r="C69" s="17"/>
      <c r="D69" s="17"/>
      <c r="E69" s="89">
        <v>44645</v>
      </c>
      <c r="F69" s="45"/>
      <c r="G69" s="45">
        <v>-186088.86</v>
      </c>
      <c r="H69" s="17"/>
      <c r="I69" s="25"/>
      <c r="J69" s="25"/>
      <c r="K69" s="17"/>
      <c r="N69" s="67"/>
      <c r="O69" s="42"/>
    </row>
    <row r="70" spans="3:15" ht="12.75">
      <c r="C70" s="17"/>
      <c r="D70" s="17"/>
      <c r="E70" s="89">
        <v>44670</v>
      </c>
      <c r="F70" s="45"/>
      <c r="G70" s="45">
        <v>77659.12</v>
      </c>
      <c r="H70" s="17"/>
      <c r="I70" s="25"/>
      <c r="J70" s="25"/>
      <c r="K70" s="17"/>
      <c r="N70" s="67"/>
      <c r="O70" s="42"/>
    </row>
    <row r="71" spans="3:15" ht="12.75">
      <c r="C71" s="17"/>
      <c r="D71" s="17"/>
      <c r="E71" s="89">
        <v>44694</v>
      </c>
      <c r="F71" s="45"/>
      <c r="G71" s="45">
        <v>-3936.11</v>
      </c>
      <c r="H71" s="17"/>
      <c r="I71" s="25"/>
      <c r="J71" s="25"/>
      <c r="K71" s="17"/>
      <c r="N71" s="67"/>
      <c r="O71" s="42"/>
    </row>
    <row r="72" spans="3:15" ht="12.75">
      <c r="C72" s="17"/>
      <c r="D72" s="17"/>
      <c r="E72" s="89">
        <v>44701</v>
      </c>
      <c r="F72" s="45"/>
      <c r="G72" s="45">
        <v>-10027.02</v>
      </c>
      <c r="H72" s="17"/>
      <c r="I72" s="25"/>
      <c r="J72" s="25"/>
      <c r="K72" s="17"/>
      <c r="N72" s="67"/>
      <c r="O72" s="42"/>
    </row>
    <row r="73" spans="3:15" ht="12.75">
      <c r="C73" s="17"/>
      <c r="D73" s="17"/>
      <c r="E73" s="89">
        <v>44727</v>
      </c>
      <c r="F73" s="45"/>
      <c r="G73" s="45">
        <v>-32207.13</v>
      </c>
      <c r="H73" s="17"/>
      <c r="I73" s="25"/>
      <c r="J73" s="25"/>
      <c r="K73" s="17"/>
      <c r="N73" s="67"/>
      <c r="O73" s="42"/>
    </row>
    <row r="74" spans="3:15" ht="12.75">
      <c r="C74" s="17"/>
      <c r="D74" s="17"/>
      <c r="E74" s="89">
        <v>44750</v>
      </c>
      <c r="F74" s="45"/>
      <c r="G74" s="45">
        <v>-31316.48</v>
      </c>
      <c r="H74" s="17"/>
      <c r="I74" s="25"/>
      <c r="J74" s="25"/>
      <c r="K74" s="17"/>
      <c r="N74" s="67"/>
      <c r="O74" s="42"/>
    </row>
    <row r="75" spans="3:15" ht="12.75">
      <c r="C75" s="17"/>
      <c r="D75" s="17"/>
      <c r="E75" s="89">
        <v>44764</v>
      </c>
      <c r="F75" s="45"/>
      <c r="G75" s="45">
        <v>-4539.45</v>
      </c>
      <c r="H75" s="17"/>
      <c r="I75" s="25"/>
      <c r="J75" s="25"/>
      <c r="K75" s="17"/>
      <c r="N75" s="67"/>
      <c r="O75" s="42"/>
    </row>
    <row r="76" spans="3:15" ht="12.75">
      <c r="C76" s="17"/>
      <c r="D76" s="17"/>
      <c r="E76" s="89">
        <v>44790</v>
      </c>
      <c r="F76" s="45"/>
      <c r="G76" s="45">
        <v>-5343.92</v>
      </c>
      <c r="H76" s="17"/>
      <c r="I76" s="25"/>
      <c r="J76" s="25"/>
      <c r="K76" s="17"/>
      <c r="N76" s="67"/>
      <c r="O76" s="42"/>
    </row>
    <row r="77" spans="3:15" ht="12.75">
      <c r="C77" s="17"/>
      <c r="D77" s="17"/>
      <c r="E77" s="89">
        <v>44797</v>
      </c>
      <c r="F77" s="45"/>
      <c r="G77" s="45">
        <v>-15485.86</v>
      </c>
      <c r="H77" s="17"/>
      <c r="I77" s="25"/>
      <c r="J77" s="25"/>
      <c r="K77" s="17"/>
      <c r="N77" s="67"/>
      <c r="O77" s="42"/>
    </row>
    <row r="78" spans="3:15" ht="12.75">
      <c r="C78" s="17"/>
      <c r="D78" s="17"/>
      <c r="E78" s="89">
        <v>44806</v>
      </c>
      <c r="F78" s="45"/>
      <c r="G78" s="45">
        <v>-13733.29</v>
      </c>
      <c r="H78" s="17"/>
      <c r="I78" s="25"/>
      <c r="J78" s="25"/>
      <c r="K78" s="17"/>
      <c r="N78" s="67"/>
      <c r="O78" s="42"/>
    </row>
    <row r="79" spans="3:15" ht="12.75">
      <c r="C79" s="17"/>
      <c r="D79" s="17"/>
      <c r="E79" s="89">
        <v>44818</v>
      </c>
      <c r="F79" s="45"/>
      <c r="G79" s="45">
        <v>-39677.12</v>
      </c>
      <c r="H79" s="17"/>
      <c r="I79" s="25"/>
      <c r="J79" s="25"/>
      <c r="K79" s="17"/>
      <c r="N79" s="67"/>
      <c r="O79" s="42"/>
    </row>
    <row r="80" spans="3:15" ht="12.75">
      <c r="C80" s="17"/>
      <c r="D80" s="17"/>
      <c r="E80" s="89">
        <v>44833</v>
      </c>
      <c r="F80" s="45"/>
      <c r="G80" s="45">
        <v>-14078.05</v>
      </c>
      <c r="H80" s="17"/>
      <c r="I80" s="25"/>
      <c r="J80" s="25"/>
      <c r="K80" s="17"/>
      <c r="N80" s="67"/>
      <c r="O80" s="42"/>
    </row>
    <row r="81" spans="3:15" ht="12.75">
      <c r="C81" s="17" t="s">
        <v>29</v>
      </c>
      <c r="D81" s="17"/>
      <c r="E81" s="89">
        <v>44575</v>
      </c>
      <c r="F81" s="45"/>
      <c r="G81" s="45">
        <v>20090.68</v>
      </c>
      <c r="H81" s="17"/>
      <c r="I81" s="25"/>
      <c r="J81" s="25"/>
      <c r="K81" s="17"/>
      <c r="N81" s="67"/>
      <c r="O81" s="42"/>
    </row>
    <row r="82" spans="3:15" ht="12.75">
      <c r="C82" s="17"/>
      <c r="D82" s="17"/>
      <c r="E82" s="89">
        <v>44601</v>
      </c>
      <c r="F82" s="45"/>
      <c r="G82" s="45">
        <v>15699.90</v>
      </c>
      <c r="H82" s="17"/>
      <c r="I82" s="25"/>
      <c r="J82" s="25"/>
      <c r="K82" s="17"/>
      <c r="N82" s="67"/>
      <c r="O82" s="42"/>
    </row>
    <row r="83" spans="3:15" ht="12.75">
      <c r="C83" s="17"/>
      <c r="D83" s="17"/>
      <c r="E83" s="89">
        <v>44628</v>
      </c>
      <c r="F83" s="45"/>
      <c r="G83" s="45">
        <v>40970.06</v>
      </c>
      <c r="H83" s="17"/>
      <c r="I83" s="25"/>
      <c r="J83" s="25"/>
      <c r="K83" s="17"/>
      <c r="N83" s="67"/>
      <c r="O83" s="42"/>
    </row>
    <row r="84" spans="3:15" ht="12.75">
      <c r="C84" s="17"/>
      <c r="D84" s="17"/>
      <c r="E84" s="89">
        <v>44659</v>
      </c>
      <c r="F84" s="45"/>
      <c r="G84" s="45">
        <v>20791.02</v>
      </c>
      <c r="H84" s="17"/>
      <c r="I84" s="25"/>
      <c r="J84" s="25"/>
      <c r="K84" s="17"/>
      <c r="N84" s="67"/>
      <c r="O84" s="42"/>
    </row>
    <row r="85" spans="3:15" ht="12.75">
      <c r="C85" s="17"/>
      <c r="D85" s="17"/>
      <c r="E85" s="89">
        <v>44692</v>
      </c>
      <c r="F85" s="45"/>
      <c r="G85" s="45">
        <v>17582.41</v>
      </c>
      <c r="H85" s="17"/>
      <c r="I85" s="25"/>
      <c r="J85" s="25"/>
      <c r="K85" s="17"/>
      <c r="N85" s="67"/>
      <c r="O85" s="42"/>
    </row>
    <row r="86" spans="3:15" ht="12.75">
      <c r="C86" s="17"/>
      <c r="D86" s="17"/>
      <c r="E86" s="89">
        <v>44719</v>
      </c>
      <c r="F86" s="45"/>
      <c r="G86" s="45">
        <v>21829.37</v>
      </c>
      <c r="H86" s="17"/>
      <c r="I86" s="25"/>
      <c r="J86" s="25"/>
      <c r="K86" s="17"/>
      <c r="N86" s="67"/>
      <c r="O86" s="42"/>
    </row>
    <row r="87" spans="3:15" ht="12.75">
      <c r="C87" s="17"/>
      <c r="D87" s="17"/>
      <c r="E87" s="89">
        <v>44761</v>
      </c>
      <c r="F87" s="45"/>
      <c r="G87" s="45">
        <v>33935.96</v>
      </c>
      <c r="H87" s="17"/>
      <c r="I87" s="25"/>
      <c r="J87" s="25"/>
      <c r="K87" s="17"/>
      <c r="N87" s="67"/>
      <c r="O87" s="42"/>
    </row>
    <row r="88" spans="3:15" ht="12.75">
      <c r="C88" s="17"/>
      <c r="D88" s="17"/>
      <c r="E88" s="89">
        <v>44776</v>
      </c>
      <c r="F88" s="45"/>
      <c r="G88" s="45">
        <v>29980.31</v>
      </c>
      <c r="H88" s="17"/>
      <c r="I88" s="25"/>
      <c r="J88" s="25"/>
      <c r="K88" s="17"/>
      <c r="N88" s="67"/>
      <c r="O88" s="42"/>
    </row>
    <row r="89" spans="3:15" ht="12.75">
      <c r="C89" s="17"/>
      <c r="D89" s="17"/>
      <c r="E89" s="89">
        <v>44817</v>
      </c>
      <c r="F89" s="45"/>
      <c r="G89" s="45">
        <v>10413.17</v>
      </c>
      <c r="H89" s="17"/>
      <c r="I89" s="25"/>
      <c r="J89" s="25"/>
      <c r="K89" s="17"/>
      <c r="N89" s="67"/>
      <c r="O89" s="42"/>
    </row>
    <row r="90" spans="3:15" ht="4.5" customHeight="1">
      <c r="C90" s="17"/>
      <c r="D90" s="17"/>
      <c r="E90" s="89"/>
      <c r="F90" s="17"/>
      <c r="G90" s="45"/>
      <c r="H90" s="17"/>
      <c r="I90" s="25"/>
      <c r="N90" s="42"/>
      <c r="O90" s="42"/>
    </row>
    <row r="91" spans="3:15" ht="12.75">
      <c r="C91" s="17" t="s">
        <v>5</v>
      </c>
      <c r="D91" s="17"/>
      <c r="E91" s="89">
        <f>+E8</f>
        <v>44834</v>
      </c>
      <c r="F91" s="17"/>
      <c r="G91" s="94">
        <f>L91/0.97*C22</f>
        <v>1954614.3530663042</v>
      </c>
      <c r="H91" s="17"/>
      <c r="I91" s="89"/>
      <c r="L91" s="124">
        <v>6.599125E9</v>
      </c>
      <c r="N91" s="67"/>
      <c r="O91" s="42"/>
    </row>
    <row r="92" spans="3:10" ht="12.75">
      <c r="C92" s="17"/>
      <c r="D92" s="17"/>
      <c r="E92" s="17"/>
      <c r="F92" s="17"/>
      <c r="G92" s="17"/>
      <c r="H92" s="17"/>
      <c r="J92" s="25"/>
    </row>
    <row r="93" spans="3:11" ht="12.75">
      <c r="C93" s="15" t="s">
        <v>0</v>
      </c>
      <c r="G93" s="72">
        <f>XIRR(G24:G91,E24:E91,0.1)</f>
        <v>0.18791353106498718</v>
      </c>
      <c r="H93" s="17"/>
      <c r="J93" s="45">
        <f>+SUMIF($G$24:$G$90,"&lt;0",$G$24:$G$90)+G53+G70</f>
        <v>-1523139.8699999996</v>
      </c>
      <c r="K93" s="17" t="s">
        <v>20</v>
      </c>
    </row>
    <row r="94" spans="3:11" ht="12.75">
      <c r="C94" s="17"/>
      <c r="D94" s="17"/>
      <c r="E94" s="17"/>
      <c r="F94" s="17"/>
      <c r="G94" s="17"/>
      <c r="H94" s="17"/>
      <c r="J94" s="45">
        <f>+SUMIF($G$24:$G$90,"&gt;0",$G$24:$G$90)-G53-G70</f>
        <v>237335.32</v>
      </c>
      <c r="K94" s="17" t="s">
        <v>21</v>
      </c>
    </row>
    <row r="95" spans="3:8" ht="12.75">
      <c r="C95" s="17"/>
      <c r="D95" s="17"/>
      <c r="E95" s="17"/>
      <c r="F95" s="17"/>
      <c r="G95" s="17"/>
      <c r="H95" s="17"/>
    </row>
    <row r="96" spans="3:11" ht="12.75">
      <c r="C96" s="17"/>
      <c r="D96" s="17"/>
      <c r="E96" s="79"/>
      <c r="F96" s="17"/>
      <c r="G96" s="28"/>
      <c r="H96" s="17"/>
      <c r="K96" s="75"/>
    </row>
    <row r="97" spans="4:11" ht="12.75">
      <c r="D97" s="28"/>
      <c r="E97" s="79"/>
      <c r="F97" s="28"/>
      <c r="G97" s="75"/>
      <c r="H97" s="17"/>
      <c r="K97" s="75"/>
    </row>
    <row r="98" spans="3:11" ht="12.75">
      <c r="C98" s="28"/>
      <c r="D98" s="28"/>
      <c r="E98" s="75"/>
      <c r="F98" s="28"/>
      <c r="G98" s="75"/>
      <c r="H98" s="17"/>
      <c r="K98" s="75"/>
    </row>
    <row r="99" spans="3:11" ht="12.75">
      <c r="C99" s="28"/>
      <c r="D99" s="28"/>
      <c r="E99" s="76"/>
      <c r="F99" s="76"/>
      <c r="G99" s="76"/>
      <c r="H99" s="15"/>
      <c r="K99" s="75"/>
    </row>
    <row r="100" spans="3:11" ht="12.75">
      <c r="C100" s="28"/>
      <c r="D100" s="28"/>
      <c r="E100" s="75"/>
      <c r="F100" s="75"/>
      <c r="G100" s="75"/>
      <c r="H100" s="15"/>
      <c r="K100" s="75"/>
    </row>
    <row r="101" spans="3:11" ht="12.75">
      <c r="C101" s="28"/>
      <c r="D101" s="28"/>
      <c r="E101" s="28"/>
      <c r="F101" s="28"/>
      <c r="G101" s="28"/>
      <c r="H101" s="15"/>
      <c r="K101" s="95"/>
    </row>
    <row r="102" spans="3:8" ht="12.75">
      <c r="C102" s="171"/>
      <c r="D102" s="171"/>
      <c r="E102" s="173"/>
      <c r="F102" s="96"/>
      <c r="G102" s="32"/>
      <c r="H102" s="15"/>
    </row>
    <row r="103" spans="3:11" ht="12.75">
      <c r="C103" s="171"/>
      <c r="D103" s="171"/>
      <c r="E103" s="97"/>
      <c r="F103" s="96"/>
      <c r="G103" s="97"/>
      <c r="H103" s="15"/>
      <c r="K103" s="95"/>
    </row>
    <row r="104" spans="3:8" ht="12.75">
      <c r="C104" s="171"/>
      <c r="D104" s="171"/>
      <c r="E104" s="97"/>
      <c r="F104" s="96"/>
      <c r="G104" s="97"/>
      <c r="H104" s="15"/>
    </row>
    <row r="105" spans="3:8" ht="12.75">
      <c r="C105" s="189"/>
      <c r="D105" s="171"/>
      <c r="E105" s="97"/>
      <c r="F105" s="96"/>
      <c r="G105" s="97"/>
      <c r="H105" s="15"/>
    </row>
    <row r="106" spans="3:8" ht="12.75">
      <c r="C106" s="189"/>
      <c r="D106" s="171"/>
      <c r="E106" s="97"/>
      <c r="F106" s="96"/>
      <c r="G106" s="97"/>
      <c r="H106" s="15"/>
    </row>
    <row r="107" spans="3:8" ht="12.75">
      <c r="C107" s="190"/>
      <c r="D107" s="171"/>
      <c r="E107" s="97"/>
      <c r="F107" s="96"/>
      <c r="G107" s="97"/>
      <c r="H107" s="15"/>
    </row>
    <row r="108" spans="3:8" ht="12.75">
      <c r="C108" s="171"/>
      <c r="D108" s="171"/>
      <c r="E108" s="97"/>
      <c r="F108" s="96"/>
      <c r="G108" s="97"/>
      <c r="H108" s="15"/>
    </row>
    <row r="109" spans="3:8" ht="12.75">
      <c r="C109" s="171"/>
      <c r="D109" s="171"/>
      <c r="E109" s="97"/>
      <c r="F109" s="96"/>
      <c r="G109" s="97"/>
      <c r="H109" s="15"/>
    </row>
    <row r="110" spans="3:8" ht="12.75">
      <c r="C110" s="171"/>
      <c r="D110" s="171"/>
      <c r="E110" s="97"/>
      <c r="F110" s="96"/>
      <c r="G110" s="97"/>
      <c r="H110" s="15"/>
    </row>
    <row r="111" spans="3:8" ht="12.75">
      <c r="C111" s="171"/>
      <c r="D111" s="171"/>
      <c r="E111" s="97"/>
      <c r="F111" s="96"/>
      <c r="G111" s="97"/>
      <c r="H111" s="15"/>
    </row>
    <row r="112" spans="3:8" ht="12.75">
      <c r="C112" s="171"/>
      <c r="D112" s="171"/>
      <c r="E112" s="97"/>
      <c r="F112" s="96"/>
      <c r="G112" s="97"/>
      <c r="H112" s="15"/>
    </row>
    <row r="113" spans="3:8" ht="12.75">
      <c r="C113" s="171"/>
      <c r="D113" s="171"/>
      <c r="E113" s="97"/>
      <c r="F113" s="96"/>
      <c r="G113" s="97"/>
      <c r="H113" s="15"/>
    </row>
    <row r="114" spans="3:8" ht="5.1" customHeight="1">
      <c r="C114" s="15"/>
      <c r="D114" s="15"/>
      <c r="E114" s="98"/>
      <c r="F114" s="99"/>
      <c r="G114" s="98"/>
      <c r="H114" s="15"/>
    </row>
    <row r="115" spans="3:8" ht="12.75">
      <c r="C115" s="15"/>
      <c r="D115" s="15"/>
      <c r="E115" s="100"/>
      <c r="F115" s="101"/>
      <c r="G115" s="100"/>
      <c r="H115" s="15"/>
    </row>
    <row r="116" spans="3:8" ht="12.75">
      <c r="C116" s="17"/>
      <c r="D116" s="17"/>
      <c r="E116" s="102"/>
      <c r="F116" s="103"/>
      <c r="G116" s="102"/>
      <c r="H116" s="17"/>
    </row>
    <row r="117" spans="3:8" ht="12.75">
      <c r="C117" s="17"/>
      <c r="D117" s="17"/>
      <c r="E117" s="102"/>
      <c r="F117" s="103"/>
      <c r="G117" s="102"/>
      <c r="H117" s="17"/>
    </row>
    <row r="118" spans="3:8" ht="12.75">
      <c r="C118" s="17"/>
      <c r="D118" s="17"/>
      <c r="E118" s="102"/>
      <c r="F118" s="103"/>
      <c r="G118" s="102"/>
      <c r="H118" s="17"/>
    </row>
    <row r="119" spans="3:8" ht="12.75">
      <c r="C119" s="17"/>
      <c r="D119" s="17"/>
      <c r="E119" s="104"/>
      <c r="F119" s="104"/>
      <c r="G119" s="104"/>
      <c r="H119" s="17"/>
    </row>
    <row r="120" spans="3:8" ht="12.75">
      <c r="C120" s="17"/>
      <c r="D120" s="17"/>
      <c r="E120" s="17"/>
      <c r="F120" s="17"/>
      <c r="G120" s="17"/>
      <c r="H120" s="17"/>
    </row>
    <row r="121" spans="3:8" ht="12.75">
      <c r="C121" s="17"/>
      <c r="D121" s="17"/>
      <c r="E121" s="17"/>
      <c r="F121" s="17"/>
      <c r="G121" s="17"/>
      <c r="H121" s="17"/>
    </row>
    <row r="122" spans="3:8" ht="12.75">
      <c r="C122" s="17"/>
      <c r="D122" s="17"/>
      <c r="E122" s="17"/>
      <c r="F122" s="17"/>
      <c r="G122" s="17"/>
      <c r="H122" s="17"/>
    </row>
    <row r="123" spans="3:8" ht="12.75">
      <c r="C123" s="17"/>
      <c r="D123" s="17"/>
      <c r="E123" s="17"/>
      <c r="F123" s="17"/>
      <c r="G123" s="17"/>
      <c r="H123" s="17"/>
    </row>
    <row r="124" spans="3:8" ht="12.75">
      <c r="C124" s="17"/>
      <c r="D124" s="17"/>
      <c r="E124" s="17"/>
      <c r="F124" s="17"/>
      <c r="G124" s="17"/>
      <c r="H124" s="17"/>
    </row>
    <row r="125" spans="3:8" ht="12.75">
      <c r="C125" s="17"/>
      <c r="D125" s="17"/>
      <c r="E125" s="17"/>
      <c r="F125" s="17"/>
      <c r="G125" s="17"/>
      <c r="H125" s="17"/>
    </row>
    <row r="126" spans="3:8" ht="12.75">
      <c r="C126" s="17"/>
      <c r="D126" s="17"/>
      <c r="E126" s="17"/>
      <c r="F126" s="17"/>
      <c r="G126" s="17"/>
      <c r="H126" s="17"/>
    </row>
    <row r="127" spans="3:8" ht="12.75">
      <c r="C127" s="17"/>
      <c r="D127" s="17"/>
      <c r="E127" s="17"/>
      <c r="F127" s="17"/>
      <c r="G127" s="17"/>
      <c r="H127" s="17"/>
    </row>
    <row r="128" spans="3:8" ht="12.75">
      <c r="C128" s="17"/>
      <c r="D128" s="17"/>
      <c r="E128" s="17"/>
      <c r="F128" s="17"/>
      <c r="G128" s="17"/>
      <c r="H128" s="17"/>
    </row>
    <row r="129" spans="3:8" ht="12.75">
      <c r="C129" s="17"/>
      <c r="D129" s="17"/>
      <c r="E129" s="17"/>
      <c r="F129" s="17"/>
      <c r="G129" s="17"/>
      <c r="H129" s="17"/>
    </row>
  </sheetData>
  <mergeCells count="1">
    <mergeCell ref="E99:G99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9A1231B-30AD-4B88-AA4D-B88AC106E736}">
  <sheetPr>
    <pageSetUpPr fitToPage="1"/>
  </sheetPr>
  <dimension ref="B4:L129"/>
  <sheetViews>
    <sheetView showGridLines="0" view="pageLayout" zoomScaleNormal="100" workbookViewId="0" topLeftCell="A1">
      <selection pane="topLeft" activeCell="C14" sqref="C14"/>
    </sheetView>
  </sheetViews>
  <sheetFormatPr defaultRowHeight="12.75"/>
  <cols>
    <col min="2" max="2" width="4.857142857142857" customWidth="1"/>
    <col min="3" max="3" width="41.42857142857143" customWidth="1"/>
    <col min="4" max="4" width="2" customWidth="1"/>
    <col min="5" max="5" width="10.571428571428571" customWidth="1"/>
    <col min="6" max="6" width="2.2857142857142856" customWidth="1"/>
    <col min="7" max="7" width="14.857142857142858" customWidth="1"/>
    <col min="8" max="8" width="2.4285714285714284" customWidth="1"/>
    <col min="9" max="9" width="7.428571428571429" customWidth="1"/>
    <col min="10" max="10" width="12.571428571428571" bestFit="1" customWidth="1"/>
    <col min="11" max="11" width="10.142857142857142" customWidth="1"/>
    <col min="12" max="12" width="15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77">
        <f>'Fund XI'!E8</f>
        <v>44834</v>
      </c>
      <c r="F8" s="13"/>
      <c r="G8" s="78"/>
      <c r="H8" s="78"/>
      <c r="I8" s="79"/>
    </row>
    <row r="9" spans="3:7" ht="15.75">
      <c r="C9" s="65"/>
      <c r="D9" s="65"/>
      <c r="E9" s="65"/>
      <c r="F9" s="65"/>
      <c r="G9" s="177"/>
    </row>
    <row r="10" spans="3:9" ht="12.75">
      <c r="C10" s="178"/>
      <c r="D10" s="178"/>
      <c r="E10" s="179"/>
      <c r="F10" s="178"/>
      <c r="G10" s="124"/>
      <c r="H10" s="81"/>
      <c r="I10" s="82"/>
    </row>
    <row r="11" spans="3:9" ht="12.75">
      <c r="C11" s="178"/>
      <c r="D11" s="178"/>
      <c r="E11" s="179"/>
      <c r="F11" s="178"/>
      <c r="G11" s="179"/>
      <c r="H11" s="81"/>
      <c r="I11" s="82"/>
    </row>
    <row r="12" spans="3:9" ht="15.75">
      <c r="C12" s="180"/>
      <c r="D12" s="180"/>
      <c r="E12" s="70"/>
      <c r="F12" s="180"/>
      <c r="G12" s="70"/>
      <c r="H12" s="5"/>
      <c r="I12" s="82"/>
    </row>
    <row r="13" spans="3:9" ht="12.75">
      <c r="C13" s="178"/>
      <c r="D13" s="178"/>
      <c r="E13" s="71"/>
      <c r="F13" s="178"/>
      <c r="G13" s="124"/>
      <c r="H13" s="84"/>
      <c r="I13" s="82"/>
    </row>
    <row r="14" spans="3:9" ht="12.75">
      <c r="C14" s="178"/>
      <c r="D14" s="178"/>
      <c r="E14" s="181"/>
      <c r="F14" s="178"/>
      <c r="G14" s="124"/>
      <c r="H14" s="85"/>
      <c r="I14" s="82"/>
    </row>
    <row r="15" spans="3:9" ht="12.75">
      <c r="C15" s="178"/>
      <c r="D15" s="178"/>
      <c r="E15" s="179"/>
      <c r="F15" s="178"/>
      <c r="G15" s="179"/>
      <c r="H15" s="81"/>
      <c r="I15" s="82"/>
    </row>
    <row r="16" spans="3:9" ht="15.75">
      <c r="C16" s="5"/>
      <c r="D16" s="5"/>
      <c r="E16" s="10"/>
      <c r="F16" s="5"/>
      <c r="G16" s="10"/>
      <c r="H16" s="5"/>
      <c r="I16" s="82"/>
    </row>
    <row r="17" spans="3:9" ht="15.75">
      <c r="C17" s="83" t="s">
        <v>15</v>
      </c>
      <c r="D17" s="83"/>
      <c r="E17" s="10"/>
      <c r="F17" s="83"/>
      <c r="G17" s="10"/>
      <c r="H17" s="5"/>
      <c r="I17" s="86"/>
    </row>
    <row r="18" spans="3:9" ht="12.75" customHeight="1">
      <c r="C18" s="6" t="s">
        <v>16</v>
      </c>
      <c r="D18" s="6"/>
      <c r="E18" s="84">
        <f>G93</f>
        <v>0.16343231797218324</v>
      </c>
      <c r="F18" s="6"/>
      <c r="G18" s="11"/>
      <c r="H18" s="84"/>
      <c r="I18" s="86"/>
    </row>
    <row r="19" spans="3:8" ht="12.75">
      <c r="C19" s="6" t="s">
        <v>17</v>
      </c>
      <c r="D19" s="6"/>
      <c r="E19" s="87">
        <f>-(G91+J94)/J93</f>
        <v>1.3717155885108019</v>
      </c>
      <c r="F19" s="6"/>
      <c r="G19" s="9"/>
      <c r="H19" s="81"/>
    </row>
    <row r="20" spans="3:7" ht="12.75">
      <c r="C20" s="6"/>
      <c r="D20" s="6"/>
      <c r="E20" s="6"/>
      <c r="F20" s="6"/>
      <c r="G20" s="81"/>
    </row>
    <row r="21" spans="3:12" ht="15.75">
      <c r="C21" s="88" t="s">
        <v>50</v>
      </c>
      <c r="D21" s="7"/>
      <c r="E21" s="7"/>
      <c r="F21" s="7"/>
      <c r="I21" s="89"/>
      <c r="J21" s="17"/>
      <c r="L21" s="80"/>
    </row>
    <row r="22" spans="3:12" ht="12.75">
      <c r="C22" s="90">
        <v>0.027350044</v>
      </c>
      <c r="D22" s="17"/>
      <c r="E22" s="17"/>
      <c r="F22" s="17"/>
      <c r="G22" s="91"/>
      <c r="H22" s="17"/>
      <c r="I22" s="17"/>
      <c r="J22" s="44"/>
      <c r="K22" s="41"/>
      <c r="L22" s="124"/>
    </row>
    <row r="23" spans="3:12" ht="12.75">
      <c r="C23" s="17"/>
      <c r="D23" s="17"/>
      <c r="E23" s="89"/>
      <c r="F23" s="45"/>
      <c r="G23" s="45"/>
      <c r="H23" s="17"/>
      <c r="I23" s="25"/>
      <c r="J23" s="44"/>
      <c r="K23" s="41"/>
      <c r="L23" s="124"/>
    </row>
    <row r="24" spans="3:12" ht="12.75">
      <c r="C24" s="17" t="s">
        <v>30</v>
      </c>
      <c r="D24" s="17"/>
      <c r="E24" s="89">
        <v>42933</v>
      </c>
      <c r="F24" s="45"/>
      <c r="G24" s="45">
        <v>-422500</v>
      </c>
      <c r="H24" s="17"/>
      <c r="I24" s="25"/>
      <c r="J24" s="44"/>
      <c r="K24" s="41"/>
      <c r="L24" s="124"/>
    </row>
    <row r="25" spans="3:12" ht="12.75">
      <c r="C25" s="17"/>
      <c r="D25" s="17"/>
      <c r="E25" s="89">
        <v>43010</v>
      </c>
      <c r="F25" s="45"/>
      <c r="G25" s="45">
        <v>-102500</v>
      </c>
      <c r="H25" s="17"/>
      <c r="I25" s="25"/>
      <c r="J25" s="44"/>
      <c r="K25" s="41"/>
      <c r="L25" s="124"/>
    </row>
    <row r="26" spans="3:12" ht="12.75">
      <c r="C26" s="17"/>
      <c r="D26" s="17"/>
      <c r="E26" s="89">
        <v>43052</v>
      </c>
      <c r="F26" s="45"/>
      <c r="G26" s="45">
        <v>-45000</v>
      </c>
      <c r="H26" s="17"/>
      <c r="I26" s="25"/>
      <c r="J26" s="44"/>
      <c r="K26" s="41"/>
      <c r="L26" s="42"/>
    </row>
    <row r="27" spans="3:12" ht="12.75">
      <c r="C27" s="17"/>
      <c r="D27" s="17"/>
      <c r="E27" s="89">
        <v>43087</v>
      </c>
      <c r="F27" s="45"/>
      <c r="G27" s="45">
        <v>-197947.88</v>
      </c>
      <c r="H27" s="17"/>
      <c r="I27" s="25"/>
      <c r="J27" s="44"/>
      <c r="K27" s="42"/>
      <c r="L27" s="42"/>
    </row>
    <row r="28" spans="3:12" ht="12.75">
      <c r="C28" s="17"/>
      <c r="D28" s="17"/>
      <c r="E28" s="89">
        <v>43096</v>
      </c>
      <c r="F28" s="45"/>
      <c r="G28" s="45">
        <v>-121387.29</v>
      </c>
      <c r="H28" s="17"/>
      <c r="I28" s="25"/>
      <c r="J28" s="44"/>
      <c r="K28" s="41"/>
      <c r="L28" s="42"/>
    </row>
    <row r="29" spans="3:11" ht="12.75">
      <c r="C29" s="17" t="s">
        <v>31</v>
      </c>
      <c r="D29" s="17"/>
      <c r="E29" s="89">
        <v>43182</v>
      </c>
      <c r="F29" s="45"/>
      <c r="G29" s="45">
        <v>-878082.53</v>
      </c>
      <c r="H29" s="17"/>
      <c r="I29" s="25"/>
      <c r="J29" s="25"/>
      <c r="K29" s="17"/>
    </row>
    <row r="30" spans="3:11" ht="12.75">
      <c r="C30" s="17"/>
      <c r="D30" s="17"/>
      <c r="E30" s="89">
        <v>43276</v>
      </c>
      <c r="F30" s="45"/>
      <c r="G30" s="45">
        <v>-311728.27</v>
      </c>
      <c r="H30" s="17"/>
      <c r="I30" s="25"/>
      <c r="J30" s="25"/>
      <c r="K30" s="17"/>
    </row>
    <row r="31" spans="3:11" ht="12.75">
      <c r="C31" s="17"/>
      <c r="D31" s="17"/>
      <c r="E31" s="89">
        <v>43363</v>
      </c>
      <c r="F31" s="45"/>
      <c r="G31" s="45">
        <v>-232359.67</v>
      </c>
      <c r="H31" s="17"/>
      <c r="I31" s="25"/>
      <c r="J31" s="25"/>
      <c r="K31" s="17"/>
    </row>
    <row r="32" spans="3:11" ht="12.75">
      <c r="C32" s="17"/>
      <c r="D32" s="17"/>
      <c r="E32" s="89">
        <v>43398</v>
      </c>
      <c r="F32" s="45"/>
      <c r="G32" s="45">
        <v>-203628.95</v>
      </c>
      <c r="H32" s="17"/>
      <c r="I32" s="25"/>
      <c r="J32" s="25"/>
      <c r="K32" s="17"/>
    </row>
    <row r="33" spans="3:11" ht="12.75">
      <c r="C33" s="17"/>
      <c r="D33" s="17"/>
      <c r="E33" s="89">
        <v>43433</v>
      </c>
      <c r="F33" s="45"/>
      <c r="G33" s="45">
        <v>-165201.61</v>
      </c>
      <c r="H33" s="17"/>
      <c r="I33" s="25"/>
      <c r="J33" s="25"/>
      <c r="K33" s="17"/>
    </row>
    <row r="34" spans="3:11" ht="12.75">
      <c r="C34" s="17" t="s">
        <v>32</v>
      </c>
      <c r="D34" s="17"/>
      <c r="E34" s="89">
        <v>43468</v>
      </c>
      <c r="F34" s="45"/>
      <c r="G34" s="45">
        <v>-280483.64</v>
      </c>
      <c r="H34" s="17"/>
      <c r="I34" s="25"/>
      <c r="J34" s="25"/>
      <c r="K34" s="17"/>
    </row>
    <row r="35" spans="3:11" ht="12.75">
      <c r="C35" s="17"/>
      <c r="D35" s="17"/>
      <c r="E35" s="89">
        <v>43495</v>
      </c>
      <c r="F35" s="45"/>
      <c r="G35" s="45">
        <v>-462205.41</v>
      </c>
      <c r="H35" s="17"/>
      <c r="I35" s="25"/>
      <c r="J35" s="25"/>
      <c r="K35" s="17"/>
    </row>
    <row r="36" spans="3:11" ht="12.75">
      <c r="C36" s="17"/>
      <c r="D36" s="17"/>
      <c r="E36" s="89">
        <v>43510</v>
      </c>
      <c r="F36" s="45"/>
      <c r="G36" s="45">
        <v>-185672.25</v>
      </c>
      <c r="H36" s="17"/>
      <c r="I36" s="25"/>
      <c r="J36" s="25"/>
      <c r="K36" s="17"/>
    </row>
    <row r="37" spans="3:11" ht="12.75">
      <c r="C37" s="17"/>
      <c r="D37" s="17"/>
      <c r="E37" s="89">
        <v>43559</v>
      </c>
      <c r="F37" s="45"/>
      <c r="G37" s="45">
        <v>-257499.03</v>
      </c>
      <c r="H37" s="17"/>
      <c r="I37" s="25"/>
      <c r="J37" s="25"/>
      <c r="K37" s="17"/>
    </row>
    <row r="38" spans="3:11" ht="12.75">
      <c r="C38" s="17"/>
      <c r="D38" s="17"/>
      <c r="E38" s="89">
        <v>43593</v>
      </c>
      <c r="F38" s="45"/>
      <c r="G38" s="45">
        <v>-256780.77</v>
      </c>
      <c r="H38" s="17"/>
      <c r="I38" s="25"/>
      <c r="J38" s="25"/>
      <c r="K38" s="17"/>
    </row>
    <row r="39" spans="3:11" ht="12.75">
      <c r="C39" s="17"/>
      <c r="D39" s="17"/>
      <c r="E39" s="89">
        <v>43642</v>
      </c>
      <c r="F39" s="45"/>
      <c r="G39" s="45">
        <v>-410130.99</v>
      </c>
      <c r="H39" s="17"/>
      <c r="I39" s="25"/>
      <c r="J39" s="25"/>
      <c r="K39" s="17"/>
    </row>
    <row r="40" spans="3:11" ht="12.75">
      <c r="C40" s="17"/>
      <c r="D40" s="17"/>
      <c r="E40" s="89">
        <v>43656</v>
      </c>
      <c r="F40" s="45"/>
      <c r="G40" s="45">
        <v>-304545.62</v>
      </c>
      <c r="H40" s="17"/>
      <c r="I40" s="25"/>
      <c r="J40" s="25"/>
      <c r="K40" s="17"/>
    </row>
    <row r="41" spans="3:11" ht="12.75">
      <c r="C41" s="17"/>
      <c r="D41" s="17"/>
      <c r="E41" s="89">
        <v>43684</v>
      </c>
      <c r="F41" s="45"/>
      <c r="G41" s="45">
        <v>-265759.16</v>
      </c>
      <c r="H41" s="17"/>
      <c r="I41" s="25"/>
      <c r="J41" s="25"/>
      <c r="K41" s="17"/>
    </row>
    <row r="42" spans="3:11" ht="12.75">
      <c r="C42" s="17"/>
      <c r="D42" s="17"/>
      <c r="E42" s="89">
        <v>43768</v>
      </c>
      <c r="F42" s="45"/>
      <c r="G42" s="45">
        <v>-262886.05</v>
      </c>
      <c r="H42" s="17"/>
      <c r="I42" s="25"/>
      <c r="J42" s="25"/>
      <c r="K42" s="17"/>
    </row>
    <row r="43" spans="3:11" ht="12.75">
      <c r="C43" s="17"/>
      <c r="D43" s="17"/>
      <c r="E43" s="89">
        <v>43817</v>
      </c>
      <c r="F43" s="45"/>
      <c r="G43" s="45">
        <v>-2021205.94</v>
      </c>
      <c r="H43" s="17"/>
      <c r="I43" s="25"/>
      <c r="J43" s="25"/>
      <c r="K43" s="17"/>
    </row>
    <row r="44" spans="3:11" ht="12.75">
      <c r="C44" s="17" t="s">
        <v>33</v>
      </c>
      <c r="D44" s="17"/>
      <c r="E44" s="89">
        <v>44006</v>
      </c>
      <c r="F44" s="45"/>
      <c r="G44" s="45">
        <v>-149758.87</v>
      </c>
      <c r="H44" s="17"/>
      <c r="I44" s="25"/>
      <c r="J44" s="25"/>
      <c r="K44" s="17"/>
    </row>
    <row r="45" spans="3:11" ht="12.75">
      <c r="C45" s="17"/>
      <c r="D45" s="17"/>
      <c r="E45" s="89">
        <v>44026</v>
      </c>
      <c r="F45" s="45"/>
      <c r="G45" s="45">
        <v>-370267.11</v>
      </c>
      <c r="H45" s="17"/>
      <c r="I45" s="25"/>
      <c r="J45" s="25"/>
      <c r="K45" s="17"/>
    </row>
    <row r="46" spans="3:11" ht="12.75">
      <c r="C46" s="17"/>
      <c r="D46" s="17"/>
      <c r="E46" s="89">
        <v>44105</v>
      </c>
      <c r="F46" s="45"/>
      <c r="G46" s="45">
        <v>-127133.42</v>
      </c>
      <c r="H46" s="17"/>
      <c r="I46" s="25"/>
      <c r="J46" s="25"/>
      <c r="K46" s="17"/>
    </row>
    <row r="47" spans="3:11" ht="12.75">
      <c r="C47" s="17"/>
      <c r="D47" s="17"/>
      <c r="E47" s="89">
        <v>44182</v>
      </c>
      <c r="F47" s="45"/>
      <c r="G47" s="45">
        <v>-515357.25</v>
      </c>
      <c r="H47" s="17"/>
      <c r="I47" s="25"/>
      <c r="J47" s="25"/>
      <c r="K47" s="17"/>
    </row>
    <row r="48" spans="3:11" ht="12.75">
      <c r="C48" s="17"/>
      <c r="D48" s="17"/>
      <c r="E48" s="89">
        <v>44188</v>
      </c>
      <c r="F48" s="45"/>
      <c r="G48" s="45">
        <v>-119950.73</v>
      </c>
      <c r="H48" s="17"/>
      <c r="I48" s="25"/>
      <c r="J48" s="25"/>
      <c r="K48" s="17"/>
    </row>
    <row r="49" spans="3:11" ht="12.75">
      <c r="C49" s="17" t="s">
        <v>34</v>
      </c>
      <c r="D49" s="17"/>
      <c r="E49" s="89">
        <v>44246</v>
      </c>
      <c r="F49" s="45"/>
      <c r="G49" s="45">
        <v>-110613.25</v>
      </c>
      <c r="H49" s="17"/>
      <c r="I49" s="25"/>
      <c r="J49" s="25"/>
      <c r="K49" s="17"/>
    </row>
    <row r="50" spans="3:11" ht="12.75">
      <c r="C50" s="17"/>
      <c r="D50" s="17"/>
      <c r="E50" s="89">
        <v>44250</v>
      </c>
      <c r="F50" s="45"/>
      <c r="G50" s="45">
        <v>-116718.53</v>
      </c>
      <c r="H50" s="17"/>
      <c r="I50" s="25"/>
      <c r="J50" s="25"/>
      <c r="K50" s="17"/>
    </row>
    <row r="51" spans="3:11" ht="12.75">
      <c r="C51" s="17"/>
      <c r="D51" s="17"/>
      <c r="E51" s="89">
        <v>44274</v>
      </c>
      <c r="F51" s="45"/>
      <c r="G51" s="45">
        <v>-183876.57</v>
      </c>
      <c r="H51" s="17"/>
      <c r="I51" s="25"/>
      <c r="J51" s="25"/>
      <c r="K51" s="17"/>
    </row>
    <row r="52" spans="3:11" ht="12.75">
      <c r="C52" s="17"/>
      <c r="D52" s="17"/>
      <c r="E52" s="89">
        <v>44305</v>
      </c>
      <c r="F52" s="45"/>
      <c r="G52" s="45">
        <v>-2048500.12</v>
      </c>
      <c r="H52" s="17"/>
      <c r="I52" s="25"/>
      <c r="J52" s="25"/>
      <c r="K52" s="17"/>
    </row>
    <row r="53" spans="3:11" ht="12.75">
      <c r="C53" s="17"/>
      <c r="D53" s="17"/>
      <c r="E53" s="89">
        <v>44362</v>
      </c>
      <c r="F53" s="45"/>
      <c r="G53" s="45">
        <v>321424.89</v>
      </c>
      <c r="H53" s="17"/>
      <c r="I53" s="25"/>
      <c r="J53" s="25"/>
      <c r="K53" s="17"/>
    </row>
    <row r="54" spans="3:11" ht="12.75">
      <c r="C54" s="17"/>
      <c r="D54" s="17"/>
      <c r="E54" s="89">
        <v>44400</v>
      </c>
      <c r="F54" s="45"/>
      <c r="G54" s="45">
        <v>-251393.78</v>
      </c>
      <c r="H54" s="17"/>
      <c r="I54" s="25"/>
      <c r="J54" s="25"/>
      <c r="K54" s="17"/>
    </row>
    <row r="55" spans="3:11" ht="12.75">
      <c r="C55" s="17"/>
      <c r="D55" s="17"/>
      <c r="E55" s="89">
        <v>44407</v>
      </c>
      <c r="F55" s="45"/>
      <c r="G55" s="45">
        <v>-269350.47</v>
      </c>
      <c r="H55" s="17"/>
      <c r="I55" s="25"/>
      <c r="J55" s="25"/>
      <c r="K55" s="17"/>
    </row>
    <row r="56" spans="3:11" ht="12.75">
      <c r="C56" s="17"/>
      <c r="D56" s="17"/>
      <c r="E56" s="89">
        <v>44440</v>
      </c>
      <c r="F56" s="45"/>
      <c r="G56" s="45">
        <v>-128569.95</v>
      </c>
      <c r="H56" s="17"/>
      <c r="I56" s="25"/>
      <c r="J56" s="25"/>
      <c r="K56" s="17"/>
    </row>
    <row r="57" spans="3:11" ht="12.75">
      <c r="C57" s="17"/>
      <c r="D57" s="17"/>
      <c r="E57" s="89">
        <v>44453</v>
      </c>
      <c r="F57" s="45"/>
      <c r="G57" s="45">
        <v>-212248.17</v>
      </c>
      <c r="H57" s="17"/>
      <c r="I57" s="25"/>
      <c r="J57" s="25"/>
      <c r="K57" s="17"/>
    </row>
    <row r="58" spans="3:11" ht="12.75">
      <c r="C58" s="17"/>
      <c r="D58" s="17"/>
      <c r="E58" s="89">
        <v>44473</v>
      </c>
      <c r="F58" s="45"/>
      <c r="G58" s="45">
        <v>-135393.50</v>
      </c>
      <c r="H58" s="17"/>
      <c r="I58" s="25"/>
      <c r="J58" s="25"/>
      <c r="K58" s="17"/>
    </row>
    <row r="59" spans="3:11" ht="12.75">
      <c r="C59" s="17"/>
      <c r="D59" s="17"/>
      <c r="E59" s="89">
        <v>44496</v>
      </c>
      <c r="F59" s="45"/>
      <c r="G59" s="45">
        <v>-154427.59</v>
      </c>
      <c r="H59" s="17"/>
      <c r="I59" s="25"/>
      <c r="J59" s="25"/>
      <c r="K59" s="17"/>
    </row>
    <row r="60" spans="3:11" ht="12.75">
      <c r="C60" s="17"/>
      <c r="D60" s="17"/>
      <c r="E60" s="89">
        <v>44537</v>
      </c>
      <c r="F60" s="45"/>
      <c r="G60" s="45">
        <v>-611605.14</v>
      </c>
      <c r="H60" s="17"/>
      <c r="I60" s="25"/>
      <c r="J60" s="25"/>
      <c r="K60" s="17"/>
    </row>
    <row r="61" spans="3:11" ht="12.75">
      <c r="C61" s="17"/>
      <c r="D61" s="17"/>
      <c r="E61" s="89">
        <v>44550</v>
      </c>
      <c r="F61" s="45"/>
      <c r="G61" s="45">
        <v>-1449105.54</v>
      </c>
      <c r="H61" s="17"/>
      <c r="I61" s="25"/>
      <c r="J61" s="25"/>
      <c r="K61" s="17"/>
    </row>
    <row r="62" spans="3:11" ht="12.75">
      <c r="C62" s="17" t="s">
        <v>28</v>
      </c>
      <c r="D62" s="17"/>
      <c r="E62" s="89">
        <v>44396</v>
      </c>
      <c r="F62" s="45"/>
      <c r="G62" s="45">
        <v>58254.94</v>
      </c>
      <c r="H62" s="17"/>
      <c r="I62" s="25"/>
      <c r="J62" s="25"/>
      <c r="K62" s="17"/>
    </row>
    <row r="63" spans="3:11" ht="12.75">
      <c r="C63" s="17"/>
      <c r="D63" s="17"/>
      <c r="E63" s="89">
        <v>44476</v>
      </c>
      <c r="F63" s="45"/>
      <c r="G63" s="45">
        <v>53658.19</v>
      </c>
      <c r="H63" s="17"/>
      <c r="I63" s="25"/>
      <c r="J63" s="25"/>
      <c r="K63" s="17"/>
    </row>
    <row r="64" spans="3:11" ht="12.75">
      <c r="C64" s="17"/>
      <c r="D64" s="17"/>
      <c r="E64" s="89">
        <v>44512</v>
      </c>
      <c r="F64" s="45"/>
      <c r="G64" s="45">
        <v>198424.12</v>
      </c>
      <c r="H64" s="17"/>
      <c r="I64" s="25"/>
      <c r="J64" s="25"/>
      <c r="K64" s="17"/>
    </row>
    <row r="65" spans="3:11" ht="12.75">
      <c r="C65" s="17" t="s">
        <v>35</v>
      </c>
      <c r="D65" s="17"/>
      <c r="E65" s="89">
        <v>44565</v>
      </c>
      <c r="F65" s="45"/>
      <c r="G65" s="45">
        <v>-71467.65</v>
      </c>
      <c r="H65" s="17"/>
      <c r="I65" s="25"/>
      <c r="J65" s="25"/>
      <c r="K65" s="17"/>
    </row>
    <row r="66" spans="3:11" ht="12.75">
      <c r="C66" s="17"/>
      <c r="D66" s="17"/>
      <c r="E66" s="89">
        <v>44602</v>
      </c>
      <c r="F66" s="45"/>
      <c r="G66" s="45">
        <v>-220867.36</v>
      </c>
      <c r="H66" s="17"/>
      <c r="I66" s="25"/>
      <c r="J66" s="25"/>
      <c r="K66" s="17"/>
    </row>
    <row r="67" spans="3:11" ht="12.75">
      <c r="C67" s="17"/>
      <c r="D67" s="17"/>
      <c r="E67" s="89">
        <v>44628</v>
      </c>
      <c r="F67" s="45"/>
      <c r="G67" s="45">
        <v>-164483.36</v>
      </c>
      <c r="H67" s="17"/>
      <c r="I67" s="25"/>
      <c r="J67" s="25"/>
      <c r="K67" s="17"/>
    </row>
    <row r="68" spans="3:11" ht="12.75">
      <c r="C68" s="17"/>
      <c r="D68" s="17"/>
      <c r="E68" s="89">
        <v>44641</v>
      </c>
      <c r="F68" s="45"/>
      <c r="G68" s="45">
        <v>-1077401.87</v>
      </c>
      <c r="H68" s="17"/>
      <c r="I68" s="25"/>
      <c r="J68" s="25"/>
      <c r="K68" s="17"/>
    </row>
    <row r="69" spans="3:11" ht="12.75">
      <c r="C69" s="17"/>
      <c r="D69" s="17"/>
      <c r="E69" s="89">
        <v>44645</v>
      </c>
      <c r="F69" s="45"/>
      <c r="G69" s="45">
        <v>-2326110.68</v>
      </c>
      <c r="H69" s="17"/>
      <c r="I69" s="25"/>
      <c r="J69" s="25"/>
      <c r="K69" s="17"/>
    </row>
    <row r="70" spans="3:11" ht="12.75">
      <c r="C70" s="17"/>
      <c r="D70" s="17"/>
      <c r="E70" s="89">
        <v>44670</v>
      </c>
      <c r="F70" s="45"/>
      <c r="G70" s="45">
        <v>970739.10</v>
      </c>
      <c r="H70" s="17"/>
      <c r="I70" s="25"/>
      <c r="J70" s="25"/>
      <c r="K70" s="17"/>
    </row>
    <row r="71" spans="3:11" ht="12.75">
      <c r="C71" s="17"/>
      <c r="D71" s="17"/>
      <c r="E71" s="89">
        <v>44694</v>
      </c>
      <c r="F71" s="45"/>
      <c r="G71" s="45">
        <v>-49201.35</v>
      </c>
      <c r="H71" s="17"/>
      <c r="I71" s="25"/>
      <c r="J71" s="25"/>
      <c r="K71" s="17"/>
    </row>
    <row r="72" spans="3:11" ht="12.75">
      <c r="C72" s="17"/>
      <c r="D72" s="17"/>
      <c r="E72" s="89">
        <v>44701</v>
      </c>
      <c r="F72" s="45"/>
      <c r="G72" s="45">
        <v>-125337.73</v>
      </c>
      <c r="H72" s="17"/>
      <c r="I72" s="25"/>
      <c r="J72" s="25"/>
      <c r="K72" s="17"/>
    </row>
    <row r="73" spans="3:11" ht="12.75">
      <c r="C73" s="17"/>
      <c r="D73" s="17"/>
      <c r="E73" s="89">
        <v>44727</v>
      </c>
      <c r="F73" s="45"/>
      <c r="G73" s="45">
        <v>-402589.17</v>
      </c>
      <c r="H73" s="17"/>
      <c r="I73" s="25"/>
      <c r="J73" s="25"/>
      <c r="K73" s="17"/>
    </row>
    <row r="74" spans="3:11" ht="12.75">
      <c r="C74" s="17"/>
      <c r="D74" s="17"/>
      <c r="E74" s="89">
        <v>44750</v>
      </c>
      <c r="F74" s="45"/>
      <c r="G74" s="45">
        <v>-391456.02</v>
      </c>
      <c r="H74" s="17"/>
      <c r="I74" s="25"/>
      <c r="J74" s="25"/>
      <c r="K74" s="17"/>
    </row>
    <row r="75" spans="3:11" ht="12.75">
      <c r="C75" s="17"/>
      <c r="D75" s="17"/>
      <c r="E75" s="89">
        <v>44764</v>
      </c>
      <c r="F75" s="45"/>
      <c r="G75" s="45">
        <v>-56743.17</v>
      </c>
      <c r="H75" s="17"/>
      <c r="I75" s="25"/>
      <c r="J75" s="25"/>
      <c r="K75" s="17"/>
    </row>
    <row r="76" spans="3:11" ht="12.75">
      <c r="C76" s="17"/>
      <c r="D76" s="17"/>
      <c r="E76" s="89">
        <v>44790</v>
      </c>
      <c r="F76" s="45"/>
      <c r="G76" s="45">
        <v>-66798.92</v>
      </c>
      <c r="H76" s="17"/>
      <c r="I76" s="25"/>
      <c r="J76" s="25"/>
      <c r="K76" s="17"/>
    </row>
    <row r="77" spans="3:11" ht="12.75">
      <c r="C77" s="17"/>
      <c r="D77" s="17"/>
      <c r="E77" s="89">
        <v>44797</v>
      </c>
      <c r="F77" s="45"/>
      <c r="G77" s="45">
        <v>-193573.22</v>
      </c>
      <c r="H77" s="17"/>
      <c r="I77" s="25"/>
      <c r="J77" s="25"/>
      <c r="K77" s="17"/>
    </row>
    <row r="78" spans="3:11" ht="12.75">
      <c r="C78" s="17"/>
      <c r="D78" s="17"/>
      <c r="E78" s="89">
        <v>44806</v>
      </c>
      <c r="F78" s="45"/>
      <c r="G78" s="45">
        <v>-171666.04</v>
      </c>
      <c r="H78" s="17"/>
      <c r="I78" s="25"/>
      <c r="J78" s="25"/>
      <c r="K78" s="17"/>
    </row>
    <row r="79" spans="3:11" ht="12.75">
      <c r="C79" s="17"/>
      <c r="D79" s="17"/>
      <c r="E79" s="89">
        <v>44818</v>
      </c>
      <c r="F79" s="45"/>
      <c r="G79" s="45">
        <v>-495963.99</v>
      </c>
      <c r="H79" s="17"/>
      <c r="I79" s="25"/>
      <c r="J79" s="25"/>
      <c r="K79" s="17"/>
    </row>
    <row r="80" spans="3:11" ht="12.75">
      <c r="C80" s="17"/>
      <c r="D80" s="17"/>
      <c r="E80" s="89">
        <v>44833</v>
      </c>
      <c r="F80" s="45"/>
      <c r="G80" s="45">
        <v>-175975.64</v>
      </c>
      <c r="H80" s="17"/>
      <c r="I80" s="25"/>
      <c r="J80" s="25"/>
      <c r="K80" s="17"/>
    </row>
    <row r="81" spans="3:11" ht="12.75">
      <c r="C81" s="17" t="s">
        <v>29</v>
      </c>
      <c r="D81" s="17"/>
      <c r="E81" s="89">
        <v>44575</v>
      </c>
      <c r="F81" s="45"/>
      <c r="G81" s="45">
        <v>251133.34</v>
      </c>
      <c r="H81" s="17"/>
      <c r="I81" s="25"/>
      <c r="J81" s="25"/>
      <c r="K81" s="17"/>
    </row>
    <row r="82" spans="3:11" ht="12.75">
      <c r="C82" s="17"/>
      <c r="D82" s="17"/>
      <c r="E82" s="89">
        <v>44601</v>
      </c>
      <c r="F82" s="45"/>
      <c r="G82" s="45">
        <v>195115.32</v>
      </c>
      <c r="H82" s="17"/>
      <c r="I82" s="25"/>
      <c r="J82" s="25"/>
      <c r="K82" s="17"/>
    </row>
    <row r="83" spans="3:11" ht="12.75">
      <c r="C83" s="17"/>
      <c r="D83" s="17"/>
      <c r="E83" s="89">
        <v>44628</v>
      </c>
      <c r="F83" s="45"/>
      <c r="G83" s="45">
        <v>512125.65</v>
      </c>
      <c r="H83" s="17"/>
      <c r="I83" s="25"/>
      <c r="J83" s="25"/>
      <c r="K83" s="17"/>
    </row>
    <row r="84" spans="3:11" ht="12.75">
      <c r="C84" s="17"/>
      <c r="D84" s="17"/>
      <c r="E84" s="89">
        <v>44659</v>
      </c>
      <c r="F84" s="45"/>
      <c r="G84" s="45">
        <v>259887.72</v>
      </c>
      <c r="H84" s="17"/>
      <c r="I84" s="25"/>
      <c r="J84" s="25"/>
      <c r="K84" s="17"/>
    </row>
    <row r="85" spans="3:11" ht="12.75">
      <c r="C85" s="17"/>
      <c r="D85" s="17"/>
      <c r="E85" s="89">
        <v>44692</v>
      </c>
      <c r="F85" s="45"/>
      <c r="G85" s="45">
        <v>219484.73</v>
      </c>
      <c r="H85" s="17"/>
      <c r="I85" s="25"/>
      <c r="J85" s="25"/>
      <c r="K85" s="17"/>
    </row>
    <row r="86" spans="3:11" ht="12.75">
      <c r="C86" s="17"/>
      <c r="D86" s="17"/>
      <c r="E86" s="89">
        <v>44719</v>
      </c>
      <c r="F86" s="45"/>
      <c r="G86" s="45">
        <v>271197.35</v>
      </c>
      <c r="H86" s="17"/>
      <c r="I86" s="25"/>
      <c r="J86" s="25"/>
      <c r="K86" s="17"/>
    </row>
    <row r="87" spans="3:11" ht="12.75">
      <c r="C87" s="17"/>
      <c r="D87" s="17"/>
      <c r="E87" s="89">
        <v>44761</v>
      </c>
      <c r="F87" s="45"/>
      <c r="G87" s="45">
        <v>424199.43</v>
      </c>
      <c r="H87" s="17"/>
      <c r="I87" s="25"/>
      <c r="J87" s="25"/>
      <c r="K87" s="17"/>
    </row>
    <row r="88" spans="3:11" ht="12.75">
      <c r="C88" s="17"/>
      <c r="D88" s="17"/>
      <c r="E88" s="89">
        <v>44776</v>
      </c>
      <c r="F88" s="45"/>
      <c r="G88" s="45">
        <v>373876.58</v>
      </c>
      <c r="H88" s="17"/>
      <c r="I88" s="25"/>
      <c r="J88" s="25"/>
      <c r="K88" s="17"/>
    </row>
    <row r="89" spans="3:11" ht="12.75">
      <c r="C89" s="17"/>
      <c r="D89" s="17"/>
      <c r="E89" s="89">
        <v>44817</v>
      </c>
      <c r="F89" s="45"/>
      <c r="G89" s="45">
        <v>129981.04</v>
      </c>
      <c r="H89" s="17"/>
      <c r="I89" s="25"/>
      <c r="J89" s="25"/>
      <c r="K89" s="17"/>
    </row>
    <row r="90" spans="3:9" ht="5.25" customHeight="1">
      <c r="C90" s="17"/>
      <c r="D90" s="17"/>
      <c r="E90" s="89"/>
      <c r="F90" s="17"/>
      <c r="G90" s="45"/>
      <c r="H90" s="17"/>
      <c r="I90" s="25"/>
    </row>
    <row r="91" spans="3:12" ht="12.75">
      <c r="C91" s="17" t="s">
        <v>5</v>
      </c>
      <c r="D91" s="17"/>
      <c r="E91" s="89">
        <f>+E8</f>
        <v>44834</v>
      </c>
      <c r="F91" s="17"/>
      <c r="G91" s="94">
        <f>L91*C22</f>
        <v>2.3169093808902103E7</v>
      </c>
      <c r="H91" s="17"/>
      <c r="I91" s="89"/>
      <c r="L91" s="124">
        <v>8.47131866E8</v>
      </c>
    </row>
    <row r="92" spans="3:10" ht="12.75">
      <c r="C92" s="17"/>
      <c r="D92" s="17"/>
      <c r="E92" s="17"/>
      <c r="F92" s="17"/>
      <c r="G92" s="17"/>
      <c r="H92" s="17"/>
      <c r="J92" s="25"/>
    </row>
    <row r="93" spans="3:11" ht="12.75">
      <c r="C93" s="15" t="s">
        <v>0</v>
      </c>
      <c r="G93" s="72">
        <f>+XIRR(G24:G91,E24:E91,0.1)</f>
        <v>0.16343231797218324</v>
      </c>
      <c r="H93" s="17"/>
      <c r="J93" s="45">
        <f>+SUMIF($G$24:$G$90,"&lt;0",$G$24:$G$90)+G53+G70</f>
        <v>-1.903924723E7</v>
      </c>
      <c r="K93" s="17" t="s">
        <v>20</v>
      </c>
    </row>
    <row r="94" spans="3:11" ht="12.75">
      <c r="C94" s="17"/>
      <c r="D94" s="17"/>
      <c r="E94" s="17"/>
      <c r="F94" s="17"/>
      <c r="G94" s="17"/>
      <c r="H94" s="17"/>
      <c r="J94" s="45">
        <f>+SUMIF($G$24:$G$90,"&gt;0",$G$24:$G$90)-G53-G70</f>
        <v>2947338.41</v>
      </c>
      <c r="K94" s="17" t="s">
        <v>21</v>
      </c>
    </row>
    <row r="95" spans="3:8" ht="12.75">
      <c r="C95" s="17"/>
      <c r="D95" s="17"/>
      <c r="E95" s="17"/>
      <c r="F95" s="17"/>
      <c r="G95" s="25"/>
      <c r="H95" s="17"/>
    </row>
    <row r="96" spans="3:11" ht="12.75">
      <c r="C96" s="17"/>
      <c r="D96" s="17"/>
      <c r="E96" s="75"/>
      <c r="F96" s="17"/>
      <c r="G96" s="75"/>
      <c r="H96" s="17"/>
      <c r="K96" s="75"/>
    </row>
    <row r="97" spans="3:11" ht="12.75">
      <c r="C97" s="28"/>
      <c r="D97" s="28"/>
      <c r="E97" s="75"/>
      <c r="F97" s="28"/>
      <c r="G97" s="75"/>
      <c r="H97" s="17"/>
      <c r="K97" s="75"/>
    </row>
    <row r="98" spans="3:11" ht="12.75">
      <c r="C98" s="28"/>
      <c r="D98" s="28"/>
      <c r="E98" s="75"/>
      <c r="F98" s="28"/>
      <c r="G98" s="75"/>
      <c r="H98" s="17"/>
      <c r="K98" s="75"/>
    </row>
    <row r="99" spans="3:11" ht="12.75">
      <c r="C99" s="28"/>
      <c r="D99" s="76"/>
      <c r="E99" s="76"/>
      <c r="F99" s="76"/>
      <c r="G99" s="76"/>
      <c r="H99" s="15"/>
      <c r="K99" s="75"/>
    </row>
    <row r="100" spans="3:11" ht="12.75">
      <c r="C100" s="28"/>
      <c r="D100" s="28"/>
      <c r="E100" s="75"/>
      <c r="F100" s="75"/>
      <c r="G100" s="75"/>
      <c r="H100" s="15"/>
      <c r="K100" s="75"/>
    </row>
    <row r="101" spans="3:11" ht="12.75">
      <c r="C101" s="28"/>
      <c r="D101" s="28"/>
      <c r="E101" s="28"/>
      <c r="F101" s="28"/>
      <c r="G101" s="28"/>
      <c r="H101" s="15"/>
      <c r="K101" s="95"/>
    </row>
    <row r="102" spans="3:8" ht="12.75">
      <c r="C102" s="171"/>
      <c r="D102" s="171"/>
      <c r="E102" s="173"/>
      <c r="F102" s="96"/>
      <c r="G102" s="32"/>
      <c r="H102" s="15"/>
    </row>
    <row r="103" spans="3:11" ht="12.75">
      <c r="C103" s="171"/>
      <c r="D103" s="171"/>
      <c r="E103" s="97"/>
      <c r="F103" s="96"/>
      <c r="G103" s="97"/>
      <c r="H103" s="15"/>
      <c r="K103" s="95"/>
    </row>
    <row r="104" spans="3:8" ht="12.75">
      <c r="C104" s="171"/>
      <c r="D104" s="171"/>
      <c r="E104" s="97"/>
      <c r="F104" s="96"/>
      <c r="G104" s="97"/>
      <c r="H104" s="15"/>
    </row>
    <row r="105" spans="3:8" ht="12.75">
      <c r="C105" s="189"/>
      <c r="D105" s="171"/>
      <c r="E105" s="97"/>
      <c r="F105" s="96"/>
      <c r="G105" s="97"/>
      <c r="H105" s="15"/>
    </row>
    <row r="106" spans="3:8" ht="12.75">
      <c r="C106" s="189"/>
      <c r="D106" s="171"/>
      <c r="E106" s="97"/>
      <c r="F106" s="96"/>
      <c r="G106" s="97"/>
      <c r="H106" s="15"/>
    </row>
    <row r="107" spans="3:8" ht="12.75">
      <c r="C107" s="190"/>
      <c r="D107" s="171"/>
      <c r="E107" s="97"/>
      <c r="F107" s="96"/>
      <c r="G107" s="97"/>
      <c r="H107" s="15"/>
    </row>
    <row r="108" spans="3:8" ht="12.75">
      <c r="C108" s="171"/>
      <c r="D108" s="171"/>
      <c r="E108" s="97"/>
      <c r="F108" s="96"/>
      <c r="G108" s="97"/>
      <c r="H108" s="15"/>
    </row>
    <row r="109" spans="3:8" ht="12.75">
      <c r="C109" s="171"/>
      <c r="D109" s="171"/>
      <c r="E109" s="97"/>
      <c r="F109" s="96"/>
      <c r="G109" s="97"/>
      <c r="H109" s="15"/>
    </row>
    <row r="110" spans="3:8" ht="12.75">
      <c r="C110" s="171"/>
      <c r="D110" s="171"/>
      <c r="E110" s="97"/>
      <c r="F110" s="96"/>
      <c r="G110" s="97"/>
      <c r="H110" s="15"/>
    </row>
    <row r="111" spans="3:8" ht="12.75">
      <c r="C111" s="171"/>
      <c r="D111" s="171"/>
      <c r="E111" s="97"/>
      <c r="F111" s="96"/>
      <c r="G111" s="97"/>
      <c r="H111" s="15"/>
    </row>
    <row r="112" spans="3:8" ht="12.75">
      <c r="C112" s="171"/>
      <c r="D112" s="171"/>
      <c r="E112" s="97"/>
      <c r="F112" s="96"/>
      <c r="G112" s="97"/>
      <c r="H112" s="15"/>
    </row>
    <row r="113" spans="3:8" ht="12.75">
      <c r="C113" s="171"/>
      <c r="D113" s="171"/>
      <c r="E113" s="97"/>
      <c r="F113" s="96"/>
      <c r="G113" s="97"/>
      <c r="H113" s="15"/>
    </row>
    <row r="114" spans="3:8" ht="5.1" customHeight="1">
      <c r="C114" s="168"/>
      <c r="D114" s="168"/>
      <c r="E114" s="197"/>
      <c r="F114" s="99"/>
      <c r="G114" s="98"/>
      <c r="H114" s="15"/>
    </row>
    <row r="115" spans="3:8" ht="12.75">
      <c r="C115" s="15"/>
      <c r="D115" s="15"/>
      <c r="E115" s="100"/>
      <c r="F115" s="101"/>
      <c r="G115" s="100"/>
      <c r="H115" s="15"/>
    </row>
    <row r="116" spans="3:8" ht="12.75">
      <c r="C116" s="17"/>
      <c r="D116" s="17"/>
      <c r="E116" s="102"/>
      <c r="F116" s="103"/>
      <c r="G116" s="102"/>
      <c r="H116" s="17"/>
    </row>
    <row r="117" spans="3:8" ht="12.75">
      <c r="C117" s="17"/>
      <c r="D117" s="17"/>
      <c r="E117" s="102"/>
      <c r="F117" s="103"/>
      <c r="G117" s="102"/>
      <c r="H117" s="17"/>
    </row>
    <row r="118" spans="3:8" ht="12.75">
      <c r="C118" s="17"/>
      <c r="D118" s="17"/>
      <c r="E118" s="102"/>
      <c r="F118" s="103"/>
      <c r="G118" s="102"/>
      <c r="H118" s="17"/>
    </row>
    <row r="119" spans="3:8" ht="12.75">
      <c r="C119" s="17"/>
      <c r="D119" s="17"/>
      <c r="E119" s="104"/>
      <c r="F119" s="104"/>
      <c r="G119" s="104"/>
      <c r="H119" s="17"/>
    </row>
    <row r="120" spans="3:8" ht="12.75">
      <c r="C120" s="17"/>
      <c r="D120" s="17"/>
      <c r="E120" s="17"/>
      <c r="F120" s="17"/>
      <c r="G120" s="17"/>
      <c r="H120" s="17"/>
    </row>
    <row r="121" spans="3:8" ht="12.75">
      <c r="C121" s="17"/>
      <c r="D121" s="17"/>
      <c r="E121" s="17"/>
      <c r="F121" s="17"/>
      <c r="G121" s="17"/>
      <c r="H121" s="17"/>
    </row>
    <row r="122" spans="3:8" ht="12.75">
      <c r="C122" s="17"/>
      <c r="D122" s="17"/>
      <c r="E122" s="17"/>
      <c r="F122" s="17"/>
      <c r="G122" s="17"/>
      <c r="H122" s="17"/>
    </row>
    <row r="123" spans="3:8" ht="12.75">
      <c r="C123" s="17"/>
      <c r="D123" s="17"/>
      <c r="E123" s="17"/>
      <c r="F123" s="17"/>
      <c r="G123" s="17"/>
      <c r="H123" s="17"/>
    </row>
    <row r="124" spans="3:8" ht="12.75">
      <c r="C124" s="17"/>
      <c r="D124" s="17"/>
      <c r="E124" s="17"/>
      <c r="F124" s="17"/>
      <c r="G124" s="17"/>
      <c r="H124" s="17"/>
    </row>
    <row r="125" spans="3:8" ht="12.75">
      <c r="C125" s="17"/>
      <c r="D125" s="17"/>
      <c r="E125" s="17"/>
      <c r="F125" s="17"/>
      <c r="G125" s="17"/>
      <c r="H125" s="17"/>
    </row>
    <row r="126" spans="3:8" ht="12.75">
      <c r="C126" s="17"/>
      <c r="D126" s="17"/>
      <c r="E126" s="17"/>
      <c r="F126" s="17"/>
      <c r="G126" s="17"/>
      <c r="H126" s="17"/>
    </row>
    <row r="127" spans="3:8" ht="12.75">
      <c r="C127" s="17"/>
      <c r="D127" s="17"/>
      <c r="E127" s="17"/>
      <c r="F127" s="17"/>
      <c r="G127" s="17"/>
      <c r="H127" s="17"/>
    </row>
    <row r="128" spans="3:8" ht="12.75">
      <c r="C128" s="17"/>
      <c r="D128" s="17"/>
      <c r="E128" s="17"/>
      <c r="F128" s="17"/>
      <c r="G128" s="17"/>
      <c r="H128" s="17"/>
    </row>
    <row r="129" spans="3:8" ht="12.75">
      <c r="C129" s="17"/>
      <c r="D129" s="17"/>
      <c r="E129" s="17"/>
      <c r="F129" s="17"/>
      <c r="G129" s="17"/>
      <c r="H129" s="17"/>
    </row>
  </sheetData>
  <mergeCells count="1">
    <mergeCell ref="D99:G99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5ED7709-C237-4130-A7DA-DA4BA62BC28C}">
  <sheetPr>
    <pageSetUpPr fitToPage="1"/>
  </sheetPr>
  <dimension ref="B4:L129"/>
  <sheetViews>
    <sheetView showGridLines="0" view="pageLayout" zoomScaleNormal="100" workbookViewId="0" topLeftCell="A1">
      <selection pane="topLeft" activeCell="C13" sqref="C13"/>
    </sheetView>
  </sheetViews>
  <sheetFormatPr defaultRowHeight="12.75"/>
  <cols>
    <col min="2" max="2" width="4.857142857142857" customWidth="1"/>
    <col min="3" max="3" width="45.285714285714285" customWidth="1"/>
    <col min="4" max="4" width="2" customWidth="1"/>
    <col min="5" max="5" width="10.571428571428571" customWidth="1"/>
    <col min="6" max="6" width="2.2857142857142856" customWidth="1"/>
    <col min="7" max="7" width="15" customWidth="1"/>
    <col min="8" max="8" width="2.4285714285714284" customWidth="1"/>
    <col min="9" max="9" width="7.428571428571429" customWidth="1"/>
    <col min="10" max="10" width="11.714285714285714" customWidth="1"/>
    <col min="11" max="11" width="16.571428571428573" bestFit="1" customWidth="1"/>
    <col min="12" max="12" width="17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77">
        <f>'Fund XI'!E8</f>
        <v>44834</v>
      </c>
      <c r="F8" s="13"/>
      <c r="G8" s="78"/>
      <c r="H8" s="78"/>
      <c r="I8" s="79"/>
    </row>
    <row r="9" spans="3:7" ht="15.75">
      <c r="C9" s="65"/>
      <c r="D9" s="65"/>
      <c r="E9" s="65"/>
      <c r="F9" s="65"/>
      <c r="G9" s="177"/>
    </row>
    <row r="10" spans="3:9" ht="12.75">
      <c r="C10" s="178"/>
      <c r="D10" s="178"/>
      <c r="E10" s="179"/>
      <c r="F10" s="178"/>
      <c r="G10" s="124"/>
      <c r="H10" s="81"/>
      <c r="I10" s="82"/>
    </row>
    <row r="11" spans="3:9" ht="12.75">
      <c r="C11" s="178"/>
      <c r="D11" s="178"/>
      <c r="E11" s="179"/>
      <c r="F11" s="178"/>
      <c r="G11" s="179"/>
      <c r="H11" s="81"/>
      <c r="I11" s="82"/>
    </row>
    <row r="12" spans="3:9" ht="15.75">
      <c r="C12" s="180"/>
      <c r="D12" s="180"/>
      <c r="E12" s="70"/>
      <c r="F12" s="180"/>
      <c r="G12" s="70"/>
      <c r="H12" s="5"/>
      <c r="I12" s="82"/>
    </row>
    <row r="13" spans="3:9" ht="12.75">
      <c r="C13" s="178"/>
      <c r="D13" s="178"/>
      <c r="E13" s="71"/>
      <c r="F13" s="178"/>
      <c r="G13" s="124"/>
      <c r="H13" s="84"/>
      <c r="I13" s="82"/>
    </row>
    <row r="14" spans="3:9" ht="12.75">
      <c r="C14" s="178"/>
      <c r="D14" s="178"/>
      <c r="E14" s="181"/>
      <c r="F14" s="178"/>
      <c r="G14" s="124"/>
      <c r="H14" s="85"/>
      <c r="I14" s="82"/>
    </row>
    <row r="15" spans="3:9" ht="12.75">
      <c r="C15" s="178"/>
      <c r="D15" s="178"/>
      <c r="E15" s="179"/>
      <c r="F15" s="178"/>
      <c r="G15" s="179"/>
      <c r="H15" s="81"/>
      <c r="I15" s="82"/>
    </row>
    <row r="16" spans="3:9" ht="15.75">
      <c r="C16" s="5"/>
      <c r="D16" s="5"/>
      <c r="E16" s="10"/>
      <c r="F16" s="5"/>
      <c r="G16" s="10"/>
      <c r="H16" s="5"/>
      <c r="I16" s="82"/>
    </row>
    <row r="17" spans="3:9" ht="15.75">
      <c r="C17" s="83" t="s">
        <v>15</v>
      </c>
      <c r="D17" s="83"/>
      <c r="E17" s="10"/>
      <c r="F17" s="83"/>
      <c r="G17" s="10"/>
      <c r="H17" s="5"/>
      <c r="I17" s="86"/>
    </row>
    <row r="18" spans="3:9" ht="12.75" customHeight="1">
      <c r="C18" s="6" t="s">
        <v>16</v>
      </c>
      <c r="D18" s="6"/>
      <c r="E18" s="84">
        <f>G93</f>
        <v>0.18756906390190123</v>
      </c>
      <c r="F18" s="6"/>
      <c r="G18" s="11"/>
      <c r="H18" s="84"/>
      <c r="I18" s="86"/>
    </row>
    <row r="19" spans="3:8" ht="12.75">
      <c r="C19" s="6" t="s">
        <v>17</v>
      </c>
      <c r="D19" s="6"/>
      <c r="E19" s="87">
        <f>-(G91+J94)/J93</f>
        <v>1.4383075426367486</v>
      </c>
      <c r="F19" s="6"/>
      <c r="G19" s="9"/>
      <c r="H19" s="81"/>
    </row>
    <row r="20" spans="3:7" ht="12.75">
      <c r="C20" s="6"/>
      <c r="D20" s="6"/>
      <c r="E20" s="6"/>
      <c r="F20" s="6"/>
      <c r="G20" s="81"/>
    </row>
    <row r="21" spans="3:12" ht="15.75">
      <c r="C21" s="88" t="s">
        <v>50</v>
      </c>
      <c r="D21" s="7"/>
      <c r="E21" s="7"/>
      <c r="F21" s="7"/>
      <c r="I21" s="89"/>
      <c r="J21" s="17"/>
      <c r="L21" s="80"/>
    </row>
    <row r="22" spans="3:12" ht="12.75">
      <c r="C22" s="90">
        <v>0.012144909</v>
      </c>
      <c r="D22" s="17"/>
      <c r="E22" s="17"/>
      <c r="F22" s="17"/>
      <c r="G22" s="91"/>
      <c r="H22" s="17"/>
      <c r="I22" s="17"/>
      <c r="J22" s="44"/>
      <c r="K22" s="41"/>
      <c r="L22" s="124"/>
    </row>
    <row r="23" spans="3:12" ht="12.75">
      <c r="C23" s="17"/>
      <c r="D23" s="17"/>
      <c r="E23" s="89"/>
      <c r="F23" s="45"/>
      <c r="G23" s="45"/>
      <c r="H23" s="17"/>
      <c r="I23" s="25"/>
      <c r="J23" s="44"/>
      <c r="K23" s="41"/>
      <c r="L23" s="124"/>
    </row>
    <row r="24" spans="3:12" ht="12.75">
      <c r="C24" s="17" t="s">
        <v>30</v>
      </c>
      <c r="D24" s="17"/>
      <c r="E24" s="89">
        <v>42933</v>
      </c>
      <c r="F24" s="45"/>
      <c r="G24" s="45">
        <v>-118300</v>
      </c>
      <c r="H24" s="17"/>
      <c r="I24" s="25"/>
      <c r="J24" s="44"/>
      <c r="K24" s="41"/>
      <c r="L24" s="124"/>
    </row>
    <row r="25" spans="3:12" ht="12.75">
      <c r="C25" s="17"/>
      <c r="D25" s="17"/>
      <c r="E25" s="89">
        <v>43010</v>
      </c>
      <c r="F25" s="45"/>
      <c r="G25" s="45">
        <v>-28700</v>
      </c>
      <c r="H25" s="17"/>
      <c r="I25" s="25"/>
      <c r="J25" s="44"/>
      <c r="K25" s="41"/>
      <c r="L25" s="124"/>
    </row>
    <row r="26" spans="3:12" ht="12.75">
      <c r="C26" s="17"/>
      <c r="D26" s="17"/>
      <c r="E26" s="89">
        <v>43052</v>
      </c>
      <c r="F26" s="45"/>
      <c r="G26" s="45">
        <v>-12600</v>
      </c>
      <c r="H26" s="17"/>
      <c r="I26" s="25"/>
      <c r="J26" s="44"/>
      <c r="K26" s="41"/>
      <c r="L26" s="42"/>
    </row>
    <row r="27" spans="3:12" ht="12.75">
      <c r="C27" s="17"/>
      <c r="D27" s="17"/>
      <c r="E27" s="89">
        <v>43087</v>
      </c>
      <c r="F27" s="45"/>
      <c r="G27" s="45">
        <v>-55425.40</v>
      </c>
      <c r="H27" s="17"/>
      <c r="I27" s="25"/>
      <c r="J27" s="44"/>
      <c r="K27" s="42"/>
      <c r="L27" s="42"/>
    </row>
    <row r="28" spans="3:12" ht="12.75">
      <c r="C28" s="17"/>
      <c r="D28" s="17"/>
      <c r="E28" s="89">
        <v>43096</v>
      </c>
      <c r="F28" s="45"/>
      <c r="G28" s="45">
        <v>-33988.44</v>
      </c>
      <c r="H28" s="17"/>
      <c r="I28" s="25"/>
      <c r="J28" s="44"/>
      <c r="K28" s="41"/>
      <c r="L28" s="42"/>
    </row>
    <row r="29" spans="3:11" ht="12.75">
      <c r="C29" s="17" t="s">
        <v>31</v>
      </c>
      <c r="D29" s="17"/>
      <c r="E29" s="89">
        <v>43182</v>
      </c>
      <c r="F29" s="45"/>
      <c r="G29" s="45">
        <v>-245863.11</v>
      </c>
      <c r="H29" s="17"/>
      <c r="I29" s="25"/>
      <c r="J29" s="25"/>
      <c r="K29" s="17"/>
    </row>
    <row r="30" spans="3:11" ht="12.75">
      <c r="C30" s="17"/>
      <c r="D30" s="17"/>
      <c r="E30" s="89">
        <v>43276</v>
      </c>
      <c r="F30" s="45"/>
      <c r="G30" s="45">
        <v>-87283.92</v>
      </c>
      <c r="H30" s="17"/>
      <c r="I30" s="25"/>
      <c r="J30" s="25"/>
      <c r="K30" s="17"/>
    </row>
    <row r="31" spans="3:11" ht="12.75">
      <c r="C31" s="17"/>
      <c r="D31" s="17"/>
      <c r="E31" s="89">
        <v>43363</v>
      </c>
      <c r="F31" s="45"/>
      <c r="G31" s="45">
        <v>-65060.71</v>
      </c>
      <c r="H31" s="17"/>
      <c r="I31" s="25"/>
      <c r="J31" s="25"/>
      <c r="K31" s="17"/>
    </row>
    <row r="32" spans="3:11" ht="12.75">
      <c r="C32" s="17"/>
      <c r="D32" s="17"/>
      <c r="E32" s="89">
        <v>43398</v>
      </c>
      <c r="F32" s="45"/>
      <c r="G32" s="45">
        <v>-57016.11</v>
      </c>
      <c r="H32" s="17"/>
      <c r="I32" s="25"/>
      <c r="J32" s="25"/>
      <c r="K32" s="17"/>
    </row>
    <row r="33" spans="3:11" ht="12.75">
      <c r="C33" s="17"/>
      <c r="D33" s="17"/>
      <c r="E33" s="89">
        <v>43433</v>
      </c>
      <c r="F33" s="45"/>
      <c r="G33" s="45">
        <v>-46256.45</v>
      </c>
      <c r="H33" s="17"/>
      <c r="I33" s="25"/>
      <c r="J33" s="25"/>
      <c r="K33" s="17"/>
    </row>
    <row r="34" spans="3:11" ht="12.75">
      <c r="C34" s="17" t="s">
        <v>32</v>
      </c>
      <c r="D34" s="17"/>
      <c r="E34" s="89">
        <v>43468</v>
      </c>
      <c r="F34" s="45"/>
      <c r="G34" s="45">
        <v>-78535.4</v>
      </c>
      <c r="H34" s="17"/>
      <c r="I34" s="25"/>
      <c r="J34" s="25"/>
      <c r="K34" s="17"/>
    </row>
    <row r="35" spans="3:11" ht="12.75">
      <c r="C35" s="17"/>
      <c r="D35" s="17"/>
      <c r="E35" s="89">
        <v>43495</v>
      </c>
      <c r="F35" s="45"/>
      <c r="G35" s="45">
        <v>-129417.52</v>
      </c>
      <c r="H35" s="17"/>
      <c r="I35" s="25"/>
      <c r="J35" s="25"/>
      <c r="K35" s="17"/>
    </row>
    <row r="36" spans="3:11" ht="12.75">
      <c r="C36" s="17"/>
      <c r="D36" s="17"/>
      <c r="E36" s="89">
        <v>43510</v>
      </c>
      <c r="F36" s="45"/>
      <c r="G36" s="45">
        <v>-51988.23</v>
      </c>
      <c r="H36" s="17"/>
      <c r="I36" s="25"/>
      <c r="J36" s="25"/>
      <c r="K36" s="17"/>
    </row>
    <row r="37" spans="3:11" ht="12.75">
      <c r="C37" s="17"/>
      <c r="D37" s="17"/>
      <c r="E37" s="89">
        <v>43559</v>
      </c>
      <c r="F37" s="45"/>
      <c r="G37" s="45">
        <v>-72099.73</v>
      </c>
      <c r="H37" s="17"/>
      <c r="I37" s="25"/>
      <c r="J37" s="25"/>
      <c r="K37" s="17"/>
    </row>
    <row r="38" spans="3:11" ht="12.75">
      <c r="C38" s="17"/>
      <c r="D38" s="17"/>
      <c r="E38" s="89">
        <v>43593</v>
      </c>
      <c r="F38" s="45"/>
      <c r="G38" s="45">
        <v>-71898.61</v>
      </c>
      <c r="H38" s="17"/>
      <c r="I38" s="25"/>
      <c r="J38" s="25"/>
      <c r="K38" s="17"/>
    </row>
    <row r="39" spans="3:11" ht="12.75">
      <c r="C39" s="17"/>
      <c r="D39" s="17"/>
      <c r="E39" s="89">
        <v>43642</v>
      </c>
      <c r="F39" s="45"/>
      <c r="G39" s="45">
        <v>-114836.68</v>
      </c>
      <c r="H39" s="17"/>
      <c r="I39" s="25"/>
      <c r="J39" s="25"/>
      <c r="K39" s="17"/>
    </row>
    <row r="40" spans="3:11" ht="12.75">
      <c r="C40" s="17"/>
      <c r="D40" s="17"/>
      <c r="E40" s="89">
        <v>43656</v>
      </c>
      <c r="F40" s="45"/>
      <c r="G40" s="45">
        <v>-85272.77</v>
      </c>
      <c r="H40" s="17"/>
      <c r="I40" s="25"/>
      <c r="J40" s="25"/>
      <c r="K40" s="17"/>
    </row>
    <row r="41" spans="3:11" ht="12.75">
      <c r="C41" s="17"/>
      <c r="D41" s="17"/>
      <c r="E41" s="89">
        <v>43684</v>
      </c>
      <c r="F41" s="45"/>
      <c r="G41" s="45">
        <v>-74412.54</v>
      </c>
      <c r="H41" s="17"/>
      <c r="I41" s="25"/>
      <c r="J41" s="25"/>
      <c r="K41" s="17"/>
    </row>
    <row r="42" spans="3:11" ht="12.75">
      <c r="C42" s="17"/>
      <c r="D42" s="17"/>
      <c r="E42" s="89">
        <v>43768</v>
      </c>
      <c r="F42" s="45"/>
      <c r="G42" s="45">
        <v>-73608.09</v>
      </c>
      <c r="H42" s="17"/>
      <c r="I42" s="25"/>
      <c r="J42" s="25"/>
      <c r="K42" s="17"/>
    </row>
    <row r="43" spans="3:11" ht="12.75">
      <c r="C43" s="17"/>
      <c r="D43" s="17"/>
      <c r="E43" s="89">
        <v>43817</v>
      </c>
      <c r="F43" s="45"/>
      <c r="G43" s="45">
        <v>-565937.67</v>
      </c>
      <c r="H43" s="17"/>
      <c r="I43" s="25"/>
      <c r="J43" s="25"/>
      <c r="K43" s="17"/>
    </row>
    <row r="44" spans="3:11" ht="12.75">
      <c r="C44" s="17" t="s">
        <v>33</v>
      </c>
      <c r="D44" s="17"/>
      <c r="E44" s="89">
        <v>44006</v>
      </c>
      <c r="F44" s="45"/>
      <c r="G44" s="45">
        <v>-41932.49</v>
      </c>
      <c r="H44" s="17"/>
      <c r="I44" s="25"/>
      <c r="J44" s="25"/>
      <c r="K44" s="17"/>
    </row>
    <row r="45" spans="3:11" ht="12.75">
      <c r="C45" s="17"/>
      <c r="D45" s="17"/>
      <c r="E45" s="89">
        <v>44026</v>
      </c>
      <c r="F45" s="45"/>
      <c r="G45" s="45">
        <v>-103674.79</v>
      </c>
      <c r="H45" s="17"/>
      <c r="I45" s="25"/>
      <c r="J45" s="25"/>
      <c r="K45" s="17"/>
    </row>
    <row r="46" spans="3:11" ht="12.75">
      <c r="C46" s="17"/>
      <c r="D46" s="17"/>
      <c r="E46" s="89">
        <v>44105</v>
      </c>
      <c r="F46" s="45"/>
      <c r="G46" s="45">
        <v>-35597.36</v>
      </c>
      <c r="H46" s="17"/>
      <c r="I46" s="25"/>
      <c r="J46" s="25"/>
      <c r="K46" s="17"/>
    </row>
    <row r="47" spans="3:11" ht="12.75">
      <c r="C47" s="17"/>
      <c r="D47" s="17"/>
      <c r="E47" s="89">
        <v>44182</v>
      </c>
      <c r="F47" s="45"/>
      <c r="G47" s="45">
        <v>-144300.02</v>
      </c>
      <c r="H47" s="17"/>
      <c r="I47" s="25"/>
      <c r="J47" s="25"/>
      <c r="K47" s="17"/>
    </row>
    <row r="48" spans="3:11" ht="12.75">
      <c r="C48" s="17"/>
      <c r="D48" s="17"/>
      <c r="E48" s="89">
        <v>44188</v>
      </c>
      <c r="F48" s="45"/>
      <c r="G48" s="45">
        <v>-33586.21</v>
      </c>
      <c r="H48" s="17"/>
      <c r="I48" s="25"/>
      <c r="J48" s="25"/>
      <c r="K48" s="17"/>
    </row>
    <row r="49" spans="3:11" ht="12.75">
      <c r="C49" s="17" t="s">
        <v>34</v>
      </c>
      <c r="D49" s="17"/>
      <c r="E49" s="89">
        <v>44246</v>
      </c>
      <c r="F49" s="45"/>
      <c r="G49" s="45">
        <v>-30971.71</v>
      </c>
      <c r="H49" s="17"/>
      <c r="I49" s="25"/>
      <c r="J49" s="25"/>
      <c r="K49" s="17"/>
    </row>
    <row r="50" spans="3:11" ht="12.75">
      <c r="C50" s="17"/>
      <c r="D50" s="17"/>
      <c r="E50" s="89">
        <v>44250</v>
      </c>
      <c r="F50" s="45"/>
      <c r="G50" s="45">
        <v>-32681.18</v>
      </c>
      <c r="H50" s="17"/>
      <c r="I50" s="25"/>
      <c r="J50" s="25"/>
      <c r="K50" s="17"/>
    </row>
    <row r="51" spans="3:11" ht="12.75">
      <c r="C51" s="17"/>
      <c r="D51" s="17"/>
      <c r="E51" s="89">
        <v>44274</v>
      </c>
      <c r="F51" s="45"/>
      <c r="G51" s="45">
        <v>-51485.45</v>
      </c>
      <c r="H51" s="17"/>
      <c r="I51" s="25"/>
      <c r="J51" s="25"/>
      <c r="K51" s="17"/>
    </row>
    <row r="52" spans="3:11" ht="12.75">
      <c r="C52" s="17"/>
      <c r="D52" s="17"/>
      <c r="E52" s="89">
        <v>44305</v>
      </c>
      <c r="F52" s="45"/>
      <c r="G52" s="45">
        <v>-573580.03</v>
      </c>
      <c r="H52" s="17"/>
      <c r="I52" s="25"/>
      <c r="J52" s="25"/>
      <c r="K52" s="17"/>
    </row>
    <row r="53" spans="3:11" ht="12.75">
      <c r="C53" s="17"/>
      <c r="D53" s="17"/>
      <c r="E53" s="89">
        <v>44362</v>
      </c>
      <c r="F53" s="45"/>
      <c r="G53" s="45">
        <v>89998.97</v>
      </c>
      <c r="H53" s="17"/>
      <c r="I53" s="25"/>
      <c r="J53" s="25"/>
      <c r="K53" s="17"/>
    </row>
    <row r="54" spans="3:11" ht="12.75">
      <c r="C54" s="17"/>
      <c r="D54" s="17"/>
      <c r="E54" s="89">
        <v>44400</v>
      </c>
      <c r="F54" s="45"/>
      <c r="G54" s="45">
        <v>-70390.26</v>
      </c>
      <c r="H54" s="17"/>
      <c r="I54" s="25"/>
      <c r="J54" s="25"/>
      <c r="K54" s="17"/>
    </row>
    <row r="55" spans="3:11" ht="12.75">
      <c r="C55" s="17"/>
      <c r="D55" s="17"/>
      <c r="E55" s="89">
        <v>44407</v>
      </c>
      <c r="F55" s="45"/>
      <c r="G55" s="45">
        <v>-75418.13</v>
      </c>
      <c r="H55" s="17"/>
      <c r="I55" s="25"/>
      <c r="J55" s="25"/>
      <c r="K55" s="17"/>
    </row>
    <row r="56" spans="3:11" ht="12.75">
      <c r="C56" s="17"/>
      <c r="D56" s="17"/>
      <c r="E56" s="89">
        <v>44440</v>
      </c>
      <c r="F56" s="45"/>
      <c r="G56" s="45">
        <v>-35999.59</v>
      </c>
      <c r="H56" s="17"/>
      <c r="I56" s="25"/>
      <c r="J56" s="25"/>
      <c r="K56" s="17"/>
    </row>
    <row r="57" spans="3:11" ht="12.75">
      <c r="C57" s="17"/>
      <c r="D57" s="17"/>
      <c r="E57" s="89">
        <v>44453</v>
      </c>
      <c r="F57" s="45"/>
      <c r="G57" s="45">
        <v>-59429.49</v>
      </c>
      <c r="H57" s="17"/>
      <c r="I57" s="25"/>
      <c r="J57" s="25"/>
      <c r="K57" s="17"/>
    </row>
    <row r="58" spans="3:11" ht="12.75">
      <c r="C58" s="17"/>
      <c r="D58" s="17"/>
      <c r="E58" s="89">
        <v>44473</v>
      </c>
      <c r="F58" s="45"/>
      <c r="G58" s="45">
        <v>-37910.19</v>
      </c>
      <c r="H58" s="17"/>
      <c r="I58" s="25"/>
      <c r="J58" s="25"/>
      <c r="K58" s="17"/>
    </row>
    <row r="59" spans="3:11" ht="12.75">
      <c r="C59" s="17"/>
      <c r="D59" s="17"/>
      <c r="E59" s="89">
        <v>44496</v>
      </c>
      <c r="F59" s="45"/>
      <c r="G59" s="45">
        <v>-43239.73</v>
      </c>
      <c r="H59" s="17"/>
      <c r="I59" s="25"/>
      <c r="J59" s="25"/>
      <c r="K59" s="17"/>
    </row>
    <row r="60" spans="3:11" ht="12.75">
      <c r="C60" s="17"/>
      <c r="D60" s="17"/>
      <c r="E60" s="89">
        <v>44537</v>
      </c>
      <c r="F60" s="45"/>
      <c r="G60" s="45">
        <v>-171249.44</v>
      </c>
      <c r="H60" s="17"/>
      <c r="I60" s="25"/>
      <c r="J60" s="25"/>
      <c r="K60" s="17"/>
    </row>
    <row r="61" spans="3:11" ht="12.75">
      <c r="C61" s="17"/>
      <c r="D61" s="17"/>
      <c r="E61" s="89">
        <v>44550</v>
      </c>
      <c r="F61" s="45"/>
      <c r="G61" s="45">
        <v>-405749.55</v>
      </c>
      <c r="H61" s="17"/>
      <c r="I61" s="25"/>
      <c r="J61" s="25"/>
      <c r="K61" s="17"/>
    </row>
    <row r="62" spans="3:11" ht="12.75">
      <c r="C62" s="17" t="s">
        <v>28</v>
      </c>
      <c r="D62" s="17"/>
      <c r="E62" s="89">
        <v>44396</v>
      </c>
      <c r="F62" s="45"/>
      <c r="G62" s="45">
        <v>14478.55</v>
      </c>
      <c r="H62" s="17"/>
      <c r="I62" s="25"/>
      <c r="J62" s="25"/>
      <c r="K62" s="17"/>
    </row>
    <row r="63" spans="3:11" ht="12.75">
      <c r="C63" s="17"/>
      <c r="D63" s="17"/>
      <c r="E63" s="89">
        <v>44476</v>
      </c>
      <c r="F63" s="45"/>
      <c r="G63" s="45">
        <v>17147.06</v>
      </c>
      <c r="H63" s="17"/>
      <c r="I63" s="25"/>
      <c r="J63" s="25"/>
      <c r="K63" s="17"/>
    </row>
    <row r="64" spans="3:11" ht="12.75">
      <c r="C64" s="17"/>
      <c r="D64" s="17"/>
      <c r="E64" s="89">
        <v>44512</v>
      </c>
      <c r="F64" s="45"/>
      <c r="G64" s="45">
        <v>55569.08</v>
      </c>
      <c r="H64" s="17"/>
      <c r="I64" s="25"/>
      <c r="J64" s="25"/>
      <c r="K64" s="17"/>
    </row>
    <row r="65" spans="3:11" ht="12.75">
      <c r="C65" s="17" t="s">
        <v>35</v>
      </c>
      <c r="D65" s="17"/>
      <c r="E65" s="89">
        <v>44565</v>
      </c>
      <c r="F65" s="45"/>
      <c r="G65" s="45">
        <v>-20010.94</v>
      </c>
      <c r="H65" s="17"/>
      <c r="I65" s="25"/>
      <c r="J65" s="25"/>
      <c r="K65" s="17"/>
    </row>
    <row r="66" spans="3:11" ht="12.75">
      <c r="C66" s="17"/>
      <c r="D66" s="17"/>
      <c r="E66" s="89">
        <v>44602</v>
      </c>
      <c r="F66" s="45"/>
      <c r="G66" s="45">
        <v>-61842.87</v>
      </c>
      <c r="H66" s="17"/>
      <c r="I66" s="25"/>
      <c r="J66" s="25"/>
      <c r="K66" s="17"/>
    </row>
    <row r="67" spans="3:11" ht="12.75">
      <c r="C67" s="17"/>
      <c r="D67" s="17"/>
      <c r="E67" s="89">
        <v>44628</v>
      </c>
      <c r="F67" s="45"/>
      <c r="G67" s="45">
        <v>-46055.35</v>
      </c>
      <c r="H67" s="17"/>
      <c r="I67" s="25"/>
      <c r="J67" s="25"/>
      <c r="K67" s="17"/>
    </row>
    <row r="68" spans="3:11" ht="12.75">
      <c r="C68" s="17"/>
      <c r="D68" s="17"/>
      <c r="E68" s="89">
        <v>44641</v>
      </c>
      <c r="F68" s="45"/>
      <c r="G68" s="45">
        <v>-301672.53</v>
      </c>
      <c r="H68" s="17"/>
      <c r="I68" s="25"/>
      <c r="J68" s="25"/>
      <c r="K68" s="17"/>
    </row>
    <row r="69" spans="3:11" ht="12.75">
      <c r="C69" s="17"/>
      <c r="D69" s="17"/>
      <c r="E69" s="89">
        <v>44645</v>
      </c>
      <c r="F69" s="45"/>
      <c r="G69" s="45">
        <v>-651310.98</v>
      </c>
      <c r="H69" s="17"/>
      <c r="I69" s="25"/>
      <c r="J69" s="25"/>
      <c r="K69" s="17"/>
    </row>
    <row r="70" spans="3:11" ht="12.75">
      <c r="C70" s="17"/>
      <c r="D70" s="17"/>
      <c r="E70" s="89">
        <v>44670</v>
      </c>
      <c r="F70" s="45"/>
      <c r="G70" s="45">
        <v>271806.95</v>
      </c>
      <c r="H70" s="17"/>
      <c r="I70" s="25"/>
      <c r="J70" s="25"/>
      <c r="K70" s="17"/>
    </row>
    <row r="71" spans="3:11" ht="12.75">
      <c r="C71" s="17"/>
      <c r="D71" s="17"/>
      <c r="E71" s="89">
        <v>44694</v>
      </c>
      <c r="F71" s="45"/>
      <c r="G71" s="45">
        <v>-13776.38</v>
      </c>
      <c r="H71" s="17"/>
      <c r="I71" s="25"/>
      <c r="J71" s="25"/>
      <c r="K71" s="17"/>
    </row>
    <row r="72" spans="3:11" ht="12.75">
      <c r="C72" s="17"/>
      <c r="D72" s="17"/>
      <c r="E72" s="89">
        <v>44701</v>
      </c>
      <c r="F72" s="45"/>
      <c r="G72" s="45">
        <v>-35094.57</v>
      </c>
      <c r="H72" s="17"/>
      <c r="I72" s="25"/>
      <c r="J72" s="25"/>
      <c r="K72" s="17"/>
    </row>
    <row r="73" spans="3:11" ht="12.75">
      <c r="C73" s="17"/>
      <c r="D73" s="17"/>
      <c r="E73" s="89">
        <v>44727</v>
      </c>
      <c r="F73" s="45"/>
      <c r="G73" s="45">
        <v>-112724.96</v>
      </c>
      <c r="H73" s="17"/>
      <c r="I73" s="25"/>
      <c r="J73" s="25"/>
      <c r="K73" s="17"/>
    </row>
    <row r="74" spans="3:11" ht="12.75">
      <c r="C74" s="17"/>
      <c r="D74" s="17"/>
      <c r="E74" s="89">
        <v>44750</v>
      </c>
      <c r="F74" s="45"/>
      <c r="G74" s="45">
        <v>-109607.68</v>
      </c>
      <c r="H74" s="17"/>
      <c r="I74" s="25"/>
      <c r="J74" s="25"/>
      <c r="K74" s="17"/>
    </row>
    <row r="75" spans="3:11" ht="12.75">
      <c r="C75" s="17"/>
      <c r="D75" s="17"/>
      <c r="E75" s="89">
        <v>44764</v>
      </c>
      <c r="F75" s="45"/>
      <c r="G75" s="45">
        <v>-15888.08</v>
      </c>
      <c r="H75" s="17"/>
      <c r="I75" s="25"/>
      <c r="J75" s="25"/>
      <c r="K75" s="17"/>
    </row>
    <row r="76" spans="3:11" ht="12.75">
      <c r="C76" s="17"/>
      <c r="D76" s="17"/>
      <c r="E76" s="89">
        <v>44790</v>
      </c>
      <c r="F76" s="45"/>
      <c r="G76" s="45">
        <v>-18703.69</v>
      </c>
      <c r="H76" s="17"/>
      <c r="I76" s="25"/>
      <c r="J76" s="25"/>
      <c r="K76" s="17"/>
    </row>
    <row r="77" spans="3:11" ht="12.75">
      <c r="C77" s="17"/>
      <c r="D77" s="17"/>
      <c r="E77" s="89">
        <v>44797</v>
      </c>
      <c r="F77" s="45"/>
      <c r="G77" s="45">
        <v>-54200.49</v>
      </c>
      <c r="H77" s="17"/>
      <c r="I77" s="25"/>
      <c r="J77" s="25"/>
      <c r="K77" s="17"/>
    </row>
    <row r="78" spans="3:11" ht="12.75">
      <c r="C78" s="17"/>
      <c r="D78" s="17"/>
      <c r="E78" s="89">
        <v>44806</v>
      </c>
      <c r="F78" s="45"/>
      <c r="G78" s="45">
        <v>-48066.50</v>
      </c>
      <c r="H78" s="17"/>
      <c r="I78" s="25"/>
      <c r="J78" s="25"/>
      <c r="K78" s="17"/>
    </row>
    <row r="79" spans="3:11" ht="12.75">
      <c r="C79" s="17"/>
      <c r="D79" s="17"/>
      <c r="E79" s="89">
        <v>44818</v>
      </c>
      <c r="F79" s="45"/>
      <c r="G79" s="45">
        <v>-138869.93</v>
      </c>
      <c r="H79" s="17"/>
      <c r="I79" s="25"/>
      <c r="J79" s="25"/>
      <c r="K79" s="17"/>
    </row>
    <row r="80" spans="3:11" ht="12.75">
      <c r="C80" s="17"/>
      <c r="D80" s="17"/>
      <c r="E80" s="89">
        <v>44833</v>
      </c>
      <c r="F80" s="45"/>
      <c r="G80" s="45">
        <v>-49273.18</v>
      </c>
      <c r="H80" s="17"/>
      <c r="I80" s="25"/>
      <c r="J80" s="25"/>
      <c r="K80" s="17"/>
    </row>
    <row r="81" spans="3:11" ht="12.75">
      <c r="C81" s="17" t="s">
        <v>29</v>
      </c>
      <c r="D81" s="17"/>
      <c r="E81" s="89">
        <v>44575</v>
      </c>
      <c r="F81" s="45"/>
      <c r="G81" s="45">
        <v>70317.36</v>
      </c>
      <c r="H81" s="17"/>
      <c r="I81" s="25"/>
      <c r="J81" s="25"/>
      <c r="K81" s="17"/>
    </row>
    <row r="82" spans="3:11" ht="12.75">
      <c r="C82" s="17"/>
      <c r="D82" s="17"/>
      <c r="E82" s="89">
        <v>44601</v>
      </c>
      <c r="F82" s="45"/>
      <c r="G82" s="45">
        <v>54777.98</v>
      </c>
      <c r="H82" s="17"/>
      <c r="I82" s="25"/>
      <c r="J82" s="25"/>
      <c r="K82" s="17"/>
    </row>
    <row r="83" spans="3:11" ht="12.75">
      <c r="C83" s="17"/>
      <c r="D83" s="17"/>
      <c r="E83" s="89">
        <v>44628</v>
      </c>
      <c r="F83" s="45"/>
      <c r="G83" s="45">
        <v>143395.19</v>
      </c>
      <c r="H83" s="17"/>
      <c r="I83" s="25"/>
      <c r="J83" s="25"/>
      <c r="K83" s="17"/>
    </row>
    <row r="84" spans="3:11" ht="12.75">
      <c r="C84" s="17"/>
      <c r="D84" s="17"/>
      <c r="E84" s="89">
        <v>44659</v>
      </c>
      <c r="F84" s="45"/>
      <c r="G84" s="45">
        <v>72768.56</v>
      </c>
      <c r="H84" s="17"/>
      <c r="I84" s="25"/>
      <c r="J84" s="25"/>
      <c r="K84" s="17"/>
    </row>
    <row r="85" spans="3:11" ht="12.75">
      <c r="C85" s="17"/>
      <c r="D85" s="17"/>
      <c r="E85" s="89">
        <v>44692</v>
      </c>
      <c r="F85" s="45"/>
      <c r="G85" s="45">
        <v>61434.59</v>
      </c>
      <c r="H85" s="17"/>
      <c r="I85" s="25"/>
      <c r="J85" s="25"/>
      <c r="K85" s="17"/>
    </row>
    <row r="86" spans="3:11" ht="12.75">
      <c r="C86" s="17"/>
      <c r="D86" s="17"/>
      <c r="E86" s="89">
        <v>44719</v>
      </c>
      <c r="F86" s="45"/>
      <c r="G86" s="45">
        <v>76039.47</v>
      </c>
      <c r="H86" s="17"/>
      <c r="I86" s="25"/>
      <c r="J86" s="25"/>
      <c r="K86" s="17"/>
    </row>
    <row r="87" spans="3:11" ht="12.75">
      <c r="C87" s="17"/>
      <c r="D87" s="17"/>
      <c r="E87" s="89">
        <v>44761</v>
      </c>
      <c r="F87" s="45"/>
      <c r="G87" s="45">
        <v>118775.84</v>
      </c>
      <c r="H87" s="17"/>
      <c r="I87" s="25"/>
      <c r="J87" s="25"/>
      <c r="K87" s="17"/>
    </row>
    <row r="88" spans="3:11" ht="12.75">
      <c r="C88" s="17"/>
      <c r="D88" s="17"/>
      <c r="E88" s="89">
        <v>44776</v>
      </c>
      <c r="F88" s="45"/>
      <c r="G88" s="45">
        <v>104734.96</v>
      </c>
      <c r="H88" s="17"/>
      <c r="I88" s="25"/>
      <c r="J88" s="25"/>
      <c r="K88" s="17"/>
    </row>
    <row r="89" spans="3:11" ht="12.75">
      <c r="C89" s="17"/>
      <c r="D89" s="17"/>
      <c r="E89" s="89">
        <v>44817</v>
      </c>
      <c r="F89" s="45"/>
      <c r="G89" s="45">
        <v>36369.32</v>
      </c>
      <c r="H89" s="17"/>
      <c r="I89" s="25"/>
      <c r="J89" s="25"/>
      <c r="K89" s="17"/>
    </row>
    <row r="90" spans="3:9" ht="4.5" customHeight="1">
      <c r="C90" s="17"/>
      <c r="D90" s="17"/>
      <c r="E90" s="89"/>
      <c r="F90" s="17"/>
      <c r="G90" s="45"/>
      <c r="H90" s="17"/>
      <c r="I90" s="25"/>
    </row>
    <row r="91" spans="3:12" ht="12.75">
      <c r="C91" s="17" t="s">
        <v>5</v>
      </c>
      <c r="D91" s="17"/>
      <c r="E91" s="89">
        <f>+E8</f>
        <v>44834</v>
      </c>
      <c r="F91" s="17"/>
      <c r="G91" s="94">
        <f>L91*C22</f>
        <v>6841794.030458122</v>
      </c>
      <c r="H91" s="17"/>
      <c r="I91" s="89"/>
      <c r="L91" s="124">
        <v>5.63346669E8</v>
      </c>
    </row>
    <row r="92" spans="3:10" ht="12.75">
      <c r="C92" s="17"/>
      <c r="D92" s="17"/>
      <c r="E92" s="17"/>
      <c r="F92" s="17"/>
      <c r="G92" s="17"/>
      <c r="H92" s="17"/>
      <c r="J92" s="25"/>
    </row>
    <row r="93" spans="3:11" ht="12.75">
      <c r="C93" s="15" t="s">
        <v>0</v>
      </c>
      <c r="G93" s="72">
        <f>+XIRR(G24:G91,E24:E91,0.1)</f>
        <v>0.18756906390190123</v>
      </c>
      <c r="H93" s="17"/>
      <c r="J93" s="45">
        <f>+SUMIF($G$24:$G$90,"&lt;0",$G$24:$G$90)+G53+G70</f>
        <v>-5330989.21</v>
      </c>
      <c r="K93" s="17" t="s">
        <v>20</v>
      </c>
    </row>
    <row r="94" spans="3:11" ht="12.75">
      <c r="C94" s="17"/>
      <c r="D94" s="17"/>
      <c r="E94" s="17"/>
      <c r="F94" s="17"/>
      <c r="G94" s="17"/>
      <c r="H94" s="17"/>
      <c r="J94" s="45">
        <f>+SUMIF($G$24:$G$90,"&gt;0",$G$24:$G$90)-G53-G70</f>
        <v>825807.96</v>
      </c>
      <c r="K94" s="17" t="s">
        <v>21</v>
      </c>
    </row>
    <row r="95" spans="3:8" ht="12.75">
      <c r="C95" s="17"/>
      <c r="D95" s="17"/>
      <c r="E95" s="17"/>
      <c r="F95" s="17"/>
      <c r="G95" s="25"/>
      <c r="H95" s="17"/>
    </row>
    <row r="96" spans="3:11" ht="12.75">
      <c r="C96" s="17"/>
      <c r="D96" s="17"/>
      <c r="E96" s="75"/>
      <c r="F96" s="17"/>
      <c r="G96" s="75"/>
      <c r="H96" s="17"/>
      <c r="K96" s="75"/>
    </row>
    <row r="97" spans="3:11" ht="12.75">
      <c r="C97" s="28"/>
      <c r="D97" s="28"/>
      <c r="E97" s="75"/>
      <c r="F97" s="28"/>
      <c r="G97" s="75"/>
      <c r="H97" s="17"/>
      <c r="K97" s="75"/>
    </row>
    <row r="98" spans="3:11" ht="12.75">
      <c r="C98" s="28"/>
      <c r="D98" s="28"/>
      <c r="E98" s="75"/>
      <c r="F98" s="28"/>
      <c r="G98" s="75"/>
      <c r="H98" s="17"/>
      <c r="K98" s="75"/>
    </row>
    <row r="99" spans="3:11" ht="12.75">
      <c r="C99" s="28"/>
      <c r="D99" s="28"/>
      <c r="E99" s="76"/>
      <c r="F99" s="76"/>
      <c r="G99" s="76"/>
      <c r="H99" s="15"/>
      <c r="K99" s="75"/>
    </row>
    <row r="100" spans="3:11" ht="12.75">
      <c r="C100" s="28"/>
      <c r="D100" s="28"/>
      <c r="E100" s="75"/>
      <c r="F100" s="75"/>
      <c r="G100" s="75"/>
      <c r="H100" s="15"/>
      <c r="K100" s="75"/>
    </row>
    <row r="101" spans="3:11" ht="12.75">
      <c r="C101" s="28"/>
      <c r="D101" s="28"/>
      <c r="E101" s="28"/>
      <c r="F101" s="28"/>
      <c r="G101" s="28"/>
      <c r="H101" s="15"/>
      <c r="K101" s="95"/>
    </row>
    <row r="102" spans="3:8" ht="12.75">
      <c r="C102" s="171"/>
      <c r="D102" s="171"/>
      <c r="E102" s="173"/>
      <c r="F102" s="96"/>
      <c r="G102" s="32"/>
      <c r="H102" s="15"/>
    </row>
    <row r="103" spans="3:11" ht="12.75">
      <c r="C103" s="171"/>
      <c r="D103" s="171"/>
      <c r="E103" s="97"/>
      <c r="F103" s="96"/>
      <c r="G103" s="97"/>
      <c r="H103" s="15"/>
      <c r="K103" s="95"/>
    </row>
    <row r="104" spans="3:8" ht="12.75">
      <c r="C104" s="171"/>
      <c r="D104" s="171"/>
      <c r="E104" s="97"/>
      <c r="F104" s="96"/>
      <c r="G104" s="97"/>
      <c r="H104" s="15"/>
    </row>
    <row r="105" spans="3:8" ht="12.75">
      <c r="C105" s="189"/>
      <c r="D105" s="171"/>
      <c r="E105" s="97"/>
      <c r="F105" s="96"/>
      <c r="G105" s="97"/>
      <c r="H105" s="15"/>
    </row>
    <row r="106" spans="3:8" ht="12.75">
      <c r="C106" s="189"/>
      <c r="D106" s="171"/>
      <c r="E106" s="97"/>
      <c r="F106" s="96"/>
      <c r="G106" s="97"/>
      <c r="H106" s="15"/>
    </row>
    <row r="107" spans="3:8" ht="12.75">
      <c r="C107" s="190"/>
      <c r="D107" s="171"/>
      <c r="E107" s="97"/>
      <c r="F107" s="96"/>
      <c r="G107" s="97"/>
      <c r="H107" s="15"/>
    </row>
    <row r="108" spans="3:8" ht="12.75">
      <c r="C108" s="171"/>
      <c r="D108" s="171"/>
      <c r="E108" s="97"/>
      <c r="F108" s="96"/>
      <c r="G108" s="97"/>
      <c r="H108" s="15"/>
    </row>
    <row r="109" spans="3:8" ht="12.75">
      <c r="C109" s="171"/>
      <c r="D109" s="171"/>
      <c r="E109" s="97"/>
      <c r="F109" s="96"/>
      <c r="G109" s="97"/>
      <c r="H109" s="15"/>
    </row>
    <row r="110" spans="3:8" ht="12.75">
      <c r="C110" s="171"/>
      <c r="D110" s="171"/>
      <c r="E110" s="97"/>
      <c r="F110" s="96"/>
      <c r="G110" s="97"/>
      <c r="H110" s="15"/>
    </row>
    <row r="111" spans="3:8" ht="12.75">
      <c r="C111" s="171"/>
      <c r="D111" s="171"/>
      <c r="E111" s="97"/>
      <c r="F111" s="96"/>
      <c r="G111" s="97"/>
      <c r="H111" s="15"/>
    </row>
    <row r="112" spans="3:8" ht="12.75">
      <c r="C112" s="171"/>
      <c r="D112" s="171"/>
      <c r="E112" s="97"/>
      <c r="F112" s="96"/>
      <c r="G112" s="97"/>
      <c r="H112" s="15"/>
    </row>
    <row r="113" spans="3:8" ht="12.75">
      <c r="C113" s="171"/>
      <c r="D113" s="171"/>
      <c r="E113" s="97"/>
      <c r="F113" s="96"/>
      <c r="G113" s="97"/>
      <c r="H113" s="15"/>
    </row>
    <row r="114" spans="3:8" ht="5.1" customHeight="1">
      <c r="C114" s="15"/>
      <c r="D114" s="15"/>
      <c r="E114" s="98"/>
      <c r="F114" s="99"/>
      <c r="G114" s="98"/>
      <c r="H114" s="15"/>
    </row>
    <row r="115" spans="3:8" ht="12.75">
      <c r="C115" s="15"/>
      <c r="D115" s="15"/>
      <c r="E115" s="100"/>
      <c r="F115" s="101"/>
      <c r="G115" s="100"/>
      <c r="H115" s="15"/>
    </row>
    <row r="116" spans="3:8" ht="12.75">
      <c r="C116" s="17"/>
      <c r="D116" s="17"/>
      <c r="E116" s="102"/>
      <c r="F116" s="103"/>
      <c r="G116" s="102"/>
      <c r="H116" s="17"/>
    </row>
    <row r="117" spans="3:8" ht="12.75">
      <c r="C117" s="17"/>
      <c r="D117" s="17"/>
      <c r="E117" s="102"/>
      <c r="F117" s="103"/>
      <c r="G117" s="102"/>
      <c r="H117" s="17"/>
    </row>
    <row r="118" spans="3:8" ht="12.75">
      <c r="C118" s="17"/>
      <c r="D118" s="17"/>
      <c r="E118" s="102"/>
      <c r="F118" s="103"/>
      <c r="G118" s="102"/>
      <c r="H118" s="17"/>
    </row>
    <row r="119" spans="3:8" ht="12.75">
      <c r="C119" s="17"/>
      <c r="D119" s="17"/>
      <c r="E119" s="104"/>
      <c r="F119" s="104"/>
      <c r="G119" s="104"/>
      <c r="H119" s="17"/>
    </row>
    <row r="120" spans="3:8" ht="12.75">
      <c r="C120" s="17"/>
      <c r="D120" s="17"/>
      <c r="E120" s="17"/>
      <c r="F120" s="17"/>
      <c r="G120" s="17"/>
      <c r="H120" s="17"/>
    </row>
    <row r="121" spans="3:8" ht="12.75">
      <c r="C121" s="17"/>
      <c r="D121" s="17"/>
      <c r="E121" s="17"/>
      <c r="F121" s="17"/>
      <c r="G121" s="17"/>
      <c r="H121" s="17"/>
    </row>
    <row r="122" spans="3:8" ht="12.75">
      <c r="C122" s="17"/>
      <c r="D122" s="17"/>
      <c r="E122" s="17"/>
      <c r="F122" s="17"/>
      <c r="G122" s="17"/>
      <c r="H122" s="17"/>
    </row>
    <row r="123" spans="3:8" ht="12.75">
      <c r="C123" s="17"/>
      <c r="D123" s="17"/>
      <c r="E123" s="17"/>
      <c r="F123" s="17"/>
      <c r="G123" s="17"/>
      <c r="H123" s="17"/>
    </row>
    <row r="124" spans="3:8" ht="12.75">
      <c r="C124" s="17"/>
      <c r="D124" s="17"/>
      <c r="E124" s="17"/>
      <c r="F124" s="17"/>
      <c r="G124" s="17"/>
      <c r="H124" s="17"/>
    </row>
    <row r="125" spans="3:8" ht="12.75">
      <c r="C125" s="17"/>
      <c r="D125" s="17"/>
      <c r="E125" s="17"/>
      <c r="F125" s="17"/>
      <c r="G125" s="17"/>
      <c r="H125" s="17"/>
    </row>
    <row r="126" spans="3:8" ht="12.75">
      <c r="C126" s="17"/>
      <c r="D126" s="17"/>
      <c r="E126" s="17"/>
      <c r="F126" s="17"/>
      <c r="G126" s="17"/>
      <c r="H126" s="17"/>
    </row>
    <row r="127" spans="3:8" ht="12.75">
      <c r="C127" s="17"/>
      <c r="D127" s="17"/>
      <c r="E127" s="17"/>
      <c r="F127" s="17"/>
      <c r="G127" s="17"/>
      <c r="H127" s="17"/>
    </row>
    <row r="128" spans="3:8" ht="12.75">
      <c r="C128" s="17"/>
      <c r="D128" s="17"/>
      <c r="E128" s="17"/>
      <c r="F128" s="17"/>
      <c r="G128" s="17"/>
      <c r="H128" s="17"/>
    </row>
    <row r="129" spans="3:8" ht="12.75">
      <c r="C129" s="17"/>
      <c r="D129" s="17"/>
      <c r="E129" s="17"/>
      <c r="F129" s="17"/>
      <c r="G129" s="17"/>
      <c r="H129" s="17"/>
    </row>
  </sheetData>
  <mergeCells count="1">
    <mergeCell ref="E99:G99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0FFEF78-98C4-4814-A5F6-83CCF50BCDDE}">
  <dimension ref="B4:Q78"/>
  <sheetViews>
    <sheetView showGridLines="0" view="pageLayout" zoomScaleNormal="100" workbookViewId="0" topLeftCell="A1">
      <selection pane="topLeft" activeCell="G11" sqref="G11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3.571428571428571" bestFit="1" customWidth="1"/>
    <col min="10" max="10" width="19.428571428571427" bestFit="1" customWidth="1"/>
    <col min="13" max="13" width="16.571428571428573" bestFit="1" customWidth="1"/>
    <col min="14" max="14" width="10.142857142857142" bestFit="1" customWidth="1"/>
    <col min="15" max="15" width="15.285714285714286" bestFit="1" customWidth="1"/>
    <col min="16" max="16" width="13.142857142857142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77">
        <v>44834</v>
      </c>
      <c r="F8" s="13"/>
      <c r="G8" s="78"/>
      <c r="H8" s="78"/>
      <c r="I8" s="80"/>
    </row>
    <row r="9" spans="3:13" ht="15.75">
      <c r="C9" s="5"/>
      <c r="D9" s="5"/>
      <c r="E9" s="5"/>
      <c r="F9" s="5"/>
      <c r="G9" s="80"/>
      <c r="I9" s="123"/>
      <c r="J9" s="80"/>
      <c r="M9" s="95"/>
    </row>
    <row r="10" spans="3:15" ht="12.75">
      <c r="C10" s="6"/>
      <c r="D10" s="6"/>
      <c r="E10" s="9"/>
      <c r="F10" s="6"/>
      <c r="G10" s="124"/>
      <c r="H10" s="81"/>
      <c r="I10" s="86"/>
      <c r="J10" s="124"/>
      <c r="O10" s="125"/>
    </row>
    <row r="11" spans="3:9" ht="12.75">
      <c r="C11" s="6"/>
      <c r="D11" s="6"/>
      <c r="E11" s="9"/>
      <c r="F11" s="6"/>
      <c r="G11" s="9"/>
      <c r="H11" s="81"/>
      <c r="I11" s="86"/>
    </row>
    <row r="12" spans="3:9" ht="15.75">
      <c r="C12" s="83"/>
      <c r="D12" s="83"/>
      <c r="E12" s="10"/>
      <c r="F12" s="83"/>
      <c r="G12" s="10"/>
      <c r="H12" s="5"/>
      <c r="I12" s="86"/>
    </row>
    <row r="13" spans="3:15" ht="12.75">
      <c r="C13" s="6"/>
      <c r="D13" s="6"/>
      <c r="E13" s="11"/>
      <c r="F13" s="6"/>
      <c r="G13" s="124"/>
      <c r="H13" s="84"/>
      <c r="I13" s="86"/>
      <c r="J13" s="114"/>
      <c r="O13" s="125"/>
    </row>
    <row r="14" spans="3:9" ht="12.75">
      <c r="C14" s="6"/>
      <c r="D14" s="6"/>
      <c r="E14" s="12"/>
      <c r="F14" s="6"/>
      <c r="G14" s="124"/>
      <c r="H14" s="85"/>
      <c r="I14" s="86"/>
    </row>
    <row r="15" spans="3:9" ht="12.75">
      <c r="C15" s="6"/>
      <c r="D15" s="6"/>
      <c r="E15" s="9"/>
      <c r="F15" s="6"/>
      <c r="G15" s="9"/>
      <c r="H15" s="81"/>
      <c r="I15" s="86"/>
    </row>
    <row r="16" spans="3:9" ht="15.75">
      <c r="C16" s="5"/>
      <c r="D16" s="5"/>
      <c r="E16" s="10"/>
      <c r="F16" s="5"/>
      <c r="G16" s="10"/>
      <c r="H16" s="5"/>
      <c r="I16" s="82"/>
    </row>
    <row r="17" spans="3:15" ht="15.75">
      <c r="C17" s="83" t="s">
        <v>15</v>
      </c>
      <c r="D17" s="83"/>
      <c r="E17" s="10"/>
      <c r="F17" s="83"/>
      <c r="G17" s="10"/>
      <c r="H17" s="5"/>
      <c r="I17" s="86"/>
      <c r="J17" s="111"/>
      <c r="K17" s="111"/>
      <c r="L17" s="111"/>
      <c r="M17" s="111"/>
      <c r="N17" s="111"/>
      <c r="O17" s="93"/>
    </row>
    <row r="18" spans="3:15" ht="12.75" customHeight="1">
      <c r="C18" s="6" t="s">
        <v>16</v>
      </c>
      <c r="D18" s="6"/>
      <c r="E18" s="84">
        <f>G60</f>
        <v>0.2752471625804902</v>
      </c>
      <c r="F18" s="6"/>
      <c r="G18" s="11"/>
      <c r="H18" s="84"/>
      <c r="I18" s="86"/>
      <c r="J18" s="126"/>
      <c r="K18" s="111"/>
      <c r="L18" s="127"/>
      <c r="M18" s="128"/>
      <c r="N18" s="111"/>
      <c r="O18" s="93"/>
    </row>
    <row r="19" spans="3:14" ht="15.75">
      <c r="C19" s="6" t="s">
        <v>17</v>
      </c>
      <c r="D19" s="6"/>
      <c r="E19" s="87">
        <f>-(G58+I59)/I58</f>
        <v>1.3360949970381857</v>
      </c>
      <c r="F19" s="6"/>
      <c r="G19" s="9"/>
      <c r="H19" s="81"/>
      <c r="J19" s="80"/>
      <c r="K19" s="111"/>
      <c r="L19" s="127"/>
      <c r="M19" s="128"/>
      <c r="N19" s="113"/>
    </row>
    <row r="20" spans="3:14" ht="15.75">
      <c r="C20" s="6"/>
      <c r="D20" s="6"/>
      <c r="E20" s="6"/>
      <c r="F20" s="6"/>
      <c r="G20" s="81"/>
      <c r="J20" s="80"/>
      <c r="L20" s="127"/>
      <c r="M20" s="128"/>
      <c r="N20" s="111"/>
    </row>
    <row r="21" spans="3:15" ht="15.75">
      <c r="C21" s="88"/>
      <c r="D21" s="7"/>
      <c r="E21" s="7"/>
      <c r="F21" s="7"/>
      <c r="I21" s="89"/>
      <c r="J21" s="94"/>
      <c r="K21" s="17"/>
      <c r="L21" s="127"/>
      <c r="M21" s="128"/>
      <c r="N21" s="113"/>
      <c r="O21" s="93"/>
    </row>
    <row r="22" spans="3:15" ht="12.75">
      <c r="C22" s="88" t="s">
        <v>50</v>
      </c>
      <c r="D22" s="17"/>
      <c r="E22" s="17"/>
      <c r="F22" s="17"/>
      <c r="G22" s="91"/>
      <c r="H22" s="17"/>
      <c r="I22" s="17"/>
      <c r="J22" s="94"/>
      <c r="K22" s="17"/>
      <c r="L22" s="127"/>
      <c r="M22" s="128"/>
      <c r="N22" s="111"/>
      <c r="O22" s="93"/>
    </row>
    <row r="23" spans="3:15" ht="12.75">
      <c r="C23" s="164">
        <v>1</v>
      </c>
      <c r="D23" s="17"/>
      <c r="E23" s="89"/>
      <c r="F23" s="45"/>
      <c r="G23" s="45"/>
      <c r="H23" s="17"/>
      <c r="I23" s="25"/>
      <c r="J23" s="94"/>
      <c r="K23" s="17"/>
      <c r="L23" s="127"/>
      <c r="M23" s="128"/>
      <c r="N23" s="111"/>
      <c r="O23" s="93"/>
    </row>
    <row r="24" spans="3:16" ht="12.75">
      <c r="C24" s="17" t="s">
        <v>33</v>
      </c>
      <c r="D24" s="17"/>
      <c r="E24" s="89">
        <v>43857</v>
      </c>
      <c r="F24" s="45"/>
      <c r="G24" s="45">
        <f>-8355693.57*193814409.75/213814409.75</f>
        <v>-7574109.804923568</v>
      </c>
      <c r="H24" s="17"/>
      <c r="I24" s="25"/>
      <c r="J24" s="94"/>
      <c r="K24" s="17"/>
      <c r="L24" s="127"/>
      <c r="M24" s="128"/>
      <c r="N24" s="111"/>
      <c r="O24" s="25"/>
      <c r="P24" s="93"/>
    </row>
    <row r="25" spans="3:15" ht="12.75">
      <c r="C25" s="17"/>
      <c r="D25" s="17"/>
      <c r="E25" s="89">
        <v>43985</v>
      </c>
      <c r="F25" s="45"/>
      <c r="G25" s="45">
        <f>-8946403.4*193814409.75/213814409.75</f>
        <v>-8109565.189660437</v>
      </c>
      <c r="H25" s="17"/>
      <c r="I25" s="25"/>
      <c r="J25" s="94"/>
      <c r="K25" s="17"/>
      <c r="L25" s="127"/>
      <c r="M25" s="128"/>
      <c r="N25" s="111"/>
      <c r="O25" s="25"/>
    </row>
    <row r="26" spans="3:16" ht="12.75">
      <c r="C26" s="17"/>
      <c r="D26" s="17"/>
      <c r="E26" s="89">
        <v>44076</v>
      </c>
      <c r="F26" s="45"/>
      <c r="G26" s="45">
        <f>-8101403.91*193814409.75/213814409.75-1912477.07</f>
        <v>-9256083.231992982</v>
      </c>
      <c r="H26" s="17"/>
      <c r="I26" s="25"/>
      <c r="J26" s="94"/>
      <c r="K26" s="17"/>
      <c r="L26" s="127"/>
      <c r="M26" s="128"/>
      <c r="N26" s="111"/>
      <c r="O26" s="25"/>
      <c r="P26" s="93"/>
    </row>
    <row r="27" spans="3:16" ht="12.75">
      <c r="C27" s="17"/>
      <c r="D27" s="17"/>
      <c r="E27" s="89">
        <v>44117</v>
      </c>
      <c r="F27" s="45"/>
      <c r="G27" s="45">
        <f>-10183965.83*193814409.75/213814409.75</f>
        <v>-9231367.186914392</v>
      </c>
      <c r="H27" s="17"/>
      <c r="I27" s="25"/>
      <c r="J27" s="94"/>
      <c r="K27" s="17"/>
      <c r="L27" s="127"/>
      <c r="M27" s="128"/>
      <c r="N27" s="111"/>
      <c r="O27" s="25"/>
      <c r="P27" s="93"/>
    </row>
    <row r="28" spans="3:16" ht="12.75">
      <c r="C28" s="17"/>
      <c r="D28" s="17"/>
      <c r="E28" s="89">
        <v>44141</v>
      </c>
      <c r="F28" s="45"/>
      <c r="G28" s="45">
        <f>-9094491.06*193814409.75/213814409.75</f>
        <v>-8243800.86838629</v>
      </c>
      <c r="H28" s="17"/>
      <c r="I28" s="25"/>
      <c r="J28" s="94"/>
      <c r="K28" s="17"/>
      <c r="L28" s="127"/>
      <c r="M28" s="128"/>
      <c r="N28" s="111"/>
      <c r="O28" s="25"/>
      <c r="P28" s="93"/>
    </row>
    <row r="29" spans="3:16" ht="12.75">
      <c r="C29" s="17"/>
      <c r="D29" s="17"/>
      <c r="E29" s="89">
        <v>44148</v>
      </c>
      <c r="F29" s="45"/>
      <c r="G29" s="45">
        <f>-4743875.63*193814409.75/213814409.75</f>
        <v>-4300137.938462117</v>
      </c>
      <c r="H29" s="17"/>
      <c r="I29" s="25"/>
      <c r="J29" s="94"/>
      <c r="K29" s="17"/>
      <c r="L29" s="127"/>
      <c r="M29" s="128"/>
      <c r="N29" s="111"/>
      <c r="O29" s="25"/>
      <c r="P29" s="93"/>
    </row>
    <row r="30" spans="3:15" ht="12.75">
      <c r="C30" s="17"/>
      <c r="D30" s="17"/>
      <c r="E30" s="89">
        <v>44187</v>
      </c>
      <c r="F30" s="45"/>
      <c r="G30" s="45">
        <f>-4000309.07*193814409.75/213814409.75-294804.35</f>
        <v>-3920928.24934875</v>
      </c>
      <c r="H30" s="17"/>
      <c r="I30" s="25"/>
      <c r="J30" s="94"/>
      <c r="K30" s="17"/>
      <c r="L30" s="127"/>
      <c r="M30" s="128"/>
      <c r="N30" s="111"/>
      <c r="O30" s="25"/>
    </row>
    <row r="31" spans="3:16" ht="12.75">
      <c r="C31" s="17" t="s">
        <v>34</v>
      </c>
      <c r="D31" s="17"/>
      <c r="E31" s="89">
        <v>44203</v>
      </c>
      <c r="F31" s="45"/>
      <c r="G31" s="45">
        <f>-17965219.19*193814409.75/213814409.75-492157.19</f>
        <v>-1.6776926572056223E7</v>
      </c>
      <c r="H31" s="17"/>
      <c r="I31" s="25"/>
      <c r="J31" s="94"/>
      <c r="K31" s="17"/>
      <c r="L31" s="127"/>
      <c r="M31" s="128"/>
      <c r="N31" s="111"/>
      <c r="P31" s="93"/>
    </row>
    <row r="32" spans="3:16" ht="12.75">
      <c r="C32" s="17"/>
      <c r="D32" s="17"/>
      <c r="E32" s="89">
        <v>44217</v>
      </c>
      <c r="F32" s="45"/>
      <c r="G32" s="45">
        <f>-2420477.32*193814409.75/213814409.75</f>
        <v>-2194068.134311335</v>
      </c>
      <c r="H32" s="17"/>
      <c r="I32" s="25"/>
      <c r="J32" s="94"/>
      <c r="K32" s="17"/>
      <c r="L32" s="127"/>
      <c r="M32" s="128"/>
      <c r="N32" s="111"/>
      <c r="P32" s="93"/>
    </row>
    <row r="33" spans="3:14" ht="12.75">
      <c r="C33" s="17"/>
      <c r="D33" s="17"/>
      <c r="E33" s="89">
        <v>44250</v>
      </c>
      <c r="F33" s="45"/>
      <c r="G33" s="45">
        <f>8743624.8*193814409.75/213814409.75</f>
        <v>7925754.310333436</v>
      </c>
      <c r="H33" s="17"/>
      <c r="I33" s="25"/>
      <c r="J33" s="25"/>
      <c r="K33" s="17"/>
      <c r="L33" s="111"/>
      <c r="M33" s="111"/>
      <c r="N33" s="111"/>
    </row>
    <row r="34" spans="3:15" ht="12.75">
      <c r="C34" s="17"/>
      <c r="D34" s="17"/>
      <c r="E34" s="89">
        <v>44265</v>
      </c>
      <c r="F34" s="45"/>
      <c r="G34" s="45">
        <f>-5278462.5*193814409.75/213814409.75-155480.19</f>
        <v>-4940200.242409889</v>
      </c>
      <c r="H34" s="17"/>
      <c r="I34" s="25"/>
      <c r="J34" s="25"/>
      <c r="K34" s="17"/>
      <c r="L34" s="111"/>
      <c r="M34" s="111"/>
      <c r="N34" s="111"/>
      <c r="O34" s="93"/>
    </row>
    <row r="35" spans="3:14" ht="12.75">
      <c r="C35" s="17"/>
      <c r="D35" s="17"/>
      <c r="E35" s="89">
        <v>44291</v>
      </c>
      <c r="F35" s="45"/>
      <c r="G35" s="45">
        <f>-12658173.89*193814409.75/213814409.75-268874.97</f>
        <v>-1.174301510803722E7</v>
      </c>
      <c r="H35" s="17"/>
      <c r="I35" s="25"/>
      <c r="J35" s="25"/>
      <c r="K35" s="17"/>
      <c r="L35" s="111"/>
      <c r="M35" s="111"/>
      <c r="N35" s="111"/>
    </row>
    <row r="36" spans="3:14" ht="12.75">
      <c r="C36" s="17"/>
      <c r="D36" s="17"/>
      <c r="E36" s="89">
        <v>44307</v>
      </c>
      <c r="F36" s="45"/>
      <c r="G36" s="45">
        <f>-28503534.36*193814409.75/213814409.75-795428.94</f>
        <v>-2.6632769342976484E7</v>
      </c>
      <c r="H36" s="17"/>
      <c r="I36" s="25"/>
      <c r="J36" s="25"/>
      <c r="K36" s="17"/>
      <c r="L36" s="111"/>
      <c r="M36" s="111"/>
      <c r="N36" s="111"/>
    </row>
    <row r="37" spans="3:14" ht="12.75">
      <c r="C37" s="17"/>
      <c r="D37" s="17"/>
      <c r="E37" s="89">
        <v>44319</v>
      </c>
      <c r="F37" s="45"/>
      <c r="G37" s="45">
        <f>29772852.87*193814409.75/213814409.75</f>
        <v>2.6987928046194952E7</v>
      </c>
      <c r="H37" s="17"/>
      <c r="I37" s="25"/>
      <c r="J37" s="129"/>
      <c r="K37" s="17"/>
      <c r="L37" s="111"/>
      <c r="M37" s="111"/>
      <c r="N37" s="111"/>
    </row>
    <row r="38" spans="3:14" ht="12.75">
      <c r="C38" s="17"/>
      <c r="D38" s="17"/>
      <c r="E38" s="89">
        <v>44335</v>
      </c>
      <c r="F38" s="45"/>
      <c r="G38" s="45">
        <f>-13567083.21*193814409.75/213814409.75-457505.62</f>
        <v>-1.275553654995366E7</v>
      </c>
      <c r="H38" s="17"/>
      <c r="I38" s="25"/>
      <c r="J38" s="25"/>
      <c r="K38" s="17"/>
      <c r="L38" s="111"/>
      <c r="M38" s="111"/>
      <c r="N38" s="111"/>
    </row>
    <row r="39" spans="3:14" ht="12.75">
      <c r="C39" s="17"/>
      <c r="D39" s="17"/>
      <c r="E39" s="89">
        <v>44344</v>
      </c>
      <c r="F39" s="45"/>
      <c r="G39" s="45">
        <f>16251618.18*193814409.75/213814409.75</f>
        <v>1.473145700854275E7</v>
      </c>
      <c r="H39" s="17"/>
      <c r="I39" s="25"/>
      <c r="J39" s="25"/>
      <c r="K39" s="17"/>
      <c r="L39" s="111"/>
      <c r="M39" s="111"/>
      <c r="N39" s="111"/>
    </row>
    <row r="40" spans="3:14" ht="12.75">
      <c r="C40" s="17"/>
      <c r="D40" s="17"/>
      <c r="E40" s="89">
        <v>44361</v>
      </c>
      <c r="F40" s="45"/>
      <c r="G40" s="45">
        <f>416746.8*193814409.75/213814409.75+67984.53</f>
        <v>445749.2239307901</v>
      </c>
      <c r="H40" s="17"/>
      <c r="I40" s="25"/>
      <c r="J40" s="130"/>
      <c r="K40" s="17"/>
      <c r="L40" s="111"/>
      <c r="M40" s="111"/>
      <c r="N40" s="111"/>
    </row>
    <row r="41" spans="3:14" ht="12.75">
      <c r="C41" s="17"/>
      <c r="D41" s="17"/>
      <c r="E41" s="89">
        <v>44375</v>
      </c>
      <c r="F41" s="45"/>
      <c r="G41" s="45">
        <v>-6218476.1</v>
      </c>
      <c r="H41" s="17"/>
      <c r="I41" s="25"/>
      <c r="J41" s="129"/>
      <c r="K41" s="17"/>
      <c r="L41" s="111"/>
      <c r="M41" s="111"/>
      <c r="N41" s="111"/>
    </row>
    <row r="42" spans="3:14" ht="12.75">
      <c r="C42" s="17"/>
      <c r="D42" s="17"/>
      <c r="E42" s="89">
        <v>44405</v>
      </c>
      <c r="F42" s="45"/>
      <c r="G42" s="45">
        <v>-3521085.97</v>
      </c>
      <c r="H42" s="17"/>
      <c r="I42" s="25"/>
      <c r="J42" s="25"/>
      <c r="K42" s="17"/>
      <c r="L42" s="111"/>
      <c r="M42" s="113"/>
      <c r="N42" s="111"/>
    </row>
    <row r="43" spans="3:14" ht="12.75">
      <c r="C43" s="17"/>
      <c r="D43" s="17"/>
      <c r="E43" s="89">
        <v>44468</v>
      </c>
      <c r="F43" s="45"/>
      <c r="G43" s="45">
        <v>-1653652.87</v>
      </c>
      <c r="H43" s="17"/>
      <c r="I43" s="25"/>
      <c r="J43" s="25"/>
      <c r="K43" s="17"/>
      <c r="L43" s="111"/>
      <c r="M43" s="113"/>
      <c r="N43" s="111"/>
    </row>
    <row r="44" spans="3:14" ht="12.75">
      <c r="C44" s="17"/>
      <c r="D44" s="17"/>
      <c r="E44" s="89">
        <v>44475</v>
      </c>
      <c r="F44" s="45"/>
      <c r="G44" s="45">
        <v>-4024098.30</v>
      </c>
      <c r="H44" s="17"/>
      <c r="I44" s="25"/>
      <c r="J44" s="25"/>
      <c r="K44" s="17"/>
      <c r="L44" s="111"/>
      <c r="M44" s="111"/>
      <c r="N44" s="111"/>
    </row>
    <row r="45" spans="3:14" ht="12.75">
      <c r="C45" s="17"/>
      <c r="D45" s="17"/>
      <c r="E45" s="89">
        <v>44483</v>
      </c>
      <c r="F45" s="45"/>
      <c r="G45" s="45">
        <v>-4703164.88</v>
      </c>
      <c r="H45" s="17"/>
      <c r="I45" s="25"/>
      <c r="J45" s="25"/>
      <c r="K45" s="17"/>
      <c r="L45" s="111"/>
      <c r="M45" s="111"/>
      <c r="N45" s="111"/>
    </row>
    <row r="46" spans="3:14" ht="12.75">
      <c r="C46" s="17"/>
      <c r="D46" s="17"/>
      <c r="E46" s="89">
        <v>44505</v>
      </c>
      <c r="F46" s="45"/>
      <c r="G46" s="45">
        <v>-4225303.20</v>
      </c>
      <c r="H46" s="17"/>
      <c r="I46" s="25"/>
      <c r="J46" s="25"/>
      <c r="K46" s="17"/>
      <c r="L46" s="111"/>
      <c r="M46" s="111"/>
      <c r="N46" s="111"/>
    </row>
    <row r="47" spans="3:14" ht="12.75">
      <c r="C47" s="17"/>
      <c r="D47" s="17"/>
      <c r="E47" s="89">
        <v>44551</v>
      </c>
      <c r="F47" s="45"/>
      <c r="G47" s="45">
        <v>-2584225.62</v>
      </c>
      <c r="H47" s="17"/>
      <c r="I47" s="25"/>
      <c r="J47" s="25"/>
      <c r="K47" s="17"/>
      <c r="L47" s="111"/>
      <c r="M47" s="111"/>
      <c r="N47" s="111"/>
    </row>
    <row r="48" spans="3:14" ht="12.75">
      <c r="C48" s="17" t="s">
        <v>28</v>
      </c>
      <c r="D48" s="17"/>
      <c r="E48" s="89">
        <v>44558</v>
      </c>
      <c r="F48" s="45"/>
      <c r="G48" s="45">
        <v>4.111236031E7</v>
      </c>
      <c r="H48" s="17"/>
      <c r="I48" s="25"/>
      <c r="J48" s="25"/>
      <c r="K48" s="17"/>
      <c r="L48" s="111"/>
      <c r="M48" s="111"/>
      <c r="N48" s="111"/>
    </row>
    <row r="49" spans="3:14" ht="12.75">
      <c r="C49" s="17" t="s">
        <v>35</v>
      </c>
      <c r="D49" s="17"/>
      <c r="E49" s="89">
        <v>44599</v>
      </c>
      <c r="F49" s="45"/>
      <c r="G49" s="45">
        <v>-1735392.37</v>
      </c>
      <c r="H49" s="17"/>
      <c r="I49" s="25"/>
      <c r="J49" s="25"/>
      <c r="K49" s="17"/>
      <c r="L49" s="111"/>
      <c r="M49" s="111"/>
      <c r="N49" s="111"/>
    </row>
    <row r="50" spans="3:14" ht="12.75">
      <c r="C50" s="17"/>
      <c r="D50" s="17"/>
      <c r="E50" s="89">
        <v>44635</v>
      </c>
      <c r="F50" s="45"/>
      <c r="G50" s="45">
        <v>-5023835.19</v>
      </c>
      <c r="H50" s="17"/>
      <c r="I50" s="25"/>
      <c r="J50" s="25"/>
      <c r="K50" s="17"/>
      <c r="L50" s="111"/>
      <c r="M50" s="111"/>
      <c r="N50" s="111"/>
    </row>
    <row r="51" spans="3:14" ht="12.75">
      <c r="C51" s="17"/>
      <c r="D51" s="17"/>
      <c r="E51" s="89">
        <v>44676</v>
      </c>
      <c r="F51" s="45"/>
      <c r="G51" s="45">
        <v>-2842019.40</v>
      </c>
      <c r="H51" s="17"/>
      <c r="I51" s="25"/>
      <c r="J51" s="25"/>
      <c r="K51" s="17"/>
      <c r="L51" s="111"/>
      <c r="M51" s="111"/>
      <c r="N51" s="111"/>
    </row>
    <row r="52" spans="3:14" ht="12.75">
      <c r="C52" s="17"/>
      <c r="D52" s="17"/>
      <c r="E52" s="89">
        <v>44686</v>
      </c>
      <c r="F52" s="45"/>
      <c r="G52" s="45">
        <v>-6312804.13</v>
      </c>
      <c r="H52" s="17"/>
      <c r="I52" s="25"/>
      <c r="J52" s="25"/>
      <c r="K52" s="17"/>
      <c r="L52" s="111"/>
      <c r="M52" s="111"/>
      <c r="N52" s="111"/>
    </row>
    <row r="53" spans="3:14" ht="12.75">
      <c r="C53" s="17"/>
      <c r="D53" s="17"/>
      <c r="E53" s="89">
        <v>44701</v>
      </c>
      <c r="F53" s="45"/>
      <c r="G53" s="45">
        <v>-6438557.24</v>
      </c>
      <c r="H53" s="17"/>
      <c r="I53" s="25"/>
      <c r="J53" s="25"/>
      <c r="K53" s="17"/>
      <c r="L53" s="111"/>
      <c r="M53" s="111"/>
      <c r="N53" s="111"/>
    </row>
    <row r="54" spans="3:14" ht="12.75">
      <c r="C54" s="17"/>
      <c r="D54" s="17"/>
      <c r="E54" s="89">
        <v>44728</v>
      </c>
      <c r="F54" s="45"/>
      <c r="G54" s="45">
        <v>-3414195.91</v>
      </c>
      <c r="H54" s="17"/>
      <c r="I54" s="25"/>
      <c r="J54" s="25"/>
      <c r="K54" s="17"/>
      <c r="L54" s="111"/>
      <c r="M54" s="111"/>
      <c r="N54" s="111"/>
    </row>
    <row r="55" spans="3:14" ht="12.75">
      <c r="C55" s="17"/>
      <c r="D55" s="17"/>
      <c r="E55" s="89">
        <v>44781</v>
      </c>
      <c r="F55" s="45"/>
      <c r="G55" s="45">
        <v>-8173949.63</v>
      </c>
      <c r="H55" s="17"/>
      <c r="I55" s="25"/>
      <c r="J55" s="25"/>
      <c r="K55" s="17"/>
      <c r="L55" s="111"/>
      <c r="M55" s="111"/>
      <c r="N55" s="111"/>
    </row>
    <row r="56" spans="3:14" ht="12.75">
      <c r="C56" s="17"/>
      <c r="D56" s="17"/>
      <c r="E56" s="89">
        <v>44817</v>
      </c>
      <c r="F56" s="45"/>
      <c r="G56" s="45">
        <v>-1.177166708E7</v>
      </c>
      <c r="H56" s="17"/>
      <c r="I56" s="25"/>
      <c r="J56" s="25"/>
      <c r="K56" s="17"/>
      <c r="L56" s="111"/>
      <c r="M56" s="111"/>
      <c r="N56" s="111"/>
    </row>
    <row r="57" spans="3:15" ht="4.5" customHeight="1">
      <c r="C57" s="17"/>
      <c r="D57" s="17"/>
      <c r="E57" s="89"/>
      <c r="F57" s="17"/>
      <c r="G57" s="45"/>
      <c r="H57" s="17"/>
      <c r="I57" s="25"/>
      <c r="J57" s="25"/>
      <c r="O57" s="66"/>
    </row>
    <row r="58" spans="3:13" ht="12.75">
      <c r="C58" s="17" t="s">
        <v>5</v>
      </c>
      <c r="D58" s="17"/>
      <c r="E58" s="89">
        <f>+E8</f>
        <v>44834</v>
      </c>
      <c r="F58" s="17"/>
      <c r="G58" s="94">
        <v>1.5693706486E8</v>
      </c>
      <c r="H58" s="17"/>
      <c r="I58" s="45">
        <f>+SUMIF($G$24:$G$57,"&lt;0",$G$24:$G$57)+G33+G37+G39+G40</f>
        <v>-1.4823004772043148E8</v>
      </c>
      <c r="J58" s="17" t="s">
        <v>20</v>
      </c>
      <c r="M58" s="66"/>
    </row>
    <row r="59" spans="3:15" ht="12.75">
      <c r="C59" s="17"/>
      <c r="D59" s="17"/>
      <c r="E59" s="17"/>
      <c r="F59" s="17"/>
      <c r="G59" s="17"/>
      <c r="H59" s="17"/>
      <c r="I59" s="45">
        <f>+SUMIF($G$24:$G$57,"&gt;0",$G$24:$G$57)-G33-G37-G39-G40</f>
        <v>4.111236031E7</v>
      </c>
      <c r="J59" s="17" t="s">
        <v>21</v>
      </c>
      <c r="M59" s="66"/>
      <c r="O59" s="93"/>
    </row>
    <row r="60" spans="3:13" ht="12.75">
      <c r="C60" s="15" t="s">
        <v>0</v>
      </c>
      <c r="G60" s="72">
        <f>+XIRR(G24:G58,E24:E58,0.1)</f>
        <v>0.2752471625804902</v>
      </c>
      <c r="H60" s="17"/>
      <c r="M60" s="95"/>
    </row>
    <row r="61" spans="3:15" ht="12.75">
      <c r="C61" s="17"/>
      <c r="D61" s="17"/>
      <c r="E61" s="17"/>
      <c r="F61" s="17"/>
      <c r="G61" s="198"/>
      <c r="H61" s="199"/>
      <c r="I61" s="200"/>
      <c r="O61" s="93"/>
    </row>
    <row r="62" spans="3:13" ht="12.75">
      <c r="C62" s="17"/>
      <c r="D62" s="17"/>
      <c r="E62" s="17"/>
      <c r="F62" s="17"/>
      <c r="G62" s="199"/>
      <c r="H62" s="199"/>
      <c r="I62" s="200"/>
      <c r="M62" s="95"/>
    </row>
    <row r="63" spans="3:15" ht="12.75">
      <c r="C63" s="28"/>
      <c r="D63" s="28"/>
      <c r="E63" s="75"/>
      <c r="F63" s="28"/>
      <c r="G63" s="75"/>
      <c r="H63" s="17"/>
      <c r="I63" s="95"/>
      <c r="M63" s="95"/>
      <c r="O63" s="93"/>
    </row>
    <row r="64" spans="3:15" ht="12.75">
      <c r="C64" s="28"/>
      <c r="D64" s="28"/>
      <c r="E64" s="75"/>
      <c r="F64" s="28"/>
      <c r="G64" s="75"/>
      <c r="H64" s="17"/>
      <c r="M64" s="95"/>
      <c r="O64" s="93"/>
    </row>
    <row r="65" spans="3:15" ht="12.75">
      <c r="C65" s="28"/>
      <c r="D65" s="28"/>
      <c r="E65" s="75"/>
      <c r="F65" s="28"/>
      <c r="G65" s="75"/>
      <c r="H65" s="17"/>
      <c r="M65" s="95"/>
      <c r="O65" s="93"/>
    </row>
    <row r="66" spans="3:8" ht="12.75">
      <c r="C66" s="28"/>
      <c r="D66" s="28"/>
      <c r="E66" s="75"/>
      <c r="F66" s="28"/>
      <c r="G66" s="75"/>
      <c r="H66" s="15"/>
    </row>
    <row r="67" spans="3:8" ht="12.75">
      <c r="C67" s="28"/>
      <c r="D67" s="28"/>
      <c r="E67" s="75"/>
      <c r="F67" s="75"/>
      <c r="G67" s="75"/>
      <c r="H67" s="15"/>
    </row>
    <row r="68" spans="3:17" ht="12.75">
      <c r="C68" s="28"/>
      <c r="D68" s="28"/>
      <c r="E68" s="28"/>
      <c r="F68" s="28"/>
      <c r="G68" s="28"/>
      <c r="H68" s="15"/>
      <c r="O68" s="93"/>
      <c r="Q68" s="131"/>
    </row>
    <row r="69" spans="3:17" ht="12.75">
      <c r="C69" s="28"/>
      <c r="D69" s="28"/>
      <c r="E69" s="32"/>
      <c r="F69" s="97"/>
      <c r="G69" s="32"/>
      <c r="H69" s="15"/>
      <c r="O69" s="93"/>
      <c r="Q69" s="131"/>
    </row>
    <row r="70" spans="3:17" ht="12.75">
      <c r="C70" s="28"/>
      <c r="D70" s="28"/>
      <c r="E70" s="97"/>
      <c r="F70" s="97"/>
      <c r="G70" s="97"/>
      <c r="H70" s="15"/>
      <c r="Q70" s="131"/>
    </row>
    <row r="71" spans="3:17" ht="12.75">
      <c r="C71" s="28"/>
      <c r="D71" s="28"/>
      <c r="E71" s="97"/>
      <c r="F71" s="97"/>
      <c r="G71" s="97"/>
      <c r="H71" s="15"/>
      <c r="Q71" s="131"/>
    </row>
    <row r="72" spans="3:17" ht="12.75">
      <c r="C72" s="132"/>
      <c r="D72" s="28"/>
      <c r="E72" s="97"/>
      <c r="F72" s="97"/>
      <c r="G72" s="97"/>
      <c r="H72" s="15"/>
      <c r="Q72" s="131"/>
    </row>
    <row r="73" spans="3:17" ht="12.75">
      <c r="C73" s="132"/>
      <c r="D73" s="28"/>
      <c r="E73" s="97"/>
      <c r="F73" s="97"/>
      <c r="G73" s="97"/>
      <c r="H73" s="15"/>
      <c r="Q73" s="131"/>
    </row>
    <row r="74" spans="3:17" ht="12.75">
      <c r="C74" s="133"/>
      <c r="D74" s="28"/>
      <c r="E74" s="97"/>
      <c r="F74" s="97"/>
      <c r="G74" s="97"/>
      <c r="H74" s="15"/>
      <c r="Q74" s="131"/>
    </row>
    <row r="75" spans="3:17" ht="12.75">
      <c r="C75" s="28"/>
      <c r="D75" s="28"/>
      <c r="E75" s="97"/>
      <c r="F75" s="97"/>
      <c r="G75" s="97"/>
      <c r="H75" s="15"/>
      <c r="Q75" s="131"/>
    </row>
    <row r="76" spans="3:8" ht="12.75">
      <c r="C76" s="28"/>
      <c r="D76" s="28"/>
      <c r="E76" s="97"/>
      <c r="F76" s="97"/>
      <c r="G76" s="97"/>
      <c r="H76" s="15"/>
    </row>
    <row r="77" spans="3:8" ht="5.1" customHeight="1">
      <c r="C77" s="121"/>
      <c r="D77" s="15"/>
      <c r="E77" s="99"/>
      <c r="F77" s="99"/>
      <c r="G77" s="99"/>
      <c r="H77" s="15"/>
    </row>
    <row r="78" spans="3:8" ht="12.75">
      <c r="C78" s="121"/>
      <c r="D78" s="15"/>
      <c r="E78" s="101"/>
      <c r="F78" s="101"/>
      <c r="G78" s="101"/>
      <c r="H78" s="15"/>
    </row>
  </sheetData>
  <pageMargins left="0.7" right="0.7" top="0.75" bottom="0.75" header="0.3" footer="0.3"/>
  <pageSetup orientation="portrait" paperSize="1" r:id="rId2"/>
  <headerFooter>
    <oddHeader>&amp;C&amp;G</oddHeader>
    <oddFooter>&amp;C&amp;G</oddFooter>
  </headerFooter>
  <legacyDrawingHF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2E6168B-ABA4-4AA3-866E-360E246ACA94}">
  <sheetPr>
    <pageSetUpPr fitToPage="1"/>
  </sheetPr>
  <dimension ref="B4:M86"/>
  <sheetViews>
    <sheetView showGridLines="0" view="pageLayout" zoomScaleNormal="100" workbookViewId="0" topLeftCell="A1">
      <selection pane="topLeft" activeCell="E15" sqref="E15"/>
    </sheetView>
  </sheetViews>
  <sheetFormatPr defaultRowHeight="12.75"/>
  <cols>
    <col min="2" max="2" width="4.857142857142857" customWidth="1"/>
    <col min="3" max="3" width="49.857142857142854" customWidth="1"/>
    <col min="4" max="4" width="1.4285714285714286" customWidth="1"/>
    <col min="5" max="5" width="11" customWidth="1"/>
    <col min="6" max="6" width="1.4285714285714286" customWidth="1"/>
    <col min="7" max="7" width="12.142857142857142" customWidth="1"/>
    <col min="8" max="8" width="8" customWidth="1"/>
    <col min="9" max="9" width="13.142857142857142" customWidth="1"/>
    <col min="10" max="10" width="11.285714285714286" bestFit="1" customWidth="1"/>
    <col min="11" max="11" width="17.857142857142858" customWidth="1"/>
    <col min="12" max="12" width="10" bestFit="1" customWidth="1"/>
    <col min="13" max="13" width="16.571428571428573" bestFit="1" customWidth="1"/>
    <col min="19" max="19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11" ht="15.75">
      <c r="C8" s="13"/>
      <c r="D8" s="5"/>
      <c r="E8" s="77">
        <v>44834</v>
      </c>
      <c r="F8" s="13"/>
      <c r="G8" s="78"/>
      <c r="H8" s="115"/>
      <c r="I8" s="115"/>
      <c r="J8" s="115"/>
      <c r="K8" s="115"/>
    </row>
    <row r="9" spans="3:7" ht="15.75">
      <c r="C9" s="65"/>
      <c r="D9" s="65"/>
      <c r="E9" s="65"/>
      <c r="F9" s="65"/>
      <c r="G9" s="177"/>
    </row>
    <row r="10" spans="3:11" ht="12.75">
      <c r="C10" s="178"/>
      <c r="D10" s="178"/>
      <c r="E10" s="179"/>
      <c r="F10" s="178"/>
      <c r="G10" s="124"/>
      <c r="H10" s="82"/>
      <c r="I10" s="82"/>
      <c r="J10" s="82"/>
      <c r="K10" s="82"/>
    </row>
    <row r="11" spans="3:11" ht="12.75">
      <c r="C11" s="178"/>
      <c r="D11" s="178"/>
      <c r="E11" s="179"/>
      <c r="F11" s="178"/>
      <c r="G11" s="179"/>
      <c r="H11" s="82"/>
      <c r="I11" s="82"/>
      <c r="J11" s="82"/>
      <c r="K11" s="82"/>
    </row>
    <row r="12" spans="3:11" ht="15.75">
      <c r="C12" s="180"/>
      <c r="D12" s="180"/>
      <c r="E12" s="70"/>
      <c r="F12" s="180"/>
      <c r="G12" s="70"/>
      <c r="H12" s="82"/>
      <c r="I12" s="82"/>
      <c r="J12" s="82"/>
      <c r="K12" s="82"/>
    </row>
    <row r="13" spans="3:11" ht="12.75">
      <c r="C13" s="178"/>
      <c r="D13" s="178"/>
      <c r="E13" s="71"/>
      <c r="F13" s="178"/>
      <c r="G13" s="124"/>
      <c r="H13" s="82"/>
      <c r="I13" s="82"/>
      <c r="J13" s="82"/>
      <c r="K13" s="82"/>
    </row>
    <row r="14" spans="3:11" ht="12.75">
      <c r="C14" s="178"/>
      <c r="D14" s="178"/>
      <c r="E14" s="181"/>
      <c r="F14" s="178"/>
      <c r="G14" s="124"/>
      <c r="H14" s="82"/>
      <c r="I14" s="82"/>
      <c r="J14" s="82"/>
      <c r="K14" s="82"/>
    </row>
    <row r="15" spans="3:11" ht="12.75">
      <c r="C15" s="178"/>
      <c r="D15" s="178"/>
      <c r="E15" s="179"/>
      <c r="F15" s="178"/>
      <c r="G15" s="51"/>
      <c r="H15" s="82"/>
      <c r="I15" s="82"/>
      <c r="J15" s="82"/>
      <c r="K15" s="82"/>
    </row>
    <row r="16" spans="3:11" ht="15.75">
      <c r="C16" s="5"/>
      <c r="D16" s="5"/>
      <c r="E16" s="10"/>
      <c r="F16" s="5"/>
      <c r="G16" s="5"/>
      <c r="H16" s="82"/>
      <c r="I16" s="82"/>
      <c r="J16" s="82"/>
      <c r="K16" s="82"/>
    </row>
    <row r="17" spans="3:11" ht="15.75">
      <c r="C17" s="83" t="s">
        <v>15</v>
      </c>
      <c r="D17" s="83"/>
      <c r="E17" s="10"/>
      <c r="F17" s="83"/>
      <c r="G17" s="5"/>
      <c r="H17" s="82"/>
      <c r="I17" s="82"/>
      <c r="J17" s="82"/>
      <c r="K17" s="82"/>
    </row>
    <row r="18" spans="3:11" ht="12.75">
      <c r="C18" s="6" t="s">
        <v>16</v>
      </c>
      <c r="D18" s="6"/>
      <c r="E18" s="84">
        <f>G66</f>
        <v>0.4058378279209137</v>
      </c>
      <c r="F18" s="6"/>
      <c r="G18" s="84"/>
      <c r="H18" s="150"/>
      <c r="I18" s="82"/>
      <c r="J18" s="82"/>
      <c r="K18" s="82"/>
    </row>
    <row r="19" spans="3:6" ht="12.75">
      <c r="C19" s="6" t="s">
        <v>17</v>
      </c>
      <c r="D19" s="6"/>
      <c r="E19" s="151">
        <f>-(G64+I67)/(I66)</f>
        <v>1.9934292528259996</v>
      </c>
      <c r="F19" s="6"/>
    </row>
    <row r="20" spans="3:6" ht="15.75">
      <c r="C20" s="6"/>
      <c r="D20" s="7"/>
      <c r="E20" s="151"/>
      <c r="F20" s="7"/>
    </row>
    <row r="21" spans="3:5" ht="12.75">
      <c r="C21" s="6"/>
      <c r="E21" s="151"/>
    </row>
    <row r="23" spans="3:9" ht="15.75">
      <c r="C23" s="88" t="s">
        <v>50</v>
      </c>
      <c r="D23" s="7"/>
      <c r="E23" s="7"/>
      <c r="F23" s="7"/>
      <c r="H23" s="89"/>
      <c r="I23" s="17"/>
    </row>
    <row r="24" spans="3:9" ht="12.75">
      <c r="C24" s="90">
        <v>0.007712649</v>
      </c>
      <c r="D24" s="17"/>
      <c r="E24" s="17"/>
      <c r="F24" s="17"/>
      <c r="G24" s="91"/>
      <c r="H24" s="17"/>
      <c r="I24" s="17"/>
    </row>
    <row r="25" spans="3:9" ht="12.75">
      <c r="C25" s="17" t="s">
        <v>6</v>
      </c>
      <c r="D25" s="17"/>
      <c r="E25" s="89">
        <v>39821</v>
      </c>
      <c r="G25" s="29">
        <v>-75000</v>
      </c>
      <c r="H25" s="107"/>
      <c r="I25" s="25"/>
    </row>
    <row r="26" spans="3:9" ht="12.75">
      <c r="C26" s="17"/>
      <c r="D26" s="17"/>
      <c r="E26" s="89">
        <v>39870</v>
      </c>
      <c r="G26" s="29">
        <v>-62500</v>
      </c>
      <c r="H26" s="107"/>
      <c r="I26" s="25"/>
    </row>
    <row r="27" spans="3:9" ht="12.75">
      <c r="C27" s="17"/>
      <c r="D27" s="17"/>
      <c r="E27" s="89">
        <v>39996</v>
      </c>
      <c r="G27" s="29">
        <v>-60000</v>
      </c>
      <c r="H27" s="107"/>
      <c r="I27" s="25"/>
    </row>
    <row r="28" spans="3:9" ht="12.75">
      <c r="C28" s="17"/>
      <c r="D28" s="17"/>
      <c r="E28" s="89">
        <v>40120</v>
      </c>
      <c r="G28" s="29">
        <v>-300000</v>
      </c>
      <c r="H28" s="107"/>
      <c r="I28" s="25"/>
    </row>
    <row r="29" spans="3:9" ht="12.75">
      <c r="C29" s="17" t="s">
        <v>40</v>
      </c>
      <c r="D29" s="17"/>
      <c r="E29" s="89">
        <v>40198</v>
      </c>
      <c r="G29" s="29">
        <v>-232500</v>
      </c>
      <c r="H29" s="107"/>
      <c r="I29" s="25"/>
    </row>
    <row r="30" spans="3:9" ht="12.75">
      <c r="C30" s="17"/>
      <c r="D30" s="17"/>
      <c r="E30" s="89">
        <v>40301</v>
      </c>
      <c r="G30" s="29">
        <v>-155795.53</v>
      </c>
      <c r="H30" s="107"/>
      <c r="I30" s="25"/>
    </row>
    <row r="31" spans="3:9" ht="12.75">
      <c r="C31" s="17"/>
      <c r="D31" s="17"/>
      <c r="E31" s="89">
        <v>40484</v>
      </c>
      <c r="G31" s="29">
        <v>-872300.72</v>
      </c>
      <c r="H31" s="107"/>
      <c r="I31" s="25"/>
    </row>
    <row r="32" spans="3:9" ht="12.75">
      <c r="C32" s="17" t="s">
        <v>9</v>
      </c>
      <c r="D32" s="17"/>
      <c r="E32" s="89">
        <v>40420</v>
      </c>
      <c r="G32" s="29">
        <v>215954.20</v>
      </c>
      <c r="H32" s="107"/>
      <c r="I32" s="25"/>
    </row>
    <row r="33" spans="3:9" ht="12.75">
      <c r="C33" s="17" t="s">
        <v>10</v>
      </c>
      <c r="D33" s="17"/>
      <c r="E33" s="89">
        <v>40599</v>
      </c>
      <c r="G33" s="29">
        <v>-233693.30</v>
      </c>
      <c r="H33" s="107"/>
      <c r="I33" s="25"/>
    </row>
    <row r="34" spans="3:9" ht="12.75">
      <c r="C34" s="17"/>
      <c r="D34" s="17"/>
      <c r="E34" s="89">
        <v>40721</v>
      </c>
      <c r="G34" s="29">
        <v>-239863.42</v>
      </c>
      <c r="H34" s="107"/>
      <c r="I34" s="25"/>
    </row>
    <row r="35" spans="3:9" ht="12.75">
      <c r="C35" s="17"/>
      <c r="D35" s="17"/>
      <c r="E35" s="89">
        <v>40780</v>
      </c>
      <c r="G35" s="29">
        <v>-323931.30</v>
      </c>
      <c r="H35" s="107"/>
      <c r="I35" s="25"/>
    </row>
    <row r="36" spans="3:9" ht="12.75">
      <c r="C36" s="17"/>
      <c r="D36" s="17"/>
      <c r="E36" s="89">
        <v>40844</v>
      </c>
      <c r="G36" s="29">
        <v>-511348.70</v>
      </c>
      <c r="H36" s="107"/>
      <c r="I36" s="25"/>
    </row>
    <row r="37" spans="3:9" ht="12.75">
      <c r="C37" s="17"/>
      <c r="D37" s="17"/>
      <c r="E37" s="89">
        <v>40905</v>
      </c>
      <c r="G37" s="29">
        <v>-826796.08</v>
      </c>
      <c r="H37" s="107"/>
      <c r="I37" s="25"/>
    </row>
    <row r="38" spans="3:9" ht="12.75">
      <c r="C38" s="17" t="s">
        <v>12</v>
      </c>
      <c r="D38" s="17"/>
      <c r="E38" s="89">
        <v>41061</v>
      </c>
      <c r="G38" s="29">
        <v>-318532.45</v>
      </c>
      <c r="H38" s="107"/>
      <c r="I38" s="25"/>
    </row>
    <row r="39" spans="3:9" ht="12.75">
      <c r="C39" s="17"/>
      <c r="D39" s="17"/>
      <c r="E39" s="89">
        <v>41164</v>
      </c>
      <c r="G39" s="29">
        <v>-267628.92</v>
      </c>
      <c r="H39" s="107"/>
      <c r="I39" s="25"/>
    </row>
    <row r="40" spans="3:9" ht="12.75">
      <c r="C40" s="17"/>
      <c r="D40" s="17"/>
      <c r="E40" s="89">
        <v>41250</v>
      </c>
      <c r="G40" s="29">
        <v>-222124.28</v>
      </c>
      <c r="H40" s="107"/>
      <c r="I40" s="25"/>
    </row>
    <row r="41" spans="3:9" ht="12.75">
      <c r="C41" s="17" t="s">
        <v>13</v>
      </c>
      <c r="D41" s="17"/>
      <c r="E41" s="89">
        <v>41016</v>
      </c>
      <c r="G41" s="29">
        <v>460210.45</v>
      </c>
      <c r="H41" s="107"/>
      <c r="I41" s="25"/>
    </row>
    <row r="42" spans="3:9" ht="12.75">
      <c r="C42" s="17"/>
      <c r="D42" s="17"/>
      <c r="E42" s="89">
        <v>41029</v>
      </c>
      <c r="G42" s="29">
        <v>2092263.87</v>
      </c>
      <c r="H42" s="107"/>
      <c r="I42" s="25"/>
    </row>
    <row r="43" spans="3:9" ht="12.75">
      <c r="C43" s="17"/>
      <c r="D43" s="17"/>
      <c r="E43" s="89">
        <v>41254</v>
      </c>
      <c r="G43" s="29">
        <v>2053384.09</v>
      </c>
      <c r="H43" s="107"/>
      <c r="I43" s="25"/>
    </row>
    <row r="44" spans="3:9" ht="12.75">
      <c r="C44" s="17"/>
      <c r="D44" s="17"/>
      <c r="E44" s="89">
        <v>41269</v>
      </c>
      <c r="G44" s="29">
        <v>941892.49</v>
      </c>
      <c r="H44" s="107"/>
      <c r="I44" s="25"/>
    </row>
    <row r="45" spans="3:9" ht="12.75">
      <c r="C45" s="17" t="s">
        <v>18</v>
      </c>
      <c r="D45" s="17"/>
      <c r="E45" s="89">
        <v>41341</v>
      </c>
      <c r="G45" s="29">
        <v>-197443.80</v>
      </c>
      <c r="H45" s="107"/>
      <c r="I45" s="25"/>
    </row>
    <row r="46" spans="3:9" ht="12.75">
      <c r="C46" s="17"/>
      <c r="D46" s="17"/>
      <c r="E46" s="89">
        <v>41480</v>
      </c>
      <c r="G46" s="29">
        <v>-210555.31</v>
      </c>
      <c r="H46" s="107"/>
      <c r="I46" s="25"/>
    </row>
    <row r="47" spans="3:11" ht="15.75">
      <c r="C47" s="17"/>
      <c r="D47" s="17"/>
      <c r="E47" s="89">
        <v>41544</v>
      </c>
      <c r="G47" s="29">
        <v>-135742.62</v>
      </c>
      <c r="H47" s="107"/>
      <c r="I47" s="44"/>
      <c r="J47" s="42"/>
      <c r="K47" s="177"/>
    </row>
    <row r="48" spans="3:11" ht="12.75">
      <c r="C48" s="17"/>
      <c r="D48" s="17"/>
      <c r="E48" s="89">
        <v>41635</v>
      </c>
      <c r="G48" s="29">
        <v>-118774.79</v>
      </c>
      <c r="H48" s="107"/>
      <c r="I48" s="44"/>
      <c r="J48" s="41"/>
      <c r="K48" s="124"/>
    </row>
    <row r="49" spans="3:11" ht="12.75">
      <c r="C49" s="17" t="s">
        <v>14</v>
      </c>
      <c r="D49" s="17"/>
      <c r="E49" s="89">
        <v>41327</v>
      </c>
      <c r="G49" s="29">
        <v>94806.08</v>
      </c>
      <c r="H49" s="107"/>
      <c r="I49" s="44"/>
      <c r="J49" s="41"/>
      <c r="K49" s="124"/>
    </row>
    <row r="50" spans="3:11" ht="12.75">
      <c r="C50" s="17"/>
      <c r="D50" s="17"/>
      <c r="E50" s="89">
        <v>41409</v>
      </c>
      <c r="G50" s="29">
        <v>62603.20</v>
      </c>
      <c r="H50" s="107"/>
      <c r="I50" s="44"/>
      <c r="J50" s="41"/>
      <c r="K50" s="124"/>
    </row>
    <row r="51" spans="3:11" ht="12.75">
      <c r="C51" s="17"/>
      <c r="D51" s="17"/>
      <c r="E51" s="89">
        <v>41452</v>
      </c>
      <c r="G51" s="29">
        <v>54786.18</v>
      </c>
      <c r="H51" s="107"/>
      <c r="I51" s="44"/>
      <c r="J51" s="41"/>
      <c r="K51" s="124"/>
    </row>
    <row r="52" spans="3:11" ht="12.75">
      <c r="C52" s="17"/>
      <c r="D52" s="17"/>
      <c r="E52" s="89">
        <v>41619</v>
      </c>
      <c r="G52" s="29">
        <v>444081.23</v>
      </c>
      <c r="H52" s="107"/>
      <c r="I52" s="44"/>
      <c r="J52" s="41"/>
      <c r="K52" s="42"/>
    </row>
    <row r="53" spans="3:11" ht="12.75">
      <c r="C53" s="17" t="s">
        <v>23</v>
      </c>
      <c r="D53" s="17"/>
      <c r="E53" s="89">
        <v>41726</v>
      </c>
      <c r="G53" s="43">
        <v>-114918.46</v>
      </c>
      <c r="H53" s="94"/>
      <c r="I53" s="44"/>
      <c r="J53" s="41"/>
      <c r="K53" s="42"/>
    </row>
    <row r="54" spans="3:11" ht="12.75">
      <c r="C54" s="17"/>
      <c r="D54" s="17"/>
      <c r="E54" s="89">
        <v>41808</v>
      </c>
      <c r="G54" s="43">
        <v>-198215.07</v>
      </c>
      <c r="H54" s="94"/>
      <c r="I54" s="44"/>
      <c r="J54" s="41"/>
      <c r="K54" s="42"/>
    </row>
    <row r="55" spans="3:10" ht="12.75">
      <c r="C55" s="17" t="s">
        <v>22</v>
      </c>
      <c r="D55" s="17"/>
      <c r="E55" s="89">
        <v>41969</v>
      </c>
      <c r="G55" s="43">
        <v>3611674.97</v>
      </c>
      <c r="H55" s="94"/>
      <c r="I55" s="25"/>
      <c r="J55" s="17"/>
    </row>
    <row r="56" spans="3:10" ht="12.75">
      <c r="C56" s="17" t="s">
        <v>44</v>
      </c>
      <c r="D56" s="17"/>
      <c r="E56" s="89">
        <v>42037</v>
      </c>
      <c r="G56" s="43">
        <v>-62344.20</v>
      </c>
      <c r="H56" s="94"/>
      <c r="I56" s="25"/>
      <c r="J56" s="17"/>
    </row>
    <row r="57" spans="3:10" ht="12.75">
      <c r="C57" s="17" t="s">
        <v>24</v>
      </c>
      <c r="D57" s="17"/>
      <c r="E57" s="89">
        <v>42145</v>
      </c>
      <c r="G57" s="43">
        <v>181925.06</v>
      </c>
      <c r="H57" s="94"/>
      <c r="I57" s="25"/>
      <c r="J57" s="17"/>
    </row>
    <row r="58" spans="3:10" ht="12.75">
      <c r="C58" s="17"/>
      <c r="D58" s="17"/>
      <c r="E58" s="89">
        <v>42340</v>
      </c>
      <c r="G58" s="43">
        <v>343214</v>
      </c>
      <c r="H58" s="94"/>
      <c r="I58" s="25"/>
      <c r="J58" s="17"/>
    </row>
    <row r="59" spans="3:10" ht="12.75">
      <c r="C59" s="17" t="s">
        <v>25</v>
      </c>
      <c r="D59" s="17"/>
      <c r="E59" s="89">
        <v>42577</v>
      </c>
      <c r="G59" s="43">
        <v>62364.27</v>
      </c>
      <c r="H59" s="94"/>
      <c r="I59" s="25"/>
      <c r="J59" s="17"/>
    </row>
    <row r="60" spans="3:10" ht="12.75">
      <c r="C60" s="17" t="s">
        <v>26</v>
      </c>
      <c r="D60" s="17"/>
      <c r="E60" s="89">
        <v>43207</v>
      </c>
      <c r="G60" s="43">
        <v>149550.7</v>
      </c>
      <c r="H60" s="94"/>
      <c r="I60" s="25"/>
      <c r="J60" s="17"/>
    </row>
    <row r="61" spans="3:11" ht="15.75">
      <c r="C61" s="17" t="s">
        <v>47</v>
      </c>
      <c r="D61" s="17"/>
      <c r="E61" s="89">
        <v>44168</v>
      </c>
      <c r="G61" s="43">
        <v>161337.93</v>
      </c>
      <c r="H61" s="94"/>
      <c r="I61" s="25"/>
      <c r="J61" s="17"/>
      <c r="K61" s="80"/>
    </row>
    <row r="62" spans="3:11" ht="15.75">
      <c r="C62" s="17" t="s">
        <v>29</v>
      </c>
      <c r="D62" s="17"/>
      <c r="E62" s="89">
        <v>44622</v>
      </c>
      <c r="G62" s="43">
        <v>490792.50</v>
      </c>
      <c r="H62" s="94"/>
      <c r="I62" s="25"/>
      <c r="J62" s="17"/>
      <c r="K62" s="80"/>
    </row>
    <row r="63" spans="3:9" ht="5.45" customHeight="1">
      <c r="C63" s="17"/>
      <c r="D63" s="17"/>
      <c r="E63" s="89"/>
      <c r="G63" s="43"/>
      <c r="H63" s="94"/>
      <c r="I63" s="25"/>
    </row>
    <row r="64" spans="3:11" ht="12.75">
      <c r="C64" s="17" t="s">
        <v>5</v>
      </c>
      <c r="D64" s="17"/>
      <c r="E64" s="89">
        <f>E8</f>
        <v>44834</v>
      </c>
      <c r="F64" s="17"/>
      <c r="G64" s="73">
        <f>(K64/0.98)*C24</f>
        <v>21460.53241305</v>
      </c>
      <c r="H64" s="89"/>
      <c r="K64" s="124">
        <v>2726861</v>
      </c>
    </row>
    <row r="65" spans="3:7" ht="12.75">
      <c r="C65" s="17"/>
      <c r="D65" s="17"/>
      <c r="E65" s="17"/>
      <c r="F65" s="17"/>
      <c r="G65" s="17"/>
    </row>
    <row r="66" spans="3:13" ht="12.75">
      <c r="C66" s="15" t="s">
        <v>0</v>
      </c>
      <c r="G66" s="72">
        <f>XIRR(G25:G64,E25:E64)</f>
        <v>0.4058378279209137</v>
      </c>
      <c r="I66" s="45">
        <f>+SUMIF($G$25:$G$63,"&lt;0",$G$25:$G$63)</f>
        <v>-5740008.95</v>
      </c>
      <c r="J66" s="17" t="s">
        <v>20</v>
      </c>
      <c r="M66" s="66"/>
    </row>
    <row r="67" spans="3:13" ht="12.75">
      <c r="C67" s="28"/>
      <c r="D67" s="28"/>
      <c r="E67" s="28"/>
      <c r="F67" s="28"/>
      <c r="G67" s="28"/>
      <c r="H67" s="28"/>
      <c r="I67" s="45">
        <f>+SUMIF($G$25:$G$63,"&gt;0",$G$25:$G$63)</f>
        <v>1.142084122E7</v>
      </c>
      <c r="J67" s="17" t="s">
        <v>21</v>
      </c>
      <c r="M67" s="66"/>
    </row>
    <row r="68" spans="3:13" ht="12.75">
      <c r="C68" s="28"/>
      <c r="D68" s="28"/>
      <c r="E68" s="75"/>
      <c r="F68" s="28"/>
      <c r="G68" s="75"/>
      <c r="H68" s="28"/>
      <c r="I68" s="17"/>
      <c r="M68" s="95"/>
    </row>
    <row r="69" spans="3:9" ht="12.75">
      <c r="C69" s="28"/>
      <c r="D69" s="28"/>
      <c r="E69" s="75"/>
      <c r="F69" s="28"/>
      <c r="G69" s="75"/>
      <c r="H69" s="28"/>
      <c r="I69" s="17"/>
    </row>
    <row r="70" spans="3:13" ht="12.75">
      <c r="C70" s="28"/>
      <c r="D70" s="28"/>
      <c r="E70" s="28"/>
      <c r="F70" s="28"/>
      <c r="G70" s="28"/>
      <c r="H70" s="75"/>
      <c r="I70" s="152"/>
      <c r="M70" s="95"/>
    </row>
    <row r="71" spans="3:9" ht="13.5" customHeight="1">
      <c r="C71" s="153"/>
      <c r="D71" s="28"/>
      <c r="E71" s="75"/>
      <c r="F71" s="28"/>
      <c r="G71" s="75"/>
      <c r="H71" s="75"/>
      <c r="I71" s="152"/>
    </row>
    <row r="72" spans="3:8" ht="12.75">
      <c r="C72" s="28"/>
      <c r="D72" s="28"/>
      <c r="E72" s="28"/>
      <c r="F72" s="28"/>
      <c r="G72" s="28"/>
      <c r="H72" s="28"/>
    </row>
    <row r="73" spans="3:8" ht="13.15" customHeight="1">
      <c r="C73" s="171"/>
      <c r="D73" s="171"/>
      <c r="E73" s="173"/>
      <c r="F73" s="28"/>
      <c r="G73" s="32"/>
      <c r="H73" s="28"/>
    </row>
    <row r="74" spans="3:8" ht="12.75">
      <c r="C74" s="171"/>
      <c r="D74" s="171"/>
      <c r="E74" s="173"/>
      <c r="F74" s="28"/>
      <c r="G74" s="32"/>
      <c r="H74" s="28"/>
    </row>
    <row r="75" spans="3:8" ht="12.75">
      <c r="C75" s="171"/>
      <c r="D75" s="171"/>
      <c r="E75" s="174"/>
      <c r="F75" s="28"/>
      <c r="G75" s="33"/>
      <c r="H75" s="28"/>
    </row>
    <row r="76" spans="3:8" ht="12.75">
      <c r="C76" s="189"/>
      <c r="D76" s="171"/>
      <c r="E76" s="173"/>
      <c r="F76" s="28"/>
      <c r="G76" s="32"/>
      <c r="H76" s="28"/>
    </row>
    <row r="77" spans="3:8" ht="12.75">
      <c r="C77" s="189"/>
      <c r="D77" s="171"/>
      <c r="E77" s="173"/>
      <c r="F77" s="28"/>
      <c r="G77" s="32"/>
      <c r="H77" s="28"/>
    </row>
    <row r="78" spans="3:8" ht="13.15" customHeight="1">
      <c r="C78" s="190"/>
      <c r="D78" s="171"/>
      <c r="E78" s="173"/>
      <c r="F78" s="28"/>
      <c r="G78" s="32"/>
      <c r="H78" s="28"/>
    </row>
    <row r="79" spans="3:8" ht="12.75">
      <c r="C79" s="171"/>
      <c r="D79" s="171"/>
      <c r="E79" s="174"/>
      <c r="F79" s="28"/>
      <c r="G79" s="33"/>
      <c r="H79" s="28"/>
    </row>
    <row r="80" spans="3:8" ht="13.15" customHeight="1">
      <c r="C80" s="171"/>
      <c r="D80" s="171"/>
      <c r="E80" s="173"/>
      <c r="F80" s="28"/>
      <c r="G80" s="32"/>
      <c r="H80" s="28"/>
    </row>
    <row r="81" spans="3:8" ht="13.15" customHeight="1">
      <c r="C81" s="171"/>
      <c r="D81" s="171"/>
      <c r="E81" s="173"/>
      <c r="F81" s="28"/>
      <c r="G81" s="32"/>
      <c r="H81" s="28"/>
    </row>
    <row r="82" spans="3:8" ht="13.15" customHeight="1">
      <c r="C82" s="171"/>
      <c r="D82" s="171"/>
      <c r="E82" s="173"/>
      <c r="F82" s="28"/>
      <c r="G82" s="32"/>
      <c r="H82" s="28"/>
    </row>
    <row r="83" spans="3:8" ht="13.15" customHeight="1">
      <c r="C83" s="171"/>
      <c r="D83" s="171"/>
      <c r="E83" s="173"/>
      <c r="F83" s="28"/>
      <c r="G83" s="32"/>
      <c r="H83" s="28"/>
    </row>
    <row r="84" spans="3:8" ht="13.15" customHeight="1">
      <c r="C84" s="171"/>
      <c r="D84" s="171"/>
      <c r="E84" s="173"/>
      <c r="F84" s="28"/>
      <c r="G84" s="32"/>
      <c r="H84" s="28"/>
    </row>
    <row r="85" spans="3:8" ht="13.15" customHeight="1">
      <c r="C85" s="28"/>
      <c r="D85" s="28"/>
      <c r="E85" s="32"/>
      <c r="F85" s="28"/>
      <c r="G85" s="32"/>
      <c r="H85" s="28"/>
    </row>
    <row r="86" spans="3:8" ht="5.1" customHeight="1">
      <c r="C86" s="28"/>
      <c r="D86" s="28"/>
      <c r="E86" s="96"/>
      <c r="F86" s="28"/>
      <c r="G86" s="28"/>
      <c r="H86" s="28"/>
    </row>
  </sheetData>
  <mergeCells count="1">
    <mergeCell ref="H8:K8"/>
  </mergeCells>
  <pageMargins left="0.75" right="0.33" top="1" bottom="1" header="0.5" footer="0.5"/>
  <pageSetup orientation="portrait" paperSize="1" scale="70" r:id="rId2"/>
  <headerFooter alignWithMargins="0">
    <oddHeader>&amp;C&amp;G</oddHeader>
    <oddFooter>&amp;C&amp;G</oddFooter>
  </headerFooter>
  <legacyDrawingHF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88F1BF0-1378-404D-B1FF-001B2A0BD386}">
  <sheetPr>
    <pageSetUpPr fitToPage="1"/>
  </sheetPr>
  <dimension ref="B4:S91"/>
  <sheetViews>
    <sheetView showGridLines="0" view="pageLayout" zoomScaleNormal="100" workbookViewId="0" topLeftCell="A1">
      <selection pane="topLeft" activeCell="C15" sqref="C15"/>
    </sheetView>
  </sheetViews>
  <sheetFormatPr defaultRowHeight="12.75"/>
  <cols>
    <col min="2" max="2" width="4.857142857142857" customWidth="1"/>
    <col min="3" max="3" width="47.714285714285715" customWidth="1"/>
    <col min="4" max="4" width="1.4285714285714286" customWidth="1"/>
    <col min="5" max="5" width="10.714285714285714" customWidth="1"/>
    <col min="6" max="6" width="1.4285714285714286" customWidth="1"/>
    <col min="7" max="7" width="11.428571428571429" bestFit="1" customWidth="1"/>
    <col min="8" max="8" width="3.142857142857143" customWidth="1"/>
    <col min="9" max="9" width="16.571428571428573" customWidth="1"/>
    <col min="10" max="10" width="13.142857142857142" customWidth="1"/>
    <col min="11" max="11" width="17" customWidth="1"/>
    <col min="12" max="12" width="12.285714285714286" bestFit="1" customWidth="1"/>
    <col min="16" max="16" width="9.57142857142857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12" ht="15.75">
      <c r="C8" s="13"/>
      <c r="D8" s="5"/>
      <c r="E8" s="77">
        <f>+EEIF!E8</f>
        <v>44834</v>
      </c>
      <c r="F8" s="13"/>
      <c r="G8" s="78"/>
      <c r="H8" s="78"/>
      <c r="I8" s="115"/>
      <c r="J8" s="115"/>
      <c r="K8" s="115"/>
      <c r="L8" s="115"/>
    </row>
    <row r="9" spans="3:7" ht="15.75">
      <c r="C9" s="65"/>
      <c r="D9" s="65"/>
      <c r="E9" s="65"/>
      <c r="F9" s="65"/>
      <c r="G9" s="177"/>
    </row>
    <row r="10" spans="3:12" ht="12.75">
      <c r="C10" s="178"/>
      <c r="D10" s="178"/>
      <c r="E10" s="179"/>
      <c r="F10" s="178"/>
      <c r="G10" s="124"/>
      <c r="H10" s="81"/>
      <c r="I10" s="82"/>
      <c r="J10" s="82"/>
      <c r="K10" s="82"/>
      <c r="L10" s="82"/>
    </row>
    <row r="11" spans="3:12" ht="12.75">
      <c r="C11" s="178"/>
      <c r="D11" s="178"/>
      <c r="E11" s="179"/>
      <c r="F11" s="178"/>
      <c r="G11" s="179"/>
      <c r="H11" s="81"/>
      <c r="I11" s="82"/>
      <c r="J11" s="82"/>
      <c r="K11" s="82"/>
      <c r="L11" s="82"/>
    </row>
    <row r="12" spans="3:12" ht="15.75">
      <c r="C12" s="180"/>
      <c r="D12" s="180"/>
      <c r="E12" s="70"/>
      <c r="F12" s="180"/>
      <c r="G12" s="70"/>
      <c r="H12" s="5"/>
      <c r="I12" s="82"/>
      <c r="J12" s="82"/>
      <c r="K12" s="82"/>
      <c r="L12" s="82"/>
    </row>
    <row r="13" spans="3:12" ht="12.75">
      <c r="C13" s="178"/>
      <c r="D13" s="178"/>
      <c r="E13" s="71"/>
      <c r="F13" s="178"/>
      <c r="G13" s="124"/>
      <c r="H13" s="84"/>
      <c r="I13" s="82"/>
      <c r="J13" s="82"/>
      <c r="K13" s="82"/>
      <c r="L13" s="82"/>
    </row>
    <row r="14" spans="3:12" ht="12.75">
      <c r="C14" s="178"/>
      <c r="D14" s="178"/>
      <c r="E14" s="181"/>
      <c r="F14" s="178"/>
      <c r="G14" s="124"/>
      <c r="H14" s="85"/>
      <c r="I14" s="82"/>
      <c r="J14" s="82"/>
      <c r="K14" s="82"/>
      <c r="L14" s="82"/>
    </row>
    <row r="15" spans="3:12" ht="12.75">
      <c r="C15" s="178"/>
      <c r="D15" s="178"/>
      <c r="E15" s="179"/>
      <c r="F15" s="178"/>
      <c r="G15" s="179"/>
      <c r="H15" s="81"/>
      <c r="I15" s="82"/>
      <c r="J15" s="82"/>
      <c r="K15" s="82"/>
      <c r="L15" s="82"/>
    </row>
    <row r="16" spans="3:12" ht="15.75">
      <c r="C16" s="5"/>
      <c r="D16" s="5"/>
      <c r="E16" s="10"/>
      <c r="F16" s="5"/>
      <c r="G16" s="10"/>
      <c r="H16" s="5"/>
      <c r="I16" s="82"/>
      <c r="J16" s="82"/>
      <c r="K16" s="82"/>
      <c r="L16" s="82"/>
    </row>
    <row r="17" spans="3:12" ht="15.75">
      <c r="C17" s="83" t="s">
        <v>15</v>
      </c>
      <c r="D17" s="83"/>
      <c r="E17" s="10"/>
      <c r="F17" s="83"/>
      <c r="G17" s="10"/>
      <c r="H17" s="5"/>
      <c r="I17" s="82"/>
      <c r="J17" s="82"/>
      <c r="K17" s="82"/>
      <c r="L17" s="82"/>
    </row>
    <row r="18" spans="3:12" ht="12.75">
      <c r="C18" s="6" t="s">
        <v>16</v>
      </c>
      <c r="D18" s="6"/>
      <c r="E18" s="84">
        <f>G70</f>
        <v>0.2719235956668854</v>
      </c>
      <c r="F18" s="6"/>
      <c r="G18" s="11"/>
      <c r="H18" s="84"/>
      <c r="I18" s="82"/>
      <c r="J18" s="82"/>
      <c r="K18" s="82"/>
      <c r="L18" s="82"/>
    </row>
    <row r="19" spans="3:7" ht="12.75">
      <c r="C19" s="6" t="s">
        <v>17</v>
      </c>
      <c r="D19" s="6"/>
      <c r="E19" s="151">
        <f>-(G68+I71)/(I70)</f>
        <v>1.7397523986271877</v>
      </c>
      <c r="F19" s="6"/>
      <c r="G19" s="81"/>
    </row>
    <row r="20" spans="3:5" ht="12.75">
      <c r="C20" s="6"/>
      <c r="E20" s="151"/>
    </row>
    <row r="21" spans="3:5" ht="12.75">
      <c r="C21" s="6"/>
      <c r="E21" s="151"/>
    </row>
    <row r="23" spans="3:10" ht="15.75">
      <c r="C23" s="88" t="s">
        <v>50</v>
      </c>
      <c r="D23" s="7"/>
      <c r="E23" s="7"/>
      <c r="F23" s="7"/>
      <c r="I23" s="89"/>
      <c r="J23" s="17"/>
    </row>
    <row r="24" spans="3:10" ht="12.75">
      <c r="C24" s="154">
        <v>1</v>
      </c>
      <c r="D24" s="17"/>
      <c r="F24" s="17"/>
      <c r="G24" s="91"/>
      <c r="H24" s="17"/>
      <c r="I24" s="17"/>
      <c r="J24" s="17"/>
    </row>
    <row r="25" spans="3:10" ht="12.75">
      <c r="C25" s="17" t="s">
        <v>6</v>
      </c>
      <c r="D25" s="17"/>
      <c r="E25" s="89">
        <v>39821</v>
      </c>
      <c r="G25" s="43">
        <v>-388500</v>
      </c>
      <c r="H25" s="17"/>
      <c r="I25" s="107"/>
      <c r="J25" s="25"/>
    </row>
    <row r="26" spans="3:10" ht="12.75">
      <c r="C26" s="17"/>
      <c r="D26" s="17"/>
      <c r="E26" s="89">
        <v>39870</v>
      </c>
      <c r="G26" s="43">
        <v>-323750</v>
      </c>
      <c r="H26" s="17"/>
      <c r="I26" s="107"/>
      <c r="J26" s="25"/>
    </row>
    <row r="27" spans="3:10" ht="12.75">
      <c r="C27" s="17"/>
      <c r="D27" s="17"/>
      <c r="E27" s="89">
        <v>39996</v>
      </c>
      <c r="G27" s="43">
        <v>-310800</v>
      </c>
      <c r="H27" s="17"/>
      <c r="I27" s="107"/>
      <c r="J27" s="25"/>
    </row>
    <row r="28" spans="3:10" ht="12.75">
      <c r="C28" s="17"/>
      <c r="D28" s="17"/>
      <c r="E28" s="89">
        <v>40086</v>
      </c>
      <c r="G28" s="43">
        <v>-790000</v>
      </c>
      <c r="H28" s="17"/>
      <c r="I28" s="107"/>
      <c r="J28" s="25"/>
    </row>
    <row r="29" spans="3:10" ht="12.75">
      <c r="C29" s="17"/>
      <c r="D29" s="17"/>
      <c r="E29" s="89">
        <v>40113</v>
      </c>
      <c r="G29" s="43">
        <v>-446350</v>
      </c>
      <c r="H29" s="17"/>
      <c r="I29" s="107"/>
      <c r="J29" s="25"/>
    </row>
    <row r="30" spans="3:10" ht="12.75">
      <c r="C30" s="17"/>
      <c r="D30" s="17"/>
      <c r="E30" s="89">
        <v>40120</v>
      </c>
      <c r="G30" s="43">
        <v>-3432000</v>
      </c>
      <c r="H30" s="17"/>
      <c r="I30" s="107"/>
      <c r="J30" s="25"/>
    </row>
    <row r="31" spans="3:10" ht="12.75">
      <c r="C31" s="17"/>
      <c r="D31" s="17"/>
      <c r="E31" s="89">
        <v>40148</v>
      </c>
      <c r="G31" s="43">
        <v>-358200</v>
      </c>
      <c r="H31" s="17"/>
      <c r="I31" s="107"/>
      <c r="J31" s="25"/>
    </row>
    <row r="32" spans="3:10" ht="12.75">
      <c r="C32" s="17" t="s">
        <v>40</v>
      </c>
      <c r="D32" s="17"/>
      <c r="E32" s="89">
        <v>40198</v>
      </c>
      <c r="G32" s="43">
        <v>-2827200</v>
      </c>
      <c r="H32" s="17"/>
      <c r="I32" s="107"/>
      <c r="J32" s="25"/>
    </row>
    <row r="33" spans="3:10" ht="12.75">
      <c r="C33" s="17"/>
      <c r="D33" s="17"/>
      <c r="E33" s="89">
        <v>40214</v>
      </c>
      <c r="G33" s="43">
        <v>-803000</v>
      </c>
      <c r="H33" s="17"/>
      <c r="I33" s="107"/>
      <c r="J33" s="25"/>
    </row>
    <row r="34" spans="3:10" ht="12.75">
      <c r="C34" s="17"/>
      <c r="D34" s="17"/>
      <c r="E34" s="89">
        <v>40301</v>
      </c>
      <c r="G34" s="43">
        <v>-1869546.07</v>
      </c>
      <c r="H34" s="17"/>
      <c r="I34" s="107"/>
      <c r="J34" s="25"/>
    </row>
    <row r="35" spans="3:10" ht="12.75">
      <c r="C35" s="17"/>
      <c r="D35" s="17"/>
      <c r="E35" s="89">
        <v>40484</v>
      </c>
      <c r="G35" s="43">
        <v>-1.176300821E7</v>
      </c>
      <c r="H35" s="17"/>
      <c r="I35" s="107"/>
      <c r="J35" s="25"/>
    </row>
    <row r="36" spans="3:10" ht="12.75">
      <c r="C36" s="17" t="s">
        <v>9</v>
      </c>
      <c r="D36" s="17"/>
      <c r="E36" s="89">
        <v>40420</v>
      </c>
      <c r="G36" s="43">
        <v>2863552.28</v>
      </c>
      <c r="H36" s="17"/>
      <c r="I36" s="107"/>
      <c r="J36" s="25"/>
    </row>
    <row r="37" spans="3:10" ht="12.75">
      <c r="C37" s="17" t="s">
        <v>10</v>
      </c>
      <c r="D37" s="17"/>
      <c r="E37" s="89">
        <v>40599</v>
      </c>
      <c r="G37" s="43">
        <v>-3098772.64</v>
      </c>
      <c r="H37" s="17"/>
      <c r="I37" s="107"/>
      <c r="J37" s="25"/>
    </row>
    <row r="38" spans="3:10" ht="12.75">
      <c r="C38" s="17"/>
      <c r="D38" s="17"/>
      <c r="E38" s="89">
        <v>40721</v>
      </c>
      <c r="G38" s="43">
        <v>-3180588.4199999995</v>
      </c>
      <c r="H38" s="17"/>
      <c r="I38" s="107"/>
      <c r="J38" s="25"/>
    </row>
    <row r="39" spans="3:10" ht="12.75">
      <c r="C39" s="17"/>
      <c r="D39" s="17"/>
      <c r="E39" s="89">
        <v>40780</v>
      </c>
      <c r="G39" s="43">
        <v>-4295328.42</v>
      </c>
      <c r="H39" s="17"/>
      <c r="I39" s="107"/>
      <c r="J39" s="25"/>
    </row>
    <row r="40" spans="3:10" ht="12.75">
      <c r="C40" s="17"/>
      <c r="D40" s="17"/>
      <c r="E40" s="89">
        <v>40844</v>
      </c>
      <c r="G40" s="43">
        <v>-6780482.72</v>
      </c>
      <c r="H40" s="17"/>
      <c r="I40" s="107"/>
      <c r="J40" s="25"/>
    </row>
    <row r="41" spans="3:10" ht="12.75">
      <c r="C41" s="17"/>
      <c r="D41" s="17"/>
      <c r="E41" s="89">
        <v>40905</v>
      </c>
      <c r="G41" s="43">
        <v>-1.096331444E7</v>
      </c>
      <c r="H41" s="17"/>
      <c r="I41" s="107"/>
      <c r="J41" s="25"/>
    </row>
    <row r="42" spans="3:10" ht="12.75">
      <c r="C42" s="17" t="s">
        <v>12</v>
      </c>
      <c r="D42" s="17"/>
      <c r="E42" s="89">
        <v>41061</v>
      </c>
      <c r="G42" s="43">
        <v>-4223739.61</v>
      </c>
      <c r="H42" s="17"/>
      <c r="I42" s="107"/>
      <c r="J42" s="25"/>
    </row>
    <row r="43" spans="3:19" ht="12.75">
      <c r="C43" s="17"/>
      <c r="D43" s="17"/>
      <c r="E43" s="89">
        <v>41164</v>
      </c>
      <c r="G43" s="43">
        <v>-3548759.36</v>
      </c>
      <c r="H43" s="17"/>
      <c r="I43" s="107"/>
      <c r="J43" s="25"/>
      <c r="P43" s="29"/>
      <c r="Q43" s="29"/>
      <c r="R43" s="29"/>
      <c r="S43" s="29"/>
    </row>
    <row r="44" spans="3:19" ht="12.75">
      <c r="C44" s="17"/>
      <c r="D44" s="17"/>
      <c r="E44" s="89">
        <v>41250</v>
      </c>
      <c r="G44" s="43">
        <v>-2945368</v>
      </c>
      <c r="H44" s="17"/>
      <c r="I44" s="107"/>
      <c r="J44" s="25"/>
      <c r="P44" s="29"/>
      <c r="Q44" s="29"/>
      <c r="R44" s="29"/>
      <c r="S44" s="29"/>
    </row>
    <row r="45" spans="3:19" ht="12.75">
      <c r="C45" s="17" t="s">
        <v>13</v>
      </c>
      <c r="D45" s="17"/>
      <c r="E45" s="89">
        <v>41016</v>
      </c>
      <c r="G45" s="43">
        <v>6014079.38</v>
      </c>
      <c r="H45" s="17"/>
      <c r="I45" s="107"/>
      <c r="J45" s="25"/>
      <c r="P45" s="29"/>
      <c r="Q45" s="29"/>
      <c r="R45" s="29"/>
      <c r="S45" s="29"/>
    </row>
    <row r="46" spans="3:19" ht="12.75">
      <c r="C46" s="17"/>
      <c r="D46" s="17"/>
      <c r="E46" s="89">
        <v>41029</v>
      </c>
      <c r="G46" s="43">
        <v>1.958404418E7</v>
      </c>
      <c r="H46" s="17"/>
      <c r="I46" s="107"/>
      <c r="J46" s="25"/>
      <c r="P46" s="29"/>
      <c r="Q46" s="29"/>
      <c r="R46" s="29"/>
      <c r="S46" s="29"/>
    </row>
    <row r="47" spans="3:19" ht="12.75">
      <c r="C47" s="17"/>
      <c r="D47" s="17"/>
      <c r="E47" s="89">
        <v>41254</v>
      </c>
      <c r="G47" s="43">
        <v>2.204968077E7</v>
      </c>
      <c r="H47" s="17"/>
      <c r="I47" s="107"/>
      <c r="J47" s="25"/>
      <c r="P47" s="29"/>
      <c r="Q47" s="29"/>
      <c r="R47" s="29"/>
      <c r="S47" s="29"/>
    </row>
    <row r="48" spans="3:19" ht="12.75">
      <c r="C48" s="17"/>
      <c r="D48" s="17"/>
      <c r="E48" s="89">
        <v>41269</v>
      </c>
      <c r="G48" s="43">
        <v>7607541.46</v>
      </c>
      <c r="H48" s="17"/>
      <c r="I48" s="107"/>
      <c r="J48" s="25"/>
      <c r="P48" s="29"/>
      <c r="Q48" s="29"/>
      <c r="R48" s="29"/>
      <c r="S48" s="29"/>
    </row>
    <row r="49" spans="3:19" ht="12.75">
      <c r="C49" s="17" t="s">
        <v>18</v>
      </c>
      <c r="D49" s="17"/>
      <c r="E49" s="89">
        <v>41341</v>
      </c>
      <c r="G49" s="43">
        <v>-2618104.90</v>
      </c>
      <c r="H49" s="17"/>
      <c r="I49" s="107"/>
      <c r="J49" s="25"/>
      <c r="P49" s="29"/>
      <c r="Q49" s="29"/>
      <c r="R49" s="29"/>
      <c r="S49" s="29"/>
    </row>
    <row r="50" spans="3:19" ht="12.75">
      <c r="C50" s="17"/>
      <c r="D50" s="17"/>
      <c r="E50" s="89">
        <v>41480</v>
      </c>
      <c r="G50" s="43">
        <v>-2791963.42</v>
      </c>
      <c r="H50" s="17"/>
      <c r="I50" s="107"/>
      <c r="J50" s="25"/>
      <c r="P50" s="29"/>
      <c r="Q50" s="29"/>
      <c r="R50" s="29"/>
      <c r="S50" s="29"/>
    </row>
    <row r="51" spans="3:19" ht="15.75">
      <c r="C51" s="17"/>
      <c r="D51" s="17"/>
      <c r="E51" s="89">
        <v>41544</v>
      </c>
      <c r="G51" s="43">
        <v>-1799947.11</v>
      </c>
      <c r="H51" s="17"/>
      <c r="I51" s="177"/>
      <c r="J51" s="44"/>
      <c r="K51" s="80"/>
      <c r="P51" s="29"/>
      <c r="Q51" s="29"/>
      <c r="R51" s="29"/>
      <c r="S51" s="29"/>
    </row>
    <row r="52" spans="3:19" ht="12.75">
      <c r="C52" s="17"/>
      <c r="D52" s="17"/>
      <c r="E52" s="89">
        <v>41635</v>
      </c>
      <c r="G52" s="43">
        <v>-1574953.73</v>
      </c>
      <c r="H52" s="17"/>
      <c r="I52" s="201"/>
      <c r="J52" s="41"/>
      <c r="K52" s="124"/>
      <c r="P52" s="29"/>
      <c r="Q52" s="29"/>
      <c r="R52" s="29"/>
      <c r="S52" s="29"/>
    </row>
    <row r="53" spans="3:19" ht="12.75">
      <c r="C53" s="17" t="s">
        <v>14</v>
      </c>
      <c r="D53" s="17"/>
      <c r="E53" s="89">
        <v>41327</v>
      </c>
      <c r="G53" s="43">
        <v>1257128.6400000001</v>
      </c>
      <c r="H53" s="17"/>
      <c r="I53" s="201"/>
      <c r="J53" s="41"/>
      <c r="K53" s="124"/>
      <c r="P53" s="29"/>
      <c r="Q53" s="29"/>
      <c r="R53" s="29"/>
      <c r="S53" s="29"/>
    </row>
    <row r="54" spans="3:19" ht="12.75">
      <c r="C54" s="17"/>
      <c r="D54" s="17"/>
      <c r="E54" s="89">
        <v>41409</v>
      </c>
      <c r="G54" s="43">
        <v>830118.36</v>
      </c>
      <c r="H54" s="17"/>
      <c r="I54" s="201"/>
      <c r="J54" s="41"/>
      <c r="K54" s="124"/>
      <c r="P54" s="29"/>
      <c r="Q54" s="29"/>
      <c r="R54" s="29"/>
      <c r="S54" s="29"/>
    </row>
    <row r="55" spans="3:19" ht="12.75">
      <c r="C55" s="17"/>
      <c r="D55" s="17"/>
      <c r="E55" s="89">
        <v>41452</v>
      </c>
      <c r="G55" s="43">
        <v>726464.68</v>
      </c>
      <c r="H55" s="17"/>
      <c r="I55" s="201"/>
      <c r="J55" s="41"/>
      <c r="K55" s="124"/>
      <c r="P55" s="29"/>
      <c r="Q55" s="29"/>
      <c r="R55" s="29"/>
      <c r="S55" s="29"/>
    </row>
    <row r="56" spans="3:19" ht="12.75">
      <c r="C56" s="17"/>
      <c r="D56" s="17"/>
      <c r="E56" s="89">
        <v>41619</v>
      </c>
      <c r="G56" s="43">
        <v>8592623.35</v>
      </c>
      <c r="H56" s="17"/>
      <c r="I56" s="201"/>
      <c r="J56" s="41"/>
      <c r="P56" s="29"/>
      <c r="Q56" s="29"/>
      <c r="R56" s="29"/>
      <c r="S56" s="29"/>
    </row>
    <row r="57" spans="3:10" ht="12.75">
      <c r="C57" s="17" t="s">
        <v>23</v>
      </c>
      <c r="D57" s="17"/>
      <c r="E57" s="89">
        <v>41726</v>
      </c>
      <c r="G57" s="43">
        <v>-1523818.85</v>
      </c>
      <c r="H57" s="17"/>
      <c r="I57" s="201"/>
      <c r="J57" s="42"/>
    </row>
    <row r="58" spans="3:10" ht="12.75">
      <c r="C58" s="17"/>
      <c r="D58" s="17"/>
      <c r="E58" s="89">
        <v>41808</v>
      </c>
      <c r="G58" s="43">
        <v>-2628331.86</v>
      </c>
      <c r="H58" s="17"/>
      <c r="I58" s="201"/>
      <c r="J58" s="41"/>
    </row>
    <row r="59" spans="3:9" ht="12.75">
      <c r="C59" s="17" t="s">
        <v>22</v>
      </c>
      <c r="D59" s="17"/>
      <c r="E59" s="89">
        <v>41969</v>
      </c>
      <c r="G59" s="43">
        <v>3.516739009E7</v>
      </c>
      <c r="H59" s="17"/>
      <c r="I59" s="119"/>
    </row>
    <row r="60" spans="3:9" ht="12.75">
      <c r="C60" s="17" t="s">
        <v>44</v>
      </c>
      <c r="D60" s="17"/>
      <c r="E60" s="89">
        <v>42037</v>
      </c>
      <c r="G60" s="43">
        <v>-826684</v>
      </c>
      <c r="H60" s="17"/>
      <c r="I60" s="119"/>
    </row>
    <row r="61" spans="3:15" ht="12.75">
      <c r="C61" s="17" t="s">
        <v>24</v>
      </c>
      <c r="D61" s="17"/>
      <c r="E61" s="89">
        <v>42145</v>
      </c>
      <c r="G61" s="43">
        <v>3921964</v>
      </c>
      <c r="H61" s="17"/>
      <c r="I61" s="119"/>
      <c r="O61" s="93"/>
    </row>
    <row r="62" spans="3:9" ht="12.75">
      <c r="C62" s="17"/>
      <c r="D62" s="17"/>
      <c r="E62" s="89">
        <v>42340</v>
      </c>
      <c r="G62" s="43">
        <v>4965302.54</v>
      </c>
      <c r="H62" s="17"/>
      <c r="I62" s="119"/>
    </row>
    <row r="63" spans="3:15" ht="12.75">
      <c r="C63" s="17" t="s">
        <v>25</v>
      </c>
      <c r="D63" s="17"/>
      <c r="E63" s="89">
        <v>42577</v>
      </c>
      <c r="G63" s="43">
        <v>983537.45</v>
      </c>
      <c r="H63" s="17"/>
      <c r="I63" s="119"/>
      <c r="N63" s="118"/>
      <c r="O63" s="118"/>
    </row>
    <row r="64" spans="3:15" ht="12.75">
      <c r="C64" s="17" t="s">
        <v>26</v>
      </c>
      <c r="D64" s="17"/>
      <c r="E64" s="89">
        <v>43207</v>
      </c>
      <c r="G64" s="43">
        <v>7478628.54</v>
      </c>
      <c r="H64" s="17"/>
      <c r="I64" s="119"/>
      <c r="N64" s="118"/>
      <c r="O64" s="118"/>
    </row>
    <row r="65" spans="3:15" ht="15.75">
      <c r="C65" s="17" t="s">
        <v>47</v>
      </c>
      <c r="D65" s="17"/>
      <c r="E65" s="89">
        <v>44168</v>
      </c>
      <c r="G65" s="43">
        <v>2395973.66</v>
      </c>
      <c r="H65" s="17"/>
      <c r="I65" s="119"/>
      <c r="K65" s="80"/>
      <c r="N65" s="118"/>
      <c r="O65" s="118"/>
    </row>
    <row r="66" spans="3:15" ht="15.75">
      <c r="C66" s="17" t="s">
        <v>29</v>
      </c>
      <c r="D66" s="17"/>
      <c r="E66" s="89">
        <v>44622</v>
      </c>
      <c r="G66" s="43">
        <v>4834009.52</v>
      </c>
      <c r="H66" s="17"/>
      <c r="I66" s="119"/>
      <c r="K66" s="80"/>
      <c r="N66" s="118"/>
      <c r="O66" s="118"/>
    </row>
    <row r="67" spans="3:9" ht="7.5" customHeight="1">
      <c r="C67" s="17"/>
      <c r="D67" s="17"/>
      <c r="E67" s="89"/>
      <c r="G67" s="43"/>
      <c r="H67" s="17"/>
      <c r="I67" s="119"/>
    </row>
    <row r="68" spans="3:11" ht="12.75">
      <c r="C68" s="17" t="s">
        <v>5</v>
      </c>
      <c r="D68" s="17"/>
      <c r="E68" s="89">
        <f>EEIF!E64</f>
        <v>44834</v>
      </c>
      <c r="F68" s="17"/>
      <c r="G68" s="73">
        <v>3144886</v>
      </c>
      <c r="H68" s="17"/>
      <c r="K68" s="124"/>
    </row>
    <row r="69" spans="3:8" ht="12.75">
      <c r="C69" s="17"/>
      <c r="D69" s="17"/>
      <c r="E69" s="17"/>
      <c r="F69" s="17"/>
      <c r="G69" s="17"/>
      <c r="H69" s="17"/>
    </row>
    <row r="70" spans="3:10" ht="12.75">
      <c r="C70" s="15" t="s">
        <v>0</v>
      </c>
      <c r="G70" s="116">
        <f>XIRR(G25:G68,E25:E68)</f>
        <v>0.2719235956668854</v>
      </c>
      <c r="H70" s="17"/>
      <c r="I70" s="45">
        <f>+SUMIF($G$25:$G$67,"&lt;0",$G$25:$G$67)</f>
        <v>-7.611251175999999E7</v>
      </c>
      <c r="J70" s="17" t="s">
        <v>20</v>
      </c>
    </row>
    <row r="71" spans="3:10" ht="12.75">
      <c r="C71" s="15"/>
      <c r="G71" s="116"/>
      <c r="H71" s="17"/>
      <c r="I71" s="45">
        <f>+SUMIF($G$25:$G$67,"&gt;0",$G$25:$G$67)</f>
        <v>1.292720389E8</v>
      </c>
      <c r="J71" s="17" t="s">
        <v>21</v>
      </c>
    </row>
    <row r="72" spans="3:8" ht="12.75">
      <c r="C72" s="15"/>
      <c r="G72" s="116"/>
      <c r="H72" s="17"/>
    </row>
    <row r="73" spans="3:9" ht="12.75">
      <c r="C73" s="28"/>
      <c r="D73" s="28"/>
      <c r="E73" s="28"/>
      <c r="F73" s="28"/>
      <c r="G73" s="75"/>
      <c r="H73" s="28"/>
      <c r="I73" s="28"/>
    </row>
    <row r="74" spans="3:10" ht="12.75">
      <c r="C74" s="28"/>
      <c r="D74" s="28"/>
      <c r="E74" s="75"/>
      <c r="F74" s="28"/>
      <c r="G74" s="75"/>
      <c r="H74" s="75"/>
      <c r="I74" s="28"/>
      <c r="J74" s="17"/>
    </row>
    <row r="75" spans="3:10" ht="13.5" customHeight="1">
      <c r="C75" s="28"/>
      <c r="D75" s="28"/>
      <c r="E75" s="75"/>
      <c r="F75" s="28"/>
      <c r="G75" s="75"/>
      <c r="H75" s="75"/>
      <c r="I75" s="28"/>
      <c r="J75" s="17"/>
    </row>
    <row r="76" spans="3:7" ht="12.75">
      <c r="C76" s="28"/>
      <c r="D76" s="28"/>
      <c r="E76" s="28"/>
      <c r="F76" s="28"/>
      <c r="G76" s="28"/>
    </row>
    <row r="77" spans="3:7" ht="12.75">
      <c r="C77" s="153"/>
      <c r="D77" s="28"/>
      <c r="E77" s="75"/>
      <c r="F77" s="28"/>
      <c r="G77" s="75"/>
    </row>
    <row r="78" spans="3:7" ht="12.75">
      <c r="C78" s="28"/>
      <c r="D78" s="28"/>
      <c r="E78" s="28"/>
      <c r="F78" s="28"/>
      <c r="G78" s="28"/>
    </row>
    <row r="79" spans="3:7" ht="12.75">
      <c r="C79" s="171"/>
      <c r="D79" s="171"/>
      <c r="E79" s="173"/>
      <c r="F79" s="28"/>
      <c r="G79" s="32"/>
    </row>
    <row r="80" spans="3:7" ht="12.75">
      <c r="C80" s="171"/>
      <c r="D80" s="171"/>
      <c r="E80" s="173"/>
      <c r="F80" s="28"/>
      <c r="G80" s="32"/>
    </row>
    <row r="81" spans="3:7" ht="12.75">
      <c r="C81" s="171"/>
      <c r="D81" s="171"/>
      <c r="E81" s="174"/>
      <c r="F81" s="28"/>
      <c r="G81" s="33"/>
    </row>
    <row r="82" spans="3:7" ht="12.75">
      <c r="C82" s="189"/>
      <c r="D82" s="171"/>
      <c r="E82" s="173"/>
      <c r="F82" s="28"/>
      <c r="G82" s="32"/>
    </row>
    <row r="83" spans="3:7" ht="12.75">
      <c r="C83" s="189"/>
      <c r="D83" s="171"/>
      <c r="E83" s="173"/>
      <c r="F83" s="28"/>
      <c r="G83" s="32"/>
    </row>
    <row r="84" spans="3:7" ht="12.75">
      <c r="C84" s="190"/>
      <c r="D84" s="171"/>
      <c r="E84" s="173"/>
      <c r="F84" s="28"/>
      <c r="G84" s="32"/>
    </row>
    <row r="85" spans="3:7" ht="12.75">
      <c r="C85" s="171"/>
      <c r="D85" s="171"/>
      <c r="E85" s="174"/>
      <c r="F85" s="28"/>
      <c r="G85" s="33"/>
    </row>
    <row r="86" spans="3:7" ht="12.75">
      <c r="C86" s="171"/>
      <c r="D86" s="171"/>
      <c r="E86" s="173"/>
      <c r="F86" s="28"/>
      <c r="G86" s="32"/>
    </row>
    <row r="87" spans="3:7" ht="12.75">
      <c r="C87" s="171"/>
      <c r="D87" s="171"/>
      <c r="E87" s="173"/>
      <c r="F87" s="28"/>
      <c r="G87" s="32"/>
    </row>
    <row r="88" spans="3:7" ht="12.75">
      <c r="C88" s="171"/>
      <c r="D88" s="171"/>
      <c r="E88" s="173"/>
      <c r="F88" s="28"/>
      <c r="G88" s="32"/>
    </row>
    <row r="89" spans="3:7" ht="12.75">
      <c r="C89" s="171"/>
      <c r="D89" s="171"/>
      <c r="E89" s="173"/>
      <c r="F89" s="28"/>
      <c r="G89" s="32"/>
    </row>
    <row r="90" spans="3:7" ht="12.75">
      <c r="C90" s="171"/>
      <c r="D90" s="171"/>
      <c r="E90" s="173"/>
      <c r="F90" s="28"/>
      <c r="G90" s="32"/>
    </row>
    <row r="91" spans="3:7" ht="4.9" customHeight="1">
      <c r="C91" s="28"/>
      <c r="D91" s="28"/>
      <c r="E91" s="96"/>
      <c r="F91" s="28"/>
      <c r="G91" s="28"/>
    </row>
  </sheetData>
  <mergeCells count="1">
    <mergeCell ref="I8:L8"/>
  </mergeCells>
  <pageMargins left="0.75" right="0.33" top="1" bottom="1" header="0.5" footer="0.5"/>
  <pageSetup orientation="portrait" paperSize="1" scale="69" r:id="rId2"/>
  <headerFooter alignWithMargins="0">
    <oddHeader>&amp;C&amp;G</oddHeader>
    <oddFooter>&amp;C&amp;G</oddFooter>
  </headerFooter>
  <legacyDrawingHF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2FA76E0-2DBD-41C5-B3C8-33F9E6B72304}">
  <sheetPr>
    <pageSetUpPr fitToPage="1"/>
  </sheetPr>
  <dimension ref="B4:O131"/>
  <sheetViews>
    <sheetView showGridLines="0" view="pageLayout" zoomScaleNormal="100" workbookViewId="0" topLeftCell="A1">
      <selection pane="topLeft" activeCell="C9" sqref="C9"/>
    </sheetView>
  </sheetViews>
  <sheetFormatPr defaultRowHeight="12.75"/>
  <cols>
    <col min="2" max="2" width="4.857142857142857" customWidth="1"/>
    <col min="3" max="3" width="50.42857142857143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285714285714286" customWidth="1"/>
    <col min="14" max="14" width="15.428571428571429" bestFit="1" customWidth="1"/>
    <col min="16" max="16" width="10" bestFit="1" customWidth="1"/>
    <col min="19" max="19" width="1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77">
        <v>44834</v>
      </c>
      <c r="F8" s="13"/>
      <c r="G8" s="78"/>
      <c r="H8" s="78"/>
      <c r="I8" s="79"/>
    </row>
    <row r="9" spans="3:7" ht="15.75">
      <c r="C9" s="65"/>
      <c r="D9" s="65"/>
      <c r="E9" s="65"/>
      <c r="F9" s="65"/>
      <c r="G9" s="177"/>
    </row>
    <row r="10" spans="3:15" ht="12.75">
      <c r="C10" s="178"/>
      <c r="D10" s="178"/>
      <c r="E10" s="179"/>
      <c r="F10" s="178"/>
      <c r="G10" s="124"/>
      <c r="H10" s="81"/>
      <c r="I10" s="82"/>
      <c r="O10" s="125"/>
    </row>
    <row r="11" spans="3:9" ht="12.75">
      <c r="C11" s="178"/>
      <c r="D11" s="178"/>
      <c r="E11" s="179"/>
      <c r="F11" s="178"/>
      <c r="G11" s="179"/>
      <c r="H11" s="81"/>
      <c r="I11" s="82"/>
    </row>
    <row r="12" spans="3:9" ht="15.75">
      <c r="C12" s="180"/>
      <c r="D12" s="180"/>
      <c r="E12" s="70"/>
      <c r="F12" s="180"/>
      <c r="G12" s="70"/>
      <c r="H12" s="5"/>
      <c r="I12" s="82"/>
    </row>
    <row r="13" spans="3:15" ht="12.75">
      <c r="C13" s="178"/>
      <c r="D13" s="178"/>
      <c r="E13" s="71"/>
      <c r="F13" s="178"/>
      <c r="G13" s="124"/>
      <c r="H13" s="84"/>
      <c r="I13" s="82"/>
      <c r="O13" s="125"/>
    </row>
    <row r="14" spans="3:15" ht="12.75">
      <c r="C14" s="178"/>
      <c r="D14" s="178"/>
      <c r="E14" s="181"/>
      <c r="F14" s="178"/>
      <c r="G14" s="124"/>
      <c r="H14" s="85"/>
      <c r="I14" s="82"/>
      <c r="O14" s="125"/>
    </row>
    <row r="15" spans="3:9" ht="12.75">
      <c r="C15" s="178"/>
      <c r="D15" s="178"/>
      <c r="E15" s="179"/>
      <c r="F15" s="178"/>
      <c r="G15" s="179"/>
      <c r="H15" s="81"/>
      <c r="I15" s="82"/>
    </row>
    <row r="16" spans="3:9" ht="15.75">
      <c r="C16" s="5"/>
      <c r="D16" s="5"/>
      <c r="E16" s="10"/>
      <c r="F16" s="5"/>
      <c r="G16" s="10"/>
      <c r="H16" s="5"/>
      <c r="I16" s="82"/>
    </row>
    <row r="17" spans="3:9" ht="15.75">
      <c r="C17" s="83" t="s">
        <v>15</v>
      </c>
      <c r="D17" s="83"/>
      <c r="E17" s="10"/>
      <c r="F17" s="83"/>
      <c r="G17" s="10"/>
      <c r="H17" s="5"/>
      <c r="I17" s="82"/>
    </row>
    <row r="18" spans="3:9" ht="12.75" customHeight="1">
      <c r="C18" s="6" t="s">
        <v>16</v>
      </c>
      <c r="D18" s="6"/>
      <c r="E18" s="84">
        <f>G97</f>
        <v>0.261578232049942</v>
      </c>
      <c r="F18" s="6"/>
      <c r="G18" s="11"/>
      <c r="H18" s="84"/>
      <c r="I18" s="82"/>
    </row>
    <row r="19" spans="3:8" ht="12.75">
      <c r="C19" s="6" t="s">
        <v>17</v>
      </c>
      <c r="D19" s="6"/>
      <c r="E19" s="87">
        <f>-(G95+J98)/(J97)</f>
        <v>1.6209760254165169</v>
      </c>
      <c r="F19" s="6"/>
      <c r="G19" s="9"/>
      <c r="H19" s="81"/>
    </row>
    <row r="20" spans="3:7" ht="12.75">
      <c r="C20" s="6"/>
      <c r="D20" s="6"/>
      <c r="E20" s="6"/>
      <c r="F20" s="6"/>
      <c r="G20" s="81"/>
    </row>
    <row r="21" spans="3:12" ht="15.75">
      <c r="C21" s="88" t="s">
        <v>50</v>
      </c>
      <c r="D21" s="7"/>
      <c r="E21" s="7"/>
      <c r="F21" s="7"/>
      <c r="I21" s="89"/>
      <c r="J21" s="17"/>
      <c r="L21" s="119"/>
    </row>
    <row r="22" spans="3:10" ht="12.75">
      <c r="C22" s="90">
        <v>0.0056</v>
      </c>
      <c r="D22" s="17"/>
      <c r="E22" s="17"/>
      <c r="F22" s="17"/>
      <c r="G22" s="91"/>
      <c r="H22" s="17"/>
      <c r="I22" s="17"/>
      <c r="J22" s="17"/>
    </row>
    <row r="23" spans="3:10" ht="12.75">
      <c r="C23" s="17" t="s">
        <v>12</v>
      </c>
      <c r="D23" s="17"/>
      <c r="E23" s="89">
        <v>41089</v>
      </c>
      <c r="F23" s="45"/>
      <c r="G23" s="22">
        <v>-75000</v>
      </c>
      <c r="H23" s="17"/>
      <c r="I23" s="25"/>
      <c r="J23" s="25"/>
    </row>
    <row r="24" spans="3:10" ht="12.75">
      <c r="C24" s="17"/>
      <c r="D24" s="17"/>
      <c r="E24" s="89">
        <v>41166</v>
      </c>
      <c r="F24" s="45"/>
      <c r="G24" s="22">
        <v>-94080</v>
      </c>
      <c r="H24" s="17"/>
      <c r="I24" s="25"/>
      <c r="J24" s="25"/>
    </row>
    <row r="25" spans="3:10" ht="12.75">
      <c r="C25" s="17"/>
      <c r="D25" s="17"/>
      <c r="E25" s="89">
        <v>41270</v>
      </c>
      <c r="F25" s="45"/>
      <c r="G25" s="22">
        <v>-273280</v>
      </c>
      <c r="H25" s="17"/>
      <c r="I25" s="25"/>
      <c r="J25" s="25"/>
    </row>
    <row r="26" spans="3:10" ht="12.75">
      <c r="C26" s="17" t="s">
        <v>18</v>
      </c>
      <c r="D26" s="17"/>
      <c r="E26" s="89">
        <v>41311</v>
      </c>
      <c r="F26" s="45"/>
      <c r="G26" s="22">
        <v>-97440</v>
      </c>
      <c r="H26" s="17"/>
      <c r="I26" s="25"/>
      <c r="J26" s="25"/>
    </row>
    <row r="27" spans="3:10" ht="12.75">
      <c r="C27" s="17"/>
      <c r="D27" s="17"/>
      <c r="E27" s="89">
        <v>41341</v>
      </c>
      <c r="F27" s="45"/>
      <c r="G27" s="22">
        <v>-140000</v>
      </c>
      <c r="H27" s="17"/>
      <c r="I27" s="25"/>
      <c r="J27" s="25"/>
    </row>
    <row r="28" spans="3:10" ht="12.75">
      <c r="C28" s="17"/>
      <c r="D28" s="17"/>
      <c r="E28" s="89">
        <v>41361</v>
      </c>
      <c r="F28" s="45"/>
      <c r="G28" s="22">
        <v>-62720</v>
      </c>
      <c r="H28" s="17"/>
      <c r="I28" s="25"/>
      <c r="J28" s="25"/>
    </row>
    <row r="29" spans="3:10" ht="12.75">
      <c r="C29" s="17"/>
      <c r="D29" s="17"/>
      <c r="E29" s="89">
        <v>41387</v>
      </c>
      <c r="F29" s="45"/>
      <c r="G29" s="22">
        <v>-136640</v>
      </c>
      <c r="H29" s="17"/>
      <c r="I29" s="25"/>
      <c r="J29" s="25"/>
    </row>
    <row r="30" spans="3:10" ht="12.75">
      <c r="C30" s="17"/>
      <c r="D30" s="17"/>
      <c r="E30" s="89">
        <v>41408</v>
      </c>
      <c r="F30" s="45"/>
      <c r="G30" s="22">
        <v>-58800</v>
      </c>
      <c r="H30" s="17"/>
      <c r="I30" s="25"/>
      <c r="J30" s="25"/>
    </row>
    <row r="31" spans="3:10" ht="12.75">
      <c r="C31" s="17"/>
      <c r="D31" s="17"/>
      <c r="E31" s="89">
        <v>41439</v>
      </c>
      <c r="F31" s="45"/>
      <c r="G31" s="22">
        <v>-136080</v>
      </c>
      <c r="H31" s="17"/>
      <c r="I31" s="25"/>
      <c r="J31" s="25"/>
    </row>
    <row r="32" spans="3:9" ht="12.75">
      <c r="C32" s="17"/>
      <c r="D32" s="17"/>
      <c r="E32" s="89">
        <v>41479</v>
      </c>
      <c r="F32" s="45"/>
      <c r="G32" s="22">
        <v>-150640</v>
      </c>
      <c r="H32" s="17"/>
      <c r="I32" s="25"/>
    </row>
    <row r="33" spans="3:9" ht="12.75">
      <c r="C33" s="17"/>
      <c r="D33" s="17"/>
      <c r="E33" s="89">
        <v>41515</v>
      </c>
      <c r="F33" s="45"/>
      <c r="G33" s="22">
        <v>-94640</v>
      </c>
      <c r="H33" s="17"/>
      <c r="I33" s="25"/>
    </row>
    <row r="34" spans="3:9" ht="12.75">
      <c r="C34" s="17"/>
      <c r="D34" s="17"/>
      <c r="E34" s="89">
        <v>41543</v>
      </c>
      <c r="F34" s="45"/>
      <c r="G34" s="22">
        <v>-352800</v>
      </c>
      <c r="H34" s="17"/>
      <c r="I34" s="25"/>
    </row>
    <row r="35" spans="3:9" ht="12.75">
      <c r="C35" s="17"/>
      <c r="D35" s="17"/>
      <c r="E35" s="89">
        <v>41605</v>
      </c>
      <c r="F35" s="45"/>
      <c r="G35" s="22">
        <v>-83440</v>
      </c>
      <c r="H35" s="17"/>
      <c r="I35" s="25"/>
    </row>
    <row r="36" spans="3:9" ht="12.75">
      <c r="C36" s="17"/>
      <c r="D36" s="17"/>
      <c r="E36" s="89">
        <v>41638</v>
      </c>
      <c r="F36" s="45"/>
      <c r="G36" s="22">
        <v>-59920</v>
      </c>
      <c r="H36" s="17"/>
      <c r="I36" s="25"/>
    </row>
    <row r="37" spans="3:11" ht="12.75">
      <c r="C37" s="17" t="s">
        <v>23</v>
      </c>
      <c r="D37" s="17"/>
      <c r="E37" s="89">
        <v>41683</v>
      </c>
      <c r="F37" s="45"/>
      <c r="G37" s="45">
        <v>-61600</v>
      </c>
      <c r="H37" s="17"/>
      <c r="I37" s="25"/>
      <c r="J37" s="25"/>
      <c r="K37" s="17"/>
    </row>
    <row r="38" spans="3:9" ht="12.75">
      <c r="C38" s="17"/>
      <c r="D38" s="17"/>
      <c r="E38" s="89">
        <v>41701</v>
      </c>
      <c r="F38" s="45"/>
      <c r="G38" s="45">
        <v>-89599.99</v>
      </c>
      <c r="H38" s="17"/>
      <c r="I38" s="25"/>
    </row>
    <row r="39" spans="3:9" ht="12.75">
      <c r="C39" s="17"/>
      <c r="D39" s="17"/>
      <c r="E39" s="89">
        <v>41729</v>
      </c>
      <c r="F39" s="45"/>
      <c r="G39" s="45">
        <v>-115360</v>
      </c>
      <c r="H39" s="17"/>
      <c r="I39" s="25"/>
    </row>
    <row r="40" spans="3:9" ht="12.75">
      <c r="C40" s="17"/>
      <c r="D40" s="17"/>
      <c r="E40" s="89">
        <v>41751</v>
      </c>
      <c r="F40" s="45"/>
      <c r="G40" s="45">
        <v>-81200</v>
      </c>
      <c r="H40" s="17"/>
      <c r="I40" s="25"/>
    </row>
    <row r="41" spans="3:9" ht="12.75">
      <c r="C41" s="17"/>
      <c r="D41" s="17"/>
      <c r="E41" s="89">
        <v>41782</v>
      </c>
      <c r="F41" s="45"/>
      <c r="G41" s="45">
        <v>-138320</v>
      </c>
      <c r="H41" s="17"/>
      <c r="I41" s="25"/>
    </row>
    <row r="42" spans="3:9" ht="12.75">
      <c r="C42" s="17"/>
      <c r="D42" s="17"/>
      <c r="E42" s="89">
        <v>41808</v>
      </c>
      <c r="F42" s="45"/>
      <c r="G42" s="45">
        <v>-332080</v>
      </c>
      <c r="H42" s="17"/>
      <c r="I42" s="25"/>
    </row>
    <row r="43" spans="3:11" ht="12.75">
      <c r="C43" s="17"/>
      <c r="D43" s="17"/>
      <c r="E43" s="89">
        <v>41894</v>
      </c>
      <c r="F43" s="45"/>
      <c r="G43" s="45">
        <v>-69440</v>
      </c>
      <c r="H43" s="17"/>
      <c r="I43" s="25"/>
      <c r="J43" s="112"/>
      <c r="K43" s="110"/>
    </row>
    <row r="44" spans="3:11" ht="12.75">
      <c r="C44" s="17"/>
      <c r="D44" s="17"/>
      <c r="E44" s="89">
        <v>41942</v>
      </c>
      <c r="F44" s="45"/>
      <c r="G44" s="45">
        <v>-98560</v>
      </c>
      <c r="H44" s="17"/>
      <c r="I44" s="25"/>
      <c r="J44" s="112"/>
      <c r="K44" s="110"/>
    </row>
    <row r="45" spans="3:11" ht="12.75">
      <c r="C45" s="17"/>
      <c r="D45" s="17"/>
      <c r="E45" s="89">
        <v>41962</v>
      </c>
      <c r="F45" s="45"/>
      <c r="G45" s="45">
        <v>-218960</v>
      </c>
      <c r="H45" s="17"/>
      <c r="I45" s="25"/>
      <c r="J45" s="112"/>
      <c r="K45" s="110"/>
    </row>
    <row r="46" spans="3:11" ht="12.75">
      <c r="C46" s="17"/>
      <c r="D46" s="17"/>
      <c r="E46" s="89">
        <v>41975</v>
      </c>
      <c r="F46" s="45"/>
      <c r="G46" s="45">
        <v>-257600</v>
      </c>
      <c r="H46" s="17"/>
      <c r="I46" s="25"/>
      <c r="J46" s="112"/>
      <c r="K46" s="110"/>
    </row>
    <row r="47" spans="3:9" ht="12.75">
      <c r="C47" s="17" t="s">
        <v>22</v>
      </c>
      <c r="D47" s="17"/>
      <c r="E47" s="89">
        <v>41969</v>
      </c>
      <c r="F47" s="45"/>
      <c r="G47" s="45">
        <v>950190.04</v>
      </c>
      <c r="H47" s="17"/>
      <c r="I47" s="25"/>
    </row>
    <row r="48" spans="3:9" ht="12.75">
      <c r="C48" s="17" t="s">
        <v>44</v>
      </c>
      <c r="D48" s="17"/>
      <c r="E48" s="89">
        <v>42037</v>
      </c>
      <c r="F48" s="45"/>
      <c r="G48" s="45">
        <v>-216720</v>
      </c>
      <c r="H48" s="17"/>
      <c r="I48" s="25"/>
    </row>
    <row r="49" spans="3:9" ht="12.75">
      <c r="C49" s="17"/>
      <c r="D49" s="17"/>
      <c r="E49" s="89">
        <v>42094</v>
      </c>
      <c r="F49" s="45"/>
      <c r="G49" s="45">
        <v>-188160</v>
      </c>
      <c r="H49" s="17"/>
      <c r="I49" s="25"/>
    </row>
    <row r="50" spans="3:9" ht="12.75">
      <c r="C50" s="17"/>
      <c r="D50" s="17"/>
      <c r="E50" s="89">
        <v>42110</v>
      </c>
      <c r="F50" s="45"/>
      <c r="G50" s="45">
        <v>-157360</v>
      </c>
      <c r="H50" s="17"/>
      <c r="I50" s="25"/>
    </row>
    <row r="51" spans="3:9" ht="12.75">
      <c r="C51" s="17"/>
      <c r="D51" s="17"/>
      <c r="E51" s="89">
        <v>42145</v>
      </c>
      <c r="F51" s="45"/>
      <c r="G51" s="45">
        <v>-196560</v>
      </c>
      <c r="H51" s="17"/>
      <c r="I51" s="25"/>
    </row>
    <row r="52" spans="3:11" ht="12.75">
      <c r="C52" s="17"/>
      <c r="D52" s="17"/>
      <c r="E52" s="89">
        <v>42158</v>
      </c>
      <c r="F52" s="45"/>
      <c r="G52" s="45">
        <v>-563360</v>
      </c>
      <c r="H52" s="17"/>
      <c r="I52" s="25"/>
      <c r="J52" s="25"/>
      <c r="K52" s="17"/>
    </row>
    <row r="53" spans="3:11" ht="12.75">
      <c r="C53" s="17"/>
      <c r="D53" s="17"/>
      <c r="E53" s="89">
        <v>42261</v>
      </c>
      <c r="F53" s="45"/>
      <c r="G53" s="45">
        <v>-423920</v>
      </c>
      <c r="H53" s="17"/>
      <c r="I53" s="25"/>
      <c r="J53" s="25"/>
      <c r="K53" s="17"/>
    </row>
    <row r="54" spans="3:11" ht="12.75">
      <c r="C54" s="17"/>
      <c r="D54" s="17"/>
      <c r="E54" s="89">
        <v>42366</v>
      </c>
      <c r="F54" s="45"/>
      <c r="G54" s="45">
        <v>-105840</v>
      </c>
      <c r="H54" s="17"/>
      <c r="I54" s="25"/>
      <c r="J54" s="25"/>
      <c r="K54" s="17"/>
    </row>
    <row r="55" spans="3:11" ht="12.75">
      <c r="C55" s="17" t="s">
        <v>24</v>
      </c>
      <c r="D55" s="17"/>
      <c r="E55" s="89">
        <v>42341</v>
      </c>
      <c r="F55" s="45"/>
      <c r="G55" s="45">
        <v>167083.98</v>
      </c>
      <c r="H55" s="17"/>
      <c r="I55" s="25"/>
      <c r="J55" s="25"/>
      <c r="K55" s="17"/>
    </row>
    <row r="56" spans="3:11" ht="12.75">
      <c r="C56" s="17" t="s">
        <v>45</v>
      </c>
      <c r="D56" s="17"/>
      <c r="E56" s="89">
        <v>42397</v>
      </c>
      <c r="F56" s="45"/>
      <c r="G56" s="45">
        <v>-152880</v>
      </c>
      <c r="H56" s="17"/>
      <c r="I56" s="25"/>
      <c r="J56" s="25"/>
      <c r="K56" s="17"/>
    </row>
    <row r="57" spans="3:11" ht="12.75">
      <c r="C57" s="17"/>
      <c r="D57" s="17"/>
      <c r="E57" s="89">
        <v>42447</v>
      </c>
      <c r="F57" s="45"/>
      <c r="G57" s="45">
        <v>-192080</v>
      </c>
      <c r="H57" s="17"/>
      <c r="I57" s="25"/>
      <c r="J57" s="25"/>
      <c r="K57" s="17"/>
    </row>
    <row r="58" spans="3:11" ht="12.75">
      <c r="C58" s="17"/>
      <c r="D58" s="17"/>
      <c r="E58" s="89">
        <v>42494</v>
      </c>
      <c r="F58" s="45"/>
      <c r="G58" s="45">
        <v>-149520</v>
      </c>
      <c r="H58" s="17"/>
      <c r="I58" s="25"/>
      <c r="J58" s="25"/>
      <c r="K58" s="17"/>
    </row>
    <row r="59" spans="3:11" ht="12.75">
      <c r="C59" s="17"/>
      <c r="D59" s="17"/>
      <c r="E59" s="89">
        <v>42556</v>
      </c>
      <c r="F59" s="45"/>
      <c r="G59" s="45">
        <v>-130480</v>
      </c>
      <c r="H59" s="17"/>
      <c r="I59" s="25"/>
      <c r="J59" s="25"/>
      <c r="K59" s="17"/>
    </row>
    <row r="60" spans="3:11" ht="12.75">
      <c r="C60" s="17"/>
      <c r="D60" s="17"/>
      <c r="E60" s="89">
        <v>42605</v>
      </c>
      <c r="F60" s="45"/>
      <c r="G60" s="45">
        <v>-1252720</v>
      </c>
      <c r="H60" s="17"/>
      <c r="I60" s="25"/>
      <c r="J60" s="25"/>
      <c r="K60" s="17"/>
    </row>
    <row r="61" spans="3:11" ht="12.75">
      <c r="C61" s="17"/>
      <c r="D61" s="17"/>
      <c r="E61" s="89">
        <v>42661</v>
      </c>
      <c r="F61" s="45"/>
      <c r="G61" s="45">
        <v>-119280</v>
      </c>
      <c r="H61" s="17"/>
      <c r="I61" s="25"/>
      <c r="J61" s="25"/>
      <c r="K61" s="17"/>
    </row>
    <row r="62" spans="3:11" ht="12.75">
      <c r="C62" s="17" t="s">
        <v>25</v>
      </c>
      <c r="D62" s="17"/>
      <c r="E62" s="89">
        <v>42381</v>
      </c>
      <c r="F62" s="45"/>
      <c r="G62" s="45">
        <v>1368658.03</v>
      </c>
      <c r="H62" s="17"/>
      <c r="I62" s="25"/>
      <c r="J62" s="25"/>
      <c r="K62" s="17"/>
    </row>
    <row r="63" spans="3:11" ht="12.75">
      <c r="C63" s="17"/>
      <c r="D63" s="17"/>
      <c r="E63" s="89">
        <v>42549</v>
      </c>
      <c r="F63" s="45"/>
      <c r="G63" s="45">
        <v>182010.75</v>
      </c>
      <c r="H63" s="17"/>
      <c r="I63" s="25"/>
      <c r="J63" s="25"/>
      <c r="K63" s="17"/>
    </row>
    <row r="64" spans="3:11" ht="12.75">
      <c r="C64" s="17"/>
      <c r="D64" s="17"/>
      <c r="E64" s="89">
        <v>42640</v>
      </c>
      <c r="F64" s="45"/>
      <c r="G64" s="45">
        <v>267565.96</v>
      </c>
      <c r="H64" s="17"/>
      <c r="I64" s="25"/>
      <c r="J64" s="25"/>
      <c r="K64" s="17"/>
    </row>
    <row r="65" spans="3:12" ht="15.75">
      <c r="C65" s="17"/>
      <c r="D65" s="17"/>
      <c r="E65" s="89">
        <v>42654</v>
      </c>
      <c r="F65" s="45"/>
      <c r="G65" s="45">
        <v>109364.79</v>
      </c>
      <c r="H65" s="17"/>
      <c r="I65" s="25"/>
      <c r="J65" s="44"/>
      <c r="K65" s="41"/>
      <c r="L65" s="177"/>
    </row>
    <row r="66" spans="3:12" ht="12.75">
      <c r="C66" s="17" t="s">
        <v>30</v>
      </c>
      <c r="D66" s="17"/>
      <c r="E66" s="89">
        <v>42793</v>
      </c>
      <c r="F66" s="45"/>
      <c r="G66" s="45">
        <v>-118720</v>
      </c>
      <c r="H66" s="17"/>
      <c r="I66" s="25"/>
      <c r="J66" s="44"/>
      <c r="K66" s="41"/>
      <c r="L66" s="124"/>
    </row>
    <row r="67" spans="3:12" ht="12.75">
      <c r="C67" s="17"/>
      <c r="D67" s="17"/>
      <c r="E67" s="89">
        <v>42870</v>
      </c>
      <c r="F67" s="45"/>
      <c r="G67" s="45">
        <v>-119840</v>
      </c>
      <c r="H67" s="17"/>
      <c r="I67" s="25"/>
      <c r="J67" s="44"/>
      <c r="K67" s="41"/>
      <c r="L67" s="124"/>
    </row>
    <row r="68" spans="3:12" ht="12.75">
      <c r="C68" s="17"/>
      <c r="D68" s="17"/>
      <c r="E68" s="89">
        <v>42992</v>
      </c>
      <c r="F68" s="45"/>
      <c r="G68" s="45">
        <v>-113120</v>
      </c>
      <c r="H68" s="17"/>
      <c r="I68" s="25"/>
      <c r="J68" s="44"/>
      <c r="K68" s="41"/>
      <c r="L68" s="124"/>
    </row>
    <row r="69" spans="3:12" ht="12.75">
      <c r="C69" s="17"/>
      <c r="D69" s="17"/>
      <c r="E69" s="89">
        <v>43048</v>
      </c>
      <c r="F69" s="45"/>
      <c r="G69" s="45">
        <v>-217280</v>
      </c>
      <c r="H69" s="17"/>
      <c r="I69" s="25"/>
      <c r="J69" s="44"/>
      <c r="K69" s="41"/>
      <c r="L69" s="124"/>
    </row>
    <row r="70" spans="3:12" ht="12.75">
      <c r="C70" s="17" t="s">
        <v>46</v>
      </c>
      <c r="D70" s="17"/>
      <c r="E70" s="89">
        <v>42746</v>
      </c>
      <c r="F70" s="45"/>
      <c r="G70" s="45">
        <v>405584.79</v>
      </c>
      <c r="H70" s="17"/>
      <c r="I70" s="25"/>
      <c r="J70" s="44"/>
      <c r="K70" s="41"/>
      <c r="L70" s="42"/>
    </row>
    <row r="71" spans="3:12" ht="12.75">
      <c r="C71" s="17"/>
      <c r="D71" s="17"/>
      <c r="E71" s="89">
        <v>42802</v>
      </c>
      <c r="F71" s="45"/>
      <c r="G71" s="45">
        <v>606119.09</v>
      </c>
      <c r="H71" s="17"/>
      <c r="I71" s="25"/>
      <c r="J71" s="44"/>
      <c r="K71" s="41"/>
      <c r="L71" s="42"/>
    </row>
    <row r="72" spans="3:12" ht="12.75">
      <c r="C72" s="17"/>
      <c r="D72" s="17"/>
      <c r="E72" s="89">
        <v>42885</v>
      </c>
      <c r="F72" s="45"/>
      <c r="G72" s="45">
        <v>224558.85</v>
      </c>
      <c r="H72" s="17"/>
      <c r="I72" s="25"/>
      <c r="J72" s="44"/>
      <c r="K72" s="41"/>
      <c r="L72" s="42"/>
    </row>
    <row r="73" spans="3:11" ht="12.75">
      <c r="C73" s="17"/>
      <c r="D73" s="17"/>
      <c r="E73" s="89">
        <v>42913</v>
      </c>
      <c r="F73" s="45"/>
      <c r="G73" s="45">
        <v>5827248.31</v>
      </c>
      <c r="H73" s="17"/>
      <c r="I73" s="25"/>
      <c r="J73" s="25"/>
      <c r="K73" s="17"/>
    </row>
    <row r="74" spans="3:11" ht="12.75">
      <c r="C74" s="17"/>
      <c r="D74" s="17"/>
      <c r="E74" s="89">
        <v>42999</v>
      </c>
      <c r="F74" s="45"/>
      <c r="G74" s="45">
        <v>397158.17</v>
      </c>
      <c r="H74" s="17"/>
      <c r="I74" s="25"/>
      <c r="J74" s="25"/>
      <c r="K74" s="17"/>
    </row>
    <row r="75" spans="3:11" ht="12.75">
      <c r="C75" s="17" t="s">
        <v>31</v>
      </c>
      <c r="D75" s="17"/>
      <c r="E75" s="89">
        <v>43132</v>
      </c>
      <c r="F75" s="45"/>
      <c r="G75" s="45">
        <v>-150080</v>
      </c>
      <c r="H75" s="17"/>
      <c r="I75" s="25"/>
      <c r="J75" s="25"/>
      <c r="K75" s="17"/>
    </row>
    <row r="76" spans="3:11" ht="12.75">
      <c r="C76" s="17"/>
      <c r="D76" s="17"/>
      <c r="E76" s="89">
        <v>43147</v>
      </c>
      <c r="F76" s="45"/>
      <c r="G76" s="45">
        <v>-330400</v>
      </c>
      <c r="H76" s="17"/>
      <c r="I76" s="25"/>
      <c r="J76" s="25"/>
      <c r="K76" s="17"/>
    </row>
    <row r="77" spans="3:11" ht="12.75">
      <c r="C77" s="17"/>
      <c r="D77" s="17"/>
      <c r="E77" s="89">
        <v>43370</v>
      </c>
      <c r="F77" s="45"/>
      <c r="G77" s="45">
        <v>-106400</v>
      </c>
      <c r="H77" s="17"/>
      <c r="I77" s="25"/>
      <c r="J77" s="25"/>
      <c r="K77" s="17"/>
    </row>
    <row r="78" spans="3:11" ht="12.75">
      <c r="C78" s="17" t="s">
        <v>26</v>
      </c>
      <c r="D78" s="17"/>
      <c r="E78" s="89">
        <v>43122</v>
      </c>
      <c r="F78" s="45"/>
      <c r="G78" s="45">
        <v>1706867.46</v>
      </c>
      <c r="H78" s="17"/>
      <c r="I78" s="25"/>
      <c r="J78" s="25"/>
      <c r="K78" s="17"/>
    </row>
    <row r="79" spans="3:11" ht="12.75">
      <c r="C79" s="17"/>
      <c r="D79" s="17"/>
      <c r="E79" s="89">
        <v>43300</v>
      </c>
      <c r="F79" s="45"/>
      <c r="G79" s="45">
        <v>423504.53</v>
      </c>
      <c r="H79" s="17"/>
      <c r="I79" s="25"/>
      <c r="J79" s="25"/>
      <c r="K79" s="17"/>
    </row>
    <row r="80" spans="3:11" ht="12.75">
      <c r="C80" s="17" t="s">
        <v>32</v>
      </c>
      <c r="D80" s="17"/>
      <c r="E80" s="89">
        <v>43490</v>
      </c>
      <c r="F80" s="45"/>
      <c r="G80" s="45">
        <v>-146720</v>
      </c>
      <c r="H80" s="17"/>
      <c r="I80" s="25"/>
      <c r="J80" s="25"/>
      <c r="K80" s="17"/>
    </row>
    <row r="81" spans="3:11" ht="12.75">
      <c r="C81" s="17"/>
      <c r="D81" s="17"/>
      <c r="E81" s="89">
        <v>43517</v>
      </c>
      <c r="F81" s="45"/>
      <c r="G81" s="45">
        <v>-166320</v>
      </c>
      <c r="H81" s="17"/>
      <c r="I81" s="25"/>
      <c r="J81" s="25"/>
      <c r="K81" s="17"/>
    </row>
    <row r="82" spans="3:11" ht="12.75">
      <c r="C82" s="17"/>
      <c r="D82" s="17"/>
      <c r="E82" s="89">
        <v>43560</v>
      </c>
      <c r="F82" s="45"/>
      <c r="G82" s="45">
        <v>-454160</v>
      </c>
      <c r="H82" s="17"/>
      <c r="I82" s="25"/>
      <c r="J82" s="25"/>
      <c r="K82" s="17"/>
    </row>
    <row r="83" spans="3:11" ht="12.75">
      <c r="C83" s="17"/>
      <c r="D83" s="17"/>
      <c r="E83" s="89">
        <v>43623</v>
      </c>
      <c r="F83" s="45"/>
      <c r="G83" s="45">
        <v>-117600</v>
      </c>
      <c r="H83" s="17"/>
      <c r="I83" s="25"/>
      <c r="J83" s="25"/>
      <c r="K83" s="17"/>
    </row>
    <row r="84" spans="3:11" ht="12.75">
      <c r="C84" s="17"/>
      <c r="D84" s="17"/>
      <c r="E84" s="89">
        <v>43733</v>
      </c>
      <c r="F84" s="45"/>
      <c r="G84" s="45">
        <v>-111440</v>
      </c>
      <c r="H84" s="17"/>
      <c r="I84" s="25"/>
      <c r="J84" s="25"/>
      <c r="K84" s="17"/>
    </row>
    <row r="85" spans="3:11" ht="12.75">
      <c r="C85" s="17"/>
      <c r="D85" s="17"/>
      <c r="E85" s="89">
        <v>43825</v>
      </c>
      <c r="F85" s="45"/>
      <c r="G85" s="45">
        <v>-66080</v>
      </c>
      <c r="H85" s="17"/>
      <c r="I85" s="25"/>
      <c r="J85" s="25"/>
      <c r="K85" s="17"/>
    </row>
    <row r="86" spans="3:11" ht="12.75">
      <c r="C86" s="17" t="s">
        <v>27</v>
      </c>
      <c r="D86" s="17"/>
      <c r="E86" s="89">
        <v>43545</v>
      </c>
      <c r="F86" s="45"/>
      <c r="G86" s="45">
        <v>177644.72</v>
      </c>
      <c r="H86" s="17"/>
      <c r="I86" s="25"/>
      <c r="J86" s="25"/>
      <c r="K86" s="17"/>
    </row>
    <row r="87" spans="3:11" ht="12.75">
      <c r="C87" s="17" t="s">
        <v>33</v>
      </c>
      <c r="D87" s="17"/>
      <c r="E87" s="89">
        <v>43950</v>
      </c>
      <c r="F87" s="45"/>
      <c r="G87" s="45">
        <v>-90160</v>
      </c>
      <c r="H87" s="17"/>
      <c r="I87" s="25"/>
      <c r="J87" s="25"/>
      <c r="K87" s="17"/>
    </row>
    <row r="88" spans="3:11" ht="12.75">
      <c r="C88" s="17" t="s">
        <v>47</v>
      </c>
      <c r="D88" s="17"/>
      <c r="E88" s="89">
        <v>44084</v>
      </c>
      <c r="F88" s="45"/>
      <c r="G88" s="45">
        <v>98641.36</v>
      </c>
      <c r="H88" s="17"/>
      <c r="I88" s="25"/>
      <c r="J88" s="25"/>
      <c r="K88" s="17"/>
    </row>
    <row r="89" spans="3:12" ht="15.75">
      <c r="C89" s="17"/>
      <c r="D89" s="17"/>
      <c r="E89" s="89">
        <v>44158</v>
      </c>
      <c r="F89" s="45"/>
      <c r="G89" s="45">
        <v>456197.97</v>
      </c>
      <c r="H89" s="17"/>
      <c r="I89" s="25"/>
      <c r="J89" s="25"/>
      <c r="K89" s="17"/>
      <c r="L89" s="80"/>
    </row>
    <row r="90" spans="3:12" ht="15.75">
      <c r="C90" s="17" t="s">
        <v>34</v>
      </c>
      <c r="D90" s="17"/>
      <c r="E90" s="89">
        <v>44203</v>
      </c>
      <c r="F90" s="45"/>
      <c r="G90" s="45">
        <v>-56000</v>
      </c>
      <c r="H90" s="17"/>
      <c r="I90" s="25"/>
      <c r="J90" s="25"/>
      <c r="K90" s="17"/>
      <c r="L90" s="80"/>
    </row>
    <row r="91" spans="3:12" ht="15.75">
      <c r="C91" s="17" t="s">
        <v>28</v>
      </c>
      <c r="D91" s="17"/>
      <c r="E91" s="89">
        <v>44284</v>
      </c>
      <c r="F91" s="45"/>
      <c r="G91" s="45">
        <v>52464.24</v>
      </c>
      <c r="H91" s="17"/>
      <c r="I91" s="25"/>
      <c r="J91" s="25"/>
      <c r="K91" s="17"/>
      <c r="L91" s="80"/>
    </row>
    <row r="92" spans="3:12" ht="15.75">
      <c r="C92" s="17"/>
      <c r="D92" s="17"/>
      <c r="E92" s="89">
        <v>44546</v>
      </c>
      <c r="F92" s="45"/>
      <c r="G92" s="45">
        <v>86158.79</v>
      </c>
      <c r="H92" s="17"/>
      <c r="I92" s="25"/>
      <c r="J92" s="25"/>
      <c r="K92" s="17"/>
      <c r="L92" s="80"/>
    </row>
    <row r="93" spans="3:12" ht="15.75">
      <c r="C93" s="17" t="s">
        <v>29</v>
      </c>
      <c r="D93" s="17"/>
      <c r="E93" s="89">
        <v>44624</v>
      </c>
      <c r="F93" s="45"/>
      <c r="G93" s="45">
        <v>753227.11</v>
      </c>
      <c r="H93" s="17"/>
      <c r="I93" s="25"/>
      <c r="J93" s="25"/>
      <c r="K93" s="17"/>
      <c r="L93" s="80"/>
    </row>
    <row r="94" spans="3:10" ht="4.5" customHeight="1">
      <c r="C94" s="17"/>
      <c r="D94" s="17"/>
      <c r="E94" s="89"/>
      <c r="F94" s="17"/>
      <c r="G94" s="45"/>
      <c r="H94" s="17"/>
      <c r="I94" s="25"/>
      <c r="J94" s="25"/>
    </row>
    <row r="95" spans="3:12" ht="12.75">
      <c r="C95" s="17" t="s">
        <v>5</v>
      </c>
      <c r="D95" s="17"/>
      <c r="E95" s="89">
        <f>+E8</f>
        <v>44834</v>
      </c>
      <c r="F95" s="17"/>
      <c r="G95" s="94">
        <f>L95/0.98*C22</f>
        <v>1125082.8914285712</v>
      </c>
      <c r="H95" s="17"/>
      <c r="I95" s="89"/>
      <c r="K95" s="162"/>
      <c r="L95" s="124">
        <v>1.9688950599999997E8</v>
      </c>
    </row>
    <row r="96" spans="3:14" ht="12.75">
      <c r="C96" s="17"/>
      <c r="D96" s="17"/>
      <c r="E96" s="17"/>
      <c r="F96" s="17"/>
      <c r="G96" s="17"/>
      <c r="H96" s="17"/>
      <c r="J96" s="25"/>
      <c r="N96" s="93"/>
    </row>
    <row r="97" spans="3:14" ht="12.75">
      <c r="C97" s="15" t="s">
        <v>0</v>
      </c>
      <c r="G97" s="72">
        <f>+XIRR(G23:G95,E23:E95,0.1)</f>
        <v>0.261578232049942</v>
      </c>
      <c r="H97" s="17"/>
      <c r="J97" s="45">
        <f>+SUMIF($G$23:$G$94,"&lt;0",$G$23:$G$94)</f>
        <v>-9491399.99</v>
      </c>
      <c r="K97" s="17" t="s">
        <v>20</v>
      </c>
      <c r="N97" s="93"/>
    </row>
    <row r="98" spans="3:14" ht="12.75">
      <c r="C98" s="17"/>
      <c r="D98" s="17"/>
      <c r="E98" s="17"/>
      <c r="F98" s="17"/>
      <c r="G98" s="17"/>
      <c r="H98" s="17"/>
      <c r="J98" s="45">
        <f>+SUMIF($G$23:$G$94,"&gt;0",$G$23:$G$94)</f>
        <v>1.4260248939999998E7</v>
      </c>
      <c r="K98" s="17" t="s">
        <v>21</v>
      </c>
      <c r="N98" s="93"/>
    </row>
    <row r="99" spans="3:8" ht="12.75">
      <c r="C99" s="17"/>
      <c r="D99" s="17"/>
      <c r="E99" s="17"/>
      <c r="F99" s="17"/>
      <c r="G99" s="17"/>
      <c r="H99" s="17"/>
    </row>
    <row r="100" spans="3:8" ht="12.75">
      <c r="C100" s="17"/>
      <c r="D100" s="17"/>
      <c r="E100" s="75"/>
      <c r="F100" s="17"/>
      <c r="G100" s="75"/>
      <c r="H100" s="17"/>
    </row>
    <row r="101" spans="3:8" ht="12.75">
      <c r="C101" s="28"/>
      <c r="D101" s="28"/>
      <c r="E101" s="75"/>
      <c r="F101" s="28"/>
      <c r="G101" s="75"/>
      <c r="H101" s="17"/>
    </row>
    <row r="102" spans="3:8" ht="12.75">
      <c r="C102" s="28"/>
      <c r="D102" s="28"/>
      <c r="E102" s="75"/>
      <c r="F102" s="28"/>
      <c r="G102" s="75"/>
      <c r="H102" s="17"/>
    </row>
    <row r="103" spans="3:8" ht="12.75">
      <c r="C103" s="28"/>
      <c r="D103" s="28"/>
      <c r="E103" s="28"/>
      <c r="F103" s="28"/>
      <c r="G103" s="28"/>
      <c r="H103" s="15"/>
    </row>
    <row r="104" spans="3:8" ht="12.75">
      <c r="C104" s="28"/>
      <c r="D104" s="28"/>
      <c r="E104" s="75"/>
      <c r="F104" s="75"/>
      <c r="G104" s="75"/>
      <c r="H104" s="15"/>
    </row>
    <row r="105" spans="3:8" ht="12.75">
      <c r="C105" s="171"/>
      <c r="D105" s="171"/>
      <c r="E105" s="171"/>
      <c r="F105" s="28"/>
      <c r="G105" s="28"/>
      <c r="H105" s="15"/>
    </row>
    <row r="106" spans="3:8" ht="12.75">
      <c r="C106" s="171"/>
      <c r="D106" s="171"/>
      <c r="E106" s="173"/>
      <c r="F106" s="97"/>
      <c r="G106" s="32"/>
      <c r="H106" s="15"/>
    </row>
    <row r="107" spans="3:8" ht="12.75">
      <c r="C107" s="171"/>
      <c r="D107" s="171"/>
      <c r="E107" s="97"/>
      <c r="F107" s="97"/>
      <c r="G107" s="97"/>
      <c r="H107" s="15"/>
    </row>
    <row r="108" spans="3:8" ht="12.75">
      <c r="C108" s="171"/>
      <c r="D108" s="171"/>
      <c r="E108" s="97"/>
      <c r="F108" s="97"/>
      <c r="G108" s="97"/>
      <c r="H108" s="15"/>
    </row>
    <row r="109" spans="3:8" ht="12.75">
      <c r="C109" s="189"/>
      <c r="D109" s="171"/>
      <c r="E109" s="97"/>
      <c r="F109" s="97"/>
      <c r="G109" s="97"/>
      <c r="H109" s="15"/>
    </row>
    <row r="110" spans="3:8" ht="12.75">
      <c r="C110" s="189"/>
      <c r="D110" s="171"/>
      <c r="E110" s="97"/>
      <c r="F110" s="97"/>
      <c r="G110" s="97"/>
      <c r="H110" s="15"/>
    </row>
    <row r="111" spans="3:8" ht="12.75">
      <c r="C111" s="190"/>
      <c r="D111" s="171"/>
      <c r="E111" s="97"/>
      <c r="F111" s="97"/>
      <c r="G111" s="97"/>
      <c r="H111" s="15"/>
    </row>
    <row r="112" spans="3:8" ht="12.75">
      <c r="C112" s="171"/>
      <c r="D112" s="171"/>
      <c r="E112" s="97"/>
      <c r="F112" s="97"/>
      <c r="G112" s="97"/>
      <c r="H112" s="15"/>
    </row>
    <row r="113" spans="3:8" ht="12.75">
      <c r="C113" s="171"/>
      <c r="D113" s="171"/>
      <c r="E113" s="97"/>
      <c r="F113" s="97"/>
      <c r="G113" s="97"/>
      <c r="H113" s="15"/>
    </row>
    <row r="114" spans="3:8" ht="12.75">
      <c r="C114" s="171"/>
      <c r="D114" s="171"/>
      <c r="E114" s="97"/>
      <c r="F114" s="97"/>
      <c r="G114" s="97"/>
      <c r="H114" s="15"/>
    </row>
    <row r="115" spans="3:8" ht="12.75">
      <c r="C115" s="171"/>
      <c r="D115" s="171"/>
      <c r="E115" s="97"/>
      <c r="F115" s="97"/>
      <c r="G115" s="97"/>
      <c r="H115" s="15"/>
    </row>
    <row r="116" spans="3:8" ht="12.75">
      <c r="C116" s="171"/>
      <c r="D116" s="171"/>
      <c r="E116" s="97"/>
      <c r="F116" s="97"/>
      <c r="G116" s="97"/>
      <c r="H116" s="15"/>
    </row>
    <row r="117" spans="3:8" ht="12.75">
      <c r="C117" s="171"/>
      <c r="D117" s="171"/>
      <c r="E117" s="97"/>
      <c r="F117" s="97"/>
      <c r="G117" s="97"/>
      <c r="H117" s="15"/>
    </row>
    <row r="118" spans="3:8" ht="5.1" customHeight="1">
      <c r="C118" s="15"/>
      <c r="D118" s="15"/>
      <c r="E118" s="99"/>
      <c r="F118" s="99"/>
      <c r="G118" s="99"/>
      <c r="H118" s="15"/>
    </row>
    <row r="119" spans="3:8" ht="12.75">
      <c r="C119" s="15"/>
      <c r="D119" s="15"/>
      <c r="E119" s="101"/>
      <c r="F119" s="101"/>
      <c r="G119" s="101"/>
      <c r="H119" s="15"/>
    </row>
    <row r="121" spans="3:10" ht="12.75">
      <c r="C121" s="28"/>
      <c r="D121" s="28"/>
      <c r="E121" s="76"/>
      <c r="F121" s="76"/>
      <c r="G121" s="76"/>
      <c r="H121" s="15"/>
      <c r="J121" s="163"/>
    </row>
    <row r="122" spans="3:8" ht="12.75">
      <c r="C122" s="28"/>
      <c r="D122" s="28"/>
      <c r="E122" s="75"/>
      <c r="F122" s="75"/>
      <c r="G122" s="75"/>
      <c r="H122" s="15"/>
    </row>
    <row r="123" spans="3:8" ht="12.75">
      <c r="C123" s="28"/>
      <c r="D123" s="28"/>
      <c r="E123" s="28"/>
      <c r="F123" s="28"/>
      <c r="G123" s="28"/>
      <c r="H123" s="15"/>
    </row>
    <row r="124" spans="3:8" ht="12.75">
      <c r="C124" s="28"/>
      <c r="D124" s="28"/>
      <c r="E124" s="32"/>
      <c r="F124" s="97"/>
      <c r="G124" s="32"/>
      <c r="H124" s="15"/>
    </row>
    <row r="125" spans="3:8" ht="12.75">
      <c r="C125" s="28"/>
      <c r="D125" s="28"/>
      <c r="E125" s="97"/>
      <c r="F125" s="97"/>
      <c r="G125" s="97"/>
      <c r="H125" s="15"/>
    </row>
    <row r="126" spans="3:8" ht="12.75">
      <c r="C126" s="28"/>
      <c r="D126" s="28"/>
      <c r="E126" s="97"/>
      <c r="F126" s="97"/>
      <c r="G126" s="97"/>
      <c r="H126" s="15"/>
    </row>
    <row r="127" spans="3:8" ht="12.75">
      <c r="C127" s="28"/>
      <c r="D127" s="28"/>
      <c r="E127" s="97"/>
      <c r="F127" s="97"/>
      <c r="G127" s="97"/>
      <c r="H127" s="15"/>
    </row>
    <row r="128" spans="3:8" ht="12.75">
      <c r="C128" s="28"/>
      <c r="D128" s="28"/>
      <c r="E128" s="97"/>
      <c r="F128" s="97"/>
      <c r="G128" s="97"/>
      <c r="H128" s="15"/>
    </row>
    <row r="129" spans="3:8" ht="12.75">
      <c r="C129" s="28"/>
      <c r="D129" s="28"/>
      <c r="E129" s="97"/>
      <c r="F129" s="97"/>
      <c r="G129" s="97"/>
      <c r="H129" s="15"/>
    </row>
    <row r="130" spans="3:8" ht="12.75">
      <c r="C130" s="28"/>
      <c r="D130" s="28"/>
      <c r="E130" s="97"/>
      <c r="F130" s="97"/>
      <c r="G130" s="97"/>
      <c r="H130" s="15"/>
    </row>
    <row r="131" spans="3:8" ht="12.75">
      <c r="C131" s="28"/>
      <c r="D131" s="28"/>
      <c r="E131" s="97"/>
      <c r="F131" s="97"/>
      <c r="G131" s="97"/>
      <c r="H131" s="15"/>
    </row>
  </sheetData>
  <mergeCells count="1">
    <mergeCell ref="E121:G121"/>
  </mergeCells>
  <pageMargins left="0.75" right="0.33" top="1" bottom="1" header="0.5" footer="0.5"/>
  <pageSetup orientation="landscape" paperSize="1" scale="32" r:id="rId2"/>
  <headerFooter alignWithMargins="0">
    <oddHeader>&amp;C&amp;G</oddHeader>
    <oddFooter>&amp;C&amp;G</oddFooter>
  </headerFooter>
  <legacyDrawingHF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44DDBBA-CD24-416E-85E2-CE1039E69ACC}">
  <sheetPr>
    <pageSetUpPr fitToPage="1"/>
  </sheetPr>
  <dimension ref="B4:L123"/>
  <sheetViews>
    <sheetView showGridLines="0" view="pageLayout" zoomScaleNormal="100" workbookViewId="0" topLeftCell="A1">
      <selection pane="topLeft" activeCell="C15" sqref="C15"/>
    </sheetView>
  </sheetViews>
  <sheetFormatPr defaultRowHeight="12.75"/>
  <cols>
    <col min="2" max="2" width="4.857142857142857" customWidth="1"/>
    <col min="3" max="3" width="47.142857142857146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142857142857142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20">
        <f>+'EFM II'!E8</f>
        <v>44834</v>
      </c>
      <c r="F8" s="13"/>
      <c r="G8" s="78"/>
      <c r="H8" s="78"/>
      <c r="I8" s="79"/>
    </row>
    <row r="9" spans="3:7" ht="15.75">
      <c r="C9" s="65"/>
      <c r="D9" s="65"/>
      <c r="E9" s="65"/>
      <c r="F9" s="65"/>
      <c r="G9" s="177"/>
    </row>
    <row r="10" spans="3:9" ht="12.75">
      <c r="C10" s="178"/>
      <c r="D10" s="178"/>
      <c r="E10" s="179"/>
      <c r="F10" s="178"/>
      <c r="G10" s="124"/>
      <c r="H10" s="81"/>
      <c r="I10" s="82"/>
    </row>
    <row r="11" spans="3:9" ht="12.75">
      <c r="C11" s="178"/>
      <c r="D11" s="178"/>
      <c r="E11" s="179"/>
      <c r="F11" s="178"/>
      <c r="G11" s="179"/>
      <c r="H11" s="81"/>
      <c r="I11" s="82"/>
    </row>
    <row r="12" spans="3:9" ht="15.75">
      <c r="C12" s="180"/>
      <c r="D12" s="180"/>
      <c r="E12" s="70"/>
      <c r="F12" s="180"/>
      <c r="G12" s="70"/>
      <c r="H12" s="5"/>
      <c r="I12" s="82"/>
    </row>
    <row r="13" spans="3:9" ht="12.75">
      <c r="C13" s="178"/>
      <c r="D13" s="178"/>
      <c r="E13" s="71"/>
      <c r="F13" s="178"/>
      <c r="G13" s="124"/>
      <c r="H13" s="84"/>
      <c r="I13" s="82"/>
    </row>
    <row r="14" spans="3:9" ht="12.75">
      <c r="C14" s="178"/>
      <c r="D14" s="178"/>
      <c r="E14" s="181"/>
      <c r="F14" s="178"/>
      <c r="G14" s="124"/>
      <c r="H14" s="85"/>
      <c r="I14" s="82"/>
    </row>
    <row r="15" spans="3:9" ht="12.75">
      <c r="C15" s="178"/>
      <c r="D15" s="178"/>
      <c r="E15" s="179"/>
      <c r="F15" s="178"/>
      <c r="G15" s="179"/>
      <c r="H15" s="81"/>
      <c r="I15" s="82"/>
    </row>
    <row r="16" spans="3:9" ht="15.75">
      <c r="C16" s="5"/>
      <c r="D16" s="5"/>
      <c r="E16" s="10"/>
      <c r="F16" s="5"/>
      <c r="G16" s="10"/>
      <c r="H16" s="5"/>
      <c r="I16" s="82"/>
    </row>
    <row r="17" spans="3:9" ht="15.75">
      <c r="C17" s="83" t="s">
        <v>15</v>
      </c>
      <c r="D17" s="83"/>
      <c r="E17" s="10"/>
      <c r="F17" s="83"/>
      <c r="G17" s="10"/>
      <c r="H17" s="5"/>
      <c r="I17" s="82"/>
    </row>
    <row r="18" spans="3:9" ht="12.75" customHeight="1">
      <c r="C18" s="6" t="s">
        <v>16</v>
      </c>
      <c r="D18" s="6"/>
      <c r="E18" s="84">
        <f>G97</f>
        <v>0.21101710200309753</v>
      </c>
      <c r="F18" s="6"/>
      <c r="G18" s="11"/>
      <c r="H18" s="84"/>
      <c r="I18" s="82"/>
    </row>
    <row r="19" spans="3:8" ht="12.75">
      <c r="C19" s="6" t="s">
        <v>17</v>
      </c>
      <c r="D19" s="6"/>
      <c r="E19" s="87">
        <f>-(G95+J98)/(J97)</f>
        <v>1.5175610441440954</v>
      </c>
      <c r="F19" s="6"/>
      <c r="G19" s="9"/>
      <c r="H19" s="81"/>
    </row>
    <row r="20" spans="3:7" ht="12.75">
      <c r="C20" s="6"/>
      <c r="D20" s="6"/>
      <c r="E20" s="6"/>
      <c r="F20" s="6"/>
      <c r="G20" s="81"/>
    </row>
    <row r="21" spans="3:12" ht="15.75">
      <c r="C21" s="88" t="s">
        <v>50</v>
      </c>
      <c r="D21" s="7"/>
      <c r="E21" s="7"/>
      <c r="F21" s="7"/>
      <c r="I21" s="89"/>
      <c r="J21" s="17"/>
      <c r="L21" s="119"/>
    </row>
    <row r="22" spans="3:10" ht="12.75">
      <c r="C22" s="90">
        <v>0.01538501</v>
      </c>
      <c r="D22" s="17"/>
      <c r="E22" s="17"/>
      <c r="F22" s="17"/>
      <c r="G22" s="91"/>
      <c r="H22" s="17"/>
      <c r="I22" s="17"/>
      <c r="J22" s="17"/>
    </row>
    <row r="23" spans="3:10" ht="12.75">
      <c r="C23" s="17" t="s">
        <v>12</v>
      </c>
      <c r="D23" s="17"/>
      <c r="E23" s="89">
        <v>41089</v>
      </c>
      <c r="F23" s="45"/>
      <c r="G23" s="22">
        <v>-22500</v>
      </c>
      <c r="H23" s="17"/>
      <c r="I23" s="25"/>
      <c r="J23" s="25"/>
    </row>
    <row r="24" spans="3:10" ht="12.75">
      <c r="C24" s="17"/>
      <c r="D24" s="17"/>
      <c r="E24" s="89">
        <v>41166</v>
      </c>
      <c r="F24" s="45"/>
      <c r="G24" s="22">
        <v>-28224</v>
      </c>
      <c r="H24" s="17"/>
      <c r="I24" s="25"/>
      <c r="J24" s="25"/>
    </row>
    <row r="25" spans="3:10" ht="12.75">
      <c r="C25" s="17"/>
      <c r="D25" s="17"/>
      <c r="E25" s="89">
        <v>41270</v>
      </c>
      <c r="F25" s="45"/>
      <c r="G25" s="22">
        <v>-81984</v>
      </c>
      <c r="H25" s="17"/>
      <c r="I25" s="25"/>
      <c r="J25" s="25"/>
    </row>
    <row r="26" spans="3:10" ht="12.75">
      <c r="C26" s="17" t="s">
        <v>18</v>
      </c>
      <c r="D26" s="17"/>
      <c r="E26" s="89">
        <v>41311</v>
      </c>
      <c r="F26" s="45"/>
      <c r="G26" s="22">
        <v>-29232</v>
      </c>
      <c r="H26" s="17"/>
      <c r="I26" s="25"/>
      <c r="J26" s="25"/>
    </row>
    <row r="27" spans="3:10" ht="12.75">
      <c r="C27" s="17"/>
      <c r="D27" s="17"/>
      <c r="E27" s="89">
        <v>41341</v>
      </c>
      <c r="F27" s="45"/>
      <c r="G27" s="22">
        <v>-42000</v>
      </c>
      <c r="H27" s="17"/>
      <c r="I27" s="25"/>
      <c r="J27" s="25"/>
    </row>
    <row r="28" spans="3:10" ht="12.75">
      <c r="C28" s="17"/>
      <c r="D28" s="17"/>
      <c r="E28" s="89">
        <v>41361</v>
      </c>
      <c r="F28" s="45"/>
      <c r="G28" s="22">
        <v>-18816</v>
      </c>
      <c r="H28" s="17"/>
      <c r="I28" s="25"/>
      <c r="J28" s="25"/>
    </row>
    <row r="29" spans="3:10" ht="12.75">
      <c r="C29" s="17"/>
      <c r="D29" s="17"/>
      <c r="E29" s="89">
        <v>41387</v>
      </c>
      <c r="F29" s="45"/>
      <c r="G29" s="22">
        <v>-40992</v>
      </c>
      <c r="H29" s="17"/>
      <c r="I29" s="25"/>
      <c r="J29" s="25"/>
    </row>
    <row r="30" spans="3:10" ht="12.75">
      <c r="C30" s="17"/>
      <c r="D30" s="17"/>
      <c r="E30" s="89">
        <v>41408</v>
      </c>
      <c r="F30" s="45"/>
      <c r="G30" s="22">
        <v>-17640</v>
      </c>
      <c r="H30" s="17"/>
      <c r="I30" s="25"/>
      <c r="J30" s="25"/>
    </row>
    <row r="31" spans="3:10" ht="12.75">
      <c r="C31" s="17"/>
      <c r="D31" s="17"/>
      <c r="E31" s="89">
        <v>41439</v>
      </c>
      <c r="F31" s="45"/>
      <c r="G31" s="22">
        <v>-40824</v>
      </c>
      <c r="H31" s="17"/>
      <c r="I31" s="25"/>
      <c r="J31" s="25"/>
    </row>
    <row r="32" spans="3:9" ht="12.75">
      <c r="C32" s="17"/>
      <c r="D32" s="17"/>
      <c r="E32" s="89">
        <v>41479</v>
      </c>
      <c r="F32" s="45"/>
      <c r="G32" s="22">
        <v>-45192</v>
      </c>
      <c r="H32" s="17"/>
      <c r="I32" s="25"/>
    </row>
    <row r="33" spans="3:9" ht="12.75">
      <c r="C33" s="17"/>
      <c r="D33" s="17"/>
      <c r="E33" s="89">
        <v>41515</v>
      </c>
      <c r="F33" s="45"/>
      <c r="G33" s="22">
        <v>-28392</v>
      </c>
      <c r="H33" s="17"/>
      <c r="I33" s="25"/>
    </row>
    <row r="34" spans="3:9" ht="12.75">
      <c r="C34" s="17"/>
      <c r="D34" s="17"/>
      <c r="E34" s="89">
        <v>41543</v>
      </c>
      <c r="F34" s="45"/>
      <c r="G34" s="22">
        <v>-105840</v>
      </c>
      <c r="H34" s="17"/>
      <c r="I34" s="25"/>
    </row>
    <row r="35" spans="3:9" ht="12.75">
      <c r="C35" s="17"/>
      <c r="D35" s="17"/>
      <c r="E35" s="89">
        <v>41605</v>
      </c>
      <c r="F35" s="45"/>
      <c r="G35" s="22">
        <v>-25032</v>
      </c>
      <c r="H35" s="17"/>
      <c r="I35" s="25"/>
    </row>
    <row r="36" spans="3:9" ht="12.75">
      <c r="C36" s="17"/>
      <c r="D36" s="17"/>
      <c r="E36" s="89">
        <v>41638</v>
      </c>
      <c r="F36" s="45"/>
      <c r="G36" s="22">
        <v>-17976</v>
      </c>
      <c r="H36" s="17"/>
      <c r="I36" s="25"/>
    </row>
    <row r="37" spans="3:11" ht="12.75">
      <c r="C37" s="17" t="s">
        <v>23</v>
      </c>
      <c r="D37" s="17"/>
      <c r="E37" s="89">
        <v>41683</v>
      </c>
      <c r="F37" s="45"/>
      <c r="G37" s="45">
        <v>-18480</v>
      </c>
      <c r="H37" s="17"/>
      <c r="I37" s="25"/>
      <c r="J37" s="112"/>
      <c r="K37" s="110"/>
    </row>
    <row r="38" spans="3:11" ht="12.75">
      <c r="C38" s="34"/>
      <c r="D38" s="17"/>
      <c r="E38" s="89">
        <v>41701</v>
      </c>
      <c r="F38" s="45"/>
      <c r="G38" s="45">
        <v>-26880</v>
      </c>
      <c r="H38" s="17"/>
      <c r="I38" s="25"/>
      <c r="J38" s="112"/>
      <c r="K38" s="110"/>
    </row>
    <row r="39" spans="3:11" ht="12.75">
      <c r="C39" s="17"/>
      <c r="D39" s="17"/>
      <c r="E39" s="89">
        <v>41729</v>
      </c>
      <c r="F39" s="45"/>
      <c r="G39" s="45">
        <v>-34608</v>
      </c>
      <c r="H39" s="17"/>
      <c r="I39" s="25"/>
      <c r="J39" s="112"/>
      <c r="K39" s="110"/>
    </row>
    <row r="40" spans="3:11" ht="12.75">
      <c r="C40" s="17"/>
      <c r="D40" s="17"/>
      <c r="E40" s="89">
        <v>41751</v>
      </c>
      <c r="F40" s="45"/>
      <c r="G40" s="45">
        <v>-24360</v>
      </c>
      <c r="H40" s="17"/>
      <c r="I40" s="25"/>
      <c r="J40" s="112"/>
      <c r="K40" s="110"/>
    </row>
    <row r="41" spans="3:11" ht="12.75">
      <c r="C41" s="17"/>
      <c r="D41" s="17"/>
      <c r="E41" s="89">
        <v>41782</v>
      </c>
      <c r="F41" s="45"/>
      <c r="G41" s="45">
        <v>-41496</v>
      </c>
      <c r="H41" s="17"/>
      <c r="I41" s="25"/>
      <c r="J41" s="112"/>
      <c r="K41" s="110"/>
    </row>
    <row r="42" spans="3:11" ht="12.75">
      <c r="C42" s="17"/>
      <c r="D42" s="17"/>
      <c r="E42" s="89">
        <v>41808</v>
      </c>
      <c r="F42" s="45"/>
      <c r="G42" s="45">
        <v>-99624</v>
      </c>
      <c r="H42" s="17"/>
      <c r="I42" s="25"/>
      <c r="J42" s="112"/>
      <c r="K42" s="110"/>
    </row>
    <row r="43" spans="3:11" ht="12.75">
      <c r="C43" s="17"/>
      <c r="D43" s="17"/>
      <c r="E43" s="89">
        <v>41894</v>
      </c>
      <c r="F43" s="45"/>
      <c r="G43" s="45">
        <v>-20832</v>
      </c>
      <c r="H43" s="17"/>
      <c r="I43" s="25"/>
      <c r="J43" s="112"/>
      <c r="K43" s="110"/>
    </row>
    <row r="44" spans="3:11" ht="12.75">
      <c r="C44" s="17"/>
      <c r="D44" s="17"/>
      <c r="E44" s="89">
        <v>41942</v>
      </c>
      <c r="F44" s="45"/>
      <c r="G44" s="45">
        <v>-29568</v>
      </c>
      <c r="H44" s="17"/>
      <c r="I44" s="25"/>
      <c r="J44" s="112"/>
      <c r="K44" s="110"/>
    </row>
    <row r="45" spans="3:11" ht="12.75">
      <c r="C45" s="17"/>
      <c r="D45" s="17"/>
      <c r="E45" s="89">
        <v>41962</v>
      </c>
      <c r="F45" s="45"/>
      <c r="G45" s="45">
        <v>-65688</v>
      </c>
      <c r="H45" s="17"/>
      <c r="I45" s="25"/>
      <c r="J45" s="112"/>
      <c r="K45" s="110"/>
    </row>
    <row r="46" spans="3:11" ht="12.75">
      <c r="C46" s="17"/>
      <c r="D46" s="17"/>
      <c r="E46" s="89">
        <v>41975</v>
      </c>
      <c r="F46" s="45"/>
      <c r="G46" s="45">
        <v>-77280</v>
      </c>
      <c r="H46" s="17"/>
      <c r="I46" s="25"/>
      <c r="J46" s="112"/>
      <c r="K46" s="110"/>
    </row>
    <row r="47" spans="3:9" ht="12.75">
      <c r="C47" s="17" t="s">
        <v>22</v>
      </c>
      <c r="D47" s="17"/>
      <c r="E47" s="89">
        <v>41969</v>
      </c>
      <c r="F47" s="45"/>
      <c r="G47" s="45">
        <v>273860.4</v>
      </c>
      <c r="H47" s="17"/>
      <c r="I47" s="25"/>
    </row>
    <row r="48" spans="3:9" ht="12.75">
      <c r="C48" s="17" t="s">
        <v>44</v>
      </c>
      <c r="D48" s="17"/>
      <c r="E48" s="89">
        <v>42037</v>
      </c>
      <c r="F48" s="45"/>
      <c r="G48" s="45">
        <v>-65016.01</v>
      </c>
      <c r="H48" s="17"/>
      <c r="I48" s="25"/>
    </row>
    <row r="49" spans="3:9" ht="12.75">
      <c r="C49" s="17"/>
      <c r="D49" s="17"/>
      <c r="E49" s="89">
        <v>42094</v>
      </c>
      <c r="F49" s="45"/>
      <c r="G49" s="45">
        <v>-56448</v>
      </c>
      <c r="H49" s="17"/>
      <c r="I49" s="25"/>
    </row>
    <row r="50" spans="3:9" ht="12.75">
      <c r="C50" s="17"/>
      <c r="D50" s="17"/>
      <c r="E50" s="89">
        <v>42110</v>
      </c>
      <c r="F50" s="45"/>
      <c r="G50" s="45">
        <v>-47208</v>
      </c>
      <c r="H50" s="17"/>
      <c r="I50" s="25"/>
    </row>
    <row r="51" spans="3:9" ht="12.75">
      <c r="C51" s="17"/>
      <c r="D51" s="17"/>
      <c r="E51" s="89">
        <v>42145</v>
      </c>
      <c r="F51" s="45"/>
      <c r="G51" s="45">
        <v>-58968</v>
      </c>
      <c r="H51" s="17"/>
      <c r="I51" s="25"/>
    </row>
    <row r="52" spans="3:11" ht="12.75">
      <c r="C52" s="17"/>
      <c r="D52" s="17"/>
      <c r="E52" s="89">
        <v>42158</v>
      </c>
      <c r="F52" s="45"/>
      <c r="G52" s="45">
        <v>-169008</v>
      </c>
      <c r="H52" s="17"/>
      <c r="I52" s="25"/>
      <c r="J52" s="25"/>
      <c r="K52" s="17"/>
    </row>
    <row r="53" spans="3:11" ht="12.75">
      <c r="C53" s="17"/>
      <c r="D53" s="17"/>
      <c r="E53" s="89">
        <v>42261</v>
      </c>
      <c r="F53" s="45"/>
      <c r="G53" s="45">
        <v>-127176</v>
      </c>
      <c r="H53" s="17"/>
      <c r="I53" s="25"/>
      <c r="J53" s="25"/>
      <c r="K53" s="17"/>
    </row>
    <row r="54" spans="3:11" ht="12.75">
      <c r="C54" s="17"/>
      <c r="D54" s="17"/>
      <c r="E54" s="89">
        <v>42366</v>
      </c>
      <c r="F54" s="45"/>
      <c r="G54" s="45">
        <v>-31752</v>
      </c>
      <c r="H54" s="17"/>
      <c r="I54" s="25"/>
      <c r="J54" s="25"/>
      <c r="K54" s="17"/>
    </row>
    <row r="55" spans="3:11" ht="12.75">
      <c r="C55" s="17" t="s">
        <v>24</v>
      </c>
      <c r="D55" s="17"/>
      <c r="E55" s="89">
        <v>42341</v>
      </c>
      <c r="F55" s="45"/>
      <c r="G55" s="45">
        <v>48606.68</v>
      </c>
      <c r="H55" s="17"/>
      <c r="I55" s="25"/>
      <c r="J55" s="25"/>
      <c r="K55" s="17"/>
    </row>
    <row r="56" spans="3:11" ht="12.75">
      <c r="C56" s="17" t="s">
        <v>45</v>
      </c>
      <c r="D56" s="17"/>
      <c r="E56" s="89">
        <v>42397</v>
      </c>
      <c r="F56" s="45"/>
      <c r="G56" s="45">
        <v>-45864</v>
      </c>
      <c r="H56" s="17"/>
      <c r="I56" s="25"/>
      <c r="J56" s="25"/>
      <c r="K56" s="17"/>
    </row>
    <row r="57" spans="3:11" ht="12.75">
      <c r="C57" s="17"/>
      <c r="D57" s="17"/>
      <c r="E57" s="89">
        <v>42447</v>
      </c>
      <c r="F57" s="45"/>
      <c r="G57" s="45">
        <v>-57623.99</v>
      </c>
      <c r="H57" s="17"/>
      <c r="I57" s="25"/>
      <c r="J57" s="25"/>
      <c r="K57" s="17"/>
    </row>
    <row r="58" spans="3:11" ht="12.75">
      <c r="C58" s="17"/>
      <c r="D58" s="17"/>
      <c r="E58" s="89">
        <v>42494</v>
      </c>
      <c r="F58" s="45"/>
      <c r="G58" s="45">
        <v>-44855.99</v>
      </c>
      <c r="H58" s="17"/>
      <c r="I58" s="25"/>
      <c r="J58" s="25"/>
      <c r="K58" s="17"/>
    </row>
    <row r="59" spans="3:11" ht="12.75">
      <c r="C59" s="17"/>
      <c r="D59" s="17"/>
      <c r="E59" s="89">
        <v>42556</v>
      </c>
      <c r="F59" s="45"/>
      <c r="G59" s="45">
        <v>-39144</v>
      </c>
      <c r="H59" s="17"/>
      <c r="I59" s="25"/>
      <c r="J59" s="25"/>
      <c r="K59" s="17"/>
    </row>
    <row r="60" spans="3:11" ht="12.75">
      <c r="C60" s="17"/>
      <c r="D60" s="17"/>
      <c r="E60" s="89">
        <v>42605</v>
      </c>
      <c r="F60" s="45"/>
      <c r="G60" s="45">
        <v>-375816</v>
      </c>
      <c r="H60" s="17"/>
      <c r="I60" s="25"/>
      <c r="J60" s="25"/>
      <c r="K60" s="17"/>
    </row>
    <row r="61" spans="3:11" ht="12.75">
      <c r="C61" s="17"/>
      <c r="D61" s="17"/>
      <c r="E61" s="89">
        <v>42661</v>
      </c>
      <c r="F61" s="45"/>
      <c r="G61" s="45">
        <v>-35784</v>
      </c>
      <c r="H61" s="17"/>
      <c r="I61" s="25"/>
      <c r="J61" s="25"/>
      <c r="K61" s="17"/>
    </row>
    <row r="62" spans="3:11" ht="12.75">
      <c r="C62" s="17" t="s">
        <v>25</v>
      </c>
      <c r="D62" s="17"/>
      <c r="E62" s="89">
        <v>42381</v>
      </c>
      <c r="F62" s="45"/>
      <c r="G62" s="45">
        <v>379609.17</v>
      </c>
      <c r="H62" s="17"/>
      <c r="I62" s="25"/>
      <c r="J62" s="25"/>
      <c r="K62" s="17"/>
    </row>
    <row r="63" spans="3:11" ht="12.75">
      <c r="C63" s="17"/>
      <c r="D63" s="17"/>
      <c r="E63" s="89">
        <v>42549</v>
      </c>
      <c r="F63" s="45"/>
      <c r="G63" s="45">
        <v>53637.61</v>
      </c>
      <c r="H63" s="17"/>
      <c r="I63" s="25"/>
      <c r="J63" s="25"/>
      <c r="K63" s="17"/>
    </row>
    <row r="64" spans="3:12" ht="15.75">
      <c r="C64" s="17"/>
      <c r="D64" s="17"/>
      <c r="E64" s="89">
        <v>42640</v>
      </c>
      <c r="F64" s="45"/>
      <c r="G64" s="45">
        <v>79938.61</v>
      </c>
      <c r="H64" s="17"/>
      <c r="I64" s="25"/>
      <c r="J64" s="44"/>
      <c r="K64" s="41"/>
      <c r="L64" s="177"/>
    </row>
    <row r="65" spans="3:12" ht="12.75">
      <c r="C65" s="17"/>
      <c r="D65" s="17"/>
      <c r="E65" s="89">
        <v>42654</v>
      </c>
      <c r="F65" s="45"/>
      <c r="G65" s="45">
        <v>32809.44</v>
      </c>
      <c r="H65" s="17"/>
      <c r="I65" s="25"/>
      <c r="J65" s="44"/>
      <c r="K65" s="41"/>
      <c r="L65" s="124"/>
    </row>
    <row r="66" spans="3:12" ht="12.75">
      <c r="C66" s="17" t="s">
        <v>30</v>
      </c>
      <c r="D66" s="17"/>
      <c r="E66" s="89">
        <v>42793</v>
      </c>
      <c r="F66" s="45"/>
      <c r="G66" s="45">
        <v>-35616</v>
      </c>
      <c r="H66" s="17"/>
      <c r="I66" s="25"/>
      <c r="J66" s="44"/>
      <c r="K66" s="41"/>
      <c r="L66" s="124"/>
    </row>
    <row r="67" spans="3:12" ht="12.75">
      <c r="C67" s="17"/>
      <c r="D67" s="17"/>
      <c r="E67" s="89">
        <v>42870</v>
      </c>
      <c r="F67" s="45"/>
      <c r="G67" s="45">
        <v>-35952</v>
      </c>
      <c r="H67" s="17"/>
      <c r="I67" s="25"/>
      <c r="J67" s="44"/>
      <c r="K67" s="41"/>
      <c r="L67" s="124"/>
    </row>
    <row r="68" spans="3:12" ht="12.75">
      <c r="C68" s="17"/>
      <c r="D68" s="17"/>
      <c r="E68" s="89">
        <v>42992</v>
      </c>
      <c r="F68" s="45"/>
      <c r="G68" s="45">
        <v>-33936</v>
      </c>
      <c r="H68" s="17"/>
      <c r="I68" s="25"/>
      <c r="J68" s="44"/>
      <c r="K68" s="41"/>
      <c r="L68" s="124"/>
    </row>
    <row r="69" spans="3:12" ht="12.75">
      <c r="C69" s="17"/>
      <c r="D69" s="17"/>
      <c r="E69" s="89">
        <v>43048</v>
      </c>
      <c r="F69" s="45"/>
      <c r="G69" s="45">
        <v>-65184</v>
      </c>
      <c r="H69" s="17"/>
      <c r="I69" s="25"/>
      <c r="J69" s="44"/>
      <c r="K69" s="41"/>
      <c r="L69" s="42"/>
    </row>
    <row r="70" spans="3:12" ht="12.75">
      <c r="C70" s="17" t="s">
        <v>46</v>
      </c>
      <c r="D70" s="17"/>
      <c r="E70" s="89">
        <v>42746</v>
      </c>
      <c r="F70" s="45"/>
      <c r="G70" s="45">
        <v>121675.44</v>
      </c>
      <c r="H70" s="17"/>
      <c r="I70" s="25"/>
      <c r="J70" s="44"/>
      <c r="K70" s="41"/>
      <c r="L70" s="42"/>
    </row>
    <row r="71" spans="3:12" ht="12.75">
      <c r="C71" s="17"/>
      <c r="D71" s="17"/>
      <c r="E71" s="89">
        <v>42802</v>
      </c>
      <c r="F71" s="45"/>
      <c r="G71" s="45">
        <v>180369.63</v>
      </c>
      <c r="H71" s="17"/>
      <c r="I71" s="25"/>
      <c r="J71" s="44"/>
      <c r="K71" s="41"/>
      <c r="L71" s="42"/>
    </row>
    <row r="72" spans="3:11" ht="12.75">
      <c r="C72" s="17"/>
      <c r="D72" s="17"/>
      <c r="E72" s="89">
        <v>42885</v>
      </c>
      <c r="F72" s="45"/>
      <c r="G72" s="45">
        <v>66707.12</v>
      </c>
      <c r="H72" s="17"/>
      <c r="I72" s="25"/>
      <c r="J72" s="25"/>
      <c r="K72" s="17"/>
    </row>
    <row r="73" spans="3:11" ht="12.75">
      <c r="C73" s="17"/>
      <c r="D73" s="17"/>
      <c r="E73" s="89">
        <v>42913</v>
      </c>
      <c r="F73" s="45"/>
      <c r="G73" s="45">
        <v>1393927.34</v>
      </c>
      <c r="H73" s="17"/>
      <c r="I73" s="25"/>
      <c r="J73" s="25"/>
      <c r="K73" s="17"/>
    </row>
    <row r="74" spans="3:11" ht="12.75">
      <c r="C74" s="17"/>
      <c r="D74" s="17"/>
      <c r="E74" s="89">
        <v>42999</v>
      </c>
      <c r="F74" s="45"/>
      <c r="G74" s="45">
        <v>146090.75</v>
      </c>
      <c r="H74" s="17"/>
      <c r="I74" s="25"/>
      <c r="J74" s="25"/>
      <c r="K74" s="17"/>
    </row>
    <row r="75" spans="3:11" ht="12.75">
      <c r="C75" s="17" t="s">
        <v>31</v>
      </c>
      <c r="D75" s="17"/>
      <c r="E75" s="89">
        <v>43132</v>
      </c>
      <c r="F75" s="45"/>
      <c r="G75" s="45">
        <v>-45024</v>
      </c>
      <c r="H75" s="17"/>
      <c r="I75" s="25"/>
      <c r="J75" s="25"/>
      <c r="K75" s="17"/>
    </row>
    <row r="76" spans="3:11" ht="12.75">
      <c r="C76" s="17"/>
      <c r="D76" s="17"/>
      <c r="E76" s="89">
        <v>43147</v>
      </c>
      <c r="F76" s="45"/>
      <c r="G76" s="45">
        <v>-99120</v>
      </c>
      <c r="H76" s="17"/>
      <c r="I76" s="25"/>
      <c r="J76" s="25"/>
      <c r="K76" s="17"/>
    </row>
    <row r="77" spans="3:11" ht="12.75">
      <c r="C77" s="17"/>
      <c r="D77" s="17"/>
      <c r="E77" s="89">
        <v>43370</v>
      </c>
      <c r="F77" s="45"/>
      <c r="G77" s="45">
        <v>-31920</v>
      </c>
      <c r="H77" s="17"/>
      <c r="I77" s="25"/>
      <c r="J77" s="25"/>
      <c r="K77" s="17"/>
    </row>
    <row r="78" spans="3:11" ht="12.75">
      <c r="C78" s="17" t="s">
        <v>26</v>
      </c>
      <c r="D78" s="17"/>
      <c r="E78" s="89">
        <v>43122</v>
      </c>
      <c r="F78" s="45"/>
      <c r="G78" s="45">
        <v>373197.71</v>
      </c>
      <c r="H78" s="17"/>
      <c r="I78" s="25"/>
      <c r="J78" s="25"/>
      <c r="K78" s="17"/>
    </row>
    <row r="79" spans="3:11" ht="12.75">
      <c r="C79" s="17"/>
      <c r="D79" s="17"/>
      <c r="E79" s="89">
        <v>43300</v>
      </c>
      <c r="F79" s="45"/>
      <c r="G79" s="45">
        <v>155647.92</v>
      </c>
      <c r="H79" s="17"/>
      <c r="I79" s="25"/>
      <c r="J79" s="25"/>
      <c r="K79" s="17"/>
    </row>
    <row r="80" spans="3:11" ht="12.75">
      <c r="C80" s="17" t="s">
        <v>32</v>
      </c>
      <c r="D80" s="17"/>
      <c r="E80" s="89">
        <v>43490</v>
      </c>
      <c r="F80" s="45"/>
      <c r="G80" s="45">
        <v>-44016</v>
      </c>
      <c r="H80" s="17"/>
      <c r="I80" s="25"/>
      <c r="J80" s="25"/>
      <c r="K80" s="17"/>
    </row>
    <row r="81" spans="3:11" ht="12.75">
      <c r="C81" s="17"/>
      <c r="D81" s="17"/>
      <c r="E81" s="89">
        <v>43517</v>
      </c>
      <c r="F81" s="45"/>
      <c r="G81" s="45">
        <v>-49896</v>
      </c>
      <c r="H81" s="17"/>
      <c r="I81" s="25"/>
      <c r="J81" s="25"/>
      <c r="K81" s="17"/>
    </row>
    <row r="82" spans="3:11" ht="12.75">
      <c r="C82" s="17"/>
      <c r="D82" s="17"/>
      <c r="E82" s="89">
        <v>43560</v>
      </c>
      <c r="F82" s="45"/>
      <c r="G82" s="45">
        <v>-136248</v>
      </c>
      <c r="H82" s="17"/>
      <c r="I82" s="25"/>
      <c r="J82" s="25"/>
      <c r="K82" s="17"/>
    </row>
    <row r="83" spans="3:11" ht="12.75">
      <c r="C83" s="17"/>
      <c r="D83" s="17"/>
      <c r="E83" s="89">
        <v>43623</v>
      </c>
      <c r="F83" s="45"/>
      <c r="G83" s="45">
        <v>-35280</v>
      </c>
      <c r="H83" s="17"/>
      <c r="I83" s="25"/>
      <c r="J83" s="25"/>
      <c r="K83" s="17"/>
    </row>
    <row r="84" spans="3:11" ht="12.75">
      <c r="C84" s="17"/>
      <c r="D84" s="17"/>
      <c r="E84" s="89">
        <v>43733</v>
      </c>
      <c r="F84" s="45"/>
      <c r="G84" s="45">
        <v>-33432</v>
      </c>
      <c r="H84" s="17"/>
      <c r="I84" s="25"/>
      <c r="J84" s="25"/>
      <c r="K84" s="17"/>
    </row>
    <row r="85" spans="3:11" ht="12.75">
      <c r="C85" s="17"/>
      <c r="D85" s="17"/>
      <c r="E85" s="89">
        <v>43825</v>
      </c>
      <c r="F85" s="45"/>
      <c r="G85" s="45">
        <v>-19824</v>
      </c>
      <c r="H85" s="17"/>
      <c r="I85" s="25"/>
      <c r="J85" s="25"/>
      <c r="K85" s="17"/>
    </row>
    <row r="86" spans="3:11" ht="12.75">
      <c r="C86" s="17" t="s">
        <v>27</v>
      </c>
      <c r="D86" s="17"/>
      <c r="E86" s="89">
        <v>43545</v>
      </c>
      <c r="F86" s="45"/>
      <c r="G86" s="45">
        <v>174846.10</v>
      </c>
      <c r="H86" s="17"/>
      <c r="I86" s="25"/>
      <c r="J86" s="25"/>
      <c r="K86" s="17"/>
    </row>
    <row r="87" spans="3:11" ht="12.75">
      <c r="C87" s="17" t="s">
        <v>33</v>
      </c>
      <c r="D87" s="17"/>
      <c r="E87" s="89">
        <v>43950</v>
      </c>
      <c r="F87" s="45"/>
      <c r="G87" s="45">
        <f>-27048</f>
        <v>-27048</v>
      </c>
      <c r="H87" s="17"/>
      <c r="I87" s="25"/>
      <c r="J87" s="25"/>
      <c r="K87" s="17"/>
    </row>
    <row r="88" spans="3:12" ht="15.75">
      <c r="C88" s="17" t="s">
        <v>47</v>
      </c>
      <c r="D88" s="17"/>
      <c r="E88" s="89">
        <v>44084</v>
      </c>
      <c r="F88" s="45"/>
      <c r="G88" s="45">
        <v>44977.42</v>
      </c>
      <c r="H88" s="17"/>
      <c r="I88" s="25"/>
      <c r="J88" s="25"/>
      <c r="K88" s="17"/>
      <c r="L88" s="80"/>
    </row>
    <row r="89" spans="3:11" ht="12.75">
      <c r="C89" s="17"/>
      <c r="D89" s="17"/>
      <c r="E89" s="89">
        <v>44158</v>
      </c>
      <c r="F89" s="45"/>
      <c r="G89" s="45">
        <v>218496.06</v>
      </c>
      <c r="H89" s="17"/>
      <c r="I89" s="25"/>
      <c r="J89" s="25"/>
      <c r="K89" s="17"/>
    </row>
    <row r="90" spans="3:12" ht="15.75">
      <c r="C90" s="17" t="s">
        <v>34</v>
      </c>
      <c r="D90" s="17"/>
      <c r="E90" s="89">
        <v>44203</v>
      </c>
      <c r="F90" s="45"/>
      <c r="G90" s="45">
        <v>-16800</v>
      </c>
      <c r="H90" s="17"/>
      <c r="I90" s="25"/>
      <c r="J90" s="25"/>
      <c r="K90" s="17"/>
      <c r="L90" s="80"/>
    </row>
    <row r="91" spans="3:12" ht="15.75">
      <c r="C91" s="17" t="s">
        <v>28</v>
      </c>
      <c r="D91" s="17"/>
      <c r="E91" s="89">
        <v>44284</v>
      </c>
      <c r="F91" s="45"/>
      <c r="G91" s="45">
        <v>7755.01</v>
      </c>
      <c r="H91" s="17"/>
      <c r="I91" s="25"/>
      <c r="J91" s="25"/>
      <c r="K91" s="17"/>
      <c r="L91" s="80"/>
    </row>
    <row r="92" spans="3:12" ht="15.75">
      <c r="C92" s="17"/>
      <c r="D92" s="17"/>
      <c r="E92" s="89">
        <v>44546</v>
      </c>
      <c r="F92" s="45"/>
      <c r="G92" s="45">
        <v>31787.79</v>
      </c>
      <c r="H92" s="17"/>
      <c r="I92" s="25"/>
      <c r="J92" s="25"/>
      <c r="K92" s="17"/>
      <c r="L92" s="80"/>
    </row>
    <row r="93" spans="3:12" ht="15.75">
      <c r="C93" s="17" t="s">
        <v>29</v>
      </c>
      <c r="D93" s="17"/>
      <c r="E93" s="89">
        <v>44624</v>
      </c>
      <c r="F93" s="45"/>
      <c r="G93" s="45">
        <v>190113.52</v>
      </c>
      <c r="H93" s="17"/>
      <c r="I93" s="25"/>
      <c r="J93" s="25"/>
      <c r="K93" s="17"/>
      <c r="L93" s="80"/>
    </row>
    <row r="94" spans="3:10" ht="4.5" customHeight="1">
      <c r="C94" s="17"/>
      <c r="D94" s="17"/>
      <c r="E94" s="89"/>
      <c r="F94" s="17"/>
      <c r="G94" s="45"/>
      <c r="H94" s="17"/>
      <c r="I94" s="25"/>
      <c r="J94" s="25"/>
    </row>
    <row r="95" spans="3:12" ht="12.75">
      <c r="C95" s="17" t="s">
        <v>5</v>
      </c>
      <c r="D95" s="17"/>
      <c r="E95" s="89">
        <f>+E8</f>
        <v>44834</v>
      </c>
      <c r="F95" s="17"/>
      <c r="G95" s="94">
        <f>L95*C22</f>
        <v>347079.93314117</v>
      </c>
      <c r="H95" s="17"/>
      <c r="I95" s="89"/>
      <c r="L95" s="124">
        <v>22559617</v>
      </c>
    </row>
    <row r="96" spans="3:8" ht="12.75">
      <c r="C96" s="17"/>
      <c r="D96" s="17"/>
      <c r="E96" s="17"/>
      <c r="F96" s="17"/>
      <c r="G96" s="17"/>
      <c r="H96" s="17"/>
    </row>
    <row r="97" spans="3:11" ht="12.75">
      <c r="C97" s="15" t="s">
        <v>0</v>
      </c>
      <c r="G97" s="116">
        <f>+XIRR(G23:G95,E23:E95)</f>
        <v>0.21101710200309753</v>
      </c>
      <c r="H97" s="17"/>
      <c r="J97" s="45">
        <f>+SUMIF($G$23:$G$94,"&lt;0",$G$23:$G$94)</f>
        <v>-2847419.99</v>
      </c>
      <c r="K97" s="17" t="s">
        <v>20</v>
      </c>
    </row>
    <row r="98" spans="3:11" ht="12.75">
      <c r="C98" s="17"/>
      <c r="D98" s="17"/>
      <c r="E98" s="17"/>
      <c r="F98" s="17"/>
      <c r="G98" s="17"/>
      <c r="H98" s="17"/>
      <c r="J98" s="45">
        <f>+SUMIF($G$23:$G$94,"&gt;0",$G$23:$G$94)</f>
        <v>3974053.72</v>
      </c>
      <c r="K98" s="17" t="s">
        <v>21</v>
      </c>
    </row>
    <row r="99" spans="3:8" ht="12.75">
      <c r="C99" s="17"/>
      <c r="D99" s="17"/>
      <c r="E99" s="17"/>
      <c r="F99" s="17"/>
      <c r="G99" s="17"/>
      <c r="H99" s="17"/>
    </row>
    <row r="100" spans="3:8" ht="12.75">
      <c r="C100" s="28"/>
      <c r="D100" s="28"/>
      <c r="E100" s="75"/>
      <c r="F100" s="17"/>
      <c r="G100" s="75"/>
      <c r="H100" s="17"/>
    </row>
    <row r="101" spans="3:8" ht="12.75">
      <c r="C101" s="28"/>
      <c r="D101" s="28"/>
      <c r="E101" s="75"/>
      <c r="F101" s="28"/>
      <c r="G101" s="75"/>
      <c r="H101" s="17"/>
    </row>
    <row r="102" spans="3:8" ht="12.75">
      <c r="C102" s="28"/>
      <c r="D102" s="28"/>
      <c r="E102" s="75"/>
      <c r="F102" s="28"/>
      <c r="G102" s="75"/>
      <c r="H102" s="17"/>
    </row>
    <row r="103" spans="3:8" ht="12.75">
      <c r="C103" s="28"/>
      <c r="D103" s="28"/>
      <c r="E103" s="28"/>
      <c r="F103" s="28"/>
      <c r="G103" s="28"/>
      <c r="H103" s="15"/>
    </row>
    <row r="104" spans="3:8" ht="12.75">
      <c r="C104" s="28"/>
      <c r="D104" s="28"/>
      <c r="E104" s="75"/>
      <c r="F104" s="75"/>
      <c r="G104" s="75"/>
      <c r="H104" s="15"/>
    </row>
    <row r="105" spans="3:8" ht="12.75">
      <c r="C105" s="28"/>
      <c r="D105" s="28"/>
      <c r="E105" s="28"/>
      <c r="F105" s="28"/>
      <c r="G105" s="28"/>
      <c r="H105" s="15"/>
    </row>
    <row r="106" spans="3:8" ht="12.75">
      <c r="C106" s="171"/>
      <c r="D106" s="171"/>
      <c r="E106" s="173"/>
      <c r="F106" s="97"/>
      <c r="G106" s="32"/>
      <c r="H106" s="17"/>
    </row>
    <row r="107" spans="3:8" ht="12.75">
      <c r="C107" s="171"/>
      <c r="D107" s="171"/>
      <c r="E107" s="97"/>
      <c r="F107" s="97"/>
      <c r="G107" s="97"/>
      <c r="H107" s="17"/>
    </row>
    <row r="108" spans="3:8" ht="12.75">
      <c r="C108" s="171"/>
      <c r="D108" s="171"/>
      <c r="E108" s="97"/>
      <c r="F108" s="97"/>
      <c r="G108" s="97"/>
      <c r="H108" s="17"/>
    </row>
    <row r="109" spans="3:8" ht="12.75">
      <c r="C109" s="189"/>
      <c r="D109" s="171"/>
      <c r="E109" s="97"/>
      <c r="F109" s="97"/>
      <c r="G109" s="97"/>
      <c r="H109" s="17"/>
    </row>
    <row r="110" spans="3:8" ht="12.75">
      <c r="C110" s="189"/>
      <c r="D110" s="171"/>
      <c r="E110" s="97"/>
      <c r="F110" s="97"/>
      <c r="G110" s="97"/>
      <c r="H110" s="17"/>
    </row>
    <row r="111" spans="3:8" ht="12.75">
      <c r="C111" s="190"/>
      <c r="D111" s="171"/>
      <c r="E111" s="97"/>
      <c r="F111" s="97"/>
      <c r="G111" s="97"/>
      <c r="H111" s="17"/>
    </row>
    <row r="112" spans="3:8" ht="12.75">
      <c r="C112" s="171"/>
      <c r="D112" s="171"/>
      <c r="E112" s="97"/>
      <c r="F112" s="97"/>
      <c r="G112" s="97"/>
      <c r="H112" s="17"/>
    </row>
    <row r="113" spans="3:8" ht="12.75">
      <c r="C113" s="171"/>
      <c r="D113" s="171"/>
      <c r="E113" s="97"/>
      <c r="F113" s="97"/>
      <c r="G113" s="97"/>
      <c r="H113" s="17"/>
    </row>
    <row r="114" spans="3:8" ht="12.75">
      <c r="C114" s="171"/>
      <c r="D114" s="171"/>
      <c r="E114" s="97"/>
      <c r="F114" s="97"/>
      <c r="G114" s="97"/>
      <c r="H114" s="17"/>
    </row>
    <row r="115" spans="3:8" ht="12.75">
      <c r="C115" s="171"/>
      <c r="D115" s="171"/>
      <c r="E115" s="97"/>
      <c r="F115" s="97"/>
      <c r="G115" s="97"/>
      <c r="H115" s="17"/>
    </row>
    <row r="116" spans="3:8" ht="12.75">
      <c r="C116" s="171"/>
      <c r="D116" s="171"/>
      <c r="E116" s="97"/>
      <c r="F116" s="97"/>
      <c r="G116" s="97"/>
      <c r="H116" s="17"/>
    </row>
    <row r="117" spans="3:8" ht="12.75">
      <c r="C117" s="171"/>
      <c r="D117" s="171"/>
      <c r="E117" s="97"/>
      <c r="F117" s="97"/>
      <c r="G117" s="97"/>
      <c r="H117" s="17"/>
    </row>
    <row r="118" spans="3:8" ht="4.9" customHeight="1">
      <c r="C118" s="15"/>
      <c r="D118" s="15"/>
      <c r="E118" s="99"/>
      <c r="F118" s="99"/>
      <c r="G118" s="99"/>
      <c r="H118" s="17"/>
    </row>
    <row r="119" spans="3:8" ht="12.75">
      <c r="C119" s="17"/>
      <c r="D119" s="17"/>
      <c r="E119" s="17"/>
      <c r="F119" s="17"/>
      <c r="G119" s="17"/>
      <c r="H119" s="17"/>
    </row>
    <row r="120" spans="3:8" ht="12.75">
      <c r="C120" s="17"/>
      <c r="D120" s="17"/>
      <c r="E120" s="17"/>
      <c r="F120" s="17"/>
      <c r="G120" s="17"/>
      <c r="H120" s="17"/>
    </row>
    <row r="121" spans="3:8" ht="12.75">
      <c r="C121" s="17"/>
      <c r="D121" s="17"/>
      <c r="E121" s="17"/>
      <c r="F121" s="17"/>
      <c r="G121" s="17"/>
      <c r="H121" s="17"/>
    </row>
    <row r="122" spans="3:8" ht="12.75">
      <c r="C122" s="17"/>
      <c r="D122" s="17"/>
      <c r="E122" s="17"/>
      <c r="F122" s="17"/>
      <c r="G122" s="17"/>
      <c r="H122" s="17"/>
    </row>
    <row r="123" spans="3:8" ht="12.75">
      <c r="C123" s="17"/>
      <c r="D123" s="17"/>
      <c r="E123" s="17"/>
      <c r="F123" s="17"/>
      <c r="G123" s="17"/>
      <c r="H123" s="17"/>
    </row>
  </sheetData>
  <pageMargins left="0.75" right="0.33" top="1" bottom="1" header="0.5" footer="0.5"/>
  <pageSetup orientation="landscape" paperSize="1" scale="32" r:id="rId2"/>
  <headerFooter alignWithMargins="0">
    <oddHeader>&amp;C&amp;G</oddHeader>
    <oddFooter>&amp;C&amp;G</oddFooter>
  </headerFooter>
  <legacyDrawingHF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24BB8FB-7E5B-4EDE-BF8D-D575325994FA}">
  <sheetPr>
    <pageSetUpPr fitToPage="1"/>
  </sheetPr>
  <dimension ref="B4:O123"/>
  <sheetViews>
    <sheetView showGridLines="0" view="pageLayout" zoomScaleNormal="100" workbookViewId="0" topLeftCell="A1">
      <selection pane="topLeft" activeCell="C1" sqref="C1"/>
    </sheetView>
  </sheetViews>
  <sheetFormatPr defaultRowHeight="12.75"/>
  <cols>
    <col min="2" max="2" width="4.857142857142857" customWidth="1"/>
    <col min="3" max="3" width="48.285714285714285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bestFit="1" customWidth="1"/>
    <col min="8" max="8" width="2.4285714285714284" customWidth="1"/>
    <col min="9" max="9" width="7.428571428571429" customWidth="1"/>
    <col min="10" max="10" width="11.714285714285714" customWidth="1"/>
    <col min="12" max="12" width="16.428571428571427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20">
        <f>+'EFM II'!E8</f>
        <v>44834</v>
      </c>
      <c r="F8" s="13"/>
      <c r="G8" s="78"/>
      <c r="H8" s="78"/>
      <c r="I8" s="79"/>
    </row>
    <row r="9" spans="3:7" ht="15.75">
      <c r="C9" s="65"/>
      <c r="D9" s="65"/>
      <c r="E9" s="65"/>
      <c r="F9" s="65"/>
      <c r="G9" s="177"/>
    </row>
    <row r="10" spans="3:9" ht="12.75">
      <c r="C10" s="178"/>
      <c r="D10" s="178"/>
      <c r="E10" s="179"/>
      <c r="F10" s="178"/>
      <c r="G10" s="124"/>
      <c r="H10" s="81"/>
      <c r="I10" s="82"/>
    </row>
    <row r="11" spans="3:9" ht="12.75">
      <c r="C11" s="178"/>
      <c r="D11" s="178"/>
      <c r="E11" s="179"/>
      <c r="F11" s="178"/>
      <c r="G11" s="179"/>
      <c r="H11" s="81"/>
      <c r="I11" s="82"/>
    </row>
    <row r="12" spans="3:9" ht="15.75">
      <c r="C12" s="180"/>
      <c r="D12" s="180"/>
      <c r="E12" s="70"/>
      <c r="F12" s="180"/>
      <c r="G12" s="70"/>
      <c r="H12" s="5"/>
      <c r="I12" s="82"/>
    </row>
    <row r="13" spans="3:9" ht="12.75">
      <c r="C13" s="178"/>
      <c r="D13" s="178"/>
      <c r="E13" s="71"/>
      <c r="F13" s="178"/>
      <c r="G13" s="124"/>
      <c r="H13" s="84"/>
      <c r="I13" s="82"/>
    </row>
    <row r="14" spans="3:9" ht="12.75">
      <c r="C14" s="178"/>
      <c r="D14" s="178"/>
      <c r="E14" s="181"/>
      <c r="F14" s="178"/>
      <c r="G14" s="124"/>
      <c r="H14" s="85"/>
      <c r="I14" s="82"/>
    </row>
    <row r="15" spans="3:9" ht="12.75">
      <c r="C15" s="178"/>
      <c r="D15" s="178"/>
      <c r="E15" s="179"/>
      <c r="F15" s="178"/>
      <c r="G15" s="179"/>
      <c r="H15" s="81"/>
      <c r="I15" s="82"/>
    </row>
    <row r="16" spans="3:9" ht="15.75">
      <c r="C16" s="5"/>
      <c r="D16" s="5"/>
      <c r="E16" s="10"/>
      <c r="F16" s="5"/>
      <c r="G16" s="10"/>
      <c r="H16" s="5"/>
      <c r="I16" s="82"/>
    </row>
    <row r="17" spans="3:9" ht="15.75">
      <c r="C17" s="83" t="s">
        <v>15</v>
      </c>
      <c r="D17" s="83"/>
      <c r="E17" s="10"/>
      <c r="F17" s="83"/>
      <c r="G17" s="10"/>
      <c r="H17" s="5"/>
      <c r="I17" s="82"/>
    </row>
    <row r="18" spans="3:9" ht="12.75" customHeight="1">
      <c r="C18" s="6" t="s">
        <v>16</v>
      </c>
      <c r="D18" s="6"/>
      <c r="E18" s="84">
        <f>G97</f>
        <v>0.2589459359645844</v>
      </c>
      <c r="F18" s="6"/>
      <c r="G18" s="11"/>
      <c r="H18" s="84"/>
      <c r="I18" s="82"/>
    </row>
    <row r="19" spans="3:8" ht="12.75">
      <c r="C19" s="6" t="s">
        <v>17</v>
      </c>
      <c r="D19" s="6"/>
      <c r="E19" s="87">
        <f>-(G95+J98)/(J97)</f>
        <v>1.6138232339044187</v>
      </c>
      <c r="F19" s="6"/>
      <c r="G19" s="9"/>
      <c r="H19" s="81"/>
    </row>
    <row r="20" spans="3:7" ht="12.75">
      <c r="C20" s="6"/>
      <c r="D20" s="6"/>
      <c r="E20" s="6"/>
      <c r="F20" s="6"/>
      <c r="G20" s="81"/>
    </row>
    <row r="21" spans="3:12" ht="15.75">
      <c r="C21" s="88" t="s">
        <v>50</v>
      </c>
      <c r="D21" s="7"/>
      <c r="E21" s="7"/>
      <c r="F21" s="7"/>
      <c r="I21" s="89"/>
      <c r="J21" s="17"/>
      <c r="L21" s="119"/>
    </row>
    <row r="22" spans="3:10" ht="12.75">
      <c r="C22" s="105">
        <v>0.012345679</v>
      </c>
      <c r="D22" s="17"/>
      <c r="E22" s="17"/>
      <c r="F22" s="17"/>
      <c r="G22" s="91"/>
      <c r="H22" s="17"/>
      <c r="I22" s="17"/>
      <c r="J22" s="17"/>
    </row>
    <row r="23" spans="3:10" ht="12.75">
      <c r="C23" s="17" t="s">
        <v>12</v>
      </c>
      <c r="D23" s="17"/>
      <c r="E23" s="89">
        <v>41089</v>
      </c>
      <c r="F23" s="45"/>
      <c r="G23" s="22">
        <v>-7500</v>
      </c>
      <c r="H23" s="17"/>
      <c r="I23" s="25"/>
      <c r="J23" s="25"/>
    </row>
    <row r="24" spans="3:10" ht="12.75">
      <c r="C24" s="17"/>
      <c r="D24" s="17"/>
      <c r="E24" s="89">
        <v>41166</v>
      </c>
      <c r="F24" s="45"/>
      <c r="G24" s="22">
        <v>-9408</v>
      </c>
      <c r="H24" s="17"/>
      <c r="I24" s="25"/>
      <c r="J24" s="25"/>
    </row>
    <row r="25" spans="3:10" ht="12.75">
      <c r="C25" s="17"/>
      <c r="D25" s="17"/>
      <c r="E25" s="89">
        <v>41270</v>
      </c>
      <c r="F25" s="45"/>
      <c r="G25" s="22">
        <v>-27328</v>
      </c>
      <c r="H25" s="17"/>
      <c r="I25" s="25"/>
      <c r="J25" s="25"/>
    </row>
    <row r="26" spans="3:10" ht="12.75">
      <c r="C26" s="17" t="s">
        <v>18</v>
      </c>
      <c r="D26" s="17"/>
      <c r="E26" s="89">
        <v>41311</v>
      </c>
      <c r="F26" s="45"/>
      <c r="G26" s="22">
        <v>-9744</v>
      </c>
      <c r="H26" s="17"/>
      <c r="I26" s="25"/>
      <c r="J26" s="25"/>
    </row>
    <row r="27" spans="3:10" ht="12.75">
      <c r="C27" s="17"/>
      <c r="D27" s="17"/>
      <c r="E27" s="89">
        <v>41341</v>
      </c>
      <c r="F27" s="45"/>
      <c r="G27" s="22">
        <v>-14000</v>
      </c>
      <c r="H27" s="17"/>
      <c r="I27" s="25"/>
      <c r="J27" s="25"/>
    </row>
    <row r="28" spans="3:10" ht="12.75">
      <c r="C28" s="17"/>
      <c r="D28" s="17"/>
      <c r="E28" s="89">
        <v>41361</v>
      </c>
      <c r="F28" s="45"/>
      <c r="G28" s="22">
        <v>-6272</v>
      </c>
      <c r="H28" s="17"/>
      <c r="I28" s="25"/>
      <c r="J28" s="25"/>
    </row>
    <row r="29" spans="3:10" ht="12.75">
      <c r="C29" s="17"/>
      <c r="D29" s="17"/>
      <c r="E29" s="89">
        <v>41387</v>
      </c>
      <c r="F29" s="45"/>
      <c r="G29" s="22">
        <v>-13664</v>
      </c>
      <c r="H29" s="17"/>
      <c r="I29" s="25"/>
      <c r="J29" s="25"/>
    </row>
    <row r="30" spans="3:10" ht="12.75">
      <c r="C30" s="17"/>
      <c r="D30" s="17"/>
      <c r="E30" s="89">
        <v>41408</v>
      </c>
      <c r="F30" s="45"/>
      <c r="G30" s="22">
        <v>-5880</v>
      </c>
      <c r="H30" s="17"/>
      <c r="I30" s="25"/>
      <c r="J30" s="25"/>
    </row>
    <row r="31" spans="3:10" ht="12.75">
      <c r="C31" s="17"/>
      <c r="D31" s="17"/>
      <c r="E31" s="89">
        <v>41439</v>
      </c>
      <c r="F31" s="45"/>
      <c r="G31" s="22">
        <v>-13608</v>
      </c>
      <c r="H31" s="17"/>
      <c r="I31" s="25"/>
      <c r="J31" s="25"/>
    </row>
    <row r="32" spans="3:9" ht="12.75">
      <c r="C32" s="17"/>
      <c r="D32" s="17"/>
      <c r="E32" s="89">
        <v>41479</v>
      </c>
      <c r="F32" s="45"/>
      <c r="G32" s="22">
        <v>-15064</v>
      </c>
      <c r="H32" s="17"/>
      <c r="I32" s="25"/>
    </row>
    <row r="33" spans="3:9" ht="12.75">
      <c r="C33" s="17"/>
      <c r="D33" s="17"/>
      <c r="E33" s="89">
        <v>41515</v>
      </c>
      <c r="F33" s="45"/>
      <c r="G33" s="22">
        <v>-9464</v>
      </c>
      <c r="H33" s="17"/>
      <c r="I33" s="25"/>
    </row>
    <row r="34" spans="3:9" ht="12.75">
      <c r="C34" s="17"/>
      <c r="D34" s="17"/>
      <c r="E34" s="89">
        <v>41543</v>
      </c>
      <c r="F34" s="45"/>
      <c r="G34" s="22">
        <v>-35280</v>
      </c>
      <c r="H34" s="17"/>
      <c r="I34" s="25"/>
    </row>
    <row r="35" spans="3:9" ht="12.75">
      <c r="C35" s="17"/>
      <c r="D35" s="17"/>
      <c r="E35" s="89">
        <v>41605</v>
      </c>
      <c r="F35" s="45"/>
      <c r="G35" s="22">
        <v>-8344</v>
      </c>
      <c r="H35" s="17"/>
      <c r="I35" s="25"/>
    </row>
    <row r="36" spans="3:9" ht="12.75">
      <c r="C36" s="17"/>
      <c r="D36" s="17"/>
      <c r="E36" s="89">
        <v>41638</v>
      </c>
      <c r="F36" s="45"/>
      <c r="G36" s="22">
        <v>-5992</v>
      </c>
      <c r="H36" s="17"/>
      <c r="I36" s="25"/>
    </row>
    <row r="37" spans="3:11" ht="12.75">
      <c r="C37" s="17" t="s">
        <v>23</v>
      </c>
      <c r="D37" s="17"/>
      <c r="E37" s="89">
        <v>41683</v>
      </c>
      <c r="F37" s="45"/>
      <c r="G37" s="45">
        <v>-6160</v>
      </c>
      <c r="H37" s="17"/>
      <c r="I37" s="25"/>
      <c r="J37" s="112"/>
      <c r="K37" s="110"/>
    </row>
    <row r="38" spans="3:11" ht="12.75">
      <c r="C38" s="34"/>
      <c r="D38" s="17"/>
      <c r="E38" s="89">
        <v>41701</v>
      </c>
      <c r="F38" s="45"/>
      <c r="G38" s="45">
        <v>-8960</v>
      </c>
      <c r="H38" s="17"/>
      <c r="I38" s="25"/>
      <c r="J38" s="112"/>
      <c r="K38" s="110"/>
    </row>
    <row r="39" spans="3:11" ht="12.75">
      <c r="C39" s="17"/>
      <c r="D39" s="17"/>
      <c r="E39" s="89">
        <v>41729</v>
      </c>
      <c r="F39" s="45"/>
      <c r="G39" s="45">
        <v>-11536</v>
      </c>
      <c r="H39" s="17"/>
      <c r="I39" s="25"/>
      <c r="J39" s="112"/>
      <c r="K39" s="110"/>
    </row>
    <row r="40" spans="3:11" ht="12.75">
      <c r="C40" s="17"/>
      <c r="D40" s="17"/>
      <c r="E40" s="89">
        <v>41751</v>
      </c>
      <c r="F40" s="45"/>
      <c r="G40" s="45">
        <v>-8120</v>
      </c>
      <c r="H40" s="17"/>
      <c r="I40" s="25"/>
      <c r="J40" s="112"/>
      <c r="K40" s="110"/>
    </row>
    <row r="41" spans="3:11" ht="12.75">
      <c r="C41" s="17"/>
      <c r="D41" s="17"/>
      <c r="E41" s="89">
        <v>41782</v>
      </c>
      <c r="F41" s="45"/>
      <c r="G41" s="45">
        <v>-13832</v>
      </c>
      <c r="H41" s="17"/>
      <c r="I41" s="25"/>
      <c r="J41" s="112"/>
      <c r="K41" s="110"/>
    </row>
    <row r="42" spans="3:11" ht="12.75">
      <c r="C42" s="17"/>
      <c r="D42" s="17"/>
      <c r="E42" s="89">
        <v>41808</v>
      </c>
      <c r="F42" s="45"/>
      <c r="G42" s="45">
        <v>-33208</v>
      </c>
      <c r="H42" s="17"/>
      <c r="I42" s="25"/>
      <c r="J42" s="112"/>
      <c r="K42" s="110"/>
    </row>
    <row r="43" spans="3:11" ht="12.75">
      <c r="C43" s="17"/>
      <c r="D43" s="17"/>
      <c r="E43" s="89">
        <v>41894</v>
      </c>
      <c r="F43" s="45"/>
      <c r="G43" s="45">
        <v>-6944</v>
      </c>
      <c r="H43" s="17"/>
      <c r="I43" s="25"/>
      <c r="J43" s="112"/>
      <c r="K43" s="110"/>
    </row>
    <row r="44" spans="3:11" ht="12.75">
      <c r="C44" s="17"/>
      <c r="D44" s="17"/>
      <c r="E44" s="89">
        <v>41942</v>
      </c>
      <c r="F44" s="45"/>
      <c r="G44" s="45">
        <v>-9856</v>
      </c>
      <c r="H44" s="17"/>
      <c r="I44" s="25"/>
      <c r="J44" s="112"/>
      <c r="K44" s="110"/>
    </row>
    <row r="45" spans="3:11" ht="12.75">
      <c r="C45" s="17"/>
      <c r="D45" s="17"/>
      <c r="E45" s="89">
        <v>41962</v>
      </c>
      <c r="F45" s="45"/>
      <c r="G45" s="45">
        <v>-21896</v>
      </c>
      <c r="H45" s="17"/>
      <c r="I45" s="25"/>
      <c r="J45" s="112"/>
      <c r="K45" s="110"/>
    </row>
    <row r="46" spans="3:11" ht="12.75">
      <c r="C46" s="17"/>
      <c r="D46" s="17"/>
      <c r="E46" s="89">
        <v>41975</v>
      </c>
      <c r="F46" s="45"/>
      <c r="G46" s="45">
        <v>-25760</v>
      </c>
      <c r="H46" s="17"/>
      <c r="I46" s="25"/>
      <c r="J46" s="112"/>
      <c r="K46" s="110"/>
    </row>
    <row r="47" spans="3:9" ht="12.75">
      <c r="C47" s="17" t="s">
        <v>22</v>
      </c>
      <c r="D47" s="17"/>
      <c r="E47" s="89">
        <v>41969</v>
      </c>
      <c r="F47" s="45"/>
      <c r="G47" s="45">
        <v>93993.46</v>
      </c>
      <c r="H47" s="17"/>
      <c r="I47" s="25"/>
    </row>
    <row r="48" spans="3:9" ht="12.75">
      <c r="C48" s="17" t="s">
        <v>44</v>
      </c>
      <c r="D48" s="17"/>
      <c r="E48" s="89">
        <v>42037</v>
      </c>
      <c r="F48" s="45"/>
      <c r="G48" s="45">
        <v>-21672</v>
      </c>
      <c r="H48" s="17"/>
      <c r="I48" s="25"/>
    </row>
    <row r="49" spans="3:9" ht="12.75">
      <c r="C49" s="17"/>
      <c r="D49" s="17"/>
      <c r="E49" s="89">
        <v>42094</v>
      </c>
      <c r="F49" s="45"/>
      <c r="G49" s="45">
        <v>-18816</v>
      </c>
      <c r="H49" s="17"/>
      <c r="I49" s="25"/>
    </row>
    <row r="50" spans="3:9" ht="12.75">
      <c r="C50" s="17"/>
      <c r="D50" s="17"/>
      <c r="E50" s="89">
        <v>42110</v>
      </c>
      <c r="F50" s="45"/>
      <c r="G50" s="45">
        <v>-15736</v>
      </c>
      <c r="H50" s="17"/>
      <c r="I50" s="25"/>
    </row>
    <row r="51" spans="3:9" ht="12.75">
      <c r="C51" s="17"/>
      <c r="D51" s="17"/>
      <c r="E51" s="89">
        <v>42145</v>
      </c>
      <c r="F51" s="45"/>
      <c r="G51" s="45">
        <v>-19656</v>
      </c>
      <c r="H51" s="17"/>
      <c r="I51" s="25"/>
    </row>
    <row r="52" spans="3:9" ht="12.75">
      <c r="C52" s="17"/>
      <c r="D52" s="17"/>
      <c r="E52" s="89">
        <v>42158</v>
      </c>
      <c r="F52" s="45"/>
      <c r="G52" s="45">
        <v>-56336</v>
      </c>
      <c r="H52" s="17"/>
      <c r="I52" s="25"/>
    </row>
    <row r="53" spans="3:9" ht="12.75">
      <c r="C53" s="17"/>
      <c r="D53" s="17"/>
      <c r="E53" s="89">
        <v>42261</v>
      </c>
      <c r="F53" s="45"/>
      <c r="G53" s="45">
        <v>-42391.99</v>
      </c>
      <c r="H53" s="17"/>
      <c r="I53" s="25"/>
    </row>
    <row r="54" spans="3:11" ht="12.75">
      <c r="C54" s="17"/>
      <c r="D54" s="17"/>
      <c r="E54" s="89">
        <v>42366</v>
      </c>
      <c r="F54" s="45"/>
      <c r="G54" s="45">
        <v>-10584</v>
      </c>
      <c r="H54" s="17"/>
      <c r="I54" s="25"/>
      <c r="J54" s="25"/>
      <c r="K54" s="17"/>
    </row>
    <row r="55" spans="3:11" ht="12.75">
      <c r="C55" s="17" t="s">
        <v>24</v>
      </c>
      <c r="D55" s="17"/>
      <c r="E55" s="89">
        <v>42341</v>
      </c>
      <c r="F55" s="45"/>
      <c r="G55" s="45">
        <v>15844.88</v>
      </c>
      <c r="H55" s="17"/>
      <c r="I55" s="25"/>
      <c r="J55" s="25"/>
      <c r="K55" s="17"/>
    </row>
    <row r="56" spans="3:11" ht="12.75">
      <c r="C56" s="17" t="s">
        <v>45</v>
      </c>
      <c r="D56" s="17"/>
      <c r="E56" s="89">
        <v>42397</v>
      </c>
      <c r="F56" s="45"/>
      <c r="G56" s="45">
        <v>-15288</v>
      </c>
      <c r="H56" s="17"/>
      <c r="I56" s="25"/>
      <c r="J56" s="25"/>
      <c r="K56" s="17"/>
    </row>
    <row r="57" spans="3:11" ht="12.75">
      <c r="C57" s="17"/>
      <c r="D57" s="17"/>
      <c r="E57" s="89">
        <v>42447</v>
      </c>
      <c r="F57" s="45"/>
      <c r="G57" s="45">
        <v>-19207.99</v>
      </c>
      <c r="H57" s="17"/>
      <c r="I57" s="25"/>
      <c r="J57" s="25"/>
      <c r="K57" s="17"/>
    </row>
    <row r="58" spans="3:11" ht="12.75">
      <c r="C58" s="17"/>
      <c r="D58" s="17"/>
      <c r="E58" s="89">
        <v>42494</v>
      </c>
      <c r="F58" s="45"/>
      <c r="G58" s="45">
        <v>-14952</v>
      </c>
      <c r="H58" s="17"/>
      <c r="I58" s="25"/>
      <c r="J58" s="25"/>
      <c r="K58" s="17"/>
    </row>
    <row r="59" spans="3:11" ht="12.75">
      <c r="C59" s="17"/>
      <c r="D59" s="17"/>
      <c r="E59" s="89">
        <v>42556</v>
      </c>
      <c r="F59" s="45"/>
      <c r="G59" s="45">
        <v>-13048</v>
      </c>
      <c r="H59" s="17"/>
      <c r="I59" s="25"/>
      <c r="J59" s="25"/>
      <c r="K59" s="17"/>
    </row>
    <row r="60" spans="3:11" ht="12.75">
      <c r="C60" s="17"/>
      <c r="D60" s="17"/>
      <c r="E60" s="89">
        <v>42605</v>
      </c>
      <c r="F60" s="45"/>
      <c r="G60" s="45">
        <v>-125272</v>
      </c>
      <c r="H60" s="17"/>
      <c r="I60" s="25"/>
      <c r="J60" s="25"/>
      <c r="K60" s="17"/>
    </row>
    <row r="61" spans="3:11" ht="12.75">
      <c r="C61" s="17"/>
      <c r="D61" s="17"/>
      <c r="E61" s="89">
        <v>42661</v>
      </c>
      <c r="F61" s="45"/>
      <c r="G61" s="45">
        <v>-11928</v>
      </c>
      <c r="H61" s="17"/>
      <c r="I61" s="25"/>
      <c r="J61" s="25"/>
      <c r="K61" s="17"/>
    </row>
    <row r="62" spans="3:11" ht="12.75">
      <c r="C62" s="17" t="s">
        <v>25</v>
      </c>
      <c r="D62" s="17"/>
      <c r="E62" s="89">
        <v>42381</v>
      </c>
      <c r="F62" s="45"/>
      <c r="G62" s="45">
        <v>136789.24</v>
      </c>
      <c r="H62" s="17"/>
      <c r="I62" s="25"/>
      <c r="J62" s="25"/>
      <c r="K62" s="17"/>
    </row>
    <row r="63" spans="3:12" ht="15.75">
      <c r="C63" s="17"/>
      <c r="D63" s="17"/>
      <c r="E63" s="89">
        <v>42549</v>
      </c>
      <c r="F63" s="45"/>
      <c r="G63" s="45">
        <v>17692.82</v>
      </c>
      <c r="H63" s="17"/>
      <c r="I63" s="25"/>
      <c r="J63" s="44"/>
      <c r="K63" s="41"/>
      <c r="L63" s="177"/>
    </row>
    <row r="64" spans="3:12" ht="12.75">
      <c r="C64" s="17"/>
      <c r="D64" s="17"/>
      <c r="E64" s="89">
        <v>42640</v>
      </c>
      <c r="F64" s="45"/>
      <c r="G64" s="45">
        <v>26680.06</v>
      </c>
      <c r="H64" s="17"/>
      <c r="I64" s="25"/>
      <c r="J64" s="44"/>
      <c r="K64" s="41"/>
      <c r="L64" s="124"/>
    </row>
    <row r="65" spans="3:12" ht="12.75">
      <c r="C65" s="17"/>
      <c r="D65" s="17"/>
      <c r="E65" s="89">
        <v>42654</v>
      </c>
      <c r="F65" s="45"/>
      <c r="G65" s="45">
        <v>10936.48</v>
      </c>
      <c r="H65" s="17"/>
      <c r="I65" s="25"/>
      <c r="J65" s="44"/>
      <c r="K65" s="41"/>
      <c r="L65" s="124"/>
    </row>
    <row r="66" spans="3:12" ht="12.75">
      <c r="C66" s="17" t="s">
        <v>30</v>
      </c>
      <c r="D66" s="17"/>
      <c r="E66" s="89">
        <v>42793</v>
      </c>
      <c r="F66" s="45"/>
      <c r="G66" s="45">
        <v>-11872</v>
      </c>
      <c r="H66" s="17"/>
      <c r="I66" s="25"/>
      <c r="J66" s="44"/>
      <c r="K66" s="41"/>
      <c r="L66" s="124"/>
    </row>
    <row r="67" spans="3:12" ht="12.75">
      <c r="C67" s="17"/>
      <c r="D67" s="17"/>
      <c r="E67" s="89">
        <v>42870</v>
      </c>
      <c r="F67" s="45"/>
      <c r="G67" s="45">
        <v>-11983.99</v>
      </c>
      <c r="H67" s="17"/>
      <c r="I67" s="25"/>
      <c r="J67" s="44"/>
      <c r="K67" s="41"/>
      <c r="L67" s="124"/>
    </row>
    <row r="68" spans="3:12" ht="12.75">
      <c r="C68" s="17"/>
      <c r="D68" s="17"/>
      <c r="E68" s="89">
        <v>42992</v>
      </c>
      <c r="F68" s="45"/>
      <c r="G68" s="45">
        <v>-11312</v>
      </c>
      <c r="H68" s="17"/>
      <c r="I68" s="25"/>
      <c r="J68" s="44"/>
      <c r="K68" s="41"/>
      <c r="L68" s="42"/>
    </row>
    <row r="69" spans="3:12" ht="12.75">
      <c r="C69" s="17"/>
      <c r="D69" s="17"/>
      <c r="E69" s="89">
        <v>43048</v>
      </c>
      <c r="F69" s="45"/>
      <c r="G69" s="45">
        <v>-21728</v>
      </c>
      <c r="H69" s="17"/>
      <c r="I69" s="25"/>
      <c r="J69" s="44"/>
      <c r="K69" s="41"/>
      <c r="L69" s="42"/>
    </row>
    <row r="70" spans="3:12" ht="12.75">
      <c r="C70" s="17" t="s">
        <v>46</v>
      </c>
      <c r="D70" s="17"/>
      <c r="E70" s="89">
        <v>42746</v>
      </c>
      <c r="F70" s="45"/>
      <c r="G70" s="45">
        <v>40558.48</v>
      </c>
      <c r="H70" s="17"/>
      <c r="I70" s="25"/>
      <c r="J70" s="44"/>
      <c r="K70" s="41"/>
      <c r="L70" s="42"/>
    </row>
    <row r="71" spans="3:11" ht="12.75">
      <c r="C71" s="17"/>
      <c r="D71" s="17"/>
      <c r="E71" s="89">
        <v>42802</v>
      </c>
      <c r="F71" s="45"/>
      <c r="G71" s="45">
        <v>60485.01</v>
      </c>
      <c r="H71" s="17"/>
      <c r="I71" s="25"/>
      <c r="J71" s="25"/>
      <c r="K71" s="17"/>
    </row>
    <row r="72" spans="3:11" ht="12.75">
      <c r="C72" s="17"/>
      <c r="D72" s="17"/>
      <c r="E72" s="89">
        <v>42885</v>
      </c>
      <c r="F72" s="45"/>
      <c r="G72" s="45">
        <v>22259.21</v>
      </c>
      <c r="H72" s="17"/>
      <c r="I72" s="25"/>
      <c r="J72" s="25"/>
      <c r="K72" s="17"/>
    </row>
    <row r="73" spans="3:11" ht="12.75">
      <c r="C73" s="17"/>
      <c r="D73" s="17"/>
      <c r="E73" s="89">
        <v>42913</v>
      </c>
      <c r="F73" s="45"/>
      <c r="G73" s="45">
        <v>582576.68</v>
      </c>
      <c r="H73" s="17"/>
      <c r="I73" s="25"/>
      <c r="J73" s="25"/>
      <c r="K73" s="17"/>
    </row>
    <row r="74" spans="3:11" ht="12.75">
      <c r="C74" s="17"/>
      <c r="D74" s="17"/>
      <c r="E74" s="89">
        <v>42999</v>
      </c>
      <c r="F74" s="45"/>
      <c r="G74" s="45">
        <v>39339.92</v>
      </c>
      <c r="H74" s="17"/>
      <c r="I74" s="25"/>
      <c r="J74" s="25"/>
      <c r="K74" s="17"/>
    </row>
    <row r="75" spans="3:11" ht="12.75">
      <c r="C75" s="17" t="s">
        <v>31</v>
      </c>
      <c r="D75" s="17"/>
      <c r="E75" s="89">
        <v>43132</v>
      </c>
      <c r="F75" s="45"/>
      <c r="G75" s="45">
        <v>-15008</v>
      </c>
      <c r="H75" s="17"/>
      <c r="I75" s="25"/>
      <c r="J75" s="25"/>
      <c r="K75" s="17"/>
    </row>
    <row r="76" spans="3:11" ht="12.75">
      <c r="C76" s="17"/>
      <c r="D76" s="17"/>
      <c r="E76" s="89">
        <v>43147</v>
      </c>
      <c r="F76" s="45"/>
      <c r="G76" s="45">
        <v>-33040</v>
      </c>
      <c r="H76" s="17"/>
      <c r="I76" s="25"/>
      <c r="J76" s="25"/>
      <c r="K76" s="17"/>
    </row>
    <row r="77" spans="3:11" ht="12.75">
      <c r="C77" s="17"/>
      <c r="D77" s="17"/>
      <c r="E77" s="89">
        <v>43370</v>
      </c>
      <c r="F77" s="45"/>
      <c r="G77" s="45">
        <v>-10640</v>
      </c>
      <c r="H77" s="17"/>
      <c r="I77" s="25"/>
      <c r="J77" s="25"/>
      <c r="K77" s="17"/>
    </row>
    <row r="78" spans="3:11" ht="12.75">
      <c r="C78" s="17" t="s">
        <v>26</v>
      </c>
      <c r="D78" s="17"/>
      <c r="E78" s="89">
        <v>43122</v>
      </c>
      <c r="F78" s="45"/>
      <c r="G78" s="45">
        <v>170614.91</v>
      </c>
      <c r="H78" s="17"/>
      <c r="I78" s="25"/>
      <c r="J78" s="25"/>
      <c r="K78" s="17"/>
    </row>
    <row r="79" spans="3:11" ht="12.75">
      <c r="C79" s="17"/>
      <c r="D79" s="17"/>
      <c r="E79" s="89">
        <v>43300</v>
      </c>
      <c r="F79" s="45"/>
      <c r="G79" s="45">
        <v>41585.63</v>
      </c>
      <c r="H79" s="17"/>
      <c r="I79" s="25"/>
      <c r="J79" s="25"/>
      <c r="K79" s="17"/>
    </row>
    <row r="80" spans="3:11" ht="12.75">
      <c r="C80" s="17" t="s">
        <v>32</v>
      </c>
      <c r="D80" s="17"/>
      <c r="E80" s="89">
        <v>43490</v>
      </c>
      <c r="F80" s="45"/>
      <c r="G80" s="45">
        <v>-14672</v>
      </c>
      <c r="H80" s="17"/>
      <c r="I80" s="25"/>
      <c r="J80" s="25"/>
      <c r="K80" s="17"/>
    </row>
    <row r="81" spans="3:11" ht="12.75">
      <c r="C81" s="17"/>
      <c r="D81" s="17"/>
      <c r="E81" s="89">
        <v>43517</v>
      </c>
      <c r="F81" s="45"/>
      <c r="G81" s="45">
        <v>-16632</v>
      </c>
      <c r="H81" s="17"/>
      <c r="I81" s="25"/>
      <c r="J81" s="25"/>
      <c r="K81" s="17"/>
    </row>
    <row r="82" spans="3:11" ht="12.75">
      <c r="C82" s="17"/>
      <c r="D82" s="17"/>
      <c r="E82" s="89">
        <v>43560</v>
      </c>
      <c r="F82" s="45"/>
      <c r="G82" s="45">
        <v>-45416</v>
      </c>
      <c r="H82" s="17"/>
      <c r="I82" s="25"/>
      <c r="J82" s="25"/>
      <c r="K82" s="17"/>
    </row>
    <row r="83" spans="3:11" ht="12.75">
      <c r="C83" s="17"/>
      <c r="D83" s="17"/>
      <c r="E83" s="89">
        <v>43623</v>
      </c>
      <c r="F83" s="45"/>
      <c r="G83" s="45">
        <v>-11760</v>
      </c>
      <c r="H83" s="17"/>
      <c r="I83" s="25"/>
      <c r="J83" s="25"/>
      <c r="K83" s="17"/>
    </row>
    <row r="84" spans="3:11" ht="12.75">
      <c r="C84" s="17"/>
      <c r="D84" s="17"/>
      <c r="E84" s="89">
        <v>43733</v>
      </c>
      <c r="F84" s="45"/>
      <c r="G84" s="45">
        <v>-11144</v>
      </c>
      <c r="H84" s="17"/>
      <c r="I84" s="25"/>
      <c r="J84" s="25"/>
      <c r="K84" s="17"/>
    </row>
    <row r="85" spans="3:11" ht="12.75">
      <c r="C85" s="17"/>
      <c r="D85" s="17"/>
      <c r="E85" s="89">
        <v>43825</v>
      </c>
      <c r="F85" s="45"/>
      <c r="G85" s="45">
        <v>-6608</v>
      </c>
      <c r="H85" s="17"/>
      <c r="I85" s="25"/>
      <c r="J85" s="25"/>
      <c r="K85" s="17"/>
    </row>
    <row r="86" spans="3:11" ht="12.75">
      <c r="C86" s="17" t="s">
        <v>27</v>
      </c>
      <c r="D86" s="17"/>
      <c r="E86" s="89">
        <v>43545</v>
      </c>
      <c r="F86" s="45"/>
      <c r="G86" s="45">
        <v>17572.34</v>
      </c>
      <c r="H86" s="17"/>
      <c r="I86" s="25"/>
      <c r="J86" s="25"/>
      <c r="K86" s="17"/>
    </row>
    <row r="87" spans="3:11" ht="12.75">
      <c r="C87" s="17" t="s">
        <v>33</v>
      </c>
      <c r="D87" s="17"/>
      <c r="E87" s="89">
        <v>43950</v>
      </c>
      <c r="F87" s="45"/>
      <c r="G87" s="45">
        <v>-9016</v>
      </c>
      <c r="H87" s="17"/>
      <c r="I87" s="25"/>
      <c r="J87" s="25"/>
      <c r="K87" s="17"/>
    </row>
    <row r="88" spans="3:12" ht="15.75">
      <c r="C88" s="17" t="s">
        <v>47</v>
      </c>
      <c r="D88" s="17"/>
      <c r="E88" s="89">
        <v>44084</v>
      </c>
      <c r="F88" s="45"/>
      <c r="G88" s="45">
        <v>8234.01</v>
      </c>
      <c r="H88" s="17"/>
      <c r="I88" s="25"/>
      <c r="J88" s="25"/>
      <c r="K88" s="17"/>
      <c r="L88" s="80"/>
    </row>
    <row r="89" spans="3:11" ht="12.75">
      <c r="C89" s="17"/>
      <c r="D89" s="17"/>
      <c r="E89" s="89">
        <v>44158</v>
      </c>
      <c r="F89" s="45"/>
      <c r="G89" s="45">
        <v>45614.54</v>
      </c>
      <c r="H89" s="17"/>
      <c r="I89" s="25"/>
      <c r="J89" s="25"/>
      <c r="K89" s="17"/>
    </row>
    <row r="90" spans="3:12" ht="15.75">
      <c r="C90" s="17" t="s">
        <v>34</v>
      </c>
      <c r="D90" s="17"/>
      <c r="E90" s="89">
        <v>44203</v>
      </c>
      <c r="F90" s="45"/>
      <c r="G90" s="45">
        <v>-5600</v>
      </c>
      <c r="H90" s="17"/>
      <c r="I90" s="25"/>
      <c r="J90" s="25"/>
      <c r="K90" s="17"/>
      <c r="L90" s="80"/>
    </row>
    <row r="91" spans="3:12" ht="15.75">
      <c r="C91" s="17" t="s">
        <v>28</v>
      </c>
      <c r="D91" s="17"/>
      <c r="E91" s="89">
        <v>44284</v>
      </c>
      <c r="F91" s="45"/>
      <c r="G91" s="45">
        <v>5074.89</v>
      </c>
      <c r="H91" s="17"/>
      <c r="I91" s="25"/>
      <c r="J91" s="25"/>
      <c r="K91" s="17"/>
      <c r="L91" s="80"/>
    </row>
    <row r="92" spans="3:12" ht="15.75">
      <c r="C92" s="17"/>
      <c r="D92" s="17"/>
      <c r="E92" s="89">
        <v>44546</v>
      </c>
      <c r="F92" s="45"/>
      <c r="G92" s="45">
        <v>8151.91</v>
      </c>
      <c r="H92" s="17"/>
      <c r="I92" s="25"/>
      <c r="J92" s="25"/>
      <c r="K92" s="17"/>
      <c r="L92" s="80"/>
    </row>
    <row r="93" spans="3:12" ht="15.75">
      <c r="C93" s="17" t="s">
        <v>29</v>
      </c>
      <c r="D93" s="17"/>
      <c r="E93" s="89">
        <v>44624</v>
      </c>
      <c r="F93" s="45"/>
      <c r="G93" s="45">
        <v>75156.74</v>
      </c>
      <c r="H93" s="17"/>
      <c r="I93" s="25"/>
      <c r="J93" s="25"/>
      <c r="K93" s="17"/>
      <c r="L93" s="80"/>
    </row>
    <row r="94" spans="3:10" ht="4.5" customHeight="1">
      <c r="C94" s="17"/>
      <c r="D94" s="17"/>
      <c r="E94" s="89"/>
      <c r="F94" s="17"/>
      <c r="G94" s="45"/>
      <c r="H94" s="17"/>
      <c r="I94" s="25"/>
      <c r="J94" s="25"/>
    </row>
    <row r="95" spans="3:15" ht="12.75">
      <c r="C95" s="17" t="s">
        <v>5</v>
      </c>
      <c r="D95" s="17"/>
      <c r="E95" s="89">
        <f>+E8</f>
        <v>44834</v>
      </c>
      <c r="F95" s="17"/>
      <c r="G95" s="94">
        <f>L95*C22</f>
        <v>112582.925813343</v>
      </c>
      <c r="H95" s="17"/>
      <c r="I95" s="89"/>
      <c r="L95" s="124">
        <v>9119217</v>
      </c>
      <c r="O95" s="134"/>
    </row>
    <row r="96" spans="3:8" ht="12.75">
      <c r="C96" s="17"/>
      <c r="D96" s="17"/>
      <c r="E96" s="17"/>
      <c r="F96" s="17"/>
      <c r="G96" s="17"/>
      <c r="H96" s="17"/>
    </row>
    <row r="97" spans="3:11" ht="12.75">
      <c r="C97" s="15" t="s">
        <v>0</v>
      </c>
      <c r="G97" s="116">
        <f>+XIRR(G23:G95,E23:E95)</f>
        <v>0.2589459359645844</v>
      </c>
      <c r="H97" s="17"/>
      <c r="J97" s="45">
        <f>+SUMIF($G$23:$G$94,"&lt;0",$G$23:$G$94)</f>
        <v>-949139.97</v>
      </c>
      <c r="K97" s="17" t="s">
        <v>20</v>
      </c>
    </row>
    <row r="98" spans="3:11" ht="12.75">
      <c r="C98" s="17"/>
      <c r="D98" s="17"/>
      <c r="E98" s="17"/>
      <c r="F98" s="17"/>
      <c r="G98" s="17"/>
      <c r="H98" s="17"/>
      <c r="J98" s="45">
        <f>+SUMIF($G$23:$G$94,"&gt;0",$G$23:$G$94)</f>
        <v>1419161.21</v>
      </c>
      <c r="K98" s="17" t="s">
        <v>21</v>
      </c>
    </row>
    <row r="99" spans="3:8" ht="12.75">
      <c r="C99" s="17"/>
      <c r="D99" s="17"/>
      <c r="E99" s="17"/>
      <c r="F99" s="17"/>
      <c r="G99" s="17"/>
      <c r="H99" s="17"/>
    </row>
    <row r="100" spans="3:8" ht="12.75">
      <c r="C100" s="28"/>
      <c r="D100" s="28"/>
      <c r="E100" s="75"/>
      <c r="F100" s="17"/>
      <c r="G100" s="75"/>
      <c r="H100" s="17"/>
    </row>
    <row r="101" spans="3:8" ht="12.75">
      <c r="C101" s="28"/>
      <c r="D101" s="28"/>
      <c r="E101" s="75"/>
      <c r="F101" s="28"/>
      <c r="G101" s="75"/>
      <c r="H101" s="17"/>
    </row>
    <row r="102" spans="3:8" ht="12.75">
      <c r="C102" s="28"/>
      <c r="D102" s="28"/>
      <c r="E102" s="75"/>
      <c r="F102" s="28"/>
      <c r="G102" s="75"/>
      <c r="H102" s="17"/>
    </row>
    <row r="103" spans="3:8" ht="12.75">
      <c r="C103" s="28"/>
      <c r="D103" s="28"/>
      <c r="E103" s="75"/>
      <c r="F103" s="75"/>
      <c r="G103" s="75"/>
      <c r="H103" s="15"/>
    </row>
    <row r="104" spans="3:8" ht="12.75">
      <c r="C104" s="28"/>
      <c r="D104" s="28"/>
      <c r="E104" s="75"/>
      <c r="F104" s="75"/>
      <c r="G104" s="75"/>
      <c r="H104" s="15"/>
    </row>
    <row r="105" spans="3:8" ht="12.75">
      <c r="C105" s="28"/>
      <c r="D105" s="28"/>
      <c r="E105" s="28"/>
      <c r="F105" s="28"/>
      <c r="G105" s="28"/>
      <c r="H105" s="15"/>
    </row>
    <row r="106" spans="3:8" ht="12.75">
      <c r="C106" s="171"/>
      <c r="D106" s="171"/>
      <c r="E106" s="173"/>
      <c r="F106" s="97"/>
      <c r="G106" s="32"/>
      <c r="H106" s="17"/>
    </row>
    <row r="107" spans="3:8" ht="12.75">
      <c r="C107" s="171"/>
      <c r="D107" s="171"/>
      <c r="E107" s="97"/>
      <c r="F107" s="97"/>
      <c r="G107" s="97"/>
      <c r="H107" s="17"/>
    </row>
    <row r="108" spans="3:8" ht="12.75">
      <c r="C108" s="171"/>
      <c r="D108" s="171"/>
      <c r="E108" s="97"/>
      <c r="F108" s="97"/>
      <c r="G108" s="97"/>
      <c r="H108" s="17"/>
    </row>
    <row r="109" spans="3:8" ht="12.75">
      <c r="C109" s="189"/>
      <c r="D109" s="171"/>
      <c r="E109" s="97"/>
      <c r="F109" s="97"/>
      <c r="G109" s="97"/>
      <c r="H109" s="17"/>
    </row>
    <row r="110" spans="3:8" ht="12.75">
      <c r="C110" s="189"/>
      <c r="D110" s="171"/>
      <c r="E110" s="97"/>
      <c r="F110" s="97"/>
      <c r="G110" s="97"/>
      <c r="H110" s="17"/>
    </row>
    <row r="111" spans="3:8" ht="12.75">
      <c r="C111" s="190"/>
      <c r="D111" s="171"/>
      <c r="E111" s="97"/>
      <c r="F111" s="97"/>
      <c r="G111" s="97"/>
      <c r="H111" s="17"/>
    </row>
    <row r="112" spans="3:8" ht="12.75">
      <c r="C112" s="171"/>
      <c r="D112" s="171"/>
      <c r="E112" s="97"/>
      <c r="F112" s="97"/>
      <c r="G112" s="97"/>
      <c r="H112" s="17"/>
    </row>
    <row r="113" spans="3:8" ht="12.75">
      <c r="C113" s="171"/>
      <c r="D113" s="171"/>
      <c r="E113" s="97"/>
      <c r="F113" s="97"/>
      <c r="G113" s="97"/>
      <c r="H113" s="17"/>
    </row>
    <row r="114" spans="3:8" ht="12.75">
      <c r="C114" s="171"/>
      <c r="D114" s="171"/>
      <c r="E114" s="97"/>
      <c r="F114" s="97"/>
      <c r="G114" s="97"/>
      <c r="H114" s="17"/>
    </row>
    <row r="115" spans="3:8" ht="12.75">
      <c r="C115" s="171"/>
      <c r="D115" s="171"/>
      <c r="E115" s="97"/>
      <c r="F115" s="97"/>
      <c r="G115" s="97"/>
      <c r="H115" s="17"/>
    </row>
    <row r="116" spans="3:8" ht="12.75">
      <c r="C116" s="171"/>
      <c r="D116" s="171"/>
      <c r="E116" s="97"/>
      <c r="F116" s="97"/>
      <c r="G116" s="97"/>
      <c r="H116" s="17"/>
    </row>
    <row r="117" spans="3:8" ht="12.75">
      <c r="C117" s="171"/>
      <c r="D117" s="171"/>
      <c r="E117" s="97"/>
      <c r="F117" s="97"/>
      <c r="G117" s="97"/>
      <c r="H117" s="17"/>
    </row>
    <row r="118" spans="3:8" ht="4.9" customHeight="1">
      <c r="C118" s="199"/>
      <c r="D118" s="199"/>
      <c r="E118" s="199"/>
      <c r="F118" s="17"/>
      <c r="G118" s="17"/>
      <c r="H118" s="17"/>
    </row>
    <row r="119" spans="3:8" ht="12.75">
      <c r="C119" s="17"/>
      <c r="D119" s="17"/>
      <c r="E119" s="17"/>
      <c r="F119" s="17"/>
      <c r="G119" s="17"/>
      <c r="H119" s="17"/>
    </row>
    <row r="120" spans="3:8" ht="12.75">
      <c r="C120" s="17"/>
      <c r="D120" s="17"/>
      <c r="E120" s="17"/>
      <c r="F120" s="17"/>
      <c r="G120" s="17"/>
      <c r="H120" s="17"/>
    </row>
    <row r="121" spans="3:8" ht="12.75">
      <c r="C121" s="17"/>
      <c r="D121" s="17"/>
      <c r="E121" s="17"/>
      <c r="F121" s="17"/>
      <c r="G121" s="17"/>
      <c r="H121" s="17"/>
    </row>
    <row r="122" spans="3:8" ht="12.75">
      <c r="C122" s="17"/>
      <c r="D122" s="17"/>
      <c r="E122" s="17"/>
      <c r="F122" s="17"/>
      <c r="G122" s="17"/>
      <c r="H122" s="17"/>
    </row>
    <row r="123" spans="3:8" ht="12.75">
      <c r="C123" s="17"/>
      <c r="D123" s="17"/>
      <c r="E123" s="17"/>
      <c r="F123" s="17"/>
      <c r="G123" s="17"/>
      <c r="H123" s="17"/>
    </row>
  </sheetData>
  <pageMargins left="0.7" right="0.7" top="0.75" bottom="0.75" header="0.3" footer="0.3"/>
  <pageSetup orientation="landscape" paperSize="1" scale="35" r:id="rId2"/>
  <headerFooter>
    <oddHeader>&amp;C&amp;G</oddHeader>
    <oddFooter>&amp;C&amp;G</oddFooter>
  </headerFooter>
  <legacyDrawingHF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24A507B-655E-40FC-9FE1-4E3C36438B49}">
  <sheetPr>
    <pageSetUpPr fitToPage="1"/>
  </sheetPr>
  <dimension ref="B4:O144"/>
  <sheetViews>
    <sheetView showGridLines="0" view="pageLayout" zoomScaleNormal="100" workbookViewId="0" topLeftCell="A1">
      <selection pane="topLeft" activeCell="E1" sqref="E1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3" customWidth="1"/>
    <col min="10" max="10" width="11.714285714285714" customWidth="1"/>
    <col min="12" max="12" width="15.571428571428571" customWidth="1"/>
    <col min="13" max="13" width="16.571428571428573" bestFit="1" customWidth="1"/>
    <col min="14" max="14" width="10.142857142857142" bestFit="1" customWidth="1"/>
    <col min="15" max="15" width="11.285714285714286" bestFit="1" customWidth="1"/>
    <col min="16" max="16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77">
        <v>44834</v>
      </c>
      <c r="F8" s="13"/>
      <c r="G8" s="78"/>
      <c r="H8" s="78"/>
      <c r="I8" s="79"/>
    </row>
    <row r="9" spans="3:7" ht="15.75">
      <c r="C9" s="65"/>
      <c r="D9" s="65"/>
      <c r="E9" s="65"/>
      <c r="F9" s="65"/>
      <c r="G9" s="177"/>
    </row>
    <row r="10" spans="3:15" ht="12.75">
      <c r="C10" s="178"/>
      <c r="D10" s="178"/>
      <c r="E10" s="179"/>
      <c r="F10" s="178"/>
      <c r="G10" s="124"/>
      <c r="H10" s="81"/>
      <c r="I10" s="82"/>
      <c r="O10" s="125"/>
    </row>
    <row r="11" spans="3:9" ht="12.75">
      <c r="C11" s="178"/>
      <c r="D11" s="178"/>
      <c r="E11" s="179"/>
      <c r="F11" s="178"/>
      <c r="G11" s="179"/>
      <c r="H11" s="81"/>
      <c r="I11" s="82"/>
    </row>
    <row r="12" spans="3:9" ht="15.75">
      <c r="C12" s="180"/>
      <c r="D12" s="180"/>
      <c r="E12" s="70"/>
      <c r="F12" s="180"/>
      <c r="G12" s="70"/>
      <c r="H12" s="5"/>
      <c r="I12" s="82"/>
    </row>
    <row r="13" spans="3:15" ht="12.75">
      <c r="C13" s="178"/>
      <c r="D13" s="178"/>
      <c r="E13" s="71"/>
      <c r="F13" s="178"/>
      <c r="G13" s="124"/>
      <c r="H13" s="84"/>
      <c r="I13" s="82"/>
      <c r="O13" s="125"/>
    </row>
    <row r="14" spans="3:9" ht="12.75">
      <c r="C14" s="178"/>
      <c r="D14" s="178"/>
      <c r="E14" s="181"/>
      <c r="F14" s="178"/>
      <c r="G14" s="124"/>
      <c r="H14" s="85"/>
      <c r="I14" s="82"/>
    </row>
    <row r="15" spans="3:9" ht="12.75">
      <c r="C15" s="178"/>
      <c r="D15" s="178"/>
      <c r="E15" s="179"/>
      <c r="F15" s="178"/>
      <c r="G15" s="179"/>
      <c r="H15" s="81"/>
      <c r="I15" s="82"/>
    </row>
    <row r="16" spans="3:9" ht="15.75">
      <c r="C16" s="5"/>
      <c r="D16" s="5"/>
      <c r="E16" s="10"/>
      <c r="F16" s="5"/>
      <c r="G16" s="10"/>
      <c r="H16" s="5"/>
      <c r="I16" s="82"/>
    </row>
    <row r="17" spans="3:9" ht="15.75">
      <c r="C17" s="83" t="s">
        <v>15</v>
      </c>
      <c r="D17" s="83"/>
      <c r="E17" s="10"/>
      <c r="F17" s="83"/>
      <c r="G17" s="10"/>
      <c r="H17" s="5"/>
      <c r="I17" s="86"/>
    </row>
    <row r="18" spans="3:9" ht="12.75" customHeight="1">
      <c r="C18" s="6" t="s">
        <v>16</v>
      </c>
      <c r="D18" s="6"/>
      <c r="E18" s="84">
        <f>G113</f>
        <v>0.09995481371879578</v>
      </c>
      <c r="F18" s="6"/>
      <c r="G18" s="11"/>
      <c r="H18" s="84"/>
      <c r="I18" s="86"/>
    </row>
    <row r="19" spans="3:8" ht="12.75">
      <c r="C19" s="6" t="s">
        <v>17</v>
      </c>
      <c r="D19" s="6"/>
      <c r="E19" s="87">
        <f>-(G111+I112)/I111</f>
        <v>1.327087656552137</v>
      </c>
      <c r="F19" s="6"/>
      <c r="G19" s="9"/>
      <c r="H19" s="81"/>
    </row>
    <row r="20" spans="3:7" ht="12.75">
      <c r="C20" s="6"/>
      <c r="D20" s="6"/>
      <c r="E20" s="6"/>
      <c r="F20" s="6"/>
      <c r="G20" s="81"/>
    </row>
    <row r="21" spans="3:12" ht="15.75">
      <c r="C21" s="88" t="s">
        <v>50</v>
      </c>
      <c r="D21" s="7"/>
      <c r="E21" s="7"/>
      <c r="F21" s="7"/>
      <c r="I21" s="89"/>
      <c r="J21" s="17"/>
      <c r="L21" s="119"/>
    </row>
    <row r="22" spans="3:10" ht="12.75">
      <c r="C22" s="90">
        <v>0.0049</v>
      </c>
      <c r="D22" s="17"/>
      <c r="E22" s="17"/>
      <c r="F22" s="17"/>
      <c r="G22" s="91"/>
      <c r="H22" s="17"/>
      <c r="I22" s="17"/>
      <c r="J22" s="17"/>
    </row>
    <row r="23" spans="3:10" ht="12.75">
      <c r="C23" s="17"/>
      <c r="D23" s="17"/>
      <c r="E23" s="89"/>
      <c r="F23" s="45"/>
      <c r="G23" s="45"/>
      <c r="H23" s="17"/>
      <c r="I23" s="25"/>
      <c r="J23" s="25"/>
    </row>
    <row r="24" spans="3:9" ht="12.75">
      <c r="C24" s="17" t="s">
        <v>23</v>
      </c>
      <c r="D24" s="17"/>
      <c r="E24" s="89">
        <v>41829</v>
      </c>
      <c r="F24" s="45"/>
      <c r="G24" s="45">
        <v>-169050</v>
      </c>
      <c r="H24" s="17"/>
      <c r="I24" s="25"/>
    </row>
    <row r="25" spans="3:9" ht="12.75">
      <c r="C25" s="17"/>
      <c r="D25" s="17"/>
      <c r="E25" s="89">
        <v>41894</v>
      </c>
      <c r="F25" s="45"/>
      <c r="G25" s="45">
        <v>-87710</v>
      </c>
      <c r="H25" s="17"/>
      <c r="I25" s="25"/>
    </row>
    <row r="26" spans="3:9" ht="12.75">
      <c r="C26" s="17"/>
      <c r="D26" s="17"/>
      <c r="E26" s="89">
        <v>41942</v>
      </c>
      <c r="F26" s="45"/>
      <c r="G26" s="45">
        <v>-46060</v>
      </c>
      <c r="H26" s="17"/>
      <c r="I26" s="25"/>
    </row>
    <row r="27" spans="3:9" ht="12.75">
      <c r="C27" s="17"/>
      <c r="D27" s="17"/>
      <c r="E27" s="89">
        <v>41999</v>
      </c>
      <c r="F27" s="45"/>
      <c r="G27" s="45">
        <v>-65660</v>
      </c>
      <c r="H27" s="17"/>
      <c r="I27" s="25"/>
    </row>
    <row r="28" spans="3:9" ht="12.75">
      <c r="C28" s="17" t="s">
        <v>44</v>
      </c>
      <c r="D28" s="17"/>
      <c r="E28" s="89">
        <v>42037</v>
      </c>
      <c r="F28" s="45"/>
      <c r="G28" s="45">
        <v>-64680</v>
      </c>
      <c r="H28" s="17"/>
      <c r="I28" s="25"/>
    </row>
    <row r="29" spans="3:9" ht="12.75">
      <c r="C29" s="17"/>
      <c r="D29" s="17"/>
      <c r="E29" s="89">
        <v>42093</v>
      </c>
      <c r="F29" s="45"/>
      <c r="G29" s="45">
        <v>-83790</v>
      </c>
      <c r="H29" s="17"/>
      <c r="I29" s="25"/>
    </row>
    <row r="30" spans="3:9" ht="12.75">
      <c r="C30" s="17"/>
      <c r="D30" s="17"/>
      <c r="E30" s="89">
        <v>42109</v>
      </c>
      <c r="F30" s="45"/>
      <c r="G30" s="45">
        <v>-62720</v>
      </c>
      <c r="H30" s="17"/>
      <c r="I30" s="25"/>
    </row>
    <row r="31" spans="3:11" ht="12.75">
      <c r="C31" s="17"/>
      <c r="D31" s="17"/>
      <c r="E31" s="89">
        <v>42144</v>
      </c>
      <c r="F31" s="45"/>
      <c r="G31" s="45">
        <v>-36750</v>
      </c>
      <c r="H31" s="17"/>
      <c r="I31" s="25"/>
      <c r="J31" s="25"/>
      <c r="K31" s="17"/>
    </row>
    <row r="32" spans="3:11" ht="12.75">
      <c r="C32" s="17"/>
      <c r="D32" s="17"/>
      <c r="E32" s="89">
        <v>42184</v>
      </c>
      <c r="F32" s="45"/>
      <c r="G32" s="45">
        <v>-56350</v>
      </c>
      <c r="H32" s="17"/>
      <c r="I32" s="25"/>
      <c r="J32" s="25"/>
      <c r="K32" s="17"/>
    </row>
    <row r="33" spans="3:15" ht="12.75">
      <c r="C33" s="17"/>
      <c r="D33" s="17"/>
      <c r="E33" s="89">
        <v>42227</v>
      </c>
      <c r="F33" s="45"/>
      <c r="G33" s="45">
        <v>-74970</v>
      </c>
      <c r="H33" s="17"/>
      <c r="I33" s="25"/>
      <c r="J33" s="25"/>
      <c r="K33" s="17"/>
      <c r="N33" s="159"/>
      <c r="O33" s="66"/>
    </row>
    <row r="34" spans="3:15" ht="12.75">
      <c r="C34" s="17"/>
      <c r="D34" s="17"/>
      <c r="E34" s="89">
        <v>42261</v>
      </c>
      <c r="F34" s="45"/>
      <c r="G34" s="45">
        <v>-98980</v>
      </c>
      <c r="H34" s="17"/>
      <c r="I34" s="25"/>
      <c r="J34" s="25"/>
      <c r="K34" s="17"/>
      <c r="N34" s="159"/>
      <c r="O34" s="66"/>
    </row>
    <row r="35" spans="3:15" ht="12.75">
      <c r="C35" s="17"/>
      <c r="D35" s="17"/>
      <c r="E35" s="89">
        <v>42368</v>
      </c>
      <c r="F35" s="45"/>
      <c r="G35" s="45">
        <v>-80850</v>
      </c>
      <c r="H35" s="17"/>
      <c r="I35" s="25"/>
      <c r="J35" s="25"/>
      <c r="K35" s="17"/>
      <c r="N35" s="159"/>
      <c r="O35" s="66"/>
    </row>
    <row r="36" spans="3:15" ht="12.75">
      <c r="C36" s="17" t="s">
        <v>45</v>
      </c>
      <c r="D36" s="17"/>
      <c r="E36" s="89">
        <v>42396</v>
      </c>
      <c r="F36" s="45"/>
      <c r="G36" s="45">
        <v>-1416590</v>
      </c>
      <c r="H36" s="17"/>
      <c r="I36" s="25"/>
      <c r="J36" s="25"/>
      <c r="K36" s="17"/>
      <c r="N36" s="159"/>
      <c r="O36" s="66"/>
    </row>
    <row r="37" spans="3:15" ht="12.75">
      <c r="C37" s="17"/>
      <c r="D37" s="17"/>
      <c r="E37" s="89">
        <v>42445</v>
      </c>
      <c r="F37" s="45"/>
      <c r="G37" s="45">
        <v>-120050</v>
      </c>
      <c r="H37" s="17"/>
      <c r="I37" s="25"/>
      <c r="J37" s="25"/>
      <c r="K37" s="17"/>
      <c r="N37" s="159"/>
      <c r="O37" s="66"/>
    </row>
    <row r="38" spans="3:15" ht="12.75">
      <c r="C38" s="17"/>
      <c r="D38" s="17"/>
      <c r="E38" s="89">
        <v>42549</v>
      </c>
      <c r="F38" s="45"/>
      <c r="G38" s="45">
        <v>-194530</v>
      </c>
      <c r="H38" s="17"/>
      <c r="I38" s="25"/>
      <c r="J38" s="25"/>
      <c r="K38" s="17"/>
      <c r="N38" s="159"/>
      <c r="O38" s="66"/>
    </row>
    <row r="39" spans="3:15" ht="12.75">
      <c r="C39" s="17"/>
      <c r="D39" s="17"/>
      <c r="E39" s="89">
        <v>42586</v>
      </c>
      <c r="F39" s="45"/>
      <c r="G39" s="45">
        <v>-149450</v>
      </c>
      <c r="H39" s="17"/>
      <c r="I39" s="25"/>
      <c r="J39" s="25"/>
      <c r="K39" s="17"/>
      <c r="N39" s="159"/>
      <c r="O39" s="66"/>
    </row>
    <row r="40" spans="3:15" ht="12.75">
      <c r="C40" s="17"/>
      <c r="D40" s="17"/>
      <c r="E40" s="89">
        <v>42607</v>
      </c>
      <c r="F40" s="45"/>
      <c r="G40" s="45">
        <v>-113190</v>
      </c>
      <c r="H40" s="17"/>
      <c r="I40" s="25"/>
      <c r="J40" s="25"/>
      <c r="K40" s="17"/>
      <c r="N40" s="159"/>
      <c r="O40" s="66"/>
    </row>
    <row r="41" spans="3:15" ht="12.75">
      <c r="C41" s="17"/>
      <c r="D41" s="17"/>
      <c r="E41" s="89">
        <v>42613</v>
      </c>
      <c r="F41" s="45"/>
      <c r="G41" s="45">
        <v>-2398550</v>
      </c>
      <c r="H41" s="17"/>
      <c r="I41" s="25"/>
      <c r="J41" s="25"/>
      <c r="K41" s="17"/>
      <c r="N41" s="159"/>
      <c r="O41" s="66"/>
    </row>
    <row r="42" spans="3:15" ht="12.75">
      <c r="C42" s="17"/>
      <c r="D42" s="17"/>
      <c r="E42" s="89">
        <v>42640</v>
      </c>
      <c r="F42" s="45"/>
      <c r="G42" s="45">
        <v>-56350</v>
      </c>
      <c r="H42" s="17"/>
      <c r="I42" s="25"/>
      <c r="J42" s="25"/>
      <c r="K42" s="17"/>
      <c r="N42" s="159"/>
      <c r="O42" s="66"/>
    </row>
    <row r="43" spans="3:15" ht="12.75">
      <c r="C43" s="17"/>
      <c r="D43" s="17"/>
      <c r="E43" s="89">
        <v>42732</v>
      </c>
      <c r="F43" s="45"/>
      <c r="G43" s="45">
        <v>-78400</v>
      </c>
      <c r="H43" s="17"/>
      <c r="I43" s="25"/>
      <c r="J43" s="25"/>
      <c r="K43" s="17"/>
      <c r="N43" s="159"/>
      <c r="O43" s="66"/>
    </row>
    <row r="44" spans="3:15" ht="12.75">
      <c r="C44" s="17" t="s">
        <v>25</v>
      </c>
      <c r="D44" s="17"/>
      <c r="E44" s="89">
        <v>42377</v>
      </c>
      <c r="F44" s="45"/>
      <c r="G44" s="45">
        <v>711402.14</v>
      </c>
      <c r="H44" s="17"/>
      <c r="I44" s="25"/>
      <c r="J44" s="25"/>
      <c r="K44" s="17"/>
      <c r="N44" s="159"/>
      <c r="O44" s="66"/>
    </row>
    <row r="45" spans="3:15" ht="12.75">
      <c r="C45" s="17"/>
      <c r="D45" s="17"/>
      <c r="E45" s="89">
        <v>42551</v>
      </c>
      <c r="F45" s="45"/>
      <c r="G45" s="45">
        <v>75179.43</v>
      </c>
      <c r="H45" s="17"/>
      <c r="I45" s="25"/>
      <c r="J45" s="25"/>
      <c r="K45" s="17"/>
      <c r="N45" s="159"/>
      <c r="O45" s="66"/>
    </row>
    <row r="46" spans="3:15" ht="12.75">
      <c r="C46" s="17"/>
      <c r="D46" s="17"/>
      <c r="E46" s="89">
        <v>42642</v>
      </c>
      <c r="F46" s="45"/>
      <c r="G46" s="45">
        <v>140484.82</v>
      </c>
      <c r="H46" s="17"/>
      <c r="I46" s="25"/>
      <c r="J46" s="25"/>
      <c r="K46" s="17"/>
      <c r="N46" s="159"/>
      <c r="O46" s="66"/>
    </row>
    <row r="47" spans="3:15" ht="12.75">
      <c r="C47" s="17"/>
      <c r="D47" s="17"/>
      <c r="E47" s="89">
        <v>42655</v>
      </c>
      <c r="F47" s="45"/>
      <c r="G47" s="45">
        <v>57417.44</v>
      </c>
      <c r="H47" s="17"/>
      <c r="I47" s="25"/>
      <c r="J47" s="25"/>
      <c r="K47" s="17"/>
      <c r="N47" s="159"/>
      <c r="O47" s="66"/>
    </row>
    <row r="48" spans="3:15" ht="15.75">
      <c r="C48" s="17" t="s">
        <v>30</v>
      </c>
      <c r="D48" s="17"/>
      <c r="E48" s="89">
        <v>42765</v>
      </c>
      <c r="F48" s="45"/>
      <c r="G48" s="45">
        <v>-258720</v>
      </c>
      <c r="H48" s="17"/>
      <c r="I48" s="25"/>
      <c r="J48" s="44"/>
      <c r="K48" s="41"/>
      <c r="L48" s="177"/>
      <c r="N48" s="159"/>
      <c r="O48" s="66"/>
    </row>
    <row r="49" spans="3:15" ht="12.75">
      <c r="C49" s="17"/>
      <c r="D49" s="17"/>
      <c r="E49" s="89">
        <v>42822</v>
      </c>
      <c r="F49" s="45"/>
      <c r="G49" s="45">
        <v>-143570</v>
      </c>
      <c r="H49" s="17"/>
      <c r="I49" s="25"/>
      <c r="J49" s="44"/>
      <c r="K49" s="41"/>
      <c r="L49" s="124"/>
      <c r="N49" s="159"/>
      <c r="O49" s="66"/>
    </row>
    <row r="50" spans="3:15" ht="12.75">
      <c r="C50" s="17"/>
      <c r="D50" s="17"/>
      <c r="E50" s="89">
        <v>42852</v>
      </c>
      <c r="F50" s="45"/>
      <c r="G50" s="45">
        <v>-149940</v>
      </c>
      <c r="H50" s="17"/>
      <c r="I50" s="25"/>
      <c r="J50" s="44"/>
      <c r="K50" s="41"/>
      <c r="L50" s="124"/>
      <c r="N50" s="159"/>
      <c r="O50" s="66"/>
    </row>
    <row r="51" spans="3:15" ht="12.75">
      <c r="C51" s="17"/>
      <c r="D51" s="17"/>
      <c r="E51" s="89">
        <v>42913</v>
      </c>
      <c r="F51" s="45"/>
      <c r="G51" s="45">
        <v>-601720</v>
      </c>
      <c r="H51" s="17"/>
      <c r="I51" s="25"/>
      <c r="J51" s="44"/>
      <c r="K51" s="41"/>
      <c r="L51" s="124"/>
      <c r="N51" s="159"/>
      <c r="O51" s="66"/>
    </row>
    <row r="52" spans="3:15" ht="12.75">
      <c r="C52" s="17"/>
      <c r="D52" s="17"/>
      <c r="E52" s="89">
        <v>42991</v>
      </c>
      <c r="F52" s="45"/>
      <c r="G52" s="45">
        <v>-264600</v>
      </c>
      <c r="H52" s="17"/>
      <c r="I52" s="25"/>
      <c r="J52" s="44"/>
      <c r="K52" s="41"/>
      <c r="L52" s="124"/>
      <c r="N52" s="159"/>
      <c r="O52" s="66"/>
    </row>
    <row r="53" spans="3:15" ht="12.75">
      <c r="C53" s="17"/>
      <c r="D53" s="17"/>
      <c r="E53" s="89">
        <v>43006</v>
      </c>
      <c r="F53" s="45"/>
      <c r="G53" s="45">
        <v>-188650</v>
      </c>
      <c r="H53" s="17"/>
      <c r="I53" s="25"/>
      <c r="J53" s="44"/>
      <c r="K53" s="41"/>
      <c r="L53" s="42"/>
      <c r="N53" s="159"/>
      <c r="O53" s="66"/>
    </row>
    <row r="54" spans="3:15" ht="12.75">
      <c r="C54" s="17"/>
      <c r="D54" s="17"/>
      <c r="E54" s="89">
        <v>43080</v>
      </c>
      <c r="F54" s="45"/>
      <c r="G54" s="45">
        <v>-94080</v>
      </c>
      <c r="H54" s="17"/>
      <c r="I54" s="25"/>
      <c r="J54" s="44"/>
      <c r="K54" s="41"/>
      <c r="L54" s="42"/>
      <c r="N54" s="159"/>
      <c r="O54" s="66"/>
    </row>
    <row r="55" spans="3:15" ht="12.75">
      <c r="C55" s="17"/>
      <c r="D55" s="17"/>
      <c r="E55" s="89">
        <v>43095</v>
      </c>
      <c r="F55" s="45"/>
      <c r="G55" s="45">
        <v>-187180</v>
      </c>
      <c r="H55" s="17"/>
      <c r="I55" s="25"/>
      <c r="J55" s="44"/>
      <c r="K55" s="41"/>
      <c r="L55" s="42"/>
      <c r="N55" s="159"/>
      <c r="O55" s="66"/>
    </row>
    <row r="56" spans="3:15" ht="12.75">
      <c r="C56" s="17" t="s">
        <v>46</v>
      </c>
      <c r="D56" s="17"/>
      <c r="E56" s="89">
        <v>42747</v>
      </c>
      <c r="F56" s="45"/>
      <c r="G56" s="45">
        <v>212932.02</v>
      </c>
      <c r="H56" s="17"/>
      <c r="I56" s="25"/>
      <c r="J56" s="25"/>
      <c r="K56" s="17"/>
      <c r="N56" s="159"/>
      <c r="O56" s="66"/>
    </row>
    <row r="57" spans="3:15" ht="12.75">
      <c r="C57" s="17" t="s">
        <v>31</v>
      </c>
      <c r="D57" s="17"/>
      <c r="E57" s="89">
        <v>43130</v>
      </c>
      <c r="F57" s="45"/>
      <c r="G57" s="45">
        <v>-1817900</v>
      </c>
      <c r="H57" s="17"/>
      <c r="I57" s="25"/>
      <c r="J57" s="25"/>
      <c r="K57" s="17"/>
      <c r="N57" s="159"/>
      <c r="O57" s="66"/>
    </row>
    <row r="58" spans="3:15" ht="12.75">
      <c r="C58" s="17"/>
      <c r="D58" s="17"/>
      <c r="E58" s="89">
        <v>43143</v>
      </c>
      <c r="F58" s="45"/>
      <c r="G58" s="45">
        <v>503401.50</v>
      </c>
      <c r="H58" s="17"/>
      <c r="I58" s="25"/>
      <c r="J58" s="25"/>
      <c r="K58" s="17"/>
      <c r="N58" s="159"/>
      <c r="O58" s="66"/>
    </row>
    <row r="59" spans="3:15" ht="12.75">
      <c r="C59" s="17"/>
      <c r="D59" s="17"/>
      <c r="E59" s="89">
        <v>43173</v>
      </c>
      <c r="F59" s="45"/>
      <c r="G59" s="45">
        <v>-137200</v>
      </c>
      <c r="H59" s="17"/>
      <c r="I59" s="25"/>
      <c r="J59" s="25"/>
      <c r="K59" s="17"/>
      <c r="N59" s="159"/>
      <c r="O59" s="66"/>
    </row>
    <row r="60" spans="3:15" ht="12.75">
      <c r="C60" s="17"/>
      <c r="D60" s="17"/>
      <c r="E60" s="89">
        <v>43216</v>
      </c>
      <c r="F60" s="45"/>
      <c r="G60" s="45">
        <v>-245000</v>
      </c>
      <c r="H60" s="17"/>
      <c r="I60" s="25"/>
      <c r="J60" s="25"/>
      <c r="K60" s="17"/>
      <c r="N60" s="159"/>
      <c r="O60" s="66"/>
    </row>
    <row r="61" spans="3:15" ht="12.75">
      <c r="C61" s="17"/>
      <c r="D61" s="17"/>
      <c r="E61" s="89">
        <v>43265</v>
      </c>
      <c r="F61" s="45"/>
      <c r="G61" s="45">
        <v>-140139.99</v>
      </c>
      <c r="H61" s="17"/>
      <c r="I61" s="25"/>
      <c r="J61" s="25"/>
      <c r="K61" s="17"/>
      <c r="N61" s="159"/>
      <c r="O61" s="66"/>
    </row>
    <row r="62" spans="3:15" ht="12.75">
      <c r="C62" s="17"/>
      <c r="D62" s="17"/>
      <c r="E62" s="89">
        <v>43292</v>
      </c>
      <c r="F62" s="45"/>
      <c r="G62" s="45">
        <v>-245000</v>
      </c>
      <c r="H62" s="17"/>
      <c r="I62" s="25"/>
      <c r="J62" s="25"/>
      <c r="K62" s="17"/>
      <c r="N62" s="159"/>
      <c r="O62" s="66"/>
    </row>
    <row r="63" spans="3:15" ht="12.75">
      <c r="C63" s="17"/>
      <c r="D63" s="17"/>
      <c r="E63" s="89">
        <v>43328</v>
      </c>
      <c r="F63" s="45"/>
      <c r="G63" s="45">
        <v>-890819.99</v>
      </c>
      <c r="H63" s="17"/>
      <c r="I63" s="25"/>
      <c r="J63" s="25"/>
      <c r="K63" s="17"/>
      <c r="N63" s="159"/>
      <c r="O63" s="66"/>
    </row>
    <row r="64" spans="3:15" ht="12.75">
      <c r="C64" s="17"/>
      <c r="D64" s="17"/>
      <c r="E64" s="89">
        <v>43360</v>
      </c>
      <c r="F64" s="45"/>
      <c r="G64" s="45">
        <v>-135240</v>
      </c>
      <c r="H64" s="17"/>
      <c r="I64" s="25"/>
      <c r="J64" s="25"/>
      <c r="K64" s="17"/>
      <c r="N64" s="159"/>
      <c r="O64" s="66"/>
    </row>
    <row r="65" spans="3:15" ht="12.75">
      <c r="C65" s="17"/>
      <c r="D65" s="17"/>
      <c r="E65" s="89">
        <v>43369</v>
      </c>
      <c r="F65" s="45"/>
      <c r="G65" s="45">
        <v>-2935590</v>
      </c>
      <c r="H65" s="17"/>
      <c r="I65" s="25"/>
      <c r="J65" s="25"/>
      <c r="K65" s="17"/>
      <c r="N65" s="159"/>
      <c r="O65" s="66"/>
    </row>
    <row r="66" spans="3:15" ht="12.75">
      <c r="C66" s="17"/>
      <c r="D66" s="17"/>
      <c r="E66" s="89">
        <v>43389</v>
      </c>
      <c r="F66" s="45"/>
      <c r="G66" s="45">
        <v>196000.01</v>
      </c>
      <c r="H66" s="17"/>
      <c r="I66" s="25"/>
      <c r="J66" s="25"/>
      <c r="K66" s="17"/>
      <c r="N66" s="159"/>
      <c r="O66" s="66"/>
    </row>
    <row r="67" spans="3:15" ht="12.75">
      <c r="C67" s="17"/>
      <c r="D67" s="17"/>
      <c r="E67" s="89">
        <v>43445</v>
      </c>
      <c r="F67" s="45"/>
      <c r="G67" s="45">
        <v>-468930</v>
      </c>
      <c r="H67" s="17"/>
      <c r="I67" s="25"/>
      <c r="J67" s="25"/>
      <c r="K67" s="17"/>
      <c r="N67" s="159"/>
      <c r="O67" s="66"/>
    </row>
    <row r="68" spans="3:15" ht="12.75">
      <c r="C68" s="17" t="s">
        <v>26</v>
      </c>
      <c r="D68" s="17"/>
      <c r="E68" s="89">
        <v>43111</v>
      </c>
      <c r="F68" s="45"/>
      <c r="G68" s="45">
        <v>203913.13</v>
      </c>
      <c r="H68" s="17"/>
      <c r="I68" s="25"/>
      <c r="J68" s="25"/>
      <c r="K68" s="17"/>
      <c r="N68" s="159"/>
      <c r="O68" s="66"/>
    </row>
    <row r="69" spans="3:15" ht="12.75">
      <c r="C69" s="17"/>
      <c r="D69" s="17"/>
      <c r="E69" s="89">
        <v>43153</v>
      </c>
      <c r="F69" s="45"/>
      <c r="G69" s="45">
        <v>4714276.18</v>
      </c>
      <c r="H69" s="17"/>
      <c r="I69" s="25"/>
      <c r="J69" s="25"/>
      <c r="K69" s="17"/>
      <c r="N69" s="159"/>
      <c r="O69" s="66"/>
    </row>
    <row r="70" spans="3:15" ht="12.75">
      <c r="C70" s="17"/>
      <c r="D70" s="17"/>
      <c r="E70" s="89">
        <v>43446</v>
      </c>
      <c r="F70" s="45"/>
      <c r="G70" s="45">
        <v>225200.29</v>
      </c>
      <c r="H70" s="17"/>
      <c r="I70" s="25"/>
      <c r="J70" s="25"/>
      <c r="K70" s="17"/>
      <c r="N70" s="159"/>
      <c r="O70" s="66"/>
    </row>
    <row r="71" spans="3:15" ht="12.75">
      <c r="C71" s="17" t="s">
        <v>32</v>
      </c>
      <c r="D71" s="17"/>
      <c r="E71" s="89">
        <v>43522</v>
      </c>
      <c r="F71" s="45"/>
      <c r="G71" s="45">
        <v>-790860</v>
      </c>
      <c r="H71" s="17"/>
      <c r="I71" s="25"/>
      <c r="J71" s="25"/>
      <c r="K71" s="17"/>
      <c r="N71" s="159"/>
      <c r="O71" s="66"/>
    </row>
    <row r="72" spans="3:15" ht="12.75">
      <c r="C72" s="17"/>
      <c r="D72" s="17"/>
      <c r="E72" s="89">
        <v>43563</v>
      </c>
      <c r="F72" s="45"/>
      <c r="G72" s="45">
        <v>-397390</v>
      </c>
      <c r="H72" s="17"/>
      <c r="I72" s="25"/>
      <c r="J72" s="25"/>
      <c r="K72" s="17"/>
      <c r="N72" s="159"/>
      <c r="O72" s="66"/>
    </row>
    <row r="73" spans="3:15" ht="12.75">
      <c r="C73" s="17"/>
      <c r="D73" s="17"/>
      <c r="E73" s="89">
        <v>43600</v>
      </c>
      <c r="F73" s="45"/>
      <c r="G73" s="45">
        <v>-242550</v>
      </c>
      <c r="H73" s="17"/>
      <c r="I73" s="25"/>
      <c r="J73" s="25"/>
      <c r="K73" s="17"/>
      <c r="N73" s="159"/>
      <c r="O73" s="66"/>
    </row>
    <row r="74" spans="3:15" ht="12.75">
      <c r="C74" s="17"/>
      <c r="D74" s="17"/>
      <c r="E74" s="89">
        <v>43643</v>
      </c>
      <c r="F74" s="45"/>
      <c r="G74" s="45">
        <v>-137690</v>
      </c>
      <c r="H74" s="17"/>
      <c r="I74" s="25"/>
      <c r="J74" s="25"/>
      <c r="K74" s="17"/>
      <c r="N74" s="159"/>
      <c r="O74" s="66"/>
    </row>
    <row r="75" spans="3:15" ht="12.75">
      <c r="C75" s="17"/>
      <c r="D75" s="17"/>
      <c r="E75" s="89">
        <v>43655</v>
      </c>
      <c r="F75" s="45"/>
      <c r="G75" s="45">
        <v>-215600</v>
      </c>
      <c r="H75" s="17"/>
      <c r="I75" s="25"/>
      <c r="J75" s="25"/>
      <c r="K75" s="17"/>
      <c r="N75" s="159"/>
      <c r="O75" s="66"/>
    </row>
    <row r="76" spans="3:15" ht="12.75">
      <c r="C76" s="17"/>
      <c r="D76" s="17"/>
      <c r="E76" s="89">
        <v>43685</v>
      </c>
      <c r="F76" s="45"/>
      <c r="G76" s="45">
        <v>-242060</v>
      </c>
      <c r="H76" s="17"/>
      <c r="I76" s="25"/>
      <c r="J76" s="25"/>
      <c r="K76" s="17"/>
      <c r="N76" s="159"/>
      <c r="O76" s="66"/>
    </row>
    <row r="77" spans="3:15" ht="12.75">
      <c r="C77" s="17"/>
      <c r="D77" s="17"/>
      <c r="E77" s="89">
        <v>43697</v>
      </c>
      <c r="F77" s="45"/>
      <c r="G77" s="45">
        <v>-72765</v>
      </c>
      <c r="H77" s="17"/>
      <c r="I77" s="25"/>
      <c r="J77" s="25"/>
      <c r="K77" s="17"/>
      <c r="N77" s="159"/>
      <c r="O77" s="66"/>
    </row>
    <row r="78" spans="3:15" ht="12.75">
      <c r="C78" s="17"/>
      <c r="D78" s="17"/>
      <c r="E78" s="89">
        <v>43727</v>
      </c>
      <c r="F78" s="45"/>
      <c r="G78" s="45">
        <v>-200900</v>
      </c>
      <c r="H78" s="17"/>
      <c r="I78" s="25"/>
      <c r="J78" s="25"/>
      <c r="K78" s="17"/>
      <c r="N78" s="159"/>
      <c r="O78" s="66"/>
    </row>
    <row r="79" spans="3:15" ht="12.75">
      <c r="C79" s="17"/>
      <c r="D79" s="17"/>
      <c r="E79" s="89">
        <v>43756</v>
      </c>
      <c r="F79" s="45"/>
      <c r="G79" s="45">
        <v>-108780</v>
      </c>
      <c r="H79" s="17"/>
      <c r="I79" s="25"/>
      <c r="J79" s="25"/>
      <c r="K79" s="17"/>
      <c r="N79" s="159"/>
      <c r="O79" s="66"/>
    </row>
    <row r="80" spans="3:15" ht="12.75">
      <c r="C80" s="17"/>
      <c r="D80" s="17"/>
      <c r="E80" s="89">
        <v>43783</v>
      </c>
      <c r="F80" s="45"/>
      <c r="G80" s="45">
        <v>-121275</v>
      </c>
      <c r="H80" s="17"/>
      <c r="I80" s="25"/>
      <c r="J80" s="25"/>
      <c r="K80" s="17"/>
      <c r="N80" s="159"/>
      <c r="O80" s="66"/>
    </row>
    <row r="81" spans="3:15" ht="12.75">
      <c r="C81" s="17"/>
      <c r="D81" s="17"/>
      <c r="E81" s="89">
        <v>43795</v>
      </c>
      <c r="F81" s="45"/>
      <c r="G81" s="45">
        <v>-297920</v>
      </c>
      <c r="H81" s="17"/>
      <c r="I81" s="25"/>
      <c r="J81" s="25"/>
      <c r="K81" s="17"/>
      <c r="N81" s="159"/>
      <c r="O81" s="66"/>
    </row>
    <row r="82" spans="3:15" ht="12.75">
      <c r="C82" s="17"/>
      <c r="D82" s="17"/>
      <c r="E82" s="89">
        <v>43830</v>
      </c>
      <c r="F82" s="45"/>
      <c r="G82" s="45">
        <v>-85260</v>
      </c>
      <c r="H82" s="17"/>
      <c r="I82" s="25"/>
      <c r="J82" s="25"/>
      <c r="K82" s="17"/>
      <c r="N82" s="159"/>
      <c r="O82" s="66"/>
    </row>
    <row r="83" spans="3:15" ht="12.75">
      <c r="C83" s="17" t="s">
        <v>27</v>
      </c>
      <c r="D83" s="17"/>
      <c r="E83" s="89">
        <v>43620</v>
      </c>
      <c r="F83" s="45"/>
      <c r="G83" s="45">
        <v>91335.19</v>
      </c>
      <c r="H83" s="17"/>
      <c r="I83" s="25"/>
      <c r="J83" s="25"/>
      <c r="K83" s="17"/>
      <c r="N83" s="159"/>
      <c r="O83" s="66"/>
    </row>
    <row r="84" spans="3:15" ht="12.75">
      <c r="C84" s="17"/>
      <c r="D84" s="17"/>
      <c r="E84" s="89">
        <v>43669</v>
      </c>
      <c r="F84" s="45"/>
      <c r="G84" s="45">
        <v>354698.98</v>
      </c>
      <c r="H84" s="17"/>
      <c r="I84" s="25"/>
      <c r="J84" s="25"/>
      <c r="K84" s="17"/>
      <c r="N84" s="159"/>
      <c r="O84" s="66"/>
    </row>
    <row r="85" spans="3:15" ht="12.75">
      <c r="C85" s="17"/>
      <c r="D85" s="17"/>
      <c r="E85" s="89">
        <v>43717</v>
      </c>
      <c r="F85" s="45"/>
      <c r="G85" s="45">
        <v>120815.60</v>
      </c>
      <c r="H85" s="17"/>
      <c r="I85" s="25"/>
      <c r="J85" s="25"/>
      <c r="K85" s="17"/>
      <c r="N85" s="159"/>
      <c r="O85" s="66"/>
    </row>
    <row r="86" spans="3:15" ht="12.75">
      <c r="C86" s="17" t="s">
        <v>33</v>
      </c>
      <c r="D86" s="17"/>
      <c r="E86" s="89">
        <v>43858</v>
      </c>
      <c r="F86" s="45"/>
      <c r="G86" s="45">
        <v>-129850</v>
      </c>
      <c r="H86" s="17"/>
      <c r="I86" s="25"/>
      <c r="J86" s="25"/>
      <c r="K86" s="17"/>
      <c r="N86" s="159"/>
      <c r="O86" s="66"/>
    </row>
    <row r="87" spans="3:15" ht="12.75">
      <c r="C87" s="17"/>
      <c r="D87" s="17"/>
      <c r="E87" s="89">
        <v>43860</v>
      </c>
      <c r="F87" s="45"/>
      <c r="G87" s="45">
        <v>-146020</v>
      </c>
      <c r="H87" s="17"/>
      <c r="I87" s="25"/>
      <c r="J87" s="25"/>
      <c r="K87" s="17"/>
      <c r="N87" s="159"/>
      <c r="O87" s="66"/>
    </row>
    <row r="88" spans="3:15" ht="12.75">
      <c r="C88" s="17"/>
      <c r="D88" s="17"/>
      <c r="E88" s="89">
        <v>43915</v>
      </c>
      <c r="F88" s="45"/>
      <c r="G88" s="45">
        <v>-138180</v>
      </c>
      <c r="H88" s="17"/>
      <c r="I88" s="25"/>
      <c r="J88" s="25"/>
      <c r="K88" s="17"/>
      <c r="N88" s="159"/>
      <c r="O88" s="66"/>
    </row>
    <row r="89" spans="3:15" ht="12.75">
      <c r="C89" s="17"/>
      <c r="D89" s="17"/>
      <c r="E89" s="89">
        <v>43917</v>
      </c>
      <c r="F89" s="45"/>
      <c r="G89" s="45">
        <v>-33957</v>
      </c>
      <c r="H89" s="17"/>
      <c r="I89" s="25"/>
      <c r="J89" s="25"/>
      <c r="K89" s="17"/>
      <c r="N89" s="159"/>
      <c r="O89" s="66"/>
    </row>
    <row r="90" spans="3:15" ht="12.75">
      <c r="C90" s="17"/>
      <c r="D90" s="17"/>
      <c r="E90" s="89">
        <v>43980</v>
      </c>
      <c r="F90" s="45"/>
      <c r="G90" s="45">
        <v>-143570</v>
      </c>
      <c r="H90" s="17"/>
      <c r="I90" s="25"/>
      <c r="J90" s="25"/>
      <c r="K90" s="17"/>
      <c r="N90" s="159"/>
      <c r="O90" s="66"/>
    </row>
    <row r="91" spans="3:15" ht="12.75">
      <c r="C91" s="17"/>
      <c r="D91" s="17"/>
      <c r="E91" s="89">
        <v>43999</v>
      </c>
      <c r="F91" s="45"/>
      <c r="G91" s="45">
        <v>-196000</v>
      </c>
      <c r="H91" s="17"/>
      <c r="I91" s="25"/>
      <c r="J91" s="25"/>
      <c r="K91" s="17"/>
      <c r="N91" s="159"/>
      <c r="O91" s="66"/>
    </row>
    <row r="92" spans="3:15" ht="12.75">
      <c r="C92" s="17"/>
      <c r="D92" s="17"/>
      <c r="E92" s="89">
        <v>44047</v>
      </c>
      <c r="F92" s="45"/>
      <c r="G92" s="45">
        <v>-15863.29</v>
      </c>
      <c r="H92" s="17"/>
      <c r="I92" s="25"/>
      <c r="J92" s="25"/>
      <c r="K92" s="17"/>
      <c r="N92" s="159"/>
      <c r="O92" s="66"/>
    </row>
    <row r="93" spans="3:15" ht="12.75">
      <c r="C93" s="17" t="s">
        <v>47</v>
      </c>
      <c r="D93" s="17"/>
      <c r="E93" s="89">
        <v>43888</v>
      </c>
      <c r="F93" s="45"/>
      <c r="G93" s="45">
        <v>455928.93</v>
      </c>
      <c r="H93" s="17"/>
      <c r="I93" s="25"/>
      <c r="J93" s="25"/>
      <c r="K93" s="17"/>
      <c r="N93" s="159"/>
      <c r="O93" s="66"/>
    </row>
    <row r="94" spans="3:15" ht="12.75" customHeight="1">
      <c r="C94" s="17"/>
      <c r="D94" s="17"/>
      <c r="E94" s="89">
        <v>44089</v>
      </c>
      <c r="F94" s="45"/>
      <c r="G94" s="45">
        <v>67815.69</v>
      </c>
      <c r="H94" s="17"/>
      <c r="I94" s="25"/>
      <c r="J94" s="25"/>
      <c r="K94" s="17"/>
      <c r="N94" s="159"/>
      <c r="O94" s="66"/>
    </row>
    <row r="95" spans="3:15" ht="12.75" customHeight="1">
      <c r="C95" s="17" t="s">
        <v>34</v>
      </c>
      <c r="D95" s="17"/>
      <c r="E95" s="89">
        <v>44202</v>
      </c>
      <c r="F95" s="45"/>
      <c r="G95" s="45">
        <v>-95550</v>
      </c>
      <c r="H95" s="17"/>
      <c r="I95" s="25"/>
      <c r="J95" s="25"/>
      <c r="K95" s="17"/>
      <c r="L95" s="80"/>
      <c r="N95" s="159"/>
      <c r="O95" s="66"/>
    </row>
    <row r="96" spans="3:15" ht="12.75" customHeight="1">
      <c r="C96" s="17"/>
      <c r="D96" s="17"/>
      <c r="E96" s="89">
        <v>44377</v>
      </c>
      <c r="F96" s="45"/>
      <c r="G96" s="45">
        <v>-46060</v>
      </c>
      <c r="H96" s="17"/>
      <c r="I96" s="25"/>
      <c r="J96" s="25"/>
      <c r="K96" s="17"/>
      <c r="L96" s="80"/>
      <c r="N96" s="159"/>
      <c r="O96" s="66"/>
    </row>
    <row r="97" spans="3:15" ht="12.75" customHeight="1">
      <c r="C97" s="17"/>
      <c r="D97" s="17"/>
      <c r="E97" s="89">
        <v>44469</v>
      </c>
      <c r="F97" s="45"/>
      <c r="G97" s="45">
        <v>-45570</v>
      </c>
      <c r="H97" s="17"/>
      <c r="I97" s="25"/>
      <c r="J97" s="25"/>
      <c r="K97" s="17"/>
      <c r="L97" s="80"/>
      <c r="N97" s="159"/>
      <c r="O97" s="66"/>
    </row>
    <row r="98" spans="3:15" ht="12.75" customHeight="1">
      <c r="C98" s="17"/>
      <c r="D98" s="17"/>
      <c r="E98" s="89">
        <v>44545</v>
      </c>
      <c r="F98" s="45"/>
      <c r="G98" s="45">
        <v>-45570</v>
      </c>
      <c r="H98" s="17"/>
      <c r="I98" s="25"/>
      <c r="J98" s="25"/>
      <c r="K98" s="17"/>
      <c r="L98" s="80"/>
      <c r="N98" s="159"/>
      <c r="O98" s="66"/>
    </row>
    <row r="99" spans="3:15" ht="12.75" customHeight="1">
      <c r="C99" s="17" t="s">
        <v>28</v>
      </c>
      <c r="D99" s="17"/>
      <c r="E99" s="89">
        <v>44265</v>
      </c>
      <c r="F99" s="45"/>
      <c r="G99" s="45">
        <v>226087.04</v>
      </c>
      <c r="H99" s="17"/>
      <c r="I99" s="25"/>
      <c r="J99" s="25"/>
      <c r="K99" s="17"/>
      <c r="L99" s="80"/>
      <c r="N99" s="159"/>
      <c r="O99" s="66"/>
    </row>
    <row r="100" spans="3:15" ht="12.75" customHeight="1">
      <c r="C100" s="17"/>
      <c r="D100" s="17"/>
      <c r="E100" s="89">
        <v>44376</v>
      </c>
      <c r="F100" s="45"/>
      <c r="G100" s="45">
        <v>116286.97</v>
      </c>
      <c r="H100" s="17"/>
      <c r="I100" s="25"/>
      <c r="J100" s="25"/>
      <c r="K100" s="17"/>
      <c r="L100" s="80"/>
      <c r="N100" s="159"/>
      <c r="O100" s="66"/>
    </row>
    <row r="101" spans="3:15" ht="12.75" customHeight="1">
      <c r="C101" s="17"/>
      <c r="D101" s="17"/>
      <c r="E101" s="89">
        <v>44449</v>
      </c>
      <c r="F101" s="45"/>
      <c r="G101" s="45">
        <v>200808.29</v>
      </c>
      <c r="H101" s="17"/>
      <c r="I101" s="25"/>
      <c r="J101" s="25"/>
      <c r="K101" s="17"/>
      <c r="L101" s="80"/>
      <c r="N101" s="159"/>
      <c r="O101" s="66"/>
    </row>
    <row r="102" spans="3:15" ht="12.75" customHeight="1">
      <c r="C102" s="17"/>
      <c r="D102" s="17"/>
      <c r="E102" s="89">
        <v>44488</v>
      </c>
      <c r="F102" s="45"/>
      <c r="G102" s="45">
        <v>2852325.78</v>
      </c>
      <c r="H102" s="17"/>
      <c r="I102" s="25"/>
      <c r="J102" s="25"/>
      <c r="K102" s="17"/>
      <c r="L102" s="80"/>
      <c r="N102" s="159"/>
      <c r="O102" s="66"/>
    </row>
    <row r="103" spans="3:15" ht="12.75" customHeight="1">
      <c r="C103" s="17"/>
      <c r="D103" s="17"/>
      <c r="E103" s="89">
        <v>44540</v>
      </c>
      <c r="F103" s="45"/>
      <c r="G103" s="45">
        <v>267815.6</v>
      </c>
      <c r="H103" s="17"/>
      <c r="I103" s="25"/>
      <c r="J103" s="25"/>
      <c r="K103" s="17"/>
      <c r="L103" s="80"/>
      <c r="N103" s="159"/>
      <c r="O103" s="66"/>
    </row>
    <row r="104" spans="3:15" ht="12.75" customHeight="1">
      <c r="C104" s="17" t="s">
        <v>35</v>
      </c>
      <c r="D104" s="17"/>
      <c r="E104" s="89">
        <v>44650</v>
      </c>
      <c r="F104" s="45"/>
      <c r="G104" s="45">
        <v>-40180</v>
      </c>
      <c r="H104" s="17"/>
      <c r="I104" s="25"/>
      <c r="J104" s="25"/>
      <c r="K104" s="17"/>
      <c r="L104" s="80"/>
      <c r="N104" s="159"/>
      <c r="O104" s="66"/>
    </row>
    <row r="105" spans="3:15" ht="12.75" customHeight="1">
      <c r="C105" s="17"/>
      <c r="D105" s="17"/>
      <c r="E105" s="89">
        <v>44742</v>
      </c>
      <c r="F105" s="45"/>
      <c r="G105" s="45">
        <v>-36260</v>
      </c>
      <c r="H105" s="17"/>
      <c r="I105" s="25"/>
      <c r="J105" s="25"/>
      <c r="K105" s="17"/>
      <c r="L105" s="80"/>
      <c r="N105" s="159"/>
      <c r="O105" s="66"/>
    </row>
    <row r="106" spans="3:15" ht="12.75" customHeight="1">
      <c r="C106" s="17"/>
      <c r="D106" s="17"/>
      <c r="E106" s="89">
        <v>44827</v>
      </c>
      <c r="F106" s="45"/>
      <c r="G106" s="45">
        <v>-36260</v>
      </c>
      <c r="H106" s="17"/>
      <c r="I106" s="25"/>
      <c r="J106" s="25"/>
      <c r="K106" s="17"/>
      <c r="L106" s="80"/>
      <c r="N106" s="159"/>
      <c r="O106" s="66"/>
    </row>
    <row r="107" spans="3:15" ht="12.75" customHeight="1">
      <c r="C107" s="17" t="s">
        <v>29</v>
      </c>
      <c r="D107" s="17"/>
      <c r="E107" s="89">
        <v>44645</v>
      </c>
      <c r="F107" s="45"/>
      <c r="G107" s="45">
        <v>253427.30</v>
      </c>
      <c r="H107" s="17"/>
      <c r="I107" s="25"/>
      <c r="J107" s="25"/>
      <c r="K107" s="17"/>
      <c r="L107" s="80"/>
      <c r="N107" s="159"/>
      <c r="O107" s="66"/>
    </row>
    <row r="108" spans="3:15" ht="12.75" customHeight="1">
      <c r="C108" s="17"/>
      <c r="D108" s="17"/>
      <c r="E108" s="89">
        <v>44721</v>
      </c>
      <c r="F108" s="45"/>
      <c r="G108" s="45">
        <v>125159.36</v>
      </c>
      <c r="H108" s="17"/>
      <c r="I108" s="25"/>
      <c r="J108" s="25"/>
      <c r="K108" s="17"/>
      <c r="L108" s="80"/>
      <c r="N108" s="159"/>
      <c r="O108" s="66"/>
    </row>
    <row r="109" spans="3:15" ht="12.75" customHeight="1">
      <c r="C109" s="17"/>
      <c r="D109" s="17"/>
      <c r="E109" s="89">
        <v>44791</v>
      </c>
      <c r="F109" s="45"/>
      <c r="G109" s="45">
        <v>531625.45</v>
      </c>
      <c r="H109" s="17"/>
      <c r="I109" s="25"/>
      <c r="J109" s="25"/>
      <c r="K109" s="17"/>
      <c r="L109" s="80"/>
      <c r="N109" s="159"/>
      <c r="O109" s="66"/>
    </row>
    <row r="110" spans="3:15" ht="4.5" customHeight="1">
      <c r="C110" s="17"/>
      <c r="D110" s="17"/>
      <c r="E110" s="89"/>
      <c r="F110" s="17"/>
      <c r="G110" s="45"/>
      <c r="H110" s="17"/>
      <c r="I110" s="25"/>
      <c r="J110" s="25"/>
      <c r="O110" s="66"/>
    </row>
    <row r="111" spans="3:13" ht="12.75">
      <c r="C111" s="17" t="s">
        <v>5</v>
      </c>
      <c r="D111" s="17"/>
      <c r="E111" s="89">
        <f>+E8</f>
        <v>44834</v>
      </c>
      <c r="F111" s="17"/>
      <c r="G111" s="94">
        <f>L111/0.98*C22</f>
        <v>1.1513046629999999E7</v>
      </c>
      <c r="H111" s="17"/>
      <c r="I111" s="45">
        <f>+SUMIF($G$24:$G$110,"&lt;0",$G$24:$G$110)+G58+G66</f>
        <v>-1.7721498759999998E7</v>
      </c>
      <c r="J111" s="17" t="s">
        <v>20</v>
      </c>
      <c r="L111" s="124">
        <v>2.302609326E9</v>
      </c>
      <c r="M111" s="66"/>
    </row>
    <row r="112" spans="3:13" ht="12.75">
      <c r="C112" s="17"/>
      <c r="D112" s="17"/>
      <c r="E112" s="17"/>
      <c r="F112" s="17"/>
      <c r="G112" s="17"/>
      <c r="H112" s="17"/>
      <c r="I112" s="45">
        <f>+SUMIF($G$24:$G$110,"&gt;0",$G$24:$G$110)-G58-G66</f>
        <v>1.2004935629999999E7</v>
      </c>
      <c r="J112" s="17" t="s">
        <v>21</v>
      </c>
      <c r="M112" s="66"/>
    </row>
    <row r="113" spans="3:13" ht="12.75">
      <c r="C113" s="15" t="s">
        <v>0</v>
      </c>
      <c r="G113" s="72">
        <f>+XIRR(G24:G111,E24:E111,0.1)</f>
        <v>0.09995481371879578</v>
      </c>
      <c r="H113" s="17"/>
      <c r="M113" s="95"/>
    </row>
    <row r="114" spans="3:8" ht="12.75">
      <c r="C114" s="17"/>
      <c r="D114" s="17"/>
      <c r="E114" s="17"/>
      <c r="F114" s="17"/>
      <c r="G114" s="17"/>
      <c r="H114" s="17"/>
    </row>
    <row r="115" spans="3:13" ht="12.75">
      <c r="C115" s="17"/>
      <c r="D115" s="17"/>
      <c r="E115" s="17"/>
      <c r="F115" s="17"/>
      <c r="G115" s="17"/>
      <c r="H115" s="17"/>
      <c r="M115" s="95"/>
    </row>
    <row r="116" spans="3:8" ht="12.75">
      <c r="C116" s="28"/>
      <c r="D116" s="28"/>
      <c r="E116" s="28"/>
      <c r="F116" s="28"/>
      <c r="G116" s="28"/>
      <c r="H116" s="15"/>
    </row>
    <row r="117" spans="3:8" ht="12.75">
      <c r="C117" s="28"/>
      <c r="D117" s="28"/>
      <c r="E117" s="75"/>
      <c r="F117" s="75"/>
      <c r="G117" s="75"/>
      <c r="H117" s="15"/>
    </row>
    <row r="118" spans="3:8" ht="12.75">
      <c r="C118" s="28"/>
      <c r="D118" s="28"/>
      <c r="E118" s="28"/>
      <c r="F118" s="28"/>
      <c r="G118" s="28"/>
      <c r="H118" s="15"/>
    </row>
    <row r="119" spans="3:8" ht="12.75">
      <c r="C119" s="171"/>
      <c r="D119" s="171"/>
      <c r="E119" s="173"/>
      <c r="F119" s="96"/>
      <c r="G119" s="32"/>
      <c r="H119" s="15"/>
    </row>
    <row r="120" spans="3:8" ht="12.75">
      <c r="C120" s="171"/>
      <c r="D120" s="171"/>
      <c r="E120" s="97"/>
      <c r="F120" s="96"/>
      <c r="G120" s="97"/>
      <c r="H120" s="15"/>
    </row>
    <row r="121" spans="3:8" ht="12.75">
      <c r="C121" s="171"/>
      <c r="D121" s="171"/>
      <c r="E121" s="97"/>
      <c r="F121" s="96"/>
      <c r="G121" s="97"/>
      <c r="H121" s="15"/>
    </row>
    <row r="122" spans="3:9" ht="12.75">
      <c r="C122" s="189"/>
      <c r="D122" s="171"/>
      <c r="E122" s="97"/>
      <c r="F122" s="96"/>
      <c r="G122" s="97"/>
      <c r="H122" s="15"/>
      <c r="I122" s="160"/>
    </row>
    <row r="123" spans="3:9" ht="12.75">
      <c r="C123" s="189"/>
      <c r="D123" s="171"/>
      <c r="E123" s="97"/>
      <c r="F123" s="96"/>
      <c r="G123" s="97"/>
      <c r="H123" s="15"/>
      <c r="I123" s="160"/>
    </row>
    <row r="124" spans="3:8" ht="12.75">
      <c r="C124" s="190"/>
      <c r="D124" s="171"/>
      <c r="E124" s="97"/>
      <c r="F124" s="96"/>
      <c r="G124" s="97"/>
      <c r="H124" s="15"/>
    </row>
    <row r="125" spans="3:8" ht="12.75">
      <c r="C125" s="171"/>
      <c r="D125" s="171"/>
      <c r="E125" s="97"/>
      <c r="F125" s="96"/>
      <c r="G125" s="97"/>
      <c r="H125" s="15"/>
    </row>
    <row r="126" spans="3:8" ht="12.75">
      <c r="C126" s="171"/>
      <c r="D126" s="171"/>
      <c r="E126" s="97"/>
      <c r="F126" s="96"/>
      <c r="G126" s="97"/>
      <c r="H126" s="15"/>
    </row>
    <row r="127" spans="3:8" ht="12.75">
      <c r="C127" s="171"/>
      <c r="D127" s="171"/>
      <c r="E127" s="97"/>
      <c r="F127" s="96"/>
      <c r="G127" s="97"/>
      <c r="H127" s="15"/>
    </row>
    <row r="128" spans="3:8" ht="12.75">
      <c r="C128" s="171"/>
      <c r="D128" s="171"/>
      <c r="E128" s="97"/>
      <c r="F128" s="96"/>
      <c r="G128" s="97"/>
      <c r="H128" s="15"/>
    </row>
    <row r="129" spans="3:8" ht="12.75">
      <c r="C129" s="171"/>
      <c r="D129" s="171"/>
      <c r="E129" s="97"/>
      <c r="F129" s="96"/>
      <c r="G129" s="97"/>
      <c r="H129" s="15"/>
    </row>
    <row r="130" spans="3:8" ht="12.75">
      <c r="C130" s="171"/>
      <c r="D130" s="171"/>
      <c r="E130" s="97"/>
      <c r="F130" s="96"/>
      <c r="G130" s="97"/>
      <c r="H130" s="15"/>
    </row>
    <row r="131" spans="3:8" ht="5.1" customHeight="1">
      <c r="C131" s="15"/>
      <c r="D131" s="15"/>
      <c r="E131" s="99"/>
      <c r="F131" s="99"/>
      <c r="G131" s="99"/>
      <c r="H131" s="15"/>
    </row>
    <row r="132" spans="3:8" ht="12.75">
      <c r="C132" s="15"/>
      <c r="D132" s="15"/>
      <c r="E132" s="101"/>
      <c r="F132" s="101"/>
      <c r="G132" s="101"/>
      <c r="H132" s="15"/>
    </row>
    <row r="134" spans="3:9" ht="12.75">
      <c r="C134" s="28"/>
      <c r="D134" s="28"/>
      <c r="E134" s="76"/>
      <c r="F134" s="76"/>
      <c r="G134" s="76"/>
      <c r="H134" s="15"/>
      <c r="I134" s="161"/>
    </row>
    <row r="135" spans="3:8" ht="12.75">
      <c r="C135" s="28"/>
      <c r="D135" s="28"/>
      <c r="E135" s="75"/>
      <c r="F135" s="75"/>
      <c r="G135" s="75"/>
      <c r="H135" s="15"/>
    </row>
    <row r="136" spans="3:8" ht="12.75">
      <c r="C136" s="28"/>
      <c r="D136" s="28"/>
      <c r="E136" s="28"/>
      <c r="F136" s="28"/>
      <c r="G136" s="28"/>
      <c r="H136" s="15"/>
    </row>
    <row r="137" spans="3:8" ht="12.75">
      <c r="C137" s="28"/>
      <c r="D137" s="28"/>
      <c r="E137" s="32"/>
      <c r="F137" s="97"/>
      <c r="G137" s="32"/>
      <c r="H137" s="15"/>
    </row>
    <row r="138" spans="3:8" ht="12.75">
      <c r="C138" s="28"/>
      <c r="D138" s="28"/>
      <c r="E138" s="97"/>
      <c r="F138" s="97"/>
      <c r="G138" s="97"/>
      <c r="H138" s="15"/>
    </row>
    <row r="139" spans="3:8" ht="12.75">
      <c r="C139" s="28"/>
      <c r="D139" s="28"/>
      <c r="E139" s="97"/>
      <c r="F139" s="97"/>
      <c r="G139" s="97"/>
      <c r="H139" s="15"/>
    </row>
    <row r="140" spans="3:8" ht="12.75">
      <c r="C140" s="28"/>
      <c r="D140" s="28"/>
      <c r="E140" s="97"/>
      <c r="F140" s="97"/>
      <c r="G140" s="97"/>
      <c r="H140" s="15"/>
    </row>
    <row r="141" spans="3:8" ht="12.75">
      <c r="C141" s="28"/>
      <c r="D141" s="28"/>
      <c r="E141" s="97"/>
      <c r="F141" s="97"/>
      <c r="G141" s="97"/>
      <c r="H141" s="15"/>
    </row>
    <row r="142" spans="3:8" ht="12.75">
      <c r="C142" s="28"/>
      <c r="D142" s="28"/>
      <c r="E142" s="97"/>
      <c r="F142" s="97"/>
      <c r="G142" s="97"/>
      <c r="H142" s="15"/>
    </row>
    <row r="143" spans="3:8" ht="12.75">
      <c r="C143" s="28"/>
      <c r="D143" s="28"/>
      <c r="E143" s="97"/>
      <c r="F143" s="97"/>
      <c r="G143" s="97"/>
      <c r="H143" s="15"/>
    </row>
    <row r="144" spans="3:8" ht="12.75">
      <c r="C144" s="28"/>
      <c r="D144" s="28"/>
      <c r="E144" s="97"/>
      <c r="F144" s="97"/>
      <c r="G144" s="97"/>
      <c r="H144" s="15"/>
    </row>
  </sheetData>
  <mergeCells count="1">
    <mergeCell ref="E134:G134"/>
  </mergeCells>
  <pageMargins left="0.75" right="0.33" top="1" bottom="1" header="0.5" footer="0.5"/>
  <pageSetup orientation="landscape" paperSize="1" scale="68" r:id="rId2"/>
  <headerFooter alignWithMargins="0">
    <oddHeader>&amp;C&amp;G</oddHeader>
    <oddFooter>&amp;C&amp;G</oddFooter>
  </headerFooter>
  <legacyDrawingHF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FA1CDF4-A7F9-4227-BFD3-F19D353B0049}">
  <sheetPr>
    <pageSetUpPr fitToPage="1"/>
  </sheetPr>
  <dimension ref="B4:O139"/>
  <sheetViews>
    <sheetView showGridLines="0" view="pageLayout" zoomScaleNormal="100" workbookViewId="0" topLeftCell="A1">
      <selection pane="topLeft" activeCell="L2" sqref="L2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5.857142857142858" customWidth="1"/>
    <col min="14" max="14" width="13.142857142857142" bestFit="1" customWidth="1"/>
    <col min="15" max="15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20">
        <f>+'EFM III'!E8</f>
        <v>44834</v>
      </c>
      <c r="F8" s="13"/>
      <c r="G8" s="78"/>
      <c r="H8" s="78"/>
      <c r="I8" s="79"/>
    </row>
    <row r="9" spans="3:7" ht="15.75">
      <c r="C9" s="65"/>
      <c r="D9" s="65"/>
      <c r="E9" s="65"/>
      <c r="F9" s="65"/>
      <c r="G9" s="177"/>
    </row>
    <row r="10" spans="3:9" ht="12.75">
      <c r="C10" s="178"/>
      <c r="D10" s="178"/>
      <c r="E10" s="179"/>
      <c r="F10" s="178"/>
      <c r="G10" s="124"/>
      <c r="H10" s="81"/>
      <c r="I10" s="86"/>
    </row>
    <row r="11" spans="3:9" ht="12.75">
      <c r="C11" s="178"/>
      <c r="D11" s="178"/>
      <c r="E11" s="179"/>
      <c r="F11" s="178"/>
      <c r="G11" s="179"/>
      <c r="H11" s="81"/>
      <c r="I11" s="86"/>
    </row>
    <row r="12" spans="3:9" ht="15.75">
      <c r="C12" s="180"/>
      <c r="D12" s="180"/>
      <c r="E12" s="70"/>
      <c r="F12" s="180"/>
      <c r="G12" s="70"/>
      <c r="H12" s="5"/>
      <c r="I12" s="86"/>
    </row>
    <row r="13" spans="3:9" ht="12.75">
      <c r="C13" s="178"/>
      <c r="D13" s="178"/>
      <c r="E13" s="71"/>
      <c r="F13" s="178"/>
      <c r="G13" s="124"/>
      <c r="H13" s="84"/>
      <c r="I13" s="86"/>
    </row>
    <row r="14" spans="3:9" ht="12.75">
      <c r="C14" s="178"/>
      <c r="D14" s="178"/>
      <c r="E14" s="181"/>
      <c r="F14" s="178"/>
      <c r="G14" s="124"/>
      <c r="H14" s="85"/>
      <c r="I14" s="86"/>
    </row>
    <row r="15" spans="3:9" ht="12.75">
      <c r="C15" s="178"/>
      <c r="D15" s="178"/>
      <c r="E15" s="179"/>
      <c r="F15" s="178"/>
      <c r="G15" s="179"/>
      <c r="H15" s="81"/>
      <c r="I15" s="86"/>
    </row>
    <row r="16" spans="3:9" ht="15.75">
      <c r="C16" s="5"/>
      <c r="D16" s="5"/>
      <c r="E16" s="10"/>
      <c r="F16" s="5"/>
      <c r="G16" s="10"/>
      <c r="H16" s="5"/>
      <c r="I16" s="86"/>
    </row>
    <row r="17" spans="3:9" ht="15.75">
      <c r="C17" s="83" t="s">
        <v>15</v>
      </c>
      <c r="D17" s="83"/>
      <c r="E17" s="10"/>
      <c r="F17" s="83"/>
      <c r="G17" s="10"/>
      <c r="H17" s="5"/>
      <c r="I17" s="86"/>
    </row>
    <row r="18" spans="3:9" ht="12.75" customHeight="1">
      <c r="C18" s="6" t="s">
        <v>16</v>
      </c>
      <c r="D18" s="6"/>
      <c r="E18" s="84">
        <f>G113</f>
        <v>0.0974755346775055</v>
      </c>
      <c r="F18" s="6"/>
      <c r="G18" s="11"/>
      <c r="H18" s="84"/>
      <c r="I18" s="86"/>
    </row>
    <row r="19" spans="3:8" ht="12.75">
      <c r="C19" s="6" t="s">
        <v>17</v>
      </c>
      <c r="D19" s="6"/>
      <c r="E19" s="87">
        <f>-(G111+I112)/I111</f>
        <v>1.3244138539799264</v>
      </c>
      <c r="F19" s="6"/>
      <c r="G19" s="9"/>
      <c r="H19" s="81"/>
    </row>
    <row r="20" spans="3:7" ht="12.75">
      <c r="C20" s="6"/>
      <c r="D20" s="6"/>
      <c r="E20" s="6"/>
      <c r="F20" s="6"/>
      <c r="G20" s="81"/>
    </row>
    <row r="21" spans="3:12" ht="15.75">
      <c r="C21" s="88" t="s">
        <v>50</v>
      </c>
      <c r="D21" s="7"/>
      <c r="E21" s="7"/>
      <c r="F21" s="7"/>
      <c r="I21" s="89"/>
      <c r="J21" s="17"/>
      <c r="L21" s="119"/>
    </row>
    <row r="22" spans="3:10" ht="12.75">
      <c r="C22" s="90">
        <v>0.017131137</v>
      </c>
      <c r="D22" s="17"/>
      <c r="E22" s="17"/>
      <c r="F22" s="17"/>
      <c r="G22" s="91"/>
      <c r="H22" s="17"/>
      <c r="I22" s="17"/>
      <c r="J22" s="17"/>
    </row>
    <row r="23" spans="3:9" ht="12.75">
      <c r="C23" s="17"/>
      <c r="D23" s="17"/>
      <c r="E23" s="89"/>
      <c r="F23" s="45"/>
      <c r="G23" s="45"/>
      <c r="H23" s="17"/>
      <c r="I23" s="25"/>
    </row>
    <row r="24" spans="3:9" ht="12.75">
      <c r="C24" s="17" t="s">
        <v>23</v>
      </c>
      <c r="D24" s="17"/>
      <c r="E24" s="89">
        <v>41829</v>
      </c>
      <c r="F24" s="45"/>
      <c r="G24" s="45">
        <v>-84525</v>
      </c>
      <c r="H24" s="17"/>
      <c r="I24" s="25"/>
    </row>
    <row r="25" spans="3:9" ht="12.75">
      <c r="C25" s="34"/>
      <c r="D25" s="17"/>
      <c r="E25" s="89">
        <v>41894</v>
      </c>
      <c r="F25" s="45"/>
      <c r="G25" s="45">
        <v>-43855</v>
      </c>
      <c r="H25" s="17"/>
      <c r="I25" s="25"/>
    </row>
    <row r="26" spans="3:9" ht="12.75">
      <c r="C26" s="17"/>
      <c r="D26" s="17"/>
      <c r="E26" s="89">
        <v>41942</v>
      </c>
      <c r="F26" s="45"/>
      <c r="G26" s="45">
        <v>-23030</v>
      </c>
      <c r="H26" s="17"/>
      <c r="I26" s="25"/>
    </row>
    <row r="27" spans="3:9" ht="12.75">
      <c r="C27" s="17"/>
      <c r="D27" s="17"/>
      <c r="E27" s="89">
        <v>41999</v>
      </c>
      <c r="F27" s="45"/>
      <c r="G27" s="45">
        <v>-32830</v>
      </c>
      <c r="H27" s="17"/>
      <c r="I27" s="25"/>
    </row>
    <row r="28" spans="3:9" ht="12.75">
      <c r="C28" s="17" t="s">
        <v>44</v>
      </c>
      <c r="E28" s="89">
        <v>42037</v>
      </c>
      <c r="G28" s="45">
        <v>-32340</v>
      </c>
      <c r="H28" s="17"/>
      <c r="I28" s="25"/>
    </row>
    <row r="29" spans="5:9" ht="12.75">
      <c r="E29" s="89">
        <v>42093</v>
      </c>
      <c r="G29" s="45">
        <v>-41895</v>
      </c>
      <c r="H29" s="17"/>
      <c r="I29" s="25"/>
    </row>
    <row r="30" spans="5:9" ht="12.75">
      <c r="E30" s="89">
        <v>42109</v>
      </c>
      <c r="G30" s="45">
        <v>-31360</v>
      </c>
      <c r="H30" s="17"/>
      <c r="I30" s="25"/>
    </row>
    <row r="31" spans="5:11" ht="12.75">
      <c r="E31" s="89">
        <v>42144</v>
      </c>
      <c r="G31" s="45">
        <v>-18375</v>
      </c>
      <c r="H31" s="17"/>
      <c r="I31" s="25"/>
      <c r="J31" s="25"/>
      <c r="K31" s="17"/>
    </row>
    <row r="32" spans="5:11" ht="12.75">
      <c r="E32" s="89">
        <v>42184</v>
      </c>
      <c r="G32" s="45">
        <v>-28175</v>
      </c>
      <c r="H32" s="17"/>
      <c r="I32" s="25"/>
      <c r="J32" s="25"/>
      <c r="K32" s="17"/>
    </row>
    <row r="33" spans="5:11" ht="12.75">
      <c r="E33" s="89">
        <v>42227</v>
      </c>
      <c r="G33" s="45">
        <v>-37485</v>
      </c>
      <c r="H33" s="17"/>
      <c r="I33" s="25"/>
      <c r="J33" s="25"/>
      <c r="K33" s="17"/>
    </row>
    <row r="34" spans="5:11" ht="12.75">
      <c r="E34" s="89">
        <v>42261</v>
      </c>
      <c r="G34" s="45">
        <v>-49489.99</v>
      </c>
      <c r="H34" s="17"/>
      <c r="I34" s="25"/>
      <c r="J34" s="25"/>
      <c r="K34" s="17"/>
    </row>
    <row r="35" spans="5:11" ht="12.75">
      <c r="E35" s="89">
        <v>42368</v>
      </c>
      <c r="G35" s="45">
        <v>-40425</v>
      </c>
      <c r="H35" s="17"/>
      <c r="I35" s="25"/>
      <c r="J35" s="25"/>
      <c r="K35" s="17"/>
    </row>
    <row r="36" spans="3:11" ht="12.75">
      <c r="C36" s="17" t="s">
        <v>45</v>
      </c>
      <c r="D36" s="17"/>
      <c r="E36" s="89">
        <v>42396</v>
      </c>
      <c r="G36" s="45">
        <v>-708295</v>
      </c>
      <c r="H36" s="17"/>
      <c r="I36" s="25"/>
      <c r="J36" s="25"/>
      <c r="K36" s="17"/>
    </row>
    <row r="37" spans="3:11" ht="12.75">
      <c r="C37" s="17"/>
      <c r="D37" s="17"/>
      <c r="E37" s="89">
        <v>42445</v>
      </c>
      <c r="G37" s="45">
        <v>-60024.99</v>
      </c>
      <c r="H37" s="17"/>
      <c r="I37" s="25"/>
      <c r="J37" s="25"/>
      <c r="K37" s="17"/>
    </row>
    <row r="38" spans="3:11" ht="12.75">
      <c r="C38" s="17"/>
      <c r="D38" s="17"/>
      <c r="E38" s="89">
        <v>42549</v>
      </c>
      <c r="G38" s="45">
        <v>-97265.01</v>
      </c>
      <c r="H38" s="17"/>
      <c r="I38" s="25"/>
      <c r="J38" s="25"/>
      <c r="K38" s="17"/>
    </row>
    <row r="39" spans="3:11" ht="12.75">
      <c r="C39" s="17"/>
      <c r="D39" s="17"/>
      <c r="E39" s="89">
        <v>42586</v>
      </c>
      <c r="G39" s="45">
        <v>-74725</v>
      </c>
      <c r="H39" s="17"/>
      <c r="I39" s="25"/>
      <c r="J39" s="25"/>
      <c r="K39" s="17"/>
    </row>
    <row r="40" spans="3:11" ht="12.75">
      <c r="C40" s="17"/>
      <c r="D40" s="17"/>
      <c r="E40" s="89">
        <v>42607</v>
      </c>
      <c r="G40" s="45">
        <v>-56595.01</v>
      </c>
      <c r="H40" s="17"/>
      <c r="I40" s="25"/>
      <c r="J40" s="25"/>
      <c r="K40" s="17"/>
    </row>
    <row r="41" spans="3:11" ht="12.75">
      <c r="C41" s="17"/>
      <c r="D41" s="17"/>
      <c r="E41" s="89">
        <v>42613</v>
      </c>
      <c r="G41" s="45">
        <v>-1199275</v>
      </c>
      <c r="H41" s="17"/>
      <c r="I41" s="25"/>
      <c r="J41" s="25"/>
      <c r="K41" s="17"/>
    </row>
    <row r="42" spans="3:11" ht="12.75">
      <c r="C42" s="17"/>
      <c r="D42" s="17"/>
      <c r="E42" s="89">
        <v>42640</v>
      </c>
      <c r="G42" s="45">
        <v>-28175</v>
      </c>
      <c r="H42" s="17"/>
      <c r="I42" s="25"/>
      <c r="J42" s="25"/>
      <c r="K42" s="17"/>
    </row>
    <row r="43" spans="3:11" ht="12.75">
      <c r="C43" s="17"/>
      <c r="D43" s="17"/>
      <c r="E43" s="89">
        <v>42732</v>
      </c>
      <c r="G43" s="45">
        <v>-39200</v>
      </c>
      <c r="H43" s="17"/>
      <c r="I43" s="25"/>
      <c r="J43" s="25"/>
      <c r="K43" s="17"/>
    </row>
    <row r="44" spans="3:11" ht="12.75">
      <c r="C44" s="17" t="s">
        <v>25</v>
      </c>
      <c r="D44" s="17"/>
      <c r="E44" s="89">
        <v>42377</v>
      </c>
      <c r="G44" s="45">
        <v>259838.31</v>
      </c>
      <c r="H44" s="17"/>
      <c r="I44" s="25"/>
      <c r="J44" s="25"/>
      <c r="K44" s="17"/>
    </row>
    <row r="45" spans="3:11" ht="12.75">
      <c r="C45" s="17"/>
      <c r="D45" s="17"/>
      <c r="E45" s="89">
        <v>42551</v>
      </c>
      <c r="G45" s="45">
        <v>74232.03</v>
      </c>
      <c r="H45" s="17"/>
      <c r="I45" s="25"/>
      <c r="J45" s="25"/>
      <c r="K45" s="17"/>
    </row>
    <row r="46" spans="3:12" ht="15.75">
      <c r="C46" s="17"/>
      <c r="D46" s="17"/>
      <c r="E46" s="89">
        <v>42642</v>
      </c>
      <c r="G46" s="45">
        <v>70073.67</v>
      </c>
      <c r="H46" s="17"/>
      <c r="I46" s="25"/>
      <c r="J46" s="44"/>
      <c r="K46" s="41"/>
      <c r="L46" s="177"/>
    </row>
    <row r="47" spans="3:12" ht="12.75">
      <c r="C47" s="17"/>
      <c r="D47" s="17"/>
      <c r="E47" s="89">
        <v>42655</v>
      </c>
      <c r="G47" s="45">
        <v>28437.88</v>
      </c>
      <c r="H47" s="17"/>
      <c r="I47" s="25"/>
      <c r="J47" s="44"/>
      <c r="K47" s="41"/>
      <c r="L47" s="124"/>
    </row>
    <row r="48" spans="3:12" ht="12.75">
      <c r="C48" s="17" t="s">
        <v>30</v>
      </c>
      <c r="D48" s="17"/>
      <c r="E48" s="89">
        <v>42765</v>
      </c>
      <c r="G48" s="45">
        <v>-129360</v>
      </c>
      <c r="H48" s="17"/>
      <c r="I48" s="25"/>
      <c r="J48" s="44"/>
      <c r="K48" s="41"/>
      <c r="L48" s="124"/>
    </row>
    <row r="49" spans="3:12" ht="12.75">
      <c r="C49" s="17"/>
      <c r="D49" s="17"/>
      <c r="E49" s="89">
        <v>42822</v>
      </c>
      <c r="G49" s="45">
        <v>-71785</v>
      </c>
      <c r="H49" s="17"/>
      <c r="I49" s="25"/>
      <c r="J49" s="44"/>
      <c r="K49" s="41"/>
      <c r="L49" s="124"/>
    </row>
    <row r="50" spans="3:12" ht="12.75">
      <c r="C50" s="17"/>
      <c r="D50" s="17"/>
      <c r="E50" s="89">
        <v>42852</v>
      </c>
      <c r="G50" s="45">
        <v>-74970</v>
      </c>
      <c r="H50" s="17"/>
      <c r="I50" s="25"/>
      <c r="J50" s="44"/>
      <c r="K50" s="41"/>
      <c r="L50" s="124"/>
    </row>
    <row r="51" spans="3:12" ht="12.75">
      <c r="C51" s="17"/>
      <c r="D51" s="17"/>
      <c r="E51" s="89">
        <v>42913</v>
      </c>
      <c r="G51" s="45">
        <v>-300860.01</v>
      </c>
      <c r="H51" s="17"/>
      <c r="I51" s="25"/>
      <c r="J51" s="44"/>
      <c r="K51" s="41"/>
      <c r="L51" s="42"/>
    </row>
    <row r="52" spans="3:12" ht="12.75">
      <c r="C52" s="17"/>
      <c r="D52" s="17"/>
      <c r="E52" s="89">
        <v>42991</v>
      </c>
      <c r="G52" s="45">
        <v>-132300</v>
      </c>
      <c r="H52" s="17"/>
      <c r="I52" s="25"/>
      <c r="J52" s="44"/>
      <c r="K52" s="41"/>
      <c r="L52" s="42"/>
    </row>
    <row r="53" spans="3:12" ht="12.75">
      <c r="C53" s="17"/>
      <c r="D53" s="17"/>
      <c r="E53" s="89">
        <v>43006</v>
      </c>
      <c r="G53" s="45">
        <v>-94325</v>
      </c>
      <c r="H53" s="17"/>
      <c r="I53" s="25"/>
      <c r="J53" s="44"/>
      <c r="K53" s="41"/>
      <c r="L53" s="42"/>
    </row>
    <row r="54" spans="3:11" ht="12.75">
      <c r="C54" s="17"/>
      <c r="D54" s="17"/>
      <c r="E54" s="89">
        <v>43080</v>
      </c>
      <c r="F54" s="45"/>
      <c r="G54" s="45">
        <v>-47040</v>
      </c>
      <c r="H54" s="17"/>
      <c r="I54" s="25"/>
      <c r="J54" s="25"/>
      <c r="K54" s="17"/>
    </row>
    <row r="55" spans="3:11" ht="12.75">
      <c r="C55" s="17"/>
      <c r="D55" s="17"/>
      <c r="E55" s="89">
        <v>43095</v>
      </c>
      <c r="F55" s="45"/>
      <c r="G55" s="45">
        <v>-93590</v>
      </c>
      <c r="H55" s="17"/>
      <c r="I55" s="25"/>
      <c r="J55" s="25"/>
      <c r="K55" s="17"/>
    </row>
    <row r="56" spans="3:11" ht="12.75">
      <c r="C56" s="17" t="s">
        <v>46</v>
      </c>
      <c r="D56" s="17"/>
      <c r="E56" s="89">
        <v>42747</v>
      </c>
      <c r="G56" s="45">
        <v>106466.01</v>
      </c>
      <c r="H56" s="17"/>
      <c r="I56" s="25"/>
      <c r="J56" s="25"/>
      <c r="K56" s="17"/>
    </row>
    <row r="57" spans="3:11" ht="12.75">
      <c r="C57" s="17" t="s">
        <v>31</v>
      </c>
      <c r="D57" s="17"/>
      <c r="E57" s="89">
        <v>43130</v>
      </c>
      <c r="G57" s="45">
        <v>-908950</v>
      </c>
      <c r="H57" s="17"/>
      <c r="I57" s="25"/>
      <c r="J57" s="25"/>
      <c r="K57" s="17"/>
    </row>
    <row r="58" spans="3:11" ht="12.75">
      <c r="C58" s="17"/>
      <c r="D58" s="17"/>
      <c r="E58" s="89">
        <v>43143</v>
      </c>
      <c r="G58" s="45">
        <v>251700.75</v>
      </c>
      <c r="H58" s="17"/>
      <c r="I58" s="25"/>
      <c r="J58" s="25"/>
      <c r="K58" s="17"/>
    </row>
    <row r="59" spans="3:11" ht="12.75">
      <c r="C59" s="17"/>
      <c r="D59" s="17"/>
      <c r="E59" s="89">
        <v>43173</v>
      </c>
      <c r="G59" s="45">
        <v>-68600.01</v>
      </c>
      <c r="H59" s="17"/>
      <c r="I59" s="25"/>
      <c r="J59" s="25"/>
      <c r="K59" s="17"/>
    </row>
    <row r="60" spans="3:11" ht="12.75">
      <c r="C60" s="17"/>
      <c r="D60" s="17"/>
      <c r="E60" s="89">
        <v>43216</v>
      </c>
      <c r="G60" s="45">
        <v>-122500</v>
      </c>
      <c r="H60" s="17"/>
      <c r="I60" s="25"/>
      <c r="J60" s="25"/>
      <c r="K60" s="17"/>
    </row>
    <row r="61" spans="3:11" ht="12.75">
      <c r="C61" s="17"/>
      <c r="D61" s="17"/>
      <c r="E61" s="89">
        <v>43265</v>
      </c>
      <c r="G61" s="45">
        <v>-70070</v>
      </c>
      <c r="H61" s="17"/>
      <c r="I61" s="25"/>
      <c r="J61" s="25"/>
      <c r="K61" s="17"/>
    </row>
    <row r="62" spans="3:11" ht="12.75">
      <c r="C62" s="17"/>
      <c r="D62" s="17"/>
      <c r="E62" s="89">
        <v>43292</v>
      </c>
      <c r="G62" s="45">
        <v>-122500.01</v>
      </c>
      <c r="H62" s="17"/>
      <c r="I62" s="25"/>
      <c r="J62" s="25"/>
      <c r="K62" s="17"/>
    </row>
    <row r="63" spans="3:11" ht="12.75">
      <c r="C63" s="17"/>
      <c r="D63" s="17"/>
      <c r="E63" s="89">
        <v>43328</v>
      </c>
      <c r="G63" s="45">
        <v>-445410</v>
      </c>
      <c r="H63" s="17"/>
      <c r="I63" s="25"/>
      <c r="J63" s="25"/>
      <c r="K63" s="17"/>
    </row>
    <row r="64" spans="3:11" ht="12.75">
      <c r="C64" s="17"/>
      <c r="D64" s="17"/>
      <c r="E64" s="89">
        <v>43360</v>
      </c>
      <c r="G64" s="45">
        <v>-67620</v>
      </c>
      <c r="H64" s="17"/>
      <c r="I64" s="25"/>
      <c r="J64" s="25"/>
      <c r="K64" s="17"/>
    </row>
    <row r="65" spans="3:11" ht="12.75">
      <c r="C65" s="17"/>
      <c r="D65" s="17"/>
      <c r="E65" s="89">
        <v>43369</v>
      </c>
      <c r="G65" s="45">
        <v>-1467795.01</v>
      </c>
      <c r="H65" s="17"/>
      <c r="I65" s="25"/>
      <c r="J65" s="25"/>
      <c r="K65" s="17"/>
    </row>
    <row r="66" spans="3:11" ht="12.75">
      <c r="C66" s="17"/>
      <c r="D66" s="17"/>
      <c r="E66" s="89">
        <v>43389</v>
      </c>
      <c r="G66" s="45">
        <v>98000</v>
      </c>
      <c r="H66" s="17"/>
      <c r="I66" s="25"/>
      <c r="J66" s="25"/>
      <c r="K66" s="17"/>
    </row>
    <row r="67" spans="3:11" ht="12.75">
      <c r="C67" s="17"/>
      <c r="D67" s="17"/>
      <c r="E67" s="89">
        <v>43445</v>
      </c>
      <c r="G67" s="45">
        <v>-234465.01</v>
      </c>
      <c r="H67" s="17"/>
      <c r="I67" s="25"/>
      <c r="J67" s="25"/>
      <c r="K67" s="17"/>
    </row>
    <row r="68" spans="3:11" ht="12.75">
      <c r="C68" s="17" t="s">
        <v>26</v>
      </c>
      <c r="D68" s="17"/>
      <c r="E68" s="89">
        <v>43111</v>
      </c>
      <c r="G68" s="45">
        <v>96449.74</v>
      </c>
      <c r="H68" s="17"/>
      <c r="I68" s="25"/>
      <c r="J68" s="25"/>
      <c r="K68" s="17"/>
    </row>
    <row r="69" spans="3:11" ht="12.75">
      <c r="C69" s="17"/>
      <c r="D69" s="17"/>
      <c r="E69" s="89">
        <v>43153</v>
      </c>
      <c r="G69" s="45">
        <v>2225110.82</v>
      </c>
      <c r="H69" s="17"/>
      <c r="I69" s="25"/>
      <c r="J69" s="25"/>
      <c r="K69" s="17"/>
    </row>
    <row r="70" spans="3:11" ht="12.75">
      <c r="C70" s="17"/>
      <c r="D70" s="17"/>
      <c r="E70" s="89">
        <v>43446</v>
      </c>
      <c r="G70" s="45">
        <v>229234.64</v>
      </c>
      <c r="H70" s="17"/>
      <c r="I70" s="25"/>
      <c r="J70" s="25"/>
      <c r="K70" s="17"/>
    </row>
    <row r="71" spans="3:11" ht="12.75">
      <c r="C71" s="17" t="s">
        <v>32</v>
      </c>
      <c r="D71" s="17"/>
      <c r="E71" s="89">
        <v>43522</v>
      </c>
      <c r="G71" s="45">
        <v>-395430.01</v>
      </c>
      <c r="H71" s="17"/>
      <c r="I71" s="25"/>
      <c r="J71" s="25"/>
      <c r="K71" s="17"/>
    </row>
    <row r="72" spans="3:11" ht="12.75">
      <c r="C72" s="17"/>
      <c r="D72" s="17"/>
      <c r="E72" s="89">
        <v>43563</v>
      </c>
      <c r="G72" s="45">
        <v>-198695</v>
      </c>
      <c r="H72" s="17"/>
      <c r="I72" s="25"/>
      <c r="J72" s="25"/>
      <c r="K72" s="17"/>
    </row>
    <row r="73" spans="3:11" ht="12.75">
      <c r="C73" s="17"/>
      <c r="D73" s="17"/>
      <c r="E73" s="89">
        <v>43600</v>
      </c>
      <c r="G73" s="45">
        <v>-121275</v>
      </c>
      <c r="H73" s="17"/>
      <c r="I73" s="25"/>
      <c r="J73" s="25"/>
      <c r="K73" s="17"/>
    </row>
    <row r="74" spans="3:11" ht="12.75">
      <c r="C74" s="17"/>
      <c r="D74" s="17"/>
      <c r="E74" s="89">
        <v>43643</v>
      </c>
      <c r="G74" s="45">
        <v>-68845</v>
      </c>
      <c r="H74" s="17"/>
      <c r="I74" s="25"/>
      <c r="J74" s="25"/>
      <c r="K74" s="17"/>
    </row>
    <row r="75" spans="3:11" ht="12.75">
      <c r="C75" s="17"/>
      <c r="D75" s="17"/>
      <c r="E75" s="89">
        <v>43655</v>
      </c>
      <c r="G75" s="45">
        <v>-107800</v>
      </c>
      <c r="H75" s="17"/>
      <c r="I75" s="25"/>
      <c r="J75" s="25"/>
      <c r="K75" s="17"/>
    </row>
    <row r="76" spans="3:11" ht="12.75">
      <c r="C76" s="17"/>
      <c r="D76" s="17"/>
      <c r="E76" s="89">
        <v>43685</v>
      </c>
      <c r="G76" s="45">
        <v>-121029.99</v>
      </c>
      <c r="H76" s="17"/>
      <c r="I76" s="25"/>
      <c r="J76" s="25"/>
      <c r="K76" s="17"/>
    </row>
    <row r="77" spans="3:11" ht="12.75">
      <c r="C77" s="17"/>
      <c r="D77" s="17"/>
      <c r="E77" s="89">
        <v>43697</v>
      </c>
      <c r="G77" s="45">
        <v>-36382.50</v>
      </c>
      <c r="H77" s="17"/>
      <c r="I77" s="25"/>
      <c r="J77" s="25"/>
      <c r="K77" s="17"/>
    </row>
    <row r="78" spans="3:11" ht="12.75">
      <c r="C78" s="17"/>
      <c r="D78" s="17"/>
      <c r="E78" s="89">
        <v>43727</v>
      </c>
      <c r="G78" s="45">
        <v>-100450</v>
      </c>
      <c r="H78" s="17"/>
      <c r="I78" s="25"/>
      <c r="J78" s="25"/>
      <c r="K78" s="17"/>
    </row>
    <row r="79" spans="3:11" ht="12.75">
      <c r="C79" s="17"/>
      <c r="D79" s="17"/>
      <c r="E79" s="89">
        <v>43756</v>
      </c>
      <c r="G79" s="45">
        <v>-54390</v>
      </c>
      <c r="H79" s="17"/>
      <c r="I79" s="25"/>
      <c r="J79" s="25"/>
      <c r="K79" s="17"/>
    </row>
    <row r="80" spans="3:11" ht="12.75">
      <c r="C80" s="17"/>
      <c r="D80" s="17"/>
      <c r="E80" s="89">
        <v>43783</v>
      </c>
      <c r="G80" s="45">
        <v>-60637.50</v>
      </c>
      <c r="H80" s="17"/>
      <c r="I80" s="25"/>
      <c r="J80" s="25"/>
      <c r="K80" s="17"/>
    </row>
    <row r="81" spans="3:11" ht="12.75">
      <c r="C81" s="17"/>
      <c r="D81" s="17"/>
      <c r="E81" s="89">
        <v>43795</v>
      </c>
      <c r="G81" s="45">
        <v>-148960</v>
      </c>
      <c r="H81" s="17"/>
      <c r="I81" s="25"/>
      <c r="J81" s="25"/>
      <c r="K81" s="17"/>
    </row>
    <row r="82" spans="3:11" ht="12.75">
      <c r="C82" s="17"/>
      <c r="D82" s="17"/>
      <c r="E82" s="89">
        <v>43830</v>
      </c>
      <c r="G82" s="45">
        <v>-42630</v>
      </c>
      <c r="H82" s="17"/>
      <c r="I82" s="25"/>
      <c r="J82" s="25"/>
      <c r="K82" s="17"/>
    </row>
    <row r="83" spans="3:11" ht="12.75">
      <c r="C83" s="17" t="s">
        <v>27</v>
      </c>
      <c r="D83" s="17"/>
      <c r="E83" s="89">
        <v>43620</v>
      </c>
      <c r="G83" s="45">
        <v>56403.62</v>
      </c>
      <c r="H83" s="17"/>
      <c r="I83" s="25"/>
      <c r="J83" s="25"/>
      <c r="K83" s="17"/>
    </row>
    <row r="84" spans="3:11" ht="12.75">
      <c r="C84" s="17"/>
      <c r="D84" s="17"/>
      <c r="E84" s="89">
        <v>43669</v>
      </c>
      <c r="G84" s="45">
        <v>177349.49</v>
      </c>
      <c r="H84" s="17"/>
      <c r="I84" s="25"/>
      <c r="J84" s="25"/>
      <c r="K84" s="17"/>
    </row>
    <row r="85" spans="3:11" ht="12.75">
      <c r="C85" s="17"/>
      <c r="D85" s="17"/>
      <c r="E85" s="89">
        <v>43717</v>
      </c>
      <c r="G85" s="45">
        <v>60087.89</v>
      </c>
      <c r="H85" s="17"/>
      <c r="I85" s="25"/>
      <c r="J85" s="25"/>
      <c r="K85" s="17"/>
    </row>
    <row r="86" spans="3:11" ht="12.75">
      <c r="C86" s="17" t="s">
        <v>33</v>
      </c>
      <c r="D86" s="17"/>
      <c r="E86" s="89">
        <v>43858</v>
      </c>
      <c r="G86" s="45">
        <v>-64925</v>
      </c>
      <c r="H86" s="17"/>
      <c r="I86" s="25"/>
      <c r="J86" s="25"/>
      <c r="K86" s="17"/>
    </row>
    <row r="87" spans="3:11" ht="12.75">
      <c r="C87" s="17"/>
      <c r="D87" s="17"/>
      <c r="E87" s="89">
        <v>43860</v>
      </c>
      <c r="G87" s="45">
        <v>-73010</v>
      </c>
      <c r="H87" s="17"/>
      <c r="I87" s="25"/>
      <c r="J87" s="25"/>
      <c r="K87" s="17"/>
    </row>
    <row r="88" spans="3:11" ht="12.75">
      <c r="C88" s="17"/>
      <c r="D88" s="17"/>
      <c r="E88" s="89">
        <v>43915</v>
      </c>
      <c r="G88" s="45">
        <v>-69090</v>
      </c>
      <c r="H88" s="17"/>
      <c r="I88" s="25"/>
      <c r="J88" s="25"/>
      <c r="K88" s="17"/>
    </row>
    <row r="89" spans="3:11" ht="12.75">
      <c r="C89" s="17"/>
      <c r="D89" s="17"/>
      <c r="E89" s="89">
        <v>43917</v>
      </c>
      <c r="G89" s="45">
        <v>-16978.50</v>
      </c>
      <c r="H89" s="17"/>
      <c r="I89" s="25"/>
      <c r="J89" s="25"/>
      <c r="K89" s="17"/>
    </row>
    <row r="90" spans="3:11" ht="12.75">
      <c r="C90" s="17"/>
      <c r="D90" s="17"/>
      <c r="E90" s="89">
        <v>43980</v>
      </c>
      <c r="G90" s="45">
        <v>-71785.01</v>
      </c>
      <c r="H90" s="17"/>
      <c r="I90" s="25"/>
      <c r="J90" s="25"/>
      <c r="K90" s="17"/>
    </row>
    <row r="91" spans="3:11" ht="12.75">
      <c r="C91" s="17"/>
      <c r="D91" s="17"/>
      <c r="E91" s="89">
        <v>43999</v>
      </c>
      <c r="G91" s="45">
        <v>-98000</v>
      </c>
      <c r="H91" s="17"/>
      <c r="I91" s="25"/>
      <c r="J91" s="25"/>
      <c r="K91" s="17"/>
    </row>
    <row r="92" spans="3:11" ht="12.75">
      <c r="C92" s="17"/>
      <c r="D92" s="17"/>
      <c r="E92" s="89">
        <v>44047</v>
      </c>
      <c r="G92" s="45">
        <v>-7931.65</v>
      </c>
      <c r="H92" s="17"/>
      <c r="I92" s="25"/>
      <c r="J92" s="25"/>
      <c r="K92" s="17"/>
    </row>
    <row r="93" spans="3:12" ht="15.75">
      <c r="C93" s="17" t="s">
        <v>47</v>
      </c>
      <c r="D93" s="17"/>
      <c r="E93" s="89">
        <v>43888</v>
      </c>
      <c r="G93" s="45">
        <v>260950.61</v>
      </c>
      <c r="H93" s="17"/>
      <c r="I93" s="25"/>
      <c r="J93" s="25"/>
      <c r="K93" s="17"/>
      <c r="L93" s="80"/>
    </row>
    <row r="94" spans="3:12" ht="12.75">
      <c r="C94" s="17"/>
      <c r="D94" s="17"/>
      <c r="E94" s="89">
        <v>44089</v>
      </c>
      <c r="G94" s="45">
        <v>42773.60</v>
      </c>
      <c r="H94" s="17"/>
      <c r="I94" s="25"/>
      <c r="J94" s="25"/>
      <c r="K94" s="17"/>
      <c r="L94" s="124">
        <v>336384731</v>
      </c>
    </row>
    <row r="95" spans="3:12" ht="15.75">
      <c r="C95" s="17" t="s">
        <v>34</v>
      </c>
      <c r="D95" s="17"/>
      <c r="E95" s="89">
        <v>44202</v>
      </c>
      <c r="G95" s="45">
        <v>-47775</v>
      </c>
      <c r="H95" s="17"/>
      <c r="I95" s="25"/>
      <c r="J95" s="25"/>
      <c r="K95" s="17"/>
      <c r="L95" s="80"/>
    </row>
    <row r="96" spans="3:12" ht="15.75">
      <c r="C96" s="17"/>
      <c r="D96" s="17"/>
      <c r="E96" s="89">
        <v>44377</v>
      </c>
      <c r="G96" s="45">
        <v>-23030</v>
      </c>
      <c r="H96" s="17"/>
      <c r="I96" s="25"/>
      <c r="J96" s="25"/>
      <c r="K96" s="17"/>
      <c r="L96" s="80"/>
    </row>
    <row r="97" spans="3:12" ht="15.75">
      <c r="C97" s="17"/>
      <c r="D97" s="17"/>
      <c r="E97" s="89">
        <v>44469</v>
      </c>
      <c r="G97" s="45">
        <v>-22785</v>
      </c>
      <c r="H97" s="17"/>
      <c r="I97" s="25"/>
      <c r="J97" s="25"/>
      <c r="K97" s="17"/>
      <c r="L97" s="80"/>
    </row>
    <row r="98" spans="3:12" ht="15.75">
      <c r="C98" s="17"/>
      <c r="D98" s="17"/>
      <c r="E98" s="89">
        <v>44545</v>
      </c>
      <c r="G98" s="45">
        <v>-22785</v>
      </c>
      <c r="H98" s="17"/>
      <c r="I98" s="25"/>
      <c r="J98" s="25"/>
      <c r="K98" s="17"/>
      <c r="L98" s="80"/>
    </row>
    <row r="99" spans="3:12" ht="15.75">
      <c r="C99" s="17" t="s">
        <v>28</v>
      </c>
      <c r="D99" s="17"/>
      <c r="E99" s="89">
        <v>44265</v>
      </c>
      <c r="G99" s="45">
        <v>112223.84</v>
      </c>
      <c r="H99" s="17"/>
      <c r="I99" s="25"/>
      <c r="J99" s="25"/>
      <c r="K99" s="17"/>
      <c r="L99" s="80"/>
    </row>
    <row r="100" spans="3:12" ht="15.75">
      <c r="C100" s="17"/>
      <c r="D100" s="17"/>
      <c r="E100" s="89">
        <v>44376</v>
      </c>
      <c r="G100" s="45">
        <v>67089.93</v>
      </c>
      <c r="H100" s="17"/>
      <c r="I100" s="25"/>
      <c r="J100" s="25"/>
      <c r="K100" s="17"/>
      <c r="L100" s="80"/>
    </row>
    <row r="101" spans="3:12" ht="15.75">
      <c r="C101" s="17"/>
      <c r="D101" s="17"/>
      <c r="E101" s="89">
        <v>44449</v>
      </c>
      <c r="G101" s="45">
        <v>100059.73</v>
      </c>
      <c r="H101" s="17"/>
      <c r="I101" s="25"/>
      <c r="J101" s="25"/>
      <c r="K101" s="17"/>
      <c r="L101" s="80"/>
    </row>
    <row r="102" spans="3:12" ht="15.75">
      <c r="C102" s="17"/>
      <c r="D102" s="17"/>
      <c r="E102" s="89">
        <v>44488</v>
      </c>
      <c r="G102" s="45">
        <v>1401819.49</v>
      </c>
      <c r="H102" s="17"/>
      <c r="I102" s="25"/>
      <c r="J102" s="25"/>
      <c r="K102" s="17"/>
      <c r="L102" s="80"/>
    </row>
    <row r="103" spans="3:12" ht="15.75">
      <c r="C103" s="17"/>
      <c r="D103" s="17"/>
      <c r="E103" s="89">
        <v>44540</v>
      </c>
      <c r="G103" s="45">
        <v>133540.19</v>
      </c>
      <c r="H103" s="17"/>
      <c r="I103" s="25"/>
      <c r="J103" s="25"/>
      <c r="K103" s="17"/>
      <c r="L103" s="80"/>
    </row>
    <row r="104" spans="3:12" ht="15.75">
      <c r="C104" s="17" t="s">
        <v>35</v>
      </c>
      <c r="D104" s="17"/>
      <c r="E104" s="89">
        <v>44650</v>
      </c>
      <c r="G104" s="45">
        <v>-20090</v>
      </c>
      <c r="H104" s="17"/>
      <c r="I104" s="25"/>
      <c r="J104" s="25"/>
      <c r="K104" s="17"/>
      <c r="L104" s="80"/>
    </row>
    <row r="105" spans="3:12" ht="15.75">
      <c r="C105" s="17"/>
      <c r="D105" s="17"/>
      <c r="E105" s="89">
        <v>44742</v>
      </c>
      <c r="G105" s="45">
        <v>-18130</v>
      </c>
      <c r="H105" s="17"/>
      <c r="I105" s="25"/>
      <c r="J105" s="25"/>
      <c r="K105" s="17"/>
      <c r="L105" s="80"/>
    </row>
    <row r="106" spans="3:12" ht="15.75">
      <c r="C106" s="17"/>
      <c r="D106" s="17"/>
      <c r="E106" s="89">
        <v>44827</v>
      </c>
      <c r="G106" s="45">
        <v>-18130</v>
      </c>
      <c r="H106" s="17"/>
      <c r="I106" s="25"/>
      <c r="J106" s="25"/>
      <c r="K106" s="17"/>
      <c r="L106" s="80"/>
    </row>
    <row r="107" spans="3:12" ht="15.75">
      <c r="C107" s="17" t="s">
        <v>29</v>
      </c>
      <c r="D107" s="17"/>
      <c r="E107" s="89">
        <v>44645</v>
      </c>
      <c r="G107" s="45">
        <v>126154.99</v>
      </c>
      <c r="H107" s="17"/>
      <c r="I107" s="25"/>
      <c r="J107" s="25"/>
      <c r="K107" s="17"/>
      <c r="L107" s="80"/>
    </row>
    <row r="108" spans="3:12" ht="15.75">
      <c r="C108" s="17"/>
      <c r="D108" s="17"/>
      <c r="E108" s="89">
        <v>44721</v>
      </c>
      <c r="G108" s="45">
        <v>78975.38</v>
      </c>
      <c r="H108" s="17"/>
      <c r="I108" s="25"/>
      <c r="J108" s="25"/>
      <c r="K108" s="17"/>
      <c r="L108" s="80"/>
    </row>
    <row r="109" spans="3:12" ht="15.75">
      <c r="C109" s="17"/>
      <c r="D109" s="17"/>
      <c r="E109" s="89">
        <v>44791</v>
      </c>
      <c r="G109" s="45">
        <v>265374.57</v>
      </c>
      <c r="H109" s="17"/>
      <c r="I109" s="25"/>
      <c r="J109" s="25"/>
      <c r="K109" s="17"/>
      <c r="L109" s="80"/>
    </row>
    <row r="110" spans="3:15" ht="4.5" customHeight="1">
      <c r="C110" s="17"/>
      <c r="D110" s="17"/>
      <c r="E110" s="89"/>
      <c r="F110" s="17"/>
      <c r="G110" s="45"/>
      <c r="H110" s="17"/>
      <c r="I110" s="25"/>
      <c r="J110" s="25"/>
      <c r="O110" s="66"/>
    </row>
    <row r="111" spans="3:13" ht="12.75">
      <c r="C111" s="17" t="s">
        <v>5</v>
      </c>
      <c r="D111" s="17"/>
      <c r="E111" s="89">
        <f>+E8</f>
        <v>44834</v>
      </c>
      <c r="F111" s="17"/>
      <c r="G111" s="94">
        <f>L94*C22</f>
        <v>5762652.911469148</v>
      </c>
      <c r="H111" s="17"/>
      <c r="I111" s="45">
        <f>+SUMIF($G$24:$G$110,"&lt;0",$G$24:$G$110)+G58+G66</f>
        <v>-8860749.459999999</v>
      </c>
      <c r="J111" s="17" t="s">
        <v>20</v>
      </c>
      <c r="M111" s="134"/>
    </row>
    <row r="112" spans="3:10" ht="12.75">
      <c r="C112" s="17"/>
      <c r="D112" s="17"/>
      <c r="E112" s="17"/>
      <c r="F112" s="17"/>
      <c r="G112" s="17"/>
      <c r="H112" s="17"/>
      <c r="I112" s="45">
        <f>+SUMIF($G$24:$G$110,"&gt;0",$G$24:$G$110)-G58-G66</f>
        <v>5972646.430000002</v>
      </c>
      <c r="J112" s="17" t="s">
        <v>21</v>
      </c>
    </row>
    <row r="113" spans="3:8" ht="12.75">
      <c r="C113" s="15" t="s">
        <v>0</v>
      </c>
      <c r="G113" s="72">
        <f>+XIRR(G24:G111,E24:E111)</f>
        <v>0.0974755346775055</v>
      </c>
      <c r="H113" s="17"/>
    </row>
    <row r="114" spans="3:8" ht="12.75">
      <c r="C114" s="17"/>
      <c r="D114" s="17"/>
      <c r="E114" s="17"/>
      <c r="F114" s="17"/>
      <c r="G114" s="17"/>
      <c r="H114" s="17"/>
    </row>
    <row r="115" spans="3:8" ht="12.75">
      <c r="C115" s="17"/>
      <c r="D115" s="17"/>
      <c r="E115" s="17"/>
      <c r="F115" s="17"/>
      <c r="G115" s="17"/>
      <c r="H115" s="17"/>
    </row>
    <row r="116" spans="3:8" ht="12.75">
      <c r="C116" s="28"/>
      <c r="D116" s="28"/>
      <c r="E116" s="75"/>
      <c r="F116" s="17"/>
      <c r="G116" s="75"/>
      <c r="H116" s="17"/>
    </row>
    <row r="117" spans="3:8" ht="12.75">
      <c r="C117" s="28"/>
      <c r="D117" s="28"/>
      <c r="E117" s="75"/>
      <c r="F117" s="28"/>
      <c r="G117" s="75"/>
      <c r="H117" s="17"/>
    </row>
    <row r="118" spans="3:8" ht="12.75">
      <c r="C118" s="28"/>
      <c r="D118" s="28"/>
      <c r="E118" s="17"/>
      <c r="F118" s="17"/>
      <c r="G118" s="17"/>
      <c r="H118" s="17"/>
    </row>
    <row r="119" spans="3:8" ht="12.75">
      <c r="C119" s="28"/>
      <c r="D119" s="28"/>
      <c r="E119" s="76"/>
      <c r="F119" s="76"/>
      <c r="G119" s="76"/>
      <c r="H119" s="15"/>
    </row>
    <row r="120" spans="3:8" ht="12.75">
      <c r="C120" s="28"/>
      <c r="D120" s="28"/>
      <c r="E120" s="75"/>
      <c r="F120" s="75"/>
      <c r="G120" s="75"/>
      <c r="H120" s="15"/>
    </row>
    <row r="121" spans="3:8" ht="12.75">
      <c r="C121" s="28"/>
      <c r="D121" s="28"/>
      <c r="E121" s="28"/>
      <c r="F121" s="28"/>
      <c r="G121" s="28"/>
      <c r="H121" s="15"/>
    </row>
    <row r="122" spans="3:8" ht="12.75">
      <c r="C122" s="171"/>
      <c r="D122" s="171"/>
      <c r="E122" s="173"/>
      <c r="F122" s="97"/>
      <c r="G122" s="32"/>
      <c r="H122" s="17"/>
    </row>
    <row r="123" spans="3:8" ht="12.75">
      <c r="C123" s="171"/>
      <c r="D123" s="171"/>
      <c r="E123" s="97"/>
      <c r="F123" s="97"/>
      <c r="G123" s="97"/>
      <c r="H123" s="17"/>
    </row>
    <row r="124" spans="3:8" ht="12.75">
      <c r="C124" s="171"/>
      <c r="D124" s="171"/>
      <c r="E124" s="97"/>
      <c r="F124" s="97"/>
      <c r="G124" s="97"/>
      <c r="H124" s="17"/>
    </row>
    <row r="125" spans="3:8" ht="12.75">
      <c r="C125" s="189"/>
      <c r="D125" s="171"/>
      <c r="E125" s="97"/>
      <c r="F125" s="97"/>
      <c r="G125" s="97"/>
      <c r="H125" s="17"/>
    </row>
    <row r="126" spans="3:8" ht="12.75">
      <c r="C126" s="189"/>
      <c r="D126" s="171"/>
      <c r="E126" s="97"/>
      <c r="F126" s="97"/>
      <c r="G126" s="97"/>
      <c r="H126" s="17"/>
    </row>
    <row r="127" spans="3:8" ht="12.75">
      <c r="C127" s="190"/>
      <c r="D127" s="171"/>
      <c r="E127" s="97"/>
      <c r="F127" s="97"/>
      <c r="G127" s="97"/>
      <c r="H127" s="17"/>
    </row>
    <row r="128" spans="3:8" ht="12.75">
      <c r="C128" s="171"/>
      <c r="D128" s="171"/>
      <c r="E128" s="97"/>
      <c r="F128" s="97"/>
      <c r="G128" s="97"/>
      <c r="H128" s="17"/>
    </row>
    <row r="129" spans="3:8" ht="12.75">
      <c r="C129" s="171"/>
      <c r="D129" s="171"/>
      <c r="E129" s="97"/>
      <c r="F129" s="97"/>
      <c r="G129" s="97"/>
      <c r="H129" s="17"/>
    </row>
    <row r="130" spans="3:8" ht="12.75">
      <c r="C130" s="171"/>
      <c r="D130" s="171"/>
      <c r="E130" s="97"/>
      <c r="F130" s="97"/>
      <c r="G130" s="97"/>
      <c r="H130" s="17"/>
    </row>
    <row r="131" spans="3:8" ht="12.75">
      <c r="C131" s="171"/>
      <c r="D131" s="171"/>
      <c r="E131" s="97"/>
      <c r="F131" s="97"/>
      <c r="G131" s="97"/>
      <c r="H131" s="17"/>
    </row>
    <row r="132" spans="3:8" ht="12.75">
      <c r="C132" s="171"/>
      <c r="D132" s="171"/>
      <c r="E132" s="97"/>
      <c r="F132" s="97"/>
      <c r="G132" s="97"/>
      <c r="H132" s="17"/>
    </row>
    <row r="133" spans="3:8" ht="12.75">
      <c r="C133" s="171"/>
      <c r="D133" s="171"/>
      <c r="E133" s="97"/>
      <c r="F133" s="97"/>
      <c r="G133" s="97"/>
      <c r="H133" s="17"/>
    </row>
    <row r="134" spans="3:8" ht="4.9" customHeight="1">
      <c r="C134" s="15"/>
      <c r="D134" s="15"/>
      <c r="E134" s="99"/>
      <c r="F134" s="99"/>
      <c r="G134" s="99"/>
      <c r="H134" s="17"/>
    </row>
    <row r="135" spans="3:8" ht="12.75">
      <c r="C135" s="17"/>
      <c r="D135" s="17"/>
      <c r="E135" s="17"/>
      <c r="F135" s="17"/>
      <c r="G135" s="17"/>
      <c r="H135" s="17"/>
    </row>
    <row r="136" spans="3:8" ht="12.75">
      <c r="C136" s="17"/>
      <c r="D136" s="17"/>
      <c r="E136" s="17"/>
      <c r="F136" s="17"/>
      <c r="G136" s="17"/>
      <c r="H136" s="17"/>
    </row>
    <row r="137" spans="3:8" ht="12.75">
      <c r="C137" s="17"/>
      <c r="D137" s="17"/>
      <c r="E137" s="17"/>
      <c r="F137" s="17"/>
      <c r="G137" s="17"/>
      <c r="H137" s="17"/>
    </row>
    <row r="138" spans="3:8" ht="12.75">
      <c r="C138" s="17"/>
      <c r="D138" s="17"/>
      <c r="E138" s="17"/>
      <c r="F138" s="17"/>
      <c r="G138" s="17"/>
      <c r="H138" s="17"/>
    </row>
    <row r="139" spans="3:8" ht="12.75">
      <c r="C139" s="17"/>
      <c r="D139" s="17"/>
      <c r="E139" s="17"/>
      <c r="F139" s="17"/>
      <c r="G139" s="17"/>
      <c r="H139" s="17"/>
    </row>
  </sheetData>
  <mergeCells count="1">
    <mergeCell ref="E119:G119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16B328D-D9AE-4D64-9EAA-F58BBABDB22C}">
  <sheetPr>
    <pageSetUpPr fitToPage="1"/>
  </sheetPr>
  <dimension ref="B4:N133"/>
  <sheetViews>
    <sheetView showGridLines="0" view="pageLayout" zoomScaleNormal="100" workbookViewId="0" topLeftCell="A1">
      <selection pane="topLeft" activeCell="C35" sqref="C35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7.428571428571427" customWidth="1"/>
    <col min="13" max="13" width="13.142857142857142" bestFit="1" customWidth="1"/>
    <col min="14" max="14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20">
        <f>+'EFM III'!E8</f>
        <v>44834</v>
      </c>
      <c r="F8" s="13"/>
      <c r="G8" s="78"/>
      <c r="H8" s="78"/>
      <c r="I8" s="79"/>
    </row>
    <row r="9" spans="3:7" ht="15.75">
      <c r="C9" s="182"/>
      <c r="D9" s="182"/>
      <c r="E9" s="182"/>
      <c r="F9" s="182"/>
      <c r="G9" s="183"/>
    </row>
    <row r="10" spans="3:9" ht="12.75">
      <c r="C10" s="184"/>
      <c r="D10" s="184"/>
      <c r="E10" s="185"/>
      <c r="F10" s="184"/>
      <c r="G10" s="124"/>
      <c r="H10" s="81"/>
      <c r="I10" s="86"/>
    </row>
    <row r="11" spans="3:9" ht="12.75">
      <c r="C11" s="184"/>
      <c r="D11" s="184"/>
      <c r="E11" s="185"/>
      <c r="F11" s="184"/>
      <c r="G11" s="185"/>
      <c r="H11" s="81"/>
      <c r="I11" s="86"/>
    </row>
    <row r="12" spans="3:9" ht="15.75">
      <c r="C12" s="166"/>
      <c r="D12" s="166"/>
      <c r="E12" s="186"/>
      <c r="F12" s="166"/>
      <c r="G12" s="186"/>
      <c r="H12" s="5"/>
      <c r="I12" s="86"/>
    </row>
    <row r="13" spans="3:9" ht="12.75">
      <c r="C13" s="184"/>
      <c r="D13" s="184"/>
      <c r="E13" s="187"/>
      <c r="F13" s="184"/>
      <c r="G13" s="124"/>
      <c r="H13" s="84"/>
      <c r="I13" s="86"/>
    </row>
    <row r="14" spans="3:9" ht="12.75">
      <c r="C14" s="184"/>
      <c r="D14" s="184"/>
      <c r="E14" s="188"/>
      <c r="F14" s="184"/>
      <c r="G14" s="124"/>
      <c r="H14" s="85"/>
      <c r="I14" s="86"/>
    </row>
    <row r="15" spans="3:9" ht="12.75">
      <c r="C15" s="184"/>
      <c r="D15" s="184"/>
      <c r="E15" s="185"/>
      <c r="F15" s="184"/>
      <c r="G15" s="185"/>
      <c r="H15" s="81"/>
      <c r="I15" s="86"/>
    </row>
    <row r="16" spans="3:9" ht="15.75">
      <c r="C16" s="5"/>
      <c r="D16" s="5"/>
      <c r="E16" s="10"/>
      <c r="F16" s="5"/>
      <c r="G16" s="10"/>
      <c r="H16" s="5"/>
      <c r="I16" s="86"/>
    </row>
    <row r="17" spans="3:9" ht="15.75">
      <c r="C17" s="83" t="s">
        <v>15</v>
      </c>
      <c r="D17" s="83"/>
      <c r="E17" s="10"/>
      <c r="F17" s="83"/>
      <c r="G17" s="10"/>
      <c r="H17" s="5"/>
      <c r="I17" s="86"/>
    </row>
    <row r="18" spans="3:9" ht="12.75" customHeight="1">
      <c r="C18" s="6" t="s">
        <v>16</v>
      </c>
      <c r="D18" s="6"/>
      <c r="E18" s="84">
        <f>G113</f>
        <v>0.09917400479316713</v>
      </c>
      <c r="F18" s="6"/>
      <c r="G18" s="11"/>
      <c r="H18" s="84"/>
      <c r="I18" s="86"/>
    </row>
    <row r="19" spans="3:8" ht="12.75">
      <c r="C19" s="6" t="s">
        <v>17</v>
      </c>
      <c r="D19" s="6"/>
      <c r="E19" s="87">
        <f>-(G111+I112)/(I111)</f>
        <v>1.3250873059416388</v>
      </c>
      <c r="F19" s="6"/>
      <c r="G19" s="9"/>
      <c r="H19" s="81"/>
    </row>
    <row r="20" spans="3:7" ht="12.75">
      <c r="C20" s="6"/>
      <c r="D20" s="6"/>
      <c r="E20" s="6"/>
      <c r="F20" s="6"/>
      <c r="G20" s="81"/>
    </row>
    <row r="21" spans="3:12" ht="15.75">
      <c r="C21" s="88" t="s">
        <v>50</v>
      </c>
      <c r="D21" s="7"/>
      <c r="E21" s="7"/>
      <c r="F21" s="7"/>
      <c r="I21" s="89"/>
      <c r="J21" s="17"/>
      <c r="L21" s="119"/>
    </row>
    <row r="22" spans="3:10" ht="12.75">
      <c r="C22" s="105">
        <v>0.005037783</v>
      </c>
      <c r="D22" s="17"/>
      <c r="E22" s="17"/>
      <c r="F22" s="17"/>
      <c r="G22" s="91"/>
      <c r="H22" s="17"/>
      <c r="I22" s="17"/>
      <c r="J22" s="17"/>
    </row>
    <row r="23" spans="3:9" ht="12.75">
      <c r="C23" s="17"/>
      <c r="D23" s="17"/>
      <c r="E23" s="89"/>
      <c r="F23" s="45"/>
      <c r="G23" s="45"/>
      <c r="H23" s="17"/>
      <c r="I23" s="25"/>
    </row>
    <row r="24" spans="3:9" ht="12.75">
      <c r="C24" s="17" t="s">
        <v>23</v>
      </c>
      <c r="D24" s="17"/>
      <c r="E24" s="89">
        <v>41829</v>
      </c>
      <c r="F24" s="45"/>
      <c r="G24" s="45">
        <v>-11269.99</v>
      </c>
      <c r="H24" s="17"/>
      <c r="I24" s="25"/>
    </row>
    <row r="25" spans="3:9" ht="12.75">
      <c r="C25" s="34"/>
      <c r="D25" s="17"/>
      <c r="E25" s="89">
        <v>41894</v>
      </c>
      <c r="F25" s="45"/>
      <c r="G25" s="45">
        <v>-5847.33</v>
      </c>
      <c r="H25" s="17"/>
      <c r="I25" s="25"/>
    </row>
    <row r="26" spans="3:9" ht="12.75">
      <c r="C26" s="17"/>
      <c r="D26" s="17"/>
      <c r="E26" s="89">
        <v>41942</v>
      </c>
      <c r="F26" s="45"/>
      <c r="G26" s="45">
        <v>-3070.67</v>
      </c>
      <c r="H26" s="17"/>
      <c r="I26" s="25"/>
    </row>
    <row r="27" spans="3:9" ht="12.75">
      <c r="C27" s="17"/>
      <c r="D27" s="17"/>
      <c r="E27" s="89">
        <v>41999</v>
      </c>
      <c r="F27" s="45"/>
      <c r="G27" s="45">
        <v>-4377.33</v>
      </c>
      <c r="H27" s="17"/>
      <c r="I27" s="25"/>
    </row>
    <row r="28" spans="3:9" ht="12.75">
      <c r="C28" s="17" t="s">
        <v>44</v>
      </c>
      <c r="E28" s="89">
        <v>42037</v>
      </c>
      <c r="G28" s="45">
        <v>-4312</v>
      </c>
      <c r="H28" s="17"/>
      <c r="I28" s="25"/>
    </row>
    <row r="29" spans="5:9" ht="12.75">
      <c r="E29" s="89">
        <v>42093</v>
      </c>
      <c r="G29" s="45">
        <v>-5586</v>
      </c>
      <c r="H29" s="17"/>
      <c r="I29" s="25"/>
    </row>
    <row r="30" spans="5:9" ht="12.75">
      <c r="E30" s="89">
        <v>42109</v>
      </c>
      <c r="G30" s="45">
        <v>-4181.33</v>
      </c>
      <c r="H30" s="17"/>
      <c r="I30" s="25"/>
    </row>
    <row r="31" spans="5:9" ht="12.75">
      <c r="E31" s="89">
        <v>42144</v>
      </c>
      <c r="G31" s="45">
        <v>-2450</v>
      </c>
      <c r="H31" s="17"/>
      <c r="I31" s="25"/>
    </row>
    <row r="32" spans="5:14" ht="12.75">
      <c r="E32" s="89">
        <v>42184</v>
      </c>
      <c r="G32" s="45">
        <v>-3756.67</v>
      </c>
      <c r="H32" s="17"/>
      <c r="I32" s="25"/>
      <c r="J32" s="25"/>
      <c r="K32" s="17"/>
      <c r="M32" s="159"/>
      <c r="N32" s="66"/>
    </row>
    <row r="33" spans="5:14" ht="12.75">
      <c r="E33" s="89">
        <v>42227</v>
      </c>
      <c r="G33" s="45">
        <v>-4998</v>
      </c>
      <c r="H33" s="17"/>
      <c r="I33" s="25"/>
      <c r="J33" s="25"/>
      <c r="K33" s="17"/>
      <c r="M33" s="159"/>
      <c r="N33" s="66"/>
    </row>
    <row r="34" spans="5:14" ht="12.75">
      <c r="E34" s="89">
        <v>42261</v>
      </c>
      <c r="G34" s="45">
        <v>-6598.67</v>
      </c>
      <c r="H34" s="17"/>
      <c r="I34" s="25"/>
      <c r="J34" s="25"/>
      <c r="K34" s="17"/>
      <c r="M34" s="159"/>
      <c r="N34" s="66"/>
    </row>
    <row r="35" spans="5:14" ht="12.75">
      <c r="E35" s="89">
        <v>42368</v>
      </c>
      <c r="G35" s="45">
        <v>-5390</v>
      </c>
      <c r="H35" s="17"/>
      <c r="I35" s="25"/>
      <c r="J35" s="25"/>
      <c r="K35" s="17"/>
      <c r="M35" s="159"/>
      <c r="N35" s="66"/>
    </row>
    <row r="36" spans="3:14" ht="12.75">
      <c r="C36" s="17" t="s">
        <v>45</v>
      </c>
      <c r="D36" s="17"/>
      <c r="E36" s="89">
        <v>42396</v>
      </c>
      <c r="G36" s="45">
        <v>-94439.34</v>
      </c>
      <c r="H36" s="17"/>
      <c r="I36" s="25"/>
      <c r="J36" s="25"/>
      <c r="K36" s="17"/>
      <c r="M36" s="159"/>
      <c r="N36" s="66"/>
    </row>
    <row r="37" spans="3:14" ht="12.75">
      <c r="C37" s="17"/>
      <c r="D37" s="17"/>
      <c r="E37" s="89">
        <v>42445</v>
      </c>
      <c r="G37" s="45">
        <v>-8003.34</v>
      </c>
      <c r="H37" s="17"/>
      <c r="I37" s="25"/>
      <c r="J37" s="25"/>
      <c r="K37" s="17"/>
      <c r="M37" s="159"/>
      <c r="N37" s="66"/>
    </row>
    <row r="38" spans="3:14" ht="12.75">
      <c r="C38" s="17"/>
      <c r="D38" s="17"/>
      <c r="E38" s="89">
        <v>42549</v>
      </c>
      <c r="G38" s="45">
        <v>-12968.67</v>
      </c>
      <c r="H38" s="17"/>
      <c r="I38" s="25"/>
      <c r="J38" s="25"/>
      <c r="K38" s="17"/>
      <c r="M38" s="159"/>
      <c r="N38" s="66"/>
    </row>
    <row r="39" spans="3:14" ht="12.75">
      <c r="C39" s="17"/>
      <c r="D39" s="17"/>
      <c r="E39" s="89">
        <v>42586</v>
      </c>
      <c r="G39" s="45">
        <v>-9963.33</v>
      </c>
      <c r="H39" s="17"/>
      <c r="I39" s="25"/>
      <c r="J39" s="25"/>
      <c r="K39" s="17"/>
      <c r="M39" s="159"/>
      <c r="N39" s="66"/>
    </row>
    <row r="40" spans="3:14" ht="12.75">
      <c r="C40" s="17"/>
      <c r="D40" s="17"/>
      <c r="E40" s="89">
        <v>42607</v>
      </c>
      <c r="G40" s="45">
        <v>-7546</v>
      </c>
      <c r="H40" s="17"/>
      <c r="I40" s="25"/>
      <c r="J40" s="25"/>
      <c r="K40" s="17"/>
      <c r="M40" s="159"/>
      <c r="N40" s="66"/>
    </row>
    <row r="41" spans="3:14" ht="12.75">
      <c r="C41" s="17"/>
      <c r="D41" s="17"/>
      <c r="E41" s="89">
        <v>42613</v>
      </c>
      <c r="G41" s="45">
        <v>-159903.33</v>
      </c>
      <c r="H41" s="17"/>
      <c r="I41" s="25"/>
      <c r="J41" s="25"/>
      <c r="K41" s="17"/>
      <c r="M41" s="159"/>
      <c r="N41" s="66"/>
    </row>
    <row r="42" spans="3:14" ht="12.75">
      <c r="C42" s="17"/>
      <c r="D42" s="17"/>
      <c r="E42" s="89">
        <v>42640</v>
      </c>
      <c r="G42" s="45">
        <v>-3756.67</v>
      </c>
      <c r="H42" s="17"/>
      <c r="I42" s="25"/>
      <c r="J42" s="25"/>
      <c r="K42" s="17"/>
      <c r="M42" s="159"/>
      <c r="N42" s="66"/>
    </row>
    <row r="43" spans="3:14" ht="12.75">
      <c r="C43" s="17"/>
      <c r="D43" s="17"/>
      <c r="E43" s="89">
        <v>42732</v>
      </c>
      <c r="G43" s="45">
        <v>-5226.67</v>
      </c>
      <c r="H43" s="17"/>
      <c r="I43" s="25"/>
      <c r="J43" s="25"/>
      <c r="K43" s="17"/>
      <c r="M43" s="159"/>
      <c r="N43" s="66"/>
    </row>
    <row r="44" spans="3:14" ht="12.75">
      <c r="C44" s="17" t="s">
        <v>25</v>
      </c>
      <c r="D44" s="17"/>
      <c r="E44" s="89">
        <v>42377</v>
      </c>
      <c r="G44" s="45">
        <v>47121.98</v>
      </c>
      <c r="H44" s="17"/>
      <c r="I44" s="25"/>
      <c r="J44" s="25"/>
      <c r="K44" s="17"/>
      <c r="M44" s="159"/>
      <c r="N44" s="66"/>
    </row>
    <row r="45" spans="3:14" ht="12.75">
      <c r="C45" s="17"/>
      <c r="D45" s="17"/>
      <c r="E45" s="89">
        <v>42551</v>
      </c>
      <c r="G45" s="45">
        <v>4861.16</v>
      </c>
      <c r="H45" s="17"/>
      <c r="I45" s="25"/>
      <c r="J45" s="25"/>
      <c r="K45" s="17"/>
      <c r="M45" s="159"/>
      <c r="N45" s="66"/>
    </row>
    <row r="46" spans="3:14" ht="12.75">
      <c r="C46" s="17"/>
      <c r="D46" s="17"/>
      <c r="E46" s="89">
        <v>42642</v>
      </c>
      <c r="G46" s="45">
        <v>9354.83</v>
      </c>
      <c r="H46" s="17"/>
      <c r="I46" s="25"/>
      <c r="J46" s="25"/>
      <c r="K46" s="17"/>
      <c r="M46" s="159"/>
      <c r="N46" s="66"/>
    </row>
    <row r="47" spans="3:14" ht="15.75">
      <c r="C47" s="17"/>
      <c r="D47" s="17"/>
      <c r="E47" s="89">
        <v>42655</v>
      </c>
      <c r="G47" s="45">
        <v>3825.81</v>
      </c>
      <c r="H47" s="17"/>
      <c r="I47" s="25"/>
      <c r="J47" s="44"/>
      <c r="K47" s="41"/>
      <c r="L47" s="177"/>
      <c r="M47" s="159"/>
      <c r="N47" s="66"/>
    </row>
    <row r="48" spans="3:14" ht="12.75">
      <c r="C48" s="17" t="s">
        <v>30</v>
      </c>
      <c r="D48" s="17"/>
      <c r="E48" s="89">
        <v>42765</v>
      </c>
      <c r="G48" s="45">
        <v>-17248</v>
      </c>
      <c r="H48" s="17"/>
      <c r="I48" s="25"/>
      <c r="J48" s="44"/>
      <c r="K48" s="41"/>
      <c r="L48" s="124"/>
      <c r="M48" s="159"/>
      <c r="N48" s="66"/>
    </row>
    <row r="49" spans="3:14" ht="12.75">
      <c r="C49" s="17"/>
      <c r="D49" s="17"/>
      <c r="E49" s="89">
        <v>42822</v>
      </c>
      <c r="G49" s="45">
        <v>-9571.33</v>
      </c>
      <c r="H49" s="17"/>
      <c r="I49" s="25"/>
      <c r="J49" s="44"/>
      <c r="K49" s="41"/>
      <c r="L49" s="124"/>
      <c r="M49" s="159"/>
      <c r="N49" s="66"/>
    </row>
    <row r="50" spans="3:14" ht="12.75">
      <c r="C50" s="17"/>
      <c r="D50" s="17"/>
      <c r="E50" s="89">
        <v>42852</v>
      </c>
      <c r="G50" s="45">
        <v>-9996</v>
      </c>
      <c r="H50" s="17"/>
      <c r="I50" s="25"/>
      <c r="J50" s="44"/>
      <c r="K50" s="41"/>
      <c r="L50" s="124"/>
      <c r="M50" s="159"/>
      <c r="N50" s="66"/>
    </row>
    <row r="51" spans="3:14" ht="12.75">
      <c r="C51" s="17"/>
      <c r="D51" s="17"/>
      <c r="E51" s="89">
        <v>42913</v>
      </c>
      <c r="G51" s="45">
        <v>-40114.67</v>
      </c>
      <c r="H51" s="17"/>
      <c r="I51" s="25"/>
      <c r="J51" s="44"/>
      <c r="K51" s="41"/>
      <c r="L51" s="124"/>
      <c r="M51" s="159"/>
      <c r="N51" s="66"/>
    </row>
    <row r="52" spans="3:14" ht="12.75">
      <c r="C52" s="17"/>
      <c r="D52" s="17"/>
      <c r="E52" s="89">
        <v>42991</v>
      </c>
      <c r="G52" s="45">
        <v>-17640</v>
      </c>
      <c r="H52" s="17"/>
      <c r="I52" s="25"/>
      <c r="J52" s="44"/>
      <c r="K52" s="41"/>
      <c r="L52" s="42"/>
      <c r="M52" s="159"/>
      <c r="N52" s="66"/>
    </row>
    <row r="53" spans="3:14" ht="12.75">
      <c r="C53" s="17"/>
      <c r="D53" s="17"/>
      <c r="E53" s="89">
        <v>43006</v>
      </c>
      <c r="G53" s="45">
        <v>-12576.67</v>
      </c>
      <c r="H53" s="17"/>
      <c r="I53" s="25"/>
      <c r="J53" s="44"/>
      <c r="K53" s="41"/>
      <c r="L53" s="42"/>
      <c r="M53" s="159"/>
      <c r="N53" s="66"/>
    </row>
    <row r="54" spans="3:14" ht="12.75">
      <c r="C54" s="17"/>
      <c r="D54" s="17"/>
      <c r="E54" s="89">
        <v>43080</v>
      </c>
      <c r="F54" s="45"/>
      <c r="G54" s="45">
        <v>-6272</v>
      </c>
      <c r="H54" s="17"/>
      <c r="I54" s="25"/>
      <c r="J54" s="44"/>
      <c r="K54" s="41"/>
      <c r="L54" s="42"/>
      <c r="M54" s="159"/>
      <c r="N54" s="66"/>
    </row>
    <row r="55" spans="3:14" ht="12.75">
      <c r="C55" s="17"/>
      <c r="D55" s="17"/>
      <c r="E55" s="89">
        <v>43095</v>
      </c>
      <c r="F55" s="45"/>
      <c r="G55" s="45">
        <v>-12478.67</v>
      </c>
      <c r="H55" s="17"/>
      <c r="I55" s="25"/>
      <c r="J55" s="25"/>
      <c r="K55" s="17"/>
      <c r="M55" s="159"/>
      <c r="N55" s="66"/>
    </row>
    <row r="56" spans="3:14" ht="12.75">
      <c r="C56" s="17" t="s">
        <v>46</v>
      </c>
      <c r="D56" s="17"/>
      <c r="E56" s="89">
        <v>42747</v>
      </c>
      <c r="G56" s="45">
        <v>14195.47</v>
      </c>
      <c r="H56" s="17"/>
      <c r="I56" s="25"/>
      <c r="J56" s="25"/>
      <c r="K56" s="17"/>
      <c r="M56" s="159"/>
      <c r="N56" s="66"/>
    </row>
    <row r="57" spans="3:14" ht="12.75">
      <c r="C57" s="17" t="s">
        <v>31</v>
      </c>
      <c r="D57" s="17"/>
      <c r="E57" s="89">
        <v>43130</v>
      </c>
      <c r="G57" s="45">
        <v>-121193.33</v>
      </c>
      <c r="H57" s="17"/>
      <c r="I57" s="25"/>
      <c r="J57" s="25"/>
      <c r="K57" s="17"/>
      <c r="M57" s="159"/>
      <c r="N57" s="66"/>
    </row>
    <row r="58" spans="3:14" ht="12.75">
      <c r="C58" s="17"/>
      <c r="D58" s="17"/>
      <c r="E58" s="89">
        <v>43143</v>
      </c>
      <c r="G58" s="45">
        <v>33560.10</v>
      </c>
      <c r="H58" s="17"/>
      <c r="I58" s="25"/>
      <c r="J58" s="25"/>
      <c r="K58" s="17"/>
      <c r="M58" s="159"/>
      <c r="N58" s="66"/>
    </row>
    <row r="59" spans="3:14" ht="12.75">
      <c r="C59" s="17"/>
      <c r="D59" s="17"/>
      <c r="E59" s="89">
        <v>43173</v>
      </c>
      <c r="G59" s="45">
        <v>-9146.66</v>
      </c>
      <c r="H59" s="17"/>
      <c r="I59" s="25"/>
      <c r="J59" s="25"/>
      <c r="K59" s="17"/>
      <c r="M59" s="159"/>
      <c r="N59" s="66"/>
    </row>
    <row r="60" spans="3:14" ht="12.75">
      <c r="C60" s="17"/>
      <c r="D60" s="17"/>
      <c r="E60" s="89">
        <v>43216</v>
      </c>
      <c r="G60" s="45">
        <v>-16333.33</v>
      </c>
      <c r="H60" s="17"/>
      <c r="I60" s="25"/>
      <c r="J60" s="25"/>
      <c r="K60" s="17"/>
      <c r="M60" s="159"/>
      <c r="N60" s="66"/>
    </row>
    <row r="61" spans="3:14" ht="12.75">
      <c r="C61" s="17"/>
      <c r="D61" s="17"/>
      <c r="E61" s="89">
        <v>43265</v>
      </c>
      <c r="G61" s="45">
        <v>-9342.67</v>
      </c>
      <c r="H61" s="17"/>
      <c r="I61" s="25"/>
      <c r="J61" s="25"/>
      <c r="K61" s="17"/>
      <c r="M61" s="159"/>
      <c r="N61" s="66"/>
    </row>
    <row r="62" spans="3:14" ht="12.75">
      <c r="C62" s="17"/>
      <c r="D62" s="17"/>
      <c r="E62" s="89">
        <v>43292</v>
      </c>
      <c r="G62" s="45">
        <v>-16333.33</v>
      </c>
      <c r="H62" s="17"/>
      <c r="I62" s="25"/>
      <c r="J62" s="25"/>
      <c r="K62" s="17"/>
      <c r="M62" s="159"/>
      <c r="N62" s="66"/>
    </row>
    <row r="63" spans="3:14" ht="12.75">
      <c r="C63" s="17"/>
      <c r="D63" s="17"/>
      <c r="E63" s="89">
        <v>43328</v>
      </c>
      <c r="G63" s="45">
        <v>-59388</v>
      </c>
      <c r="H63" s="17"/>
      <c r="I63" s="25"/>
      <c r="J63" s="25"/>
      <c r="K63" s="17"/>
      <c r="M63" s="159"/>
      <c r="N63" s="66"/>
    </row>
    <row r="64" spans="3:14" ht="12.75">
      <c r="C64" s="17"/>
      <c r="D64" s="17"/>
      <c r="E64" s="89">
        <v>43360</v>
      </c>
      <c r="G64" s="45">
        <v>-9015.99</v>
      </c>
      <c r="H64" s="17"/>
      <c r="I64" s="25"/>
      <c r="J64" s="25"/>
      <c r="K64" s="17"/>
      <c r="M64" s="159"/>
      <c r="N64" s="66"/>
    </row>
    <row r="65" spans="3:14" ht="12.75">
      <c r="C65" s="17"/>
      <c r="D65" s="17"/>
      <c r="E65" s="89">
        <v>43369</v>
      </c>
      <c r="G65" s="45">
        <v>-195706</v>
      </c>
      <c r="H65" s="17"/>
      <c r="I65" s="25"/>
      <c r="J65" s="25"/>
      <c r="K65" s="17"/>
      <c r="M65" s="159"/>
      <c r="N65" s="66"/>
    </row>
    <row r="66" spans="3:14" ht="12.75">
      <c r="C66" s="17"/>
      <c r="D66" s="17"/>
      <c r="E66" s="89">
        <v>43389</v>
      </c>
      <c r="G66" s="45">
        <v>13066.66</v>
      </c>
      <c r="H66" s="17"/>
      <c r="I66" s="25"/>
      <c r="J66" s="25"/>
      <c r="K66" s="17"/>
      <c r="M66" s="159"/>
      <c r="N66" s="66"/>
    </row>
    <row r="67" spans="3:14" ht="12.75">
      <c r="C67" s="17"/>
      <c r="D67" s="17"/>
      <c r="E67" s="89">
        <v>43445</v>
      </c>
      <c r="G67" s="45">
        <v>-31261.99</v>
      </c>
      <c r="H67" s="17"/>
      <c r="I67" s="25"/>
      <c r="J67" s="25"/>
      <c r="K67" s="17"/>
      <c r="M67" s="159"/>
      <c r="N67" s="66"/>
    </row>
    <row r="68" spans="3:14" ht="12.75">
      <c r="C68" s="17" t="s">
        <v>26</v>
      </c>
      <c r="D68" s="17"/>
      <c r="E68" s="89">
        <v>43111</v>
      </c>
      <c r="G68" s="45">
        <v>12442.59</v>
      </c>
      <c r="H68" s="17"/>
      <c r="I68" s="25"/>
      <c r="J68" s="25"/>
      <c r="K68" s="17"/>
      <c r="M68" s="159"/>
      <c r="N68" s="66"/>
    </row>
    <row r="69" spans="3:14" ht="12.75">
      <c r="C69" s="17"/>
      <c r="D69" s="17"/>
      <c r="E69" s="89">
        <v>43153</v>
      </c>
      <c r="G69" s="45">
        <v>314282.78</v>
      </c>
      <c r="H69" s="17"/>
      <c r="I69" s="25"/>
      <c r="J69" s="25"/>
      <c r="K69" s="17"/>
      <c r="M69" s="159"/>
      <c r="N69" s="66"/>
    </row>
    <row r="70" spans="3:14" ht="12.75">
      <c r="C70" s="17"/>
      <c r="D70" s="17"/>
      <c r="E70" s="89">
        <v>43446</v>
      </c>
      <c r="G70" s="45">
        <v>14771.51</v>
      </c>
      <c r="H70" s="17"/>
      <c r="I70" s="25"/>
      <c r="J70" s="25"/>
      <c r="K70" s="17"/>
      <c r="M70" s="159"/>
      <c r="N70" s="66"/>
    </row>
    <row r="71" spans="3:14" ht="12.75">
      <c r="C71" s="17" t="s">
        <v>32</v>
      </c>
      <c r="D71" s="17"/>
      <c r="E71" s="89">
        <v>43522</v>
      </c>
      <c r="G71" s="45">
        <v>-52724</v>
      </c>
      <c r="H71" s="17"/>
      <c r="I71" s="25"/>
      <c r="J71" s="25"/>
      <c r="K71" s="17"/>
      <c r="M71" s="159"/>
      <c r="N71" s="66"/>
    </row>
    <row r="72" spans="3:14" ht="12.75">
      <c r="C72" s="17"/>
      <c r="D72" s="17"/>
      <c r="E72" s="89">
        <v>43563</v>
      </c>
      <c r="G72" s="45">
        <v>-26492.67</v>
      </c>
      <c r="H72" s="17"/>
      <c r="I72" s="25"/>
      <c r="J72" s="25"/>
      <c r="K72" s="17"/>
      <c r="M72" s="159"/>
      <c r="N72" s="66"/>
    </row>
    <row r="73" spans="3:14" ht="12.75">
      <c r="C73" s="17"/>
      <c r="D73" s="17"/>
      <c r="E73" s="89">
        <v>43600</v>
      </c>
      <c r="G73" s="45">
        <v>-16170.01</v>
      </c>
      <c r="H73" s="17"/>
      <c r="I73" s="25"/>
      <c r="J73" s="25"/>
      <c r="K73" s="17"/>
      <c r="M73" s="159"/>
      <c r="N73" s="66"/>
    </row>
    <row r="74" spans="3:14" ht="12.75">
      <c r="C74" s="17"/>
      <c r="D74" s="17"/>
      <c r="E74" s="89">
        <v>43643</v>
      </c>
      <c r="G74" s="45">
        <v>-9179.34</v>
      </c>
      <c r="H74" s="17"/>
      <c r="I74" s="25"/>
      <c r="J74" s="25"/>
      <c r="K74" s="17"/>
      <c r="M74" s="159"/>
      <c r="N74" s="66"/>
    </row>
    <row r="75" spans="3:14" ht="12.75">
      <c r="C75" s="17"/>
      <c r="D75" s="17"/>
      <c r="E75" s="89">
        <v>43655</v>
      </c>
      <c r="G75" s="45">
        <v>-14373.34</v>
      </c>
      <c r="H75" s="17"/>
      <c r="I75" s="25"/>
      <c r="J75" s="25"/>
      <c r="K75" s="17"/>
      <c r="M75" s="159"/>
      <c r="N75" s="66"/>
    </row>
    <row r="76" spans="3:14" ht="12.75">
      <c r="C76" s="17"/>
      <c r="D76" s="17"/>
      <c r="E76" s="89">
        <v>43685</v>
      </c>
      <c r="G76" s="45">
        <v>-16137.34</v>
      </c>
      <c r="H76" s="17"/>
      <c r="I76" s="25"/>
      <c r="J76" s="25"/>
      <c r="K76" s="17"/>
      <c r="M76" s="159"/>
      <c r="N76" s="66"/>
    </row>
    <row r="77" spans="3:14" ht="12.75">
      <c r="C77" s="17"/>
      <c r="D77" s="17"/>
      <c r="E77" s="89">
        <v>43697</v>
      </c>
      <c r="G77" s="45">
        <v>-4851</v>
      </c>
      <c r="H77" s="17"/>
      <c r="I77" s="25"/>
      <c r="J77" s="25"/>
      <c r="K77" s="17"/>
      <c r="M77" s="159"/>
      <c r="N77" s="66"/>
    </row>
    <row r="78" spans="3:14" ht="12.75">
      <c r="C78" s="17"/>
      <c r="D78" s="17"/>
      <c r="E78" s="89">
        <v>43727</v>
      </c>
      <c r="G78" s="45">
        <v>-13393.33</v>
      </c>
      <c r="H78" s="17"/>
      <c r="I78" s="25"/>
      <c r="J78" s="25"/>
      <c r="K78" s="17"/>
      <c r="M78" s="159"/>
      <c r="N78" s="66"/>
    </row>
    <row r="79" spans="3:14" ht="12.75">
      <c r="C79" s="17"/>
      <c r="D79" s="17"/>
      <c r="E79" s="89">
        <v>43756</v>
      </c>
      <c r="G79" s="45">
        <v>-7252</v>
      </c>
      <c r="H79" s="17"/>
      <c r="I79" s="25"/>
      <c r="J79" s="25"/>
      <c r="K79" s="17"/>
      <c r="M79" s="159"/>
      <c r="N79" s="66"/>
    </row>
    <row r="80" spans="3:14" ht="12.75">
      <c r="C80" s="17"/>
      <c r="D80" s="17"/>
      <c r="E80" s="89">
        <v>43783</v>
      </c>
      <c r="G80" s="45">
        <v>-8085</v>
      </c>
      <c r="H80" s="17"/>
      <c r="I80" s="25"/>
      <c r="J80" s="25"/>
      <c r="K80" s="17"/>
      <c r="M80" s="159"/>
      <c r="N80" s="66"/>
    </row>
    <row r="81" spans="3:14" ht="12.75">
      <c r="C81" s="17"/>
      <c r="D81" s="17"/>
      <c r="E81" s="89">
        <v>43795</v>
      </c>
      <c r="G81" s="45">
        <v>-19861.33</v>
      </c>
      <c r="H81" s="17"/>
      <c r="I81" s="25"/>
      <c r="J81" s="25"/>
      <c r="K81" s="17"/>
      <c r="M81" s="159"/>
      <c r="N81" s="66"/>
    </row>
    <row r="82" spans="3:14" ht="12.75">
      <c r="C82" s="17"/>
      <c r="D82" s="17"/>
      <c r="E82" s="89">
        <v>43830</v>
      </c>
      <c r="G82" s="45">
        <v>-5684</v>
      </c>
      <c r="H82" s="17"/>
      <c r="I82" s="25"/>
      <c r="J82" s="25"/>
      <c r="K82" s="17"/>
      <c r="M82" s="159"/>
      <c r="N82" s="66"/>
    </row>
    <row r="83" spans="3:14" ht="12.75">
      <c r="C83" s="17" t="s">
        <v>27</v>
      </c>
      <c r="D83" s="17"/>
      <c r="E83" s="89">
        <v>43620</v>
      </c>
      <c r="G83" s="45">
        <v>5990.27</v>
      </c>
      <c r="H83" s="17"/>
      <c r="I83" s="25"/>
      <c r="J83" s="25"/>
      <c r="K83" s="17"/>
      <c r="M83" s="159"/>
      <c r="N83" s="66"/>
    </row>
    <row r="84" spans="3:14" ht="12.75">
      <c r="C84" s="17"/>
      <c r="D84" s="17"/>
      <c r="E84" s="89">
        <v>43669</v>
      </c>
      <c r="G84" s="45">
        <v>23646.60</v>
      </c>
      <c r="H84" s="17"/>
      <c r="I84" s="25"/>
      <c r="J84" s="25"/>
      <c r="K84" s="17"/>
      <c r="M84" s="159"/>
      <c r="N84" s="66"/>
    </row>
    <row r="85" spans="3:14" ht="12.75">
      <c r="C85" s="17"/>
      <c r="D85" s="17"/>
      <c r="E85" s="89">
        <v>43717</v>
      </c>
      <c r="G85" s="45">
        <v>8039.89</v>
      </c>
      <c r="H85" s="17"/>
      <c r="I85" s="25"/>
      <c r="J85" s="25"/>
      <c r="K85" s="17"/>
      <c r="M85" s="159"/>
      <c r="N85" s="66"/>
    </row>
    <row r="86" spans="3:14" ht="12.75">
      <c r="C86" s="17" t="s">
        <v>33</v>
      </c>
      <c r="D86" s="17"/>
      <c r="E86" s="89">
        <v>43858</v>
      </c>
      <c r="G86" s="45">
        <v>-8656.67</v>
      </c>
      <c r="H86" s="17"/>
      <c r="I86" s="25"/>
      <c r="J86" s="25"/>
      <c r="K86" s="17"/>
      <c r="M86" s="159"/>
      <c r="N86" s="66"/>
    </row>
    <row r="87" spans="3:14" ht="12.75">
      <c r="C87" s="17"/>
      <c r="D87" s="17"/>
      <c r="E87" s="89">
        <v>43860</v>
      </c>
      <c r="G87" s="45">
        <v>-9734.67</v>
      </c>
      <c r="H87" s="17"/>
      <c r="I87" s="25"/>
      <c r="J87" s="25"/>
      <c r="K87" s="17"/>
      <c r="M87" s="159"/>
      <c r="N87" s="66"/>
    </row>
    <row r="88" spans="3:14" ht="12.75">
      <c r="C88" s="17"/>
      <c r="D88" s="17"/>
      <c r="E88" s="89">
        <v>43915</v>
      </c>
      <c r="G88" s="45">
        <v>-9211.99</v>
      </c>
      <c r="H88" s="17"/>
      <c r="I88" s="25"/>
      <c r="J88" s="25"/>
      <c r="K88" s="17"/>
      <c r="M88" s="159"/>
      <c r="N88" s="66"/>
    </row>
    <row r="89" spans="3:14" ht="12.75">
      <c r="C89" s="17"/>
      <c r="D89" s="17"/>
      <c r="E89" s="89">
        <v>43917</v>
      </c>
      <c r="G89" s="45">
        <v>-2263.8</v>
      </c>
      <c r="H89" s="17"/>
      <c r="I89" s="25"/>
      <c r="J89" s="25"/>
      <c r="K89" s="17"/>
      <c r="M89" s="159"/>
      <c r="N89" s="66"/>
    </row>
    <row r="90" spans="3:14" ht="12.75">
      <c r="C90" s="17"/>
      <c r="D90" s="17"/>
      <c r="E90" s="89">
        <v>43980</v>
      </c>
      <c r="G90" s="45">
        <v>-9571.33</v>
      </c>
      <c r="H90" s="17"/>
      <c r="I90" s="25"/>
      <c r="J90" s="25"/>
      <c r="K90" s="17"/>
      <c r="M90" s="159"/>
      <c r="N90" s="66"/>
    </row>
    <row r="91" spans="3:14" ht="12.75">
      <c r="C91" s="17"/>
      <c r="D91" s="17"/>
      <c r="E91" s="89">
        <v>43999</v>
      </c>
      <c r="G91" s="45">
        <v>-13066.67</v>
      </c>
      <c r="H91" s="17"/>
      <c r="I91" s="25"/>
      <c r="J91" s="25"/>
      <c r="K91" s="17"/>
      <c r="M91" s="159"/>
      <c r="N91" s="66"/>
    </row>
    <row r="92" spans="3:14" ht="12.75">
      <c r="C92" s="17"/>
      <c r="D92" s="17"/>
      <c r="E92" s="89">
        <v>44047</v>
      </c>
      <c r="G92" s="45">
        <v>-1057.55</v>
      </c>
      <c r="H92" s="17"/>
      <c r="I92" s="25"/>
      <c r="J92" s="25"/>
      <c r="K92" s="17"/>
      <c r="M92" s="159"/>
      <c r="N92" s="66"/>
    </row>
    <row r="93" spans="3:14" ht="15.75">
      <c r="C93" s="17" t="s">
        <v>47</v>
      </c>
      <c r="D93" s="17"/>
      <c r="E93" s="89">
        <v>43888</v>
      </c>
      <c r="G93" s="45">
        <v>30158.41</v>
      </c>
      <c r="H93" s="17"/>
      <c r="I93" s="25"/>
      <c r="J93" s="25"/>
      <c r="K93" s="17"/>
      <c r="L93" s="80"/>
      <c r="M93" s="159"/>
      <c r="N93" s="66"/>
    </row>
    <row r="94" spans="3:14" ht="12.75">
      <c r="C94" s="17"/>
      <c r="D94" s="17"/>
      <c r="E94" s="89">
        <v>44089</v>
      </c>
      <c r="G94" s="45">
        <v>4248.9</v>
      </c>
      <c r="H94" s="17"/>
      <c r="I94" s="25"/>
      <c r="J94" s="25"/>
      <c r="K94" s="17"/>
      <c r="L94" s="124">
        <v>152547856</v>
      </c>
      <c r="M94" s="159"/>
      <c r="N94" s="66"/>
    </row>
    <row r="95" spans="3:14" ht="15.75">
      <c r="C95" s="17" t="s">
        <v>34</v>
      </c>
      <c r="D95" s="17"/>
      <c r="E95" s="89">
        <v>44202</v>
      </c>
      <c r="G95" s="45">
        <v>-6370</v>
      </c>
      <c r="H95" s="17"/>
      <c r="I95" s="25"/>
      <c r="J95" s="25"/>
      <c r="K95" s="17"/>
      <c r="L95" s="80"/>
      <c r="M95" s="159"/>
      <c r="N95" s="66"/>
    </row>
    <row r="96" spans="3:14" ht="15.75">
      <c r="C96" s="17"/>
      <c r="D96" s="17"/>
      <c r="E96" s="89">
        <v>44377</v>
      </c>
      <c r="G96" s="45">
        <v>-3070.67</v>
      </c>
      <c r="H96" s="17"/>
      <c r="I96" s="25"/>
      <c r="J96" s="25"/>
      <c r="K96" s="17"/>
      <c r="L96" s="80"/>
      <c r="M96" s="159"/>
      <c r="N96" s="66"/>
    </row>
    <row r="97" spans="3:14" ht="15.75">
      <c r="C97" s="17"/>
      <c r="D97" s="17"/>
      <c r="E97" s="89">
        <v>44469</v>
      </c>
      <c r="G97" s="45">
        <v>-3038</v>
      </c>
      <c r="H97" s="17"/>
      <c r="I97" s="25"/>
      <c r="J97" s="25"/>
      <c r="K97" s="17"/>
      <c r="L97" s="80"/>
      <c r="M97" s="159"/>
      <c r="N97" s="66"/>
    </row>
    <row r="98" spans="3:14" ht="15.75">
      <c r="C98" s="17"/>
      <c r="D98" s="17"/>
      <c r="E98" s="89">
        <v>44545</v>
      </c>
      <c r="G98" s="45">
        <v>-3038</v>
      </c>
      <c r="H98" s="17"/>
      <c r="I98" s="25"/>
      <c r="J98" s="25"/>
      <c r="K98" s="17"/>
      <c r="L98" s="80"/>
      <c r="M98" s="159"/>
      <c r="N98" s="66"/>
    </row>
    <row r="99" spans="3:14" ht="15.75">
      <c r="C99" s="17" t="s">
        <v>28</v>
      </c>
      <c r="D99" s="17"/>
      <c r="E99" s="89">
        <v>44265</v>
      </c>
      <c r="G99" s="45">
        <v>15001.02</v>
      </c>
      <c r="H99" s="17"/>
      <c r="I99" s="25"/>
      <c r="J99" s="25"/>
      <c r="K99" s="17"/>
      <c r="L99" s="80"/>
      <c r="M99" s="159"/>
      <c r="N99" s="66"/>
    </row>
    <row r="100" spans="3:14" ht="15.75">
      <c r="C100" s="17"/>
      <c r="D100" s="17"/>
      <c r="E100" s="89">
        <v>44376</v>
      </c>
      <c r="G100" s="45">
        <v>7531.51</v>
      </c>
      <c r="H100" s="17"/>
      <c r="I100" s="25"/>
      <c r="J100" s="25"/>
      <c r="K100" s="17"/>
      <c r="L100" s="80"/>
      <c r="M100" s="159"/>
      <c r="N100" s="66"/>
    </row>
    <row r="101" spans="3:14" ht="15.75">
      <c r="C101" s="17"/>
      <c r="D101" s="17"/>
      <c r="E101" s="89">
        <v>44449</v>
      </c>
      <c r="G101" s="45">
        <v>13342.52</v>
      </c>
      <c r="H101" s="17"/>
      <c r="I101" s="25"/>
      <c r="J101" s="25"/>
      <c r="K101" s="17"/>
      <c r="L101" s="80"/>
      <c r="M101" s="159"/>
      <c r="N101" s="66"/>
    </row>
    <row r="102" spans="3:14" ht="15.75">
      <c r="C102" s="17"/>
      <c r="D102" s="17"/>
      <c r="E102" s="89">
        <v>44488</v>
      </c>
      <c r="G102" s="45">
        <v>190071.21</v>
      </c>
      <c r="H102" s="17"/>
      <c r="I102" s="25"/>
      <c r="J102" s="25"/>
      <c r="K102" s="17"/>
      <c r="L102" s="80"/>
      <c r="M102" s="159"/>
      <c r="N102" s="66"/>
    </row>
    <row r="103" spans="3:14" ht="15.75">
      <c r="C103" s="17"/>
      <c r="D103" s="17"/>
      <c r="E103" s="89">
        <v>44540</v>
      </c>
      <c r="G103" s="45">
        <v>17853.65</v>
      </c>
      <c r="H103" s="17"/>
      <c r="I103" s="25"/>
      <c r="J103" s="25"/>
      <c r="K103" s="17"/>
      <c r="L103" s="80"/>
      <c r="M103" s="159"/>
      <c r="N103" s="66"/>
    </row>
    <row r="104" spans="3:14" ht="15.75">
      <c r="C104" s="17" t="s">
        <v>35</v>
      </c>
      <c r="D104" s="17"/>
      <c r="E104" s="89">
        <v>44650</v>
      </c>
      <c r="G104" s="45">
        <v>-2678.67</v>
      </c>
      <c r="H104" s="17"/>
      <c r="I104" s="25"/>
      <c r="J104" s="25"/>
      <c r="K104" s="17"/>
      <c r="L104" s="80"/>
      <c r="M104" s="159"/>
      <c r="N104" s="66"/>
    </row>
    <row r="105" spans="3:14" ht="15.75">
      <c r="C105" s="17"/>
      <c r="D105" s="17"/>
      <c r="E105" s="89">
        <v>44742</v>
      </c>
      <c r="G105" s="45">
        <v>-2417.33</v>
      </c>
      <c r="H105" s="17"/>
      <c r="I105" s="25"/>
      <c r="J105" s="25"/>
      <c r="K105" s="17"/>
      <c r="L105" s="80"/>
      <c r="M105" s="159"/>
      <c r="N105" s="66"/>
    </row>
    <row r="106" spans="3:14" ht="15.75">
      <c r="C106" s="17"/>
      <c r="D106" s="17"/>
      <c r="E106" s="89">
        <v>44827</v>
      </c>
      <c r="G106" s="45">
        <v>-2417.33</v>
      </c>
      <c r="H106" s="17"/>
      <c r="I106" s="25"/>
      <c r="J106" s="25"/>
      <c r="K106" s="17"/>
      <c r="L106" s="80"/>
      <c r="M106" s="159"/>
      <c r="N106" s="66"/>
    </row>
    <row r="107" spans="3:14" ht="15.75">
      <c r="C107" s="17" t="s">
        <v>29</v>
      </c>
      <c r="D107" s="17"/>
      <c r="E107" s="89">
        <v>44645</v>
      </c>
      <c r="G107" s="45">
        <v>16817.66</v>
      </c>
      <c r="H107" s="17"/>
      <c r="I107" s="25"/>
      <c r="J107" s="25"/>
      <c r="K107" s="17"/>
      <c r="L107" s="80"/>
      <c r="M107" s="159"/>
      <c r="N107" s="66"/>
    </row>
    <row r="108" spans="3:14" ht="15.75">
      <c r="C108" s="17"/>
      <c r="D108" s="17"/>
      <c r="E108" s="89">
        <v>44721</v>
      </c>
      <c r="G108" s="45">
        <v>8138.11</v>
      </c>
      <c r="H108" s="17"/>
      <c r="I108" s="25"/>
      <c r="J108" s="25"/>
      <c r="K108" s="17"/>
      <c r="L108" s="80"/>
      <c r="M108" s="159"/>
      <c r="N108" s="66"/>
    </row>
    <row r="109" spans="3:14" ht="15.75">
      <c r="C109" s="17"/>
      <c r="D109" s="17"/>
      <c r="E109" s="89">
        <v>44791</v>
      </c>
      <c r="G109" s="45">
        <v>35303.34</v>
      </c>
      <c r="H109" s="17"/>
      <c r="I109" s="25"/>
      <c r="J109" s="25"/>
      <c r="K109" s="17"/>
      <c r="L109" s="80"/>
      <c r="M109" s="159"/>
      <c r="N109" s="66"/>
    </row>
    <row r="110" spans="3:10" ht="4.5" customHeight="1">
      <c r="C110" s="17"/>
      <c r="D110" s="17"/>
      <c r="E110" s="89"/>
      <c r="F110" s="17"/>
      <c r="G110" s="45"/>
      <c r="H110" s="17"/>
      <c r="I110" s="25"/>
      <c r="J110" s="25"/>
    </row>
    <row r="111" spans="3:13" ht="12.75">
      <c r="C111" s="17" t="s">
        <v>5</v>
      </c>
      <c r="D111" s="17"/>
      <c r="E111" s="89">
        <f>+E8</f>
        <v>44834</v>
      </c>
      <c r="F111" s="17"/>
      <c r="G111" s="94">
        <f>L94*C22</f>
        <v>768502.995643248</v>
      </c>
      <c r="H111" s="17"/>
      <c r="I111" s="45">
        <f>+SUMIF($G$24:$G$110,"&lt;0",$G$24:$G$110)+G58+G66</f>
        <v>-1181433.2600000002</v>
      </c>
      <c r="J111" s="17" t="s">
        <v>20</v>
      </c>
      <c r="M111" s="134"/>
    </row>
    <row r="112" spans="3:10" ht="12.75">
      <c r="C112" s="17"/>
      <c r="D112" s="17"/>
      <c r="E112" s="17"/>
      <c r="F112" s="17"/>
      <c r="G112" s="17"/>
      <c r="H112" s="17"/>
      <c r="I112" s="45">
        <f>+SUMIF($G$24:$G$110,"&gt;0",$G$24:$G$110)-G58-G66</f>
        <v>796999.2200000001</v>
      </c>
      <c r="J112" s="17" t="s">
        <v>21</v>
      </c>
    </row>
    <row r="113" spans="3:8" ht="12.75">
      <c r="C113" s="15" t="s">
        <v>0</v>
      </c>
      <c r="G113" s="72">
        <f>+XIRR(G24:G111,E24:E111)</f>
        <v>0.09917400479316713</v>
      </c>
      <c r="H113" s="17"/>
    </row>
    <row r="114" spans="3:8" ht="12.75">
      <c r="C114" s="17"/>
      <c r="D114" s="17"/>
      <c r="E114" s="17"/>
      <c r="F114" s="17"/>
      <c r="G114" s="17"/>
      <c r="H114" s="17"/>
    </row>
    <row r="115" spans="3:8" ht="12.75">
      <c r="C115" s="17"/>
      <c r="D115" s="17"/>
      <c r="E115" s="17"/>
      <c r="F115" s="17"/>
      <c r="G115" s="17"/>
      <c r="H115" s="17"/>
    </row>
    <row r="116" spans="3:8" ht="12.75">
      <c r="C116" s="28"/>
      <c r="D116" s="28"/>
      <c r="E116" s="17"/>
      <c r="F116" s="17"/>
      <c r="G116" s="17"/>
      <c r="H116" s="17"/>
    </row>
    <row r="117" spans="3:8" ht="12.75">
      <c r="C117" s="28"/>
      <c r="D117" s="28"/>
      <c r="E117" s="76"/>
      <c r="F117" s="76"/>
      <c r="G117" s="76"/>
      <c r="H117" s="15"/>
    </row>
    <row r="118" spans="3:8" ht="12.75">
      <c r="C118" s="28"/>
      <c r="D118" s="28"/>
      <c r="E118" s="75"/>
      <c r="F118" s="75"/>
      <c r="G118" s="75"/>
      <c r="H118" s="15"/>
    </row>
    <row r="119" spans="3:8" ht="12.75">
      <c r="C119" s="28"/>
      <c r="D119" s="28"/>
      <c r="E119" s="28"/>
      <c r="F119" s="28"/>
      <c r="G119" s="28"/>
      <c r="H119" s="15"/>
    </row>
    <row r="120" spans="3:8" ht="12.75">
      <c r="C120" s="171"/>
      <c r="D120" s="171"/>
      <c r="E120" s="173"/>
      <c r="F120" s="97"/>
      <c r="G120" s="32"/>
      <c r="H120" s="17"/>
    </row>
    <row r="121" spans="3:8" ht="12.75">
      <c r="C121" s="171"/>
      <c r="D121" s="171"/>
      <c r="E121" s="97"/>
      <c r="F121" s="97"/>
      <c r="G121" s="97"/>
      <c r="H121" s="17"/>
    </row>
    <row r="122" spans="3:8" ht="12.75">
      <c r="C122" s="171"/>
      <c r="D122" s="171"/>
      <c r="E122" s="97"/>
      <c r="F122" s="97"/>
      <c r="G122" s="97"/>
      <c r="H122" s="17"/>
    </row>
    <row r="123" spans="3:8" ht="12.75">
      <c r="C123" s="189"/>
      <c r="D123" s="171"/>
      <c r="E123" s="97"/>
      <c r="F123" s="97"/>
      <c r="G123" s="97"/>
      <c r="H123" s="17"/>
    </row>
    <row r="124" spans="3:8" ht="12.75">
      <c r="C124" s="189"/>
      <c r="D124" s="171"/>
      <c r="E124" s="97"/>
      <c r="F124" s="97"/>
      <c r="G124" s="97"/>
      <c r="H124" s="17"/>
    </row>
    <row r="125" spans="3:8" ht="12.75">
      <c r="C125" s="190"/>
      <c r="D125" s="171"/>
      <c r="E125" s="97"/>
      <c r="F125" s="97"/>
      <c r="G125" s="97"/>
      <c r="H125" s="17"/>
    </row>
    <row r="126" spans="3:8" ht="12.75">
      <c r="C126" s="171"/>
      <c r="D126" s="171"/>
      <c r="E126" s="97"/>
      <c r="F126" s="97"/>
      <c r="G126" s="97"/>
      <c r="H126" s="17"/>
    </row>
    <row r="127" spans="3:8" ht="12.75">
      <c r="C127" s="171"/>
      <c r="D127" s="171"/>
      <c r="E127" s="97"/>
      <c r="F127" s="97"/>
      <c r="G127" s="97"/>
      <c r="H127" s="17"/>
    </row>
    <row r="128" spans="3:8" ht="12.75">
      <c r="C128" s="171"/>
      <c r="D128" s="171"/>
      <c r="E128" s="97"/>
      <c r="F128" s="97"/>
      <c r="G128" s="97"/>
      <c r="H128" s="17"/>
    </row>
    <row r="129" spans="3:8" ht="12.75">
      <c r="C129" s="171"/>
      <c r="D129" s="171"/>
      <c r="E129" s="97"/>
      <c r="F129" s="97"/>
      <c r="G129" s="97"/>
      <c r="H129" s="17"/>
    </row>
    <row r="130" spans="3:8" ht="12.75">
      <c r="C130" s="171"/>
      <c r="D130" s="171"/>
      <c r="E130" s="97"/>
      <c r="F130" s="97"/>
      <c r="G130" s="97"/>
      <c r="H130" s="17"/>
    </row>
    <row r="131" spans="3:8" ht="12.75">
      <c r="C131" s="171"/>
      <c r="D131" s="171"/>
      <c r="E131" s="97"/>
      <c r="F131" s="97"/>
      <c r="G131" s="97"/>
      <c r="H131" s="17"/>
    </row>
    <row r="132" spans="3:8" ht="4.9" customHeight="1">
      <c r="C132" s="17"/>
      <c r="D132" s="17"/>
      <c r="E132" s="17"/>
      <c r="F132" s="17"/>
      <c r="G132" s="17"/>
      <c r="H132" s="17"/>
    </row>
    <row r="133" spans="3:8" ht="12.75">
      <c r="C133" s="17"/>
      <c r="D133" s="17"/>
      <c r="E133" s="17"/>
      <c r="F133" s="17"/>
      <c r="G133" s="17"/>
      <c r="H133" s="17"/>
    </row>
  </sheetData>
  <mergeCells count="1">
    <mergeCell ref="E117:G117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7A4D2F7-4F83-4FFC-8A02-CE0613082D40}">
  <sheetPr>
    <pageSetUpPr fitToPage="1"/>
  </sheetPr>
  <dimension ref="B4:Q82"/>
  <sheetViews>
    <sheetView showGridLines="0" view="pageLayout" zoomScaleNormal="100" workbookViewId="0" topLeftCell="A1">
      <selection pane="topLeft" activeCell="C1" sqref="C1"/>
    </sheetView>
  </sheetViews>
  <sheetFormatPr defaultRowHeight="12.75"/>
  <cols>
    <col min="2" max="2" width="4.857142857142857" customWidth="1"/>
    <col min="3" max="3" width="50.142857142857146" customWidth="1"/>
    <col min="4" max="4" width="1.4285714285714286" customWidth="1"/>
    <col min="5" max="5" width="12.142857142857142" bestFit="1" customWidth="1"/>
    <col min="6" max="6" width="1.4285714285714286" customWidth="1"/>
    <col min="7" max="7" width="12.285714285714286" customWidth="1"/>
    <col min="8" max="8" width="2.4285714285714284" customWidth="1"/>
    <col min="9" max="9" width="11.714285714285714" bestFit="1" customWidth="1"/>
    <col min="10" max="10" width="11.714285714285714" customWidth="1"/>
    <col min="12" max="12" width="18.571428571428573" customWidth="1"/>
    <col min="13" max="13" width="16.571428571428573" bestFit="1" customWidth="1"/>
    <col min="14" max="14" width="10.142857142857142" bestFit="1" customWidth="1"/>
    <col min="15" max="15" width="11.285714285714286" bestFit="1" customWidth="1"/>
    <col min="16" max="16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77">
        <v>44834</v>
      </c>
      <c r="F8" s="13"/>
      <c r="G8" s="78"/>
      <c r="H8" s="78"/>
      <c r="I8" s="79"/>
    </row>
    <row r="9" spans="3:7" ht="15.75">
      <c r="C9" s="182"/>
      <c r="D9" s="182"/>
      <c r="E9" s="182"/>
      <c r="F9" s="182"/>
      <c r="G9" s="183"/>
    </row>
    <row r="10" spans="3:15" ht="12.75">
      <c r="C10" s="184"/>
      <c r="D10" s="184"/>
      <c r="E10" s="185"/>
      <c r="F10" s="184"/>
      <c r="G10" s="124"/>
      <c r="H10" s="81"/>
      <c r="I10" s="82"/>
      <c r="O10" s="125"/>
    </row>
    <row r="11" spans="3:9" ht="12.75">
      <c r="C11" s="184"/>
      <c r="D11" s="184"/>
      <c r="E11" s="185"/>
      <c r="F11" s="184"/>
      <c r="G11" s="185"/>
      <c r="H11" s="81"/>
      <c r="I11" s="82"/>
    </row>
    <row r="12" spans="3:9" ht="15.75">
      <c r="C12" s="166"/>
      <c r="D12" s="166"/>
      <c r="E12" s="186"/>
      <c r="F12" s="166"/>
      <c r="G12" s="186"/>
      <c r="H12" s="5"/>
      <c r="I12" s="82"/>
    </row>
    <row r="13" spans="3:15" ht="12.75">
      <c r="C13" s="184"/>
      <c r="D13" s="184"/>
      <c r="E13" s="187"/>
      <c r="F13" s="184"/>
      <c r="G13" s="124"/>
      <c r="H13" s="84"/>
      <c r="I13" s="82"/>
      <c r="O13" s="125"/>
    </row>
    <row r="14" spans="3:9" ht="12.75">
      <c r="C14" s="184"/>
      <c r="D14" s="184"/>
      <c r="E14" s="188"/>
      <c r="F14" s="184"/>
      <c r="G14" s="124"/>
      <c r="H14" s="85"/>
      <c r="I14" s="82"/>
    </row>
    <row r="15" spans="3:9" ht="12.75">
      <c r="C15" s="184"/>
      <c r="D15" s="184"/>
      <c r="E15" s="185"/>
      <c r="F15" s="184"/>
      <c r="G15" s="185"/>
      <c r="H15" s="81"/>
      <c r="I15" s="82"/>
    </row>
    <row r="16" spans="3:9" ht="15.75">
      <c r="C16" s="5"/>
      <c r="D16" s="5"/>
      <c r="E16" s="10"/>
      <c r="F16" s="5"/>
      <c r="G16" s="10"/>
      <c r="H16" s="5"/>
      <c r="I16" s="82"/>
    </row>
    <row r="17" spans="3:14" ht="15.75">
      <c r="C17" s="83" t="s">
        <v>15</v>
      </c>
      <c r="D17" s="83"/>
      <c r="E17" s="10"/>
      <c r="F17" s="83"/>
      <c r="G17" s="10"/>
      <c r="H17" s="5"/>
      <c r="I17" s="86"/>
      <c r="J17" s="111"/>
      <c r="K17" s="111"/>
      <c r="L17" s="111"/>
      <c r="M17" s="111"/>
      <c r="N17" s="111"/>
    </row>
    <row r="18" spans="3:14" ht="12.75" customHeight="1">
      <c r="C18" s="6" t="s">
        <v>16</v>
      </c>
      <c r="D18" s="6"/>
      <c r="E18" s="84">
        <f>G60</f>
        <v>0.08614051640033725</v>
      </c>
      <c r="F18" s="6"/>
      <c r="G18" s="11"/>
      <c r="H18" s="84"/>
      <c r="I18" s="86"/>
      <c r="J18" s="126"/>
      <c r="K18" s="111"/>
      <c r="L18" s="127"/>
      <c r="M18" s="128"/>
      <c r="N18" s="111"/>
    </row>
    <row r="19" spans="3:14" ht="12.75">
      <c r="C19" s="6" t="s">
        <v>17</v>
      </c>
      <c r="D19" s="6"/>
      <c r="E19" s="87">
        <f>-(G58+I59)/I58</f>
        <v>1.1744791438579758</v>
      </c>
      <c r="F19" s="6"/>
      <c r="G19" s="9"/>
      <c r="H19" s="81"/>
      <c r="J19" s="126"/>
      <c r="K19" s="111"/>
      <c r="L19" s="127"/>
      <c r="M19" s="128"/>
      <c r="N19" s="113"/>
    </row>
    <row r="20" spans="3:14" ht="12.75">
      <c r="C20" s="6"/>
      <c r="D20" s="6"/>
      <c r="E20" s="6"/>
      <c r="F20" s="6"/>
      <c r="G20" s="81"/>
      <c r="J20" s="126"/>
      <c r="K20" s="111"/>
      <c r="L20" s="127"/>
      <c r="M20" s="128"/>
      <c r="N20" s="111"/>
    </row>
    <row r="21" spans="3:14" ht="15.75">
      <c r="C21" s="88" t="s">
        <v>50</v>
      </c>
      <c r="D21" s="7"/>
      <c r="E21" s="7"/>
      <c r="F21" s="7"/>
      <c r="I21" s="89"/>
      <c r="J21" s="126"/>
      <c r="K21" s="111"/>
      <c r="L21" s="127"/>
      <c r="M21" s="128"/>
      <c r="N21" s="113"/>
    </row>
    <row r="22" spans="3:14" ht="12.75">
      <c r="C22" s="90">
        <v>7.53846E-4</v>
      </c>
      <c r="D22" s="17"/>
      <c r="E22" s="17"/>
      <c r="F22" s="17"/>
      <c r="G22" s="91"/>
      <c r="H22" s="17"/>
      <c r="I22" s="17"/>
      <c r="J22" s="126"/>
      <c r="K22" s="111"/>
      <c r="L22" s="127"/>
      <c r="M22" s="128"/>
      <c r="N22" s="111"/>
    </row>
    <row r="23" spans="3:14" ht="15.75">
      <c r="C23" s="17"/>
      <c r="D23" s="17"/>
      <c r="E23" s="89"/>
      <c r="F23" s="45"/>
      <c r="G23" s="45"/>
      <c r="H23" s="17"/>
      <c r="I23" s="25"/>
      <c r="J23" s="94"/>
      <c r="K23" s="42"/>
      <c r="L23" s="177"/>
      <c r="M23" s="128"/>
      <c r="N23" s="111"/>
    </row>
    <row r="24" spans="3:15" ht="12.75">
      <c r="C24" s="17" t="s">
        <v>31</v>
      </c>
      <c r="D24" s="17"/>
      <c r="E24" s="89">
        <v>43136</v>
      </c>
      <c r="F24" s="45"/>
      <c r="G24" s="45">
        <v>-100336.92</v>
      </c>
      <c r="H24" s="17"/>
      <c r="I24" s="25"/>
      <c r="J24" s="94"/>
      <c r="K24" s="41"/>
      <c r="L24" s="124"/>
      <c r="M24" s="128"/>
      <c r="N24" s="111"/>
      <c r="O24" s="25"/>
    </row>
    <row r="25" spans="3:15" ht="12.75">
      <c r="C25" s="17"/>
      <c r="D25" s="17"/>
      <c r="E25" s="89">
        <v>43193</v>
      </c>
      <c r="F25" s="45"/>
      <c r="G25" s="45">
        <v>-10327.69</v>
      </c>
      <c r="H25" s="17"/>
      <c r="I25" s="25"/>
      <c r="J25" s="94"/>
      <c r="K25" s="202"/>
      <c r="L25" s="124"/>
      <c r="M25" s="128"/>
      <c r="N25" s="111"/>
      <c r="O25" s="25"/>
    </row>
    <row r="26" spans="3:15" ht="12.75">
      <c r="C26" s="17"/>
      <c r="D26" s="17"/>
      <c r="E26" s="89">
        <v>43286</v>
      </c>
      <c r="F26" s="45"/>
      <c r="G26" s="45">
        <v>-9423.08</v>
      </c>
      <c r="H26" s="17"/>
      <c r="I26" s="25"/>
      <c r="J26" s="94"/>
      <c r="K26" s="202"/>
      <c r="L26" s="124"/>
      <c r="M26" s="128"/>
      <c r="N26" s="111"/>
      <c r="O26" s="25"/>
    </row>
    <row r="27" spans="3:15" ht="12.75">
      <c r="C27" s="17"/>
      <c r="D27" s="17"/>
      <c r="E27" s="89">
        <v>43328</v>
      </c>
      <c r="F27" s="45"/>
      <c r="G27" s="45">
        <v>-35355.39</v>
      </c>
      <c r="H27" s="17"/>
      <c r="I27" s="25"/>
      <c r="J27" s="94"/>
      <c r="K27" s="202"/>
      <c r="L27" s="124"/>
      <c r="M27" s="128"/>
      <c r="N27" s="111"/>
      <c r="O27" s="25"/>
    </row>
    <row r="28" spans="3:14" ht="12.75">
      <c r="C28" s="17"/>
      <c r="D28" s="17"/>
      <c r="E28" s="89">
        <v>43369</v>
      </c>
      <c r="F28" s="45"/>
      <c r="G28" s="45">
        <v>-734246.17</v>
      </c>
      <c r="H28" s="17"/>
      <c r="I28" s="25"/>
      <c r="J28" s="94"/>
      <c r="K28" s="202"/>
      <c r="L28" s="201"/>
      <c r="M28" s="128"/>
      <c r="N28" s="111"/>
    </row>
    <row r="29" spans="3:14" ht="12.75">
      <c r="C29" s="17"/>
      <c r="D29" s="17"/>
      <c r="E29" s="89">
        <v>43391</v>
      </c>
      <c r="F29" s="45"/>
      <c r="G29" s="45">
        <v>196000</v>
      </c>
      <c r="H29" s="17"/>
      <c r="I29" s="25"/>
      <c r="J29" s="44"/>
      <c r="K29" s="41"/>
      <c r="L29" s="42"/>
      <c r="M29" s="111"/>
      <c r="N29" s="111"/>
    </row>
    <row r="30" spans="3:14" ht="12.75">
      <c r="C30" s="17"/>
      <c r="D30" s="17"/>
      <c r="E30" s="89">
        <v>43461</v>
      </c>
      <c r="F30" s="45"/>
      <c r="G30" s="45">
        <v>-12740.01</v>
      </c>
      <c r="H30" s="17"/>
      <c r="I30" s="25"/>
      <c r="J30" s="44"/>
      <c r="K30" s="41"/>
      <c r="L30" s="42"/>
      <c r="M30" s="111"/>
      <c r="N30" s="111"/>
    </row>
    <row r="31" spans="3:15" ht="12.75">
      <c r="C31" s="17" t="s">
        <v>32</v>
      </c>
      <c r="D31" s="17"/>
      <c r="E31" s="89">
        <v>43494</v>
      </c>
      <c r="F31" s="45"/>
      <c r="G31" s="45">
        <v>-19675.39</v>
      </c>
      <c r="H31" s="17"/>
      <c r="I31" s="25"/>
      <c r="J31" s="25"/>
      <c r="K31" s="17"/>
      <c r="N31" s="159"/>
      <c r="O31" s="66"/>
    </row>
    <row r="32" spans="3:15" ht="12.75">
      <c r="C32" s="17"/>
      <c r="D32" s="17"/>
      <c r="E32" s="89">
        <v>43622</v>
      </c>
      <c r="F32" s="45"/>
      <c r="G32" s="45">
        <v>-13116.92</v>
      </c>
      <c r="H32" s="17"/>
      <c r="I32" s="25"/>
      <c r="J32" s="25"/>
      <c r="K32" s="17"/>
      <c r="N32" s="159"/>
      <c r="O32" s="66"/>
    </row>
    <row r="33" spans="3:15" ht="12.75">
      <c r="C33" s="17"/>
      <c r="D33" s="17"/>
      <c r="E33" s="89">
        <v>43670</v>
      </c>
      <c r="F33" s="45"/>
      <c r="G33" s="45">
        <v>-19750.78</v>
      </c>
      <c r="H33" s="17"/>
      <c r="I33" s="25"/>
      <c r="J33" s="25"/>
      <c r="K33" s="17"/>
      <c r="N33" s="159"/>
      <c r="O33" s="66"/>
    </row>
    <row r="34" spans="3:15" ht="12.75">
      <c r="C34" s="17"/>
      <c r="D34" s="17"/>
      <c r="E34" s="89">
        <v>43742</v>
      </c>
      <c r="F34" s="45"/>
      <c r="G34" s="45">
        <v>-14323.08</v>
      </c>
      <c r="H34" s="17"/>
      <c r="I34" s="25"/>
      <c r="J34" s="25"/>
      <c r="K34" s="17"/>
      <c r="N34" s="159"/>
      <c r="O34" s="66"/>
    </row>
    <row r="35" spans="3:15" ht="12.75">
      <c r="C35" s="17"/>
      <c r="D35" s="17"/>
      <c r="E35" s="89">
        <v>43794</v>
      </c>
      <c r="F35" s="45"/>
      <c r="G35" s="45">
        <v>-35053.83</v>
      </c>
      <c r="H35" s="17"/>
      <c r="I35" s="25"/>
      <c r="J35" s="25"/>
      <c r="K35" s="17"/>
      <c r="N35" s="159"/>
      <c r="O35" s="66"/>
    </row>
    <row r="36" spans="3:15" ht="12.75">
      <c r="C36" s="17"/>
      <c r="D36" s="17"/>
      <c r="E36" s="89">
        <v>43801</v>
      </c>
      <c r="F36" s="45"/>
      <c r="G36" s="45">
        <v>-67167.69</v>
      </c>
      <c r="H36" s="17"/>
      <c r="I36" s="25"/>
      <c r="J36" s="25"/>
      <c r="K36" s="17"/>
      <c r="N36" s="159"/>
      <c r="O36" s="66"/>
    </row>
    <row r="37" spans="3:15" ht="12.75">
      <c r="C37" s="17" t="s">
        <v>27</v>
      </c>
      <c r="D37" s="17"/>
      <c r="E37" s="89">
        <v>43671</v>
      </c>
      <c r="F37" s="45"/>
      <c r="G37" s="45">
        <v>65298.04</v>
      </c>
      <c r="H37" s="17"/>
      <c r="I37" s="25"/>
      <c r="J37" s="25"/>
      <c r="K37" s="17"/>
      <c r="N37" s="159"/>
      <c r="O37" s="66"/>
    </row>
    <row r="38" spans="3:15" ht="13.5" customHeight="1">
      <c r="C38" s="17" t="s">
        <v>33</v>
      </c>
      <c r="D38" s="17"/>
      <c r="E38" s="89">
        <v>43859</v>
      </c>
      <c r="F38" s="45"/>
      <c r="G38" s="45">
        <v>-18996.92</v>
      </c>
      <c r="H38" s="17"/>
      <c r="I38" s="25"/>
      <c r="J38" s="25"/>
      <c r="K38" s="17"/>
      <c r="N38" s="159"/>
      <c r="O38" s="66"/>
    </row>
    <row r="39" spans="3:15" ht="13.5" customHeight="1">
      <c r="C39" s="17"/>
      <c r="D39" s="17"/>
      <c r="E39" s="89">
        <v>43916</v>
      </c>
      <c r="F39" s="45"/>
      <c r="G39" s="45">
        <v>-18619.99</v>
      </c>
      <c r="H39" s="17"/>
      <c r="I39" s="25"/>
      <c r="J39" s="25"/>
      <c r="K39" s="17"/>
      <c r="N39" s="159"/>
      <c r="O39" s="66"/>
    </row>
    <row r="40" spans="3:15" ht="13.5" customHeight="1">
      <c r="C40" s="17"/>
      <c r="D40" s="17"/>
      <c r="E40" s="89">
        <v>44103</v>
      </c>
      <c r="F40" s="45"/>
      <c r="G40" s="45">
        <v>-24047.70</v>
      </c>
      <c r="H40" s="17"/>
      <c r="I40" s="25"/>
      <c r="J40" s="25"/>
      <c r="K40" s="17"/>
      <c r="N40" s="159"/>
      <c r="O40" s="66"/>
    </row>
    <row r="41" spans="3:15" ht="13.5" customHeight="1">
      <c r="C41" s="17"/>
      <c r="D41" s="17"/>
      <c r="E41" s="89">
        <v>44126</v>
      </c>
      <c r="F41" s="45"/>
      <c r="G41" s="45">
        <v>-80661.55</v>
      </c>
      <c r="H41" s="17"/>
      <c r="I41" s="25"/>
      <c r="J41" s="25"/>
      <c r="K41" s="17"/>
      <c r="L41" s="80"/>
      <c r="N41" s="159"/>
      <c r="O41" s="66"/>
    </row>
    <row r="42" spans="3:16" ht="13.5" customHeight="1">
      <c r="C42" s="17" t="s">
        <v>34</v>
      </c>
      <c r="D42" s="17"/>
      <c r="E42" s="89">
        <v>44200</v>
      </c>
      <c r="F42" s="45"/>
      <c r="G42" s="45">
        <v>-13267.70</v>
      </c>
      <c r="H42" s="17"/>
      <c r="I42" s="25"/>
      <c r="J42" s="25"/>
      <c r="K42" s="17"/>
      <c r="L42" s="80"/>
      <c r="N42" s="159"/>
      <c r="O42" s="66"/>
      <c r="P42" s="93"/>
    </row>
    <row r="43" spans="3:15" ht="13.5" customHeight="1">
      <c r="C43" s="17"/>
      <c r="D43" s="17"/>
      <c r="E43" s="89">
        <v>44376</v>
      </c>
      <c r="F43" s="45"/>
      <c r="G43" s="45">
        <v>-14323.07</v>
      </c>
      <c r="H43" s="17"/>
      <c r="I43" s="25"/>
      <c r="J43" s="25"/>
      <c r="K43" s="17"/>
      <c r="L43" s="80"/>
      <c r="N43" s="159"/>
      <c r="O43" s="66"/>
    </row>
    <row r="44" spans="3:15" ht="13.5" customHeight="1">
      <c r="C44" s="17"/>
      <c r="D44" s="17"/>
      <c r="E44" s="89">
        <v>44466</v>
      </c>
      <c r="F44" s="45"/>
      <c r="G44" s="45">
        <v>-9423.08</v>
      </c>
      <c r="H44" s="17"/>
      <c r="I44" s="25"/>
      <c r="J44" s="25"/>
      <c r="K44" s="17"/>
      <c r="L44" s="80"/>
      <c r="N44" s="159"/>
      <c r="O44" s="66"/>
    </row>
    <row r="45" spans="3:15" ht="13.5" customHeight="1">
      <c r="C45" s="17"/>
      <c r="D45" s="17"/>
      <c r="E45" s="89">
        <v>44530</v>
      </c>
      <c r="F45" s="45"/>
      <c r="G45" s="45">
        <v>-18619.99</v>
      </c>
      <c r="H45" s="17"/>
      <c r="I45" s="25"/>
      <c r="J45" s="25"/>
      <c r="K45" s="17"/>
      <c r="L45" s="80"/>
      <c r="N45" s="159"/>
      <c r="O45" s="66"/>
    </row>
    <row r="46" spans="3:15" ht="13.5" customHeight="1">
      <c r="C46" s="17" t="s">
        <v>28</v>
      </c>
      <c r="D46" s="17"/>
      <c r="E46" s="89">
        <v>44463</v>
      </c>
      <c r="F46" s="45"/>
      <c r="G46" s="45">
        <v>12662.99</v>
      </c>
      <c r="H46" s="17"/>
      <c r="I46" s="25"/>
      <c r="J46" s="25"/>
      <c r="K46" s="17"/>
      <c r="L46" s="80"/>
      <c r="N46" s="159"/>
      <c r="O46" s="66"/>
    </row>
    <row r="47" spans="3:15" ht="13.5" customHeight="1">
      <c r="C47" s="17"/>
      <c r="D47" s="17"/>
      <c r="E47" s="89">
        <v>44484</v>
      </c>
      <c r="F47" s="45"/>
      <c r="G47" s="45">
        <v>484615.55</v>
      </c>
      <c r="H47" s="17"/>
      <c r="I47" s="25"/>
      <c r="J47" s="25"/>
      <c r="K47" s="17"/>
      <c r="L47" s="80"/>
      <c r="N47" s="159"/>
      <c r="O47" s="66"/>
    </row>
    <row r="48" spans="3:15" ht="13.5" customHeight="1">
      <c r="C48" s="17"/>
      <c r="D48" s="17"/>
      <c r="E48" s="89">
        <v>44539</v>
      </c>
      <c r="F48" s="45"/>
      <c r="G48" s="45">
        <v>39200</v>
      </c>
      <c r="H48" s="17"/>
      <c r="I48" s="25"/>
      <c r="J48" s="25"/>
      <c r="K48" s="17"/>
      <c r="L48" s="80"/>
      <c r="N48" s="159"/>
      <c r="O48" s="66"/>
    </row>
    <row r="49" spans="3:15" ht="13.5" customHeight="1">
      <c r="C49" s="17" t="s">
        <v>35</v>
      </c>
      <c r="D49" s="17"/>
      <c r="E49" s="89">
        <v>44606</v>
      </c>
      <c r="F49" s="45"/>
      <c r="G49" s="45">
        <v>-237386.15</v>
      </c>
      <c r="H49" s="17"/>
      <c r="I49" s="25"/>
      <c r="J49" s="25"/>
      <c r="K49" s="17"/>
      <c r="L49" s="80"/>
      <c r="N49" s="159"/>
      <c r="O49" s="66"/>
    </row>
    <row r="50" spans="3:15" ht="13.5" customHeight="1">
      <c r="C50" s="17"/>
      <c r="D50" s="17"/>
      <c r="E50" s="89">
        <v>44649</v>
      </c>
      <c r="F50" s="45"/>
      <c r="G50" s="45">
        <v>-9423.08</v>
      </c>
      <c r="H50" s="17"/>
      <c r="I50" s="25"/>
      <c r="J50" s="25"/>
      <c r="K50" s="17"/>
      <c r="L50" s="80"/>
      <c r="N50" s="159"/>
      <c r="O50" s="66"/>
    </row>
    <row r="51" spans="3:15" ht="13.5" customHeight="1">
      <c r="C51" s="17"/>
      <c r="D51" s="17"/>
      <c r="E51" s="89">
        <v>44672</v>
      </c>
      <c r="F51" s="45"/>
      <c r="G51" s="45">
        <v>-3844.61</v>
      </c>
      <c r="H51" s="17"/>
      <c r="I51" s="25"/>
      <c r="J51" s="25"/>
      <c r="K51" s="17"/>
      <c r="L51" s="80"/>
      <c r="N51" s="159"/>
      <c r="O51" s="66"/>
    </row>
    <row r="52" spans="3:15" ht="13.5" customHeight="1">
      <c r="C52" s="17"/>
      <c r="D52" s="17"/>
      <c r="E52" s="89">
        <v>44736</v>
      </c>
      <c r="F52" s="45"/>
      <c r="G52" s="45">
        <v>-30983.07</v>
      </c>
      <c r="H52" s="17"/>
      <c r="I52" s="25"/>
      <c r="J52" s="25"/>
      <c r="K52" s="17"/>
      <c r="L52" s="80"/>
      <c r="N52" s="159"/>
      <c r="O52" s="66"/>
    </row>
    <row r="53" spans="3:15" ht="13.5" customHeight="1">
      <c r="C53" s="17"/>
      <c r="D53" s="17"/>
      <c r="E53" s="89">
        <v>44764</v>
      </c>
      <c r="F53" s="45"/>
      <c r="G53" s="45">
        <v>-150090.78</v>
      </c>
      <c r="H53" s="17"/>
      <c r="I53" s="25"/>
      <c r="J53" s="25"/>
      <c r="K53" s="17"/>
      <c r="L53" s="80"/>
      <c r="N53" s="159"/>
      <c r="O53" s="66"/>
    </row>
    <row r="54" spans="3:15" ht="13.5" customHeight="1">
      <c r="C54" s="17"/>
      <c r="D54" s="17"/>
      <c r="E54" s="89">
        <v>44819</v>
      </c>
      <c r="F54" s="45"/>
      <c r="G54" s="45">
        <v>-340587.69</v>
      </c>
      <c r="H54" s="17"/>
      <c r="I54" s="25"/>
      <c r="J54" s="25"/>
      <c r="K54" s="17"/>
      <c r="L54" s="80"/>
      <c r="N54" s="159"/>
      <c r="O54" s="66"/>
    </row>
    <row r="55" spans="3:15" ht="13.5" customHeight="1">
      <c r="C55" s="17" t="s">
        <v>29</v>
      </c>
      <c r="D55" s="17"/>
      <c r="E55" s="89">
        <v>44615</v>
      </c>
      <c r="F55" s="45"/>
      <c r="G55" s="45">
        <v>8403.74</v>
      </c>
      <c r="H55" s="17"/>
      <c r="I55" s="25"/>
      <c r="J55" s="25"/>
      <c r="K55" s="17"/>
      <c r="L55" s="80"/>
      <c r="N55" s="159"/>
      <c r="O55" s="66"/>
    </row>
    <row r="56" spans="3:15" ht="13.5" customHeight="1">
      <c r="C56" s="17"/>
      <c r="D56" s="17"/>
      <c r="E56" s="89">
        <v>44785</v>
      </c>
      <c r="F56" s="45"/>
      <c r="G56" s="45">
        <v>27814.57</v>
      </c>
      <c r="H56" s="17"/>
      <c r="I56" s="25"/>
      <c r="J56" s="25"/>
      <c r="K56" s="17"/>
      <c r="L56" s="80"/>
      <c r="N56" s="159"/>
      <c r="O56" s="66"/>
    </row>
    <row r="57" spans="3:15" ht="4.5" customHeight="1">
      <c r="C57" s="17"/>
      <c r="D57" s="17"/>
      <c r="E57" s="89"/>
      <c r="F57" s="17"/>
      <c r="G57" s="45"/>
      <c r="H57" s="17"/>
      <c r="I57" s="25"/>
      <c r="J57" s="25"/>
      <c r="O57" s="66"/>
    </row>
    <row r="58" spans="3:13" ht="12.75">
      <c r="C58" s="17" t="s">
        <v>5</v>
      </c>
      <c r="D58" s="17"/>
      <c r="E58" s="89">
        <f>+E8</f>
        <v>44834</v>
      </c>
      <c r="F58" s="17"/>
      <c r="G58" s="94">
        <f>L58/0.98*C22</f>
        <v>1529849.7054780181</v>
      </c>
      <c r="H58" s="17"/>
      <c r="I58" s="45">
        <f>+SUMIF($G$24:$G$57,"&lt;0",$G$24:$G$57)+G29</f>
        <v>-1845792.33</v>
      </c>
      <c r="J58" s="17" t="s">
        <v>20</v>
      </c>
      <c r="L58" s="124">
        <v>1.988805023E9</v>
      </c>
      <c r="M58" s="66"/>
    </row>
    <row r="59" spans="3:13" ht="12.75">
      <c r="C59" s="17"/>
      <c r="D59" s="17"/>
      <c r="E59" s="17"/>
      <c r="F59" s="17"/>
      <c r="G59" s="17"/>
      <c r="H59" s="17"/>
      <c r="I59" s="45">
        <f>+SUMIF($G$24:$G$57,"&gt;0",$G$24:$G$57)-G29</f>
        <v>637994.89</v>
      </c>
      <c r="J59" s="17" t="s">
        <v>21</v>
      </c>
      <c r="M59" s="66"/>
    </row>
    <row r="60" spans="3:13" ht="12.75">
      <c r="C60" s="15" t="s">
        <v>0</v>
      </c>
      <c r="G60" s="72">
        <f>+XIRR(G24:G58,E24:E58,0.1)</f>
        <v>0.08614051640033725</v>
      </c>
      <c r="H60" s="17"/>
      <c r="M60" s="95"/>
    </row>
    <row r="61" spans="3:8" ht="12.75">
      <c r="C61" s="17"/>
      <c r="D61" s="17"/>
      <c r="E61" s="17"/>
      <c r="F61" s="17"/>
      <c r="G61" s="17"/>
      <c r="H61" s="17"/>
    </row>
    <row r="62" spans="3:13" ht="12.75">
      <c r="C62" s="17"/>
      <c r="D62" s="17"/>
      <c r="E62" s="17"/>
      <c r="F62" s="17"/>
      <c r="G62" s="17"/>
      <c r="H62" s="17"/>
      <c r="M62" s="95"/>
    </row>
    <row r="63" spans="3:13" ht="12.75">
      <c r="C63" s="28"/>
      <c r="D63" s="28"/>
      <c r="E63" s="75"/>
      <c r="F63" s="28"/>
      <c r="G63" s="75"/>
      <c r="H63" s="17"/>
      <c r="M63" s="95"/>
    </row>
    <row r="64" spans="3:13" ht="12.75">
      <c r="C64" s="28"/>
      <c r="D64" s="28"/>
      <c r="E64" s="75"/>
      <c r="F64" s="28"/>
      <c r="G64" s="75"/>
      <c r="H64" s="17"/>
      <c r="M64" s="95"/>
    </row>
    <row r="65" spans="3:13" ht="12.75">
      <c r="C65" s="28"/>
      <c r="D65" s="28"/>
      <c r="E65" s="75"/>
      <c r="F65" s="28"/>
      <c r="G65" s="75"/>
      <c r="H65" s="17"/>
      <c r="M65" s="95"/>
    </row>
    <row r="66" spans="3:8" ht="12.75">
      <c r="C66" s="28"/>
      <c r="D66" s="28"/>
      <c r="E66" s="28"/>
      <c r="F66" s="28"/>
      <c r="G66" s="28"/>
      <c r="H66" s="15"/>
    </row>
    <row r="67" spans="3:8" ht="12.75">
      <c r="C67" s="28"/>
      <c r="D67" s="28"/>
      <c r="E67" s="75"/>
      <c r="F67" s="75"/>
      <c r="G67" s="75"/>
      <c r="H67" s="15"/>
    </row>
    <row r="68" spans="3:17" ht="12.75">
      <c r="C68" s="28"/>
      <c r="D68" s="28"/>
      <c r="E68" s="28"/>
      <c r="F68" s="28"/>
      <c r="G68" s="28"/>
      <c r="H68" s="15"/>
      <c r="Q68" s="131"/>
    </row>
    <row r="69" spans="3:17" ht="12.75">
      <c r="C69" s="171"/>
      <c r="D69" s="171"/>
      <c r="E69" s="173"/>
      <c r="F69" s="96"/>
      <c r="G69" s="32"/>
      <c r="H69" s="15"/>
      <c r="Q69" s="131"/>
    </row>
    <row r="70" spans="3:17" ht="12.75">
      <c r="C70" s="171"/>
      <c r="D70" s="171"/>
      <c r="E70" s="97"/>
      <c r="F70" s="96"/>
      <c r="G70" s="97"/>
      <c r="H70" s="15"/>
      <c r="Q70" s="131"/>
    </row>
    <row r="71" spans="3:17" ht="12.75">
      <c r="C71" s="171"/>
      <c r="D71" s="171"/>
      <c r="E71" s="97"/>
      <c r="F71" s="96"/>
      <c r="G71" s="97"/>
      <c r="H71" s="15"/>
      <c r="Q71" s="131"/>
    </row>
    <row r="72" spans="3:17" ht="12.75">
      <c r="C72" s="189"/>
      <c r="D72" s="171"/>
      <c r="E72" s="97"/>
      <c r="F72" s="96"/>
      <c r="G72" s="97"/>
      <c r="H72" s="15"/>
      <c r="Q72" s="131"/>
    </row>
    <row r="73" spans="3:17" ht="12.75">
      <c r="C73" s="189"/>
      <c r="D73" s="171"/>
      <c r="E73" s="97"/>
      <c r="F73" s="96"/>
      <c r="G73" s="97"/>
      <c r="H73" s="15"/>
      <c r="Q73" s="131"/>
    </row>
    <row r="74" spans="3:17" ht="12.75">
      <c r="C74" s="190"/>
      <c r="D74" s="171"/>
      <c r="E74" s="97"/>
      <c r="F74" s="96"/>
      <c r="G74" s="97"/>
      <c r="H74" s="15"/>
      <c r="Q74" s="131"/>
    </row>
    <row r="75" spans="3:17" ht="12.75">
      <c r="C75" s="171"/>
      <c r="D75" s="171"/>
      <c r="E75" s="97"/>
      <c r="F75" s="96"/>
      <c r="G75" s="97"/>
      <c r="H75" s="15"/>
      <c r="Q75" s="131"/>
    </row>
    <row r="76" spans="3:8" ht="12.75">
      <c r="C76" s="171"/>
      <c r="D76" s="171"/>
      <c r="E76" s="97"/>
      <c r="F76" s="96"/>
      <c r="G76" s="97"/>
      <c r="H76" s="15"/>
    </row>
    <row r="77" spans="3:8" ht="12.75">
      <c r="C77" s="171"/>
      <c r="D77" s="171"/>
      <c r="E77" s="97"/>
      <c r="F77" s="96"/>
      <c r="G77" s="97"/>
      <c r="H77" s="15"/>
    </row>
    <row r="78" spans="3:8" ht="12.75">
      <c r="C78" s="171"/>
      <c r="D78" s="171"/>
      <c r="E78" s="97"/>
      <c r="F78" s="96"/>
      <c r="G78" s="97"/>
      <c r="H78" s="15"/>
    </row>
    <row r="79" spans="3:8" ht="12.75">
      <c r="C79" s="171"/>
      <c r="D79" s="171"/>
      <c r="E79" s="97"/>
      <c r="F79" s="96"/>
      <c r="G79" s="97"/>
      <c r="H79" s="15"/>
    </row>
    <row r="80" spans="3:8" ht="12.75">
      <c r="C80" s="171"/>
      <c r="D80" s="171"/>
      <c r="E80" s="97"/>
      <c r="F80" s="96"/>
      <c r="G80" s="97"/>
      <c r="H80" s="15"/>
    </row>
    <row r="81" spans="3:8" ht="5.1" customHeight="1">
      <c r="C81" s="121"/>
      <c r="D81" s="15"/>
      <c r="E81" s="99"/>
      <c r="F81" s="99"/>
      <c r="G81" s="99"/>
      <c r="H81" s="15"/>
    </row>
    <row r="82" spans="3:8" ht="12.75">
      <c r="C82" s="121"/>
      <c r="D82" s="15"/>
      <c r="E82" s="101"/>
      <c r="F82" s="101"/>
      <c r="G82" s="101"/>
      <c r="H82" s="15"/>
    </row>
  </sheetData>
  <pageMargins left="0.75" right="0.33" top="1" bottom="1" header="0.5" footer="0.5"/>
  <pageSetup orientation="landscape" paperSize="1" scale="68" r:id="rId2"/>
  <headerFooter alignWithMargins="0">
    <oddHeader>&amp;C&amp;G</oddHeader>
    <oddFooter>&amp;C&amp;G</oddFooter>
  </headerFooter>
  <legacyDrawingHF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41B0D71-670E-4B15-9201-D40CF059123D}">
  <sheetPr>
    <pageSetUpPr fitToPage="1"/>
  </sheetPr>
  <dimension ref="B4:O87"/>
  <sheetViews>
    <sheetView showGridLines="0" view="pageLayout" zoomScaleNormal="100" workbookViewId="0" topLeftCell="A1">
      <selection pane="topLeft" activeCell="C1" sqref="C1"/>
    </sheetView>
  </sheetViews>
  <sheetFormatPr defaultRowHeight="12.75"/>
  <cols>
    <col min="2" max="2" width="4.857142857142857" customWidth="1"/>
    <col min="3" max="3" width="47.714285714285715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1.714285714285714" bestFit="1" customWidth="1"/>
    <col min="13" max="13" width="12.428571428571429" customWidth="1"/>
    <col min="14" max="14" width="13.142857142857142" bestFit="1" customWidth="1"/>
    <col min="15" max="15" width="15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20">
        <f>+'EFM IV'!E8</f>
        <v>44834</v>
      </c>
      <c r="F8" s="13"/>
      <c r="G8" s="78"/>
      <c r="H8" s="78"/>
      <c r="I8" s="79"/>
    </row>
    <row r="9" spans="3:7" ht="15.75">
      <c r="C9" s="182"/>
      <c r="D9" s="182"/>
      <c r="E9" s="182"/>
      <c r="F9" s="182"/>
      <c r="G9" s="183"/>
    </row>
    <row r="10" spans="3:9" ht="12.75">
      <c r="C10" s="184"/>
      <c r="D10" s="184"/>
      <c r="E10" s="185"/>
      <c r="F10" s="184"/>
      <c r="G10" s="124"/>
      <c r="H10" s="81"/>
      <c r="I10" s="86"/>
    </row>
    <row r="11" spans="3:9" ht="12.75">
      <c r="C11" s="184"/>
      <c r="D11" s="184"/>
      <c r="E11" s="185"/>
      <c r="F11" s="184"/>
      <c r="G11" s="185"/>
      <c r="H11" s="81"/>
      <c r="I11" s="86"/>
    </row>
    <row r="12" spans="3:9" ht="15.75">
      <c r="C12" s="166"/>
      <c r="D12" s="166"/>
      <c r="E12" s="186"/>
      <c r="F12" s="166"/>
      <c r="G12" s="186"/>
      <c r="H12" s="5"/>
      <c r="I12" s="86"/>
    </row>
    <row r="13" spans="3:9" ht="12.75">
      <c r="C13" s="184"/>
      <c r="D13" s="184"/>
      <c r="E13" s="187"/>
      <c r="F13" s="184"/>
      <c r="G13" s="124"/>
      <c r="H13" s="84"/>
      <c r="I13" s="86"/>
    </row>
    <row r="14" spans="3:9" ht="12.75">
      <c r="C14" s="184"/>
      <c r="D14" s="184"/>
      <c r="E14" s="188"/>
      <c r="F14" s="184"/>
      <c r="G14" s="124"/>
      <c r="H14" s="85"/>
      <c r="I14" s="86"/>
    </row>
    <row r="15" spans="3:9" ht="12.75">
      <c r="C15" s="184"/>
      <c r="D15" s="184"/>
      <c r="E15" s="185"/>
      <c r="F15" s="184"/>
      <c r="G15" s="185"/>
      <c r="H15" s="81"/>
      <c r="I15" s="86"/>
    </row>
    <row r="16" spans="3:9" ht="15.75">
      <c r="C16" s="5"/>
      <c r="D16" s="5"/>
      <c r="E16" s="10"/>
      <c r="F16" s="5"/>
      <c r="G16" s="10"/>
      <c r="H16" s="5"/>
      <c r="I16" s="86"/>
    </row>
    <row r="17" spans="3:9" ht="15.75">
      <c r="C17" s="83" t="s">
        <v>15</v>
      </c>
      <c r="D17" s="83"/>
      <c r="E17" s="10"/>
      <c r="F17" s="83"/>
      <c r="G17" s="10"/>
      <c r="H17" s="5"/>
      <c r="I17" s="86"/>
    </row>
    <row r="18" spans="3:13" ht="12.75" customHeight="1">
      <c r="C18" s="6" t="s">
        <v>16</v>
      </c>
      <c r="D18" s="6"/>
      <c r="E18" s="84">
        <f>G61</f>
        <v>0.07841288745403292</v>
      </c>
      <c r="F18" s="6"/>
      <c r="G18" s="11"/>
      <c r="H18" s="84"/>
      <c r="I18" s="86"/>
      <c r="J18" s="94"/>
      <c r="L18" s="119"/>
      <c r="M18" s="95"/>
    </row>
    <row r="19" spans="3:14" ht="12.75">
      <c r="C19" s="6" t="s">
        <v>17</v>
      </c>
      <c r="D19" s="6"/>
      <c r="E19" s="87">
        <f>-(G59+I60)/I59</f>
        <v>1.1574872073581017</v>
      </c>
      <c r="F19" s="6"/>
      <c r="G19" s="9"/>
      <c r="H19" s="81"/>
      <c r="J19" s="94"/>
      <c r="L19" s="119"/>
      <c r="M19" s="95"/>
      <c r="N19" s="93"/>
    </row>
    <row r="20" spans="3:13" ht="12.75">
      <c r="C20" s="6"/>
      <c r="D20" s="6"/>
      <c r="E20" s="6"/>
      <c r="F20" s="6"/>
      <c r="G20" s="81"/>
      <c r="J20" s="94"/>
      <c r="L20" s="119"/>
      <c r="M20" s="95"/>
    </row>
    <row r="21" spans="3:14" ht="15.75">
      <c r="C21" s="88" t="s">
        <v>50</v>
      </c>
      <c r="D21" s="7"/>
      <c r="E21" s="7"/>
      <c r="F21" s="7"/>
      <c r="I21" s="89"/>
      <c r="J21" s="94"/>
      <c r="L21" s="119"/>
      <c r="M21" s="95"/>
      <c r="N21" s="93"/>
    </row>
    <row r="22" spans="3:13" ht="12.75">
      <c r="C22" s="90">
        <v>0.003167063</v>
      </c>
      <c r="D22" s="17"/>
      <c r="E22" s="17"/>
      <c r="F22" s="17"/>
      <c r="G22" s="91"/>
      <c r="H22" s="17"/>
      <c r="I22" s="17"/>
      <c r="J22" s="94"/>
      <c r="L22" s="119"/>
      <c r="M22" s="95"/>
    </row>
    <row r="23" spans="3:13" ht="15.75">
      <c r="C23" s="17"/>
      <c r="D23" s="17"/>
      <c r="E23" s="89"/>
      <c r="F23" s="45"/>
      <c r="G23" s="45"/>
      <c r="H23" s="17"/>
      <c r="I23" s="25"/>
      <c r="J23" s="94"/>
      <c r="K23" s="42"/>
      <c r="L23" s="177"/>
      <c r="M23" s="95"/>
    </row>
    <row r="24" spans="3:13" ht="12.75">
      <c r="C24" s="17" t="s">
        <v>31</v>
      </c>
      <c r="D24" s="17"/>
      <c r="E24" s="89">
        <v>43136</v>
      </c>
      <c r="F24" s="45"/>
      <c r="G24" s="45">
        <v>-40134.77</v>
      </c>
      <c r="H24" s="17"/>
      <c r="I24" s="25"/>
      <c r="J24" s="94"/>
      <c r="K24" s="41"/>
      <c r="L24" s="124"/>
      <c r="M24" s="95"/>
    </row>
    <row r="25" spans="3:13" ht="12.75">
      <c r="C25" s="17"/>
      <c r="D25" s="17"/>
      <c r="E25" s="89">
        <v>43193</v>
      </c>
      <c r="F25" s="45"/>
      <c r="G25" s="45">
        <v>-4131.08</v>
      </c>
      <c r="H25" s="17"/>
      <c r="I25" s="25"/>
      <c r="J25" s="94"/>
      <c r="K25" s="202"/>
      <c r="L25" s="124"/>
      <c r="M25" s="95"/>
    </row>
    <row r="26" spans="3:13" ht="12.75">
      <c r="C26" s="17"/>
      <c r="D26" s="17"/>
      <c r="E26" s="89">
        <v>43286</v>
      </c>
      <c r="F26" s="45"/>
      <c r="G26" s="45">
        <v>-3769.23</v>
      </c>
      <c r="H26" s="17"/>
      <c r="I26" s="25"/>
      <c r="J26" s="94"/>
      <c r="K26" s="202"/>
      <c r="L26" s="124"/>
      <c r="M26" s="95"/>
    </row>
    <row r="27" spans="3:13" ht="12.75">
      <c r="C27" s="17"/>
      <c r="D27" s="17"/>
      <c r="E27" s="89">
        <v>43328</v>
      </c>
      <c r="F27" s="45"/>
      <c r="G27" s="45">
        <v>-14142.15</v>
      </c>
      <c r="H27" s="17"/>
      <c r="I27" s="25"/>
      <c r="J27" s="94"/>
      <c r="K27" s="202"/>
      <c r="L27" s="124"/>
      <c r="M27" s="95"/>
    </row>
    <row r="28" spans="3:15" ht="12.75">
      <c r="C28" s="17"/>
      <c r="E28" s="89">
        <v>43369</v>
      </c>
      <c r="G28" s="45">
        <v>-293698.46</v>
      </c>
      <c r="H28" s="17"/>
      <c r="I28" s="25"/>
      <c r="J28" s="94"/>
      <c r="K28" s="202"/>
      <c r="L28" s="201"/>
      <c r="M28" s="95"/>
      <c r="O28" s="95"/>
    </row>
    <row r="29" spans="5:12" ht="12.75">
      <c r="E29" s="89">
        <v>43391</v>
      </c>
      <c r="G29" s="45">
        <v>78400</v>
      </c>
      <c r="H29" s="17"/>
      <c r="I29" s="25"/>
      <c r="J29" s="44"/>
      <c r="K29" s="41"/>
      <c r="L29" s="42"/>
    </row>
    <row r="30" spans="5:12" ht="12.75">
      <c r="E30" s="89">
        <v>43461</v>
      </c>
      <c r="G30" s="45">
        <v>-5096.01</v>
      </c>
      <c r="H30" s="17"/>
      <c r="I30" s="25"/>
      <c r="J30" s="44"/>
      <c r="K30" s="41"/>
      <c r="L30" s="42"/>
    </row>
    <row r="31" spans="3:11" ht="12.75">
      <c r="C31" s="17" t="s">
        <v>32</v>
      </c>
      <c r="D31" s="17"/>
      <c r="E31" s="89">
        <v>43494</v>
      </c>
      <c r="G31" s="45">
        <v>-7870.16</v>
      </c>
      <c r="H31" s="17"/>
      <c r="I31" s="25"/>
      <c r="J31" s="25"/>
      <c r="K31" s="17"/>
    </row>
    <row r="32" spans="3:11" ht="12.75">
      <c r="C32" s="17"/>
      <c r="D32" s="17"/>
      <c r="E32" s="89">
        <v>43622</v>
      </c>
      <c r="G32" s="45">
        <v>-5246.77</v>
      </c>
      <c r="H32" s="17"/>
      <c r="I32" s="25"/>
      <c r="J32" s="25"/>
      <c r="K32" s="17"/>
    </row>
    <row r="33" spans="3:11" ht="12.75">
      <c r="C33" s="17"/>
      <c r="D33" s="17"/>
      <c r="E33" s="89">
        <v>43670</v>
      </c>
      <c r="F33" s="45"/>
      <c r="G33" s="45">
        <v>-7900.31</v>
      </c>
      <c r="H33" s="17"/>
      <c r="I33" s="25"/>
      <c r="J33" s="25"/>
      <c r="K33" s="17"/>
    </row>
    <row r="34" spans="3:11" ht="12.75">
      <c r="C34" s="17"/>
      <c r="D34" s="17"/>
      <c r="E34" s="89">
        <v>43742</v>
      </c>
      <c r="F34" s="45"/>
      <c r="G34" s="45">
        <v>-5729.23</v>
      </c>
      <c r="H34" s="17"/>
      <c r="I34" s="25"/>
      <c r="J34" s="25"/>
      <c r="K34" s="17"/>
    </row>
    <row r="35" spans="3:11" ht="12.75">
      <c r="C35" s="17"/>
      <c r="D35" s="17"/>
      <c r="E35" s="89">
        <v>43794</v>
      </c>
      <c r="F35" s="45"/>
      <c r="G35" s="45">
        <v>-14021.53</v>
      </c>
      <c r="H35" s="17"/>
      <c r="I35" s="25"/>
      <c r="J35" s="25"/>
      <c r="K35" s="17"/>
    </row>
    <row r="36" spans="3:11" ht="12.75">
      <c r="C36" s="17"/>
      <c r="D36" s="17"/>
      <c r="E36" s="89">
        <v>43801</v>
      </c>
      <c r="F36" s="45"/>
      <c r="G36" s="45">
        <v>-26867.08</v>
      </c>
      <c r="H36" s="17"/>
      <c r="I36" s="25"/>
      <c r="J36" s="25"/>
      <c r="K36" s="17"/>
    </row>
    <row r="37" spans="3:11" ht="12.75">
      <c r="C37" s="17" t="s">
        <v>27</v>
      </c>
      <c r="D37" s="17"/>
      <c r="E37" s="89">
        <v>43671</v>
      </c>
      <c r="F37" s="45"/>
      <c r="G37" s="45">
        <v>25873.43</v>
      </c>
      <c r="H37" s="17"/>
      <c r="I37" s="25"/>
      <c r="J37" s="25"/>
      <c r="K37" s="17"/>
    </row>
    <row r="38" spans="3:11" ht="12.75">
      <c r="C38" s="17" t="s">
        <v>33</v>
      </c>
      <c r="D38" s="17"/>
      <c r="E38" s="89">
        <v>43859</v>
      </c>
      <c r="F38" s="45"/>
      <c r="G38" s="45">
        <v>-7598.78</v>
      </c>
      <c r="H38" s="17"/>
      <c r="I38" s="25"/>
      <c r="J38" s="25"/>
      <c r="K38" s="17"/>
    </row>
    <row r="39" spans="3:11" ht="12.75">
      <c r="C39" s="17"/>
      <c r="D39" s="17"/>
      <c r="E39" s="89">
        <v>43916</v>
      </c>
      <c r="F39" s="45"/>
      <c r="G39" s="45">
        <v>-7447.99</v>
      </c>
      <c r="H39" s="17"/>
      <c r="I39" s="25"/>
      <c r="J39" s="25"/>
      <c r="K39" s="17"/>
    </row>
    <row r="40" spans="3:11" ht="12.75">
      <c r="C40" s="17"/>
      <c r="D40" s="17"/>
      <c r="E40" s="89">
        <v>44103</v>
      </c>
      <c r="F40" s="45"/>
      <c r="G40" s="45">
        <v>-9619.08</v>
      </c>
      <c r="H40" s="17"/>
      <c r="I40" s="25"/>
      <c r="J40" s="25"/>
      <c r="K40" s="17"/>
    </row>
    <row r="41" spans="3:11" ht="12.75">
      <c r="C41" s="17"/>
      <c r="D41" s="17"/>
      <c r="E41" s="89">
        <v>44126</v>
      </c>
      <c r="F41" s="45"/>
      <c r="G41" s="45">
        <v>-32264.62</v>
      </c>
      <c r="H41" s="17"/>
      <c r="I41" s="25"/>
      <c r="J41" s="25"/>
      <c r="K41" s="17"/>
    </row>
    <row r="42" spans="3:11" ht="12.75">
      <c r="C42" s="17" t="s">
        <v>34</v>
      </c>
      <c r="D42" s="17"/>
      <c r="E42" s="89">
        <v>44200</v>
      </c>
      <c r="F42" s="45"/>
      <c r="G42" s="45">
        <v>-5307.07</v>
      </c>
      <c r="H42" s="17"/>
      <c r="I42" s="25"/>
      <c r="J42" s="25"/>
      <c r="K42" s="17"/>
    </row>
    <row r="43" spans="3:11" ht="12.75">
      <c r="C43" s="17"/>
      <c r="D43" s="17"/>
      <c r="E43" s="89">
        <v>44376</v>
      </c>
      <c r="F43" s="45"/>
      <c r="G43" s="45">
        <v>-5729.22</v>
      </c>
      <c r="H43" s="17"/>
      <c r="I43" s="25"/>
      <c r="J43" s="25"/>
      <c r="K43" s="17"/>
    </row>
    <row r="44" spans="3:11" ht="12.75">
      <c r="C44" s="17"/>
      <c r="D44" s="17"/>
      <c r="E44" s="89">
        <v>44466</v>
      </c>
      <c r="F44" s="45"/>
      <c r="G44" s="45">
        <v>-3769.23</v>
      </c>
      <c r="H44" s="17"/>
      <c r="I44" s="25"/>
      <c r="J44" s="25"/>
      <c r="K44" s="17"/>
    </row>
    <row r="45" spans="3:11" ht="12.75">
      <c r="C45" s="17"/>
      <c r="D45" s="17"/>
      <c r="E45" s="89">
        <v>44530</v>
      </c>
      <c r="F45" s="45"/>
      <c r="G45" s="45">
        <v>-7448.01</v>
      </c>
      <c r="H45" s="17"/>
      <c r="I45" s="25"/>
      <c r="J45" s="25"/>
      <c r="K45" s="17"/>
    </row>
    <row r="46" spans="3:11" ht="12.75">
      <c r="C46" s="17" t="s">
        <v>28</v>
      </c>
      <c r="D46" s="17"/>
      <c r="E46" s="89">
        <v>44463</v>
      </c>
      <c r="F46" s="45"/>
      <c r="G46" s="45">
        <v>4310.1</v>
      </c>
      <c r="H46" s="17"/>
      <c r="I46" s="25"/>
      <c r="J46" s="25"/>
      <c r="K46" s="17"/>
    </row>
    <row r="47" spans="3:11" ht="12.75">
      <c r="C47" s="17"/>
      <c r="D47" s="17"/>
      <c r="E47" s="89">
        <v>44484</v>
      </c>
      <c r="F47" s="45"/>
      <c r="G47" s="45">
        <v>190670.31</v>
      </c>
      <c r="H47" s="17"/>
      <c r="I47" s="25"/>
      <c r="J47" s="25"/>
      <c r="K47" s="17"/>
    </row>
    <row r="48" spans="3:11" ht="12.75">
      <c r="C48" s="17"/>
      <c r="D48" s="17"/>
      <c r="E48" s="89">
        <v>44539</v>
      </c>
      <c r="F48" s="45"/>
      <c r="G48" s="45">
        <v>15666.13</v>
      </c>
      <c r="H48" s="17"/>
      <c r="I48" s="25"/>
      <c r="J48" s="25"/>
      <c r="K48" s="17"/>
    </row>
    <row r="49" spans="3:11" ht="12.75">
      <c r="C49" s="17" t="s">
        <v>35</v>
      </c>
      <c r="D49" s="17"/>
      <c r="E49" s="89">
        <v>44606</v>
      </c>
      <c r="F49" s="45"/>
      <c r="G49" s="45">
        <v>-94954.46</v>
      </c>
      <c r="H49" s="17"/>
      <c r="I49" s="25"/>
      <c r="J49" s="25"/>
      <c r="K49" s="17"/>
    </row>
    <row r="50" spans="3:11" ht="12.75">
      <c r="C50" s="17"/>
      <c r="D50" s="17"/>
      <c r="E50" s="89">
        <v>44649</v>
      </c>
      <c r="F50" s="45"/>
      <c r="G50" s="45">
        <v>-3769.23</v>
      </c>
      <c r="H50" s="17"/>
      <c r="I50" s="25"/>
      <c r="J50" s="25"/>
      <c r="K50" s="17"/>
    </row>
    <row r="51" spans="3:11" ht="12.75">
      <c r="C51" s="17"/>
      <c r="D51" s="17"/>
      <c r="E51" s="89">
        <v>44672</v>
      </c>
      <c r="F51" s="45"/>
      <c r="G51" s="45">
        <v>-1537.85</v>
      </c>
      <c r="H51" s="17"/>
      <c r="I51" s="25"/>
      <c r="J51" s="25"/>
      <c r="K51" s="17"/>
    </row>
    <row r="52" spans="3:11" ht="12.75">
      <c r="C52" s="17"/>
      <c r="D52" s="17"/>
      <c r="E52" s="89">
        <v>44736</v>
      </c>
      <c r="F52" s="45"/>
      <c r="G52" s="45">
        <v>-12393.23</v>
      </c>
      <c r="H52" s="17"/>
      <c r="I52" s="25"/>
      <c r="J52" s="25"/>
      <c r="K52" s="17"/>
    </row>
    <row r="53" spans="3:11" ht="12.75">
      <c r="C53" s="17"/>
      <c r="D53" s="17"/>
      <c r="E53" s="89">
        <v>44764</v>
      </c>
      <c r="F53" s="45"/>
      <c r="G53" s="45">
        <v>-60036.31</v>
      </c>
      <c r="H53" s="17"/>
      <c r="I53" s="25"/>
      <c r="J53" s="25"/>
      <c r="K53" s="17"/>
    </row>
    <row r="54" spans="3:11" ht="12.75">
      <c r="C54" s="17"/>
      <c r="D54" s="17"/>
      <c r="E54" s="89">
        <v>44819</v>
      </c>
      <c r="F54" s="45"/>
      <c r="G54" s="45">
        <v>-136235.06</v>
      </c>
      <c r="H54" s="17"/>
      <c r="I54" s="25"/>
      <c r="J54" s="25"/>
      <c r="K54" s="17"/>
    </row>
    <row r="55" spans="3:11" ht="12.75">
      <c r="C55" s="17" t="s">
        <v>29</v>
      </c>
      <c r="D55" s="17"/>
      <c r="E55" s="89">
        <v>44615</v>
      </c>
      <c r="F55" s="45"/>
      <c r="G55" s="45">
        <v>3257.23</v>
      </c>
      <c r="H55" s="17"/>
      <c r="I55" s="25"/>
      <c r="J55" s="25"/>
      <c r="K55" s="17"/>
    </row>
    <row r="56" spans="3:11" ht="12.75">
      <c r="C56" s="17"/>
      <c r="D56" s="17"/>
      <c r="E56" s="89">
        <v>44785</v>
      </c>
      <c r="F56" s="45"/>
      <c r="G56" s="45">
        <v>10883.37</v>
      </c>
      <c r="H56" s="17"/>
      <c r="I56" s="25"/>
      <c r="J56" s="25"/>
      <c r="K56" s="17"/>
    </row>
    <row r="57" spans="3:11" ht="12.75">
      <c r="C57" s="17"/>
      <c r="D57" s="17"/>
      <c r="E57" s="89"/>
      <c r="F57" s="45"/>
      <c r="G57" s="45"/>
      <c r="H57" s="17"/>
      <c r="I57" s="25"/>
      <c r="J57" s="25"/>
      <c r="K57" s="17"/>
    </row>
    <row r="58" spans="3:15" ht="4.5" customHeight="1">
      <c r="C58" s="17"/>
      <c r="D58" s="17"/>
      <c r="E58" s="89"/>
      <c r="F58" s="17"/>
      <c r="G58" s="45"/>
      <c r="H58" s="17"/>
      <c r="I58" s="25"/>
      <c r="J58" s="25"/>
      <c r="O58" s="66"/>
    </row>
    <row r="59" spans="3:13" ht="12.75">
      <c r="C59" s="17" t="s">
        <v>5</v>
      </c>
      <c r="D59" s="17"/>
      <c r="E59" s="89">
        <f>+E8</f>
        <v>44834</v>
      </c>
      <c r="F59" s="17"/>
      <c r="G59" s="94">
        <f>L59*C22</f>
        <v>603931.819876035</v>
      </c>
      <c r="H59" s="17"/>
      <c r="I59" s="45">
        <f>+SUMIF($G$24:$G$58,"&lt;0",$G$24:$G$58)+G29</f>
        <v>-738316.9199999999</v>
      </c>
      <c r="J59" s="17" t="s">
        <v>20</v>
      </c>
      <c r="L59" s="203">
        <v>190691445</v>
      </c>
      <c r="M59" s="134"/>
    </row>
    <row r="60" spans="3:10" ht="12.75">
      <c r="C60" s="17"/>
      <c r="D60" s="17"/>
      <c r="E60" s="17"/>
      <c r="F60" s="17"/>
      <c r="G60" s="17"/>
      <c r="H60" s="17"/>
      <c r="I60" s="45">
        <f>+SUMIF($G$24:$G$58,"&gt;0",$G$24:$G$58)-G29</f>
        <v>250660.56999999995</v>
      </c>
      <c r="J60" s="17" t="s">
        <v>21</v>
      </c>
    </row>
    <row r="61" spans="3:8" ht="12.75">
      <c r="C61" s="15" t="s">
        <v>0</v>
      </c>
      <c r="G61" s="72">
        <f>+XIRR(G24:G59,E24:E59)</f>
        <v>0.07841288745403292</v>
      </c>
      <c r="H61" s="17"/>
    </row>
    <row r="62" spans="3:8" ht="12.75">
      <c r="C62" s="17"/>
      <c r="D62" s="17"/>
      <c r="E62" s="17"/>
      <c r="F62" s="17"/>
      <c r="G62" s="17"/>
      <c r="H62" s="17"/>
    </row>
    <row r="63" spans="3:8" ht="12.75">
      <c r="C63" s="17"/>
      <c r="D63" s="17"/>
      <c r="E63" s="17"/>
      <c r="F63" s="17"/>
      <c r="G63" s="17"/>
      <c r="H63" s="17"/>
    </row>
    <row r="64" spans="3:8" ht="12.75">
      <c r="C64" s="28"/>
      <c r="D64" s="28"/>
      <c r="E64" s="75"/>
      <c r="F64" s="17"/>
      <c r="G64" s="75"/>
      <c r="H64" s="17"/>
    </row>
    <row r="65" spans="3:8" ht="12.75">
      <c r="C65" s="28"/>
      <c r="D65" s="28"/>
      <c r="E65" s="75"/>
      <c r="F65" s="28"/>
      <c r="G65" s="75"/>
      <c r="H65" s="17"/>
    </row>
    <row r="66" spans="3:8" ht="12.75">
      <c r="C66" s="28"/>
      <c r="D66" s="28"/>
      <c r="E66" s="75"/>
      <c r="F66" s="17"/>
      <c r="G66" s="75"/>
      <c r="H66" s="17"/>
    </row>
    <row r="67" spans="3:8" ht="12.75">
      <c r="C67" s="28"/>
      <c r="D67" s="28"/>
      <c r="E67" s="28"/>
      <c r="F67" s="28"/>
      <c r="G67" s="28"/>
      <c r="H67" s="15"/>
    </row>
    <row r="68" spans="3:8" ht="12.75">
      <c r="C68" s="28"/>
      <c r="D68" s="28"/>
      <c r="E68" s="75"/>
      <c r="F68" s="75"/>
      <c r="G68" s="75"/>
      <c r="H68" s="15"/>
    </row>
    <row r="69" spans="3:8" ht="12.75">
      <c r="C69" s="28"/>
      <c r="D69" s="28"/>
      <c r="E69" s="28"/>
      <c r="F69" s="28"/>
      <c r="G69" s="28"/>
      <c r="H69" s="15"/>
    </row>
    <row r="70" spans="3:8" ht="12.75">
      <c r="C70" s="171"/>
      <c r="D70" s="171"/>
      <c r="E70" s="173"/>
      <c r="F70" s="96"/>
      <c r="G70" s="32"/>
      <c r="H70" s="17"/>
    </row>
    <row r="71" spans="3:8" ht="12.75">
      <c r="C71" s="171"/>
      <c r="D71" s="171"/>
      <c r="E71" s="97"/>
      <c r="F71" s="96"/>
      <c r="G71" s="97"/>
      <c r="H71" s="17"/>
    </row>
    <row r="72" spans="3:8" ht="12.75">
      <c r="C72" s="171"/>
      <c r="D72" s="171"/>
      <c r="E72" s="97"/>
      <c r="F72" s="96"/>
      <c r="G72" s="97"/>
      <c r="H72" s="17"/>
    </row>
    <row r="73" spans="3:8" ht="12.75">
      <c r="C73" s="189"/>
      <c r="D73" s="171"/>
      <c r="E73" s="97"/>
      <c r="F73" s="96"/>
      <c r="G73" s="97"/>
      <c r="H73" s="17"/>
    </row>
    <row r="74" spans="3:8" ht="12.75">
      <c r="C74" s="189"/>
      <c r="D74" s="171"/>
      <c r="E74" s="97"/>
      <c r="F74" s="96"/>
      <c r="G74" s="97"/>
      <c r="H74" s="17"/>
    </row>
    <row r="75" spans="3:8" ht="12.75">
      <c r="C75" s="190"/>
      <c r="D75" s="171"/>
      <c r="E75" s="97"/>
      <c r="F75" s="96"/>
      <c r="G75" s="97"/>
      <c r="H75" s="17"/>
    </row>
    <row r="76" spans="3:8" ht="12.75">
      <c r="C76" s="171"/>
      <c r="D76" s="171"/>
      <c r="E76" s="97"/>
      <c r="F76" s="96"/>
      <c r="G76" s="97"/>
      <c r="H76" s="17"/>
    </row>
    <row r="77" spans="3:8" ht="12.75">
      <c r="C77" s="171"/>
      <c r="D77" s="171"/>
      <c r="E77" s="97"/>
      <c r="F77" s="96"/>
      <c r="G77" s="97"/>
      <c r="H77" s="17"/>
    </row>
    <row r="78" spans="3:8" ht="12.75">
      <c r="C78" s="171"/>
      <c r="D78" s="171"/>
      <c r="E78" s="97"/>
      <c r="F78" s="96"/>
      <c r="G78" s="97"/>
      <c r="H78" s="17"/>
    </row>
    <row r="79" spans="3:8" ht="12.75">
      <c r="C79" s="171"/>
      <c r="D79" s="171"/>
      <c r="E79" s="97"/>
      <c r="F79" s="96"/>
      <c r="G79" s="97"/>
      <c r="H79" s="17"/>
    </row>
    <row r="80" spans="3:8" ht="12.75">
      <c r="C80" s="171"/>
      <c r="D80" s="171"/>
      <c r="E80" s="97"/>
      <c r="F80" s="96"/>
      <c r="G80" s="97"/>
      <c r="H80" s="17"/>
    </row>
    <row r="81" spans="3:8" ht="12.75">
      <c r="C81" s="171"/>
      <c r="D81" s="171"/>
      <c r="E81" s="97"/>
      <c r="F81" s="96"/>
      <c r="G81" s="97"/>
      <c r="H81" s="17"/>
    </row>
    <row r="82" spans="3:8" ht="4.9" customHeight="1">
      <c r="C82" s="15"/>
      <c r="D82" s="15"/>
      <c r="E82" s="99"/>
      <c r="F82" s="99"/>
      <c r="G82" s="99"/>
      <c r="H82" s="17"/>
    </row>
    <row r="83" spans="3:8" ht="12.75">
      <c r="C83" s="17"/>
      <c r="D83" s="17"/>
      <c r="E83" s="17"/>
      <c r="F83" s="17"/>
      <c r="G83" s="17"/>
      <c r="H83" s="17"/>
    </row>
    <row r="84" spans="3:8" ht="12.75">
      <c r="C84" s="17"/>
      <c r="D84" s="17"/>
      <c r="E84" s="17"/>
      <c r="F84" s="17"/>
      <c r="G84" s="17"/>
      <c r="H84" s="17"/>
    </row>
    <row r="85" spans="3:8" ht="12.75">
      <c r="C85" s="17"/>
      <c r="D85" s="17"/>
      <c r="E85" s="17"/>
      <c r="F85" s="17"/>
      <c r="G85" s="17"/>
      <c r="H85" s="17"/>
    </row>
    <row r="86" spans="3:8" ht="12.75">
      <c r="C86" s="17"/>
      <c r="D86" s="17"/>
      <c r="E86" s="17"/>
      <c r="F86" s="17"/>
      <c r="G86" s="17"/>
      <c r="H86" s="17"/>
    </row>
    <row r="87" spans="3:8" ht="12.75">
      <c r="C87" s="17"/>
      <c r="D87" s="17"/>
      <c r="E87" s="17"/>
      <c r="F87" s="17"/>
      <c r="G87" s="17"/>
      <c r="H87" s="17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3D519EE-8EBD-4031-B41F-568E928AECBE}">
  <sheetPr>
    <pageSetUpPr fitToPage="1"/>
  </sheetPr>
  <dimension ref="B4:N82"/>
  <sheetViews>
    <sheetView showGridLines="0" view="pageLayout" zoomScaleNormal="100" workbookViewId="0" topLeftCell="A1">
      <selection pane="topLeft" activeCell="C1" sqref="C1"/>
    </sheetView>
  </sheetViews>
  <sheetFormatPr defaultRowHeight="12.75"/>
  <cols>
    <col min="2" max="2" width="4.857142857142857" customWidth="1"/>
    <col min="3" max="3" width="50" customWidth="1"/>
    <col min="4" max="4" width="1.4285714285714286" customWidth="1"/>
    <col min="5" max="5" width="12.142857142857142" bestFit="1" customWidth="1"/>
    <col min="6" max="6" width="1.4285714285714286" customWidth="1"/>
    <col min="7" max="7" width="12.285714285714286" customWidth="1"/>
    <col min="8" max="8" width="2.4285714285714284" customWidth="1"/>
    <col min="9" max="9" width="11.714285714285714" bestFit="1" customWidth="1"/>
    <col min="10" max="10" width="11.714285714285714" customWidth="1"/>
    <col min="12" max="12" width="11.714285714285714" bestFit="1" customWidth="1"/>
    <col min="13" max="13" width="13.142857142857142" bestFit="1" customWidth="1"/>
    <col min="14" max="14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120">
        <f>+'EFM IV'!E8</f>
        <v>44834</v>
      </c>
      <c r="F8" s="13"/>
      <c r="G8" s="78"/>
      <c r="H8" s="78"/>
      <c r="I8" s="79"/>
    </row>
    <row r="9" spans="3:7" ht="15.75">
      <c r="C9" s="65"/>
      <c r="D9" s="65"/>
      <c r="E9" s="65"/>
      <c r="F9" s="65"/>
      <c r="G9" s="177"/>
    </row>
    <row r="10" spans="3:9" ht="12.75">
      <c r="C10" s="178"/>
      <c r="D10" s="178"/>
      <c r="E10" s="179"/>
      <c r="F10" s="178"/>
      <c r="G10" s="124"/>
      <c r="H10" s="81"/>
      <c r="I10" s="86"/>
    </row>
    <row r="11" spans="3:9" ht="12.75">
      <c r="C11" s="178"/>
      <c r="D11" s="178"/>
      <c r="E11" s="179"/>
      <c r="F11" s="178"/>
      <c r="G11" s="179"/>
      <c r="H11" s="81"/>
      <c r="I11" s="86"/>
    </row>
    <row r="12" spans="3:9" ht="15.75">
      <c r="C12" s="180"/>
      <c r="D12" s="180"/>
      <c r="E12" s="70"/>
      <c r="F12" s="180"/>
      <c r="G12" s="70"/>
      <c r="H12" s="5"/>
      <c r="I12" s="86"/>
    </row>
    <row r="13" spans="3:9" ht="12.75">
      <c r="C13" s="178"/>
      <c r="D13" s="178"/>
      <c r="E13" s="71"/>
      <c r="F13" s="178"/>
      <c r="G13" s="124"/>
      <c r="H13" s="84"/>
      <c r="I13" s="86"/>
    </row>
    <row r="14" spans="3:9" ht="12.75">
      <c r="C14" s="178"/>
      <c r="D14" s="178"/>
      <c r="E14" s="181"/>
      <c r="F14" s="178"/>
      <c r="G14" s="124"/>
      <c r="H14" s="85"/>
      <c r="I14" s="86"/>
    </row>
    <row r="15" spans="3:9" ht="12.75">
      <c r="C15" s="178"/>
      <c r="D15" s="178"/>
      <c r="E15" s="179"/>
      <c r="F15" s="178"/>
      <c r="G15" s="179"/>
      <c r="H15" s="81"/>
      <c r="I15" s="86"/>
    </row>
    <row r="16" spans="3:9" ht="15.75">
      <c r="C16" s="5"/>
      <c r="D16" s="5"/>
      <c r="E16" s="10"/>
      <c r="F16" s="5"/>
      <c r="G16" s="10"/>
      <c r="H16" s="5"/>
      <c r="I16" s="86"/>
    </row>
    <row r="17" spans="3:9" ht="15.75">
      <c r="C17" s="83" t="s">
        <v>15</v>
      </c>
      <c r="D17" s="83"/>
      <c r="E17" s="10"/>
      <c r="F17" s="83"/>
      <c r="G17" s="10"/>
      <c r="H17" s="5"/>
      <c r="I17" s="86"/>
    </row>
    <row r="18" spans="3:13" ht="12.75" customHeight="1">
      <c r="C18" s="6" t="s">
        <v>16</v>
      </c>
      <c r="D18" s="6"/>
      <c r="E18" s="84">
        <f>G61</f>
        <v>0.08548317849636078</v>
      </c>
      <c r="F18" s="6"/>
      <c r="G18" s="11"/>
      <c r="H18" s="84"/>
      <c r="I18" s="86"/>
      <c r="J18" s="94"/>
      <c r="L18" s="119"/>
      <c r="M18" s="95"/>
    </row>
    <row r="19" spans="3:14" ht="12.75">
      <c r="C19" s="6" t="s">
        <v>17</v>
      </c>
      <c r="D19" s="6"/>
      <c r="E19" s="87">
        <f>-(G59+I60)/(I59)</f>
        <v>1.1731248136822754</v>
      </c>
      <c r="F19" s="6"/>
      <c r="G19" s="9"/>
      <c r="H19" s="81"/>
      <c r="J19" s="94"/>
      <c r="L19" s="119"/>
      <c r="M19" s="95"/>
      <c r="N19" s="93"/>
    </row>
    <row r="20" spans="3:13" ht="12.75">
      <c r="C20" s="6"/>
      <c r="D20" s="6"/>
      <c r="E20" s="6"/>
      <c r="F20" s="6"/>
      <c r="G20" s="81"/>
      <c r="J20" s="94"/>
      <c r="L20" s="119"/>
      <c r="M20" s="95"/>
    </row>
    <row r="21" spans="3:14" ht="15.75">
      <c r="C21" s="88" t="s">
        <v>50</v>
      </c>
      <c r="D21" s="7"/>
      <c r="E21" s="7"/>
      <c r="F21" s="7"/>
      <c r="I21" s="89"/>
      <c r="J21" s="94"/>
      <c r="L21" s="119"/>
      <c r="M21" s="95"/>
      <c r="N21" s="93"/>
    </row>
    <row r="22" spans="3:13" ht="12.75">
      <c r="C22" s="105">
        <v>0.017458101</v>
      </c>
      <c r="D22" s="17"/>
      <c r="E22" s="17"/>
      <c r="F22" s="17"/>
      <c r="G22" s="91"/>
      <c r="H22" s="17"/>
      <c r="I22" s="17"/>
      <c r="J22" s="94"/>
      <c r="M22" s="95"/>
    </row>
    <row r="23" spans="3:13" ht="15.75">
      <c r="C23" s="17"/>
      <c r="D23" s="17"/>
      <c r="E23" s="89"/>
      <c r="F23" s="45"/>
      <c r="G23" s="45"/>
      <c r="H23" s="17"/>
      <c r="I23" s="25"/>
      <c r="J23" s="94"/>
      <c r="K23" s="42"/>
      <c r="L23" s="177"/>
      <c r="M23" s="95"/>
    </row>
    <row r="24" spans="3:13" ht="12.75">
      <c r="C24" s="17" t="s">
        <v>31</v>
      </c>
      <c r="D24" s="17"/>
      <c r="E24" s="89">
        <v>43136</v>
      </c>
      <c r="F24" s="45"/>
      <c r="G24" s="45">
        <v>-200673.85</v>
      </c>
      <c r="H24" s="17"/>
      <c r="I24" s="25"/>
      <c r="J24" s="94"/>
      <c r="K24" s="41"/>
      <c r="L24" s="124"/>
      <c r="M24" s="95"/>
    </row>
    <row r="25" spans="3:13" ht="12.75">
      <c r="C25" s="17"/>
      <c r="D25" s="17"/>
      <c r="E25" s="89">
        <v>43193</v>
      </c>
      <c r="F25" s="45"/>
      <c r="G25" s="45">
        <v>-20655.39</v>
      </c>
      <c r="H25" s="17"/>
      <c r="I25" s="25"/>
      <c r="J25" s="94"/>
      <c r="K25" s="202"/>
      <c r="L25" s="124"/>
      <c r="M25" s="95"/>
    </row>
    <row r="26" spans="3:13" ht="12.75">
      <c r="C26" s="17"/>
      <c r="D26" s="17"/>
      <c r="E26" s="89">
        <v>43286</v>
      </c>
      <c r="F26" s="45"/>
      <c r="G26" s="45">
        <v>-18846.15</v>
      </c>
      <c r="H26" s="17"/>
      <c r="I26" s="25"/>
      <c r="J26" s="94"/>
      <c r="K26" s="202"/>
      <c r="L26" s="124"/>
      <c r="M26" s="95"/>
    </row>
    <row r="27" spans="3:13" ht="12.75">
      <c r="C27" s="17"/>
      <c r="D27" s="17"/>
      <c r="E27" s="89">
        <v>43328</v>
      </c>
      <c r="F27" s="45"/>
      <c r="G27" s="45">
        <v>-70710.78</v>
      </c>
      <c r="H27" s="17"/>
      <c r="I27" s="25"/>
      <c r="J27" s="94"/>
      <c r="K27" s="202"/>
      <c r="L27" s="124"/>
      <c r="M27" s="95"/>
    </row>
    <row r="28" spans="3:13" ht="12.75">
      <c r="C28" s="17"/>
      <c r="E28" s="89">
        <v>43369</v>
      </c>
      <c r="G28" s="45">
        <v>-1468492.30</v>
      </c>
      <c r="H28" s="17"/>
      <c r="I28" s="25"/>
      <c r="J28" s="94"/>
      <c r="K28" s="202"/>
      <c r="L28" s="42"/>
      <c r="M28" s="95"/>
    </row>
    <row r="29" spans="5:12" ht="12.75">
      <c r="E29" s="89">
        <v>43391</v>
      </c>
      <c r="G29" s="45">
        <v>392000</v>
      </c>
      <c r="H29" s="17"/>
      <c r="I29" s="25"/>
      <c r="J29" s="44"/>
      <c r="K29" s="41"/>
      <c r="L29" s="42"/>
    </row>
    <row r="30" spans="5:12" ht="12.75">
      <c r="E30" s="89">
        <v>43461</v>
      </c>
      <c r="G30" s="45">
        <v>-25480</v>
      </c>
      <c r="H30" s="17"/>
      <c r="I30" s="25"/>
      <c r="J30" s="44"/>
      <c r="K30" s="41"/>
      <c r="L30" s="42"/>
    </row>
    <row r="31" spans="3:9" ht="12.75">
      <c r="C31" s="17" t="s">
        <v>32</v>
      </c>
      <c r="D31" s="17"/>
      <c r="E31" s="89">
        <v>43494</v>
      </c>
      <c r="G31" s="45">
        <v>-39350.78</v>
      </c>
      <c r="H31" s="17"/>
      <c r="I31" s="25"/>
    </row>
    <row r="32" spans="3:14" ht="12.75">
      <c r="C32" s="17"/>
      <c r="D32" s="17"/>
      <c r="E32" s="89">
        <v>43622</v>
      </c>
      <c r="G32" s="45">
        <v>-26233.85</v>
      </c>
      <c r="H32" s="17"/>
      <c r="I32" s="25"/>
      <c r="J32" s="25"/>
      <c r="K32" s="17"/>
      <c r="M32" s="159"/>
      <c r="N32" s="66"/>
    </row>
    <row r="33" spans="3:14" ht="12.75">
      <c r="C33" s="17"/>
      <c r="D33" s="17"/>
      <c r="E33" s="89">
        <v>43670</v>
      </c>
      <c r="F33" s="45"/>
      <c r="G33" s="45">
        <v>-39501.54</v>
      </c>
      <c r="H33" s="17"/>
      <c r="I33" s="25"/>
      <c r="J33" s="25"/>
      <c r="K33" s="17"/>
      <c r="M33" s="159"/>
      <c r="N33" s="66"/>
    </row>
    <row r="34" spans="3:14" ht="12.75">
      <c r="C34" s="17"/>
      <c r="D34" s="17"/>
      <c r="E34" s="89">
        <v>43742</v>
      </c>
      <c r="F34" s="45"/>
      <c r="G34" s="45">
        <v>-28646.15</v>
      </c>
      <c r="H34" s="17"/>
      <c r="I34" s="25"/>
      <c r="J34" s="25"/>
      <c r="K34" s="17"/>
      <c r="M34" s="159"/>
      <c r="N34" s="66"/>
    </row>
    <row r="35" spans="3:14" ht="12.75">
      <c r="C35" s="17"/>
      <c r="D35" s="17"/>
      <c r="E35" s="89">
        <v>43794</v>
      </c>
      <c r="F35" s="45"/>
      <c r="G35" s="45">
        <v>-70107.70</v>
      </c>
      <c r="H35" s="17"/>
      <c r="I35" s="25"/>
      <c r="J35" s="25"/>
      <c r="K35" s="17"/>
      <c r="M35" s="159"/>
      <c r="N35" s="66"/>
    </row>
    <row r="36" spans="3:14" ht="12.75">
      <c r="C36" s="17"/>
      <c r="D36" s="17"/>
      <c r="E36" s="89">
        <v>43801</v>
      </c>
      <c r="F36" s="45"/>
      <c r="G36" s="45">
        <v>-134335.38</v>
      </c>
      <c r="H36" s="17"/>
      <c r="I36" s="25"/>
      <c r="J36" s="25"/>
      <c r="K36" s="17"/>
      <c r="M36" s="159"/>
      <c r="N36" s="66"/>
    </row>
    <row r="37" spans="3:14" ht="12.75">
      <c r="C37" s="17" t="s">
        <v>27</v>
      </c>
      <c r="D37" s="17"/>
      <c r="E37" s="89">
        <v>43671</v>
      </c>
      <c r="F37" s="45"/>
      <c r="G37" s="45">
        <v>129646.89</v>
      </c>
      <c r="H37" s="17"/>
      <c r="I37" s="25"/>
      <c r="J37" s="25"/>
      <c r="K37" s="17"/>
      <c r="M37" s="159"/>
      <c r="N37" s="66"/>
    </row>
    <row r="38" spans="3:14" ht="12.75">
      <c r="C38" s="17" t="s">
        <v>33</v>
      </c>
      <c r="D38" s="17"/>
      <c r="E38" s="89">
        <v>43859</v>
      </c>
      <c r="F38" s="45"/>
      <c r="G38" s="45">
        <v>-37993.85</v>
      </c>
      <c r="H38" s="17"/>
      <c r="I38" s="25"/>
      <c r="J38" s="25"/>
      <c r="K38" s="17"/>
      <c r="M38" s="159"/>
      <c r="N38" s="66"/>
    </row>
    <row r="39" spans="3:14" ht="12.75">
      <c r="C39" s="17"/>
      <c r="D39" s="17"/>
      <c r="E39" s="89">
        <v>43916</v>
      </c>
      <c r="F39" s="45"/>
      <c r="G39" s="45">
        <v>-37240</v>
      </c>
      <c r="H39" s="17"/>
      <c r="I39" s="25"/>
      <c r="J39" s="25"/>
      <c r="K39" s="17"/>
      <c r="M39" s="159"/>
      <c r="N39" s="66"/>
    </row>
    <row r="40" spans="3:14" ht="12.75">
      <c r="C40" s="17"/>
      <c r="D40" s="17"/>
      <c r="E40" s="89">
        <v>44103</v>
      </c>
      <c r="F40" s="45"/>
      <c r="G40" s="45">
        <v>-48095.38</v>
      </c>
      <c r="H40" s="17"/>
      <c r="I40" s="25"/>
      <c r="J40" s="25"/>
      <c r="K40" s="17"/>
      <c r="M40" s="159"/>
      <c r="N40" s="66"/>
    </row>
    <row r="41" spans="3:14" ht="12.75">
      <c r="C41" s="17"/>
      <c r="D41" s="17"/>
      <c r="E41" s="89">
        <v>44126</v>
      </c>
      <c r="F41" s="45"/>
      <c r="G41" s="45">
        <v>-161323.07</v>
      </c>
      <c r="H41" s="17"/>
      <c r="I41" s="25"/>
      <c r="J41" s="25"/>
      <c r="K41" s="17"/>
      <c r="M41" s="159"/>
      <c r="N41" s="66"/>
    </row>
    <row r="42" spans="3:14" ht="12.75">
      <c r="C42" s="17" t="s">
        <v>34</v>
      </c>
      <c r="D42" s="17"/>
      <c r="E42" s="89">
        <v>44200</v>
      </c>
      <c r="F42" s="45"/>
      <c r="G42" s="45">
        <v>-26535.39</v>
      </c>
      <c r="H42" s="17"/>
      <c r="I42" s="25"/>
      <c r="J42" s="25"/>
      <c r="K42" s="17"/>
      <c r="M42" s="159"/>
      <c r="N42" s="66"/>
    </row>
    <row r="43" spans="3:14" ht="12.75">
      <c r="C43" s="17"/>
      <c r="D43" s="17"/>
      <c r="E43" s="89">
        <v>44376</v>
      </c>
      <c r="F43" s="45"/>
      <c r="G43" s="45">
        <v>-28646.16</v>
      </c>
      <c r="H43" s="17"/>
      <c r="I43" s="25"/>
      <c r="J43" s="25"/>
      <c r="K43" s="17"/>
      <c r="M43" s="159"/>
      <c r="N43" s="66"/>
    </row>
    <row r="44" spans="3:14" ht="12.75">
      <c r="C44" s="17"/>
      <c r="D44" s="17"/>
      <c r="E44" s="89">
        <v>44466</v>
      </c>
      <c r="F44" s="45"/>
      <c r="G44" s="45">
        <v>-18846.15</v>
      </c>
      <c r="H44" s="17"/>
      <c r="I44" s="25"/>
      <c r="J44" s="25"/>
      <c r="K44" s="17"/>
      <c r="M44" s="159"/>
      <c r="N44" s="66"/>
    </row>
    <row r="45" spans="3:14" ht="12.75">
      <c r="C45" s="17"/>
      <c r="D45" s="17"/>
      <c r="E45" s="89">
        <v>44530</v>
      </c>
      <c r="F45" s="45"/>
      <c r="G45" s="45">
        <v>-37240.01</v>
      </c>
      <c r="H45" s="17"/>
      <c r="I45" s="25"/>
      <c r="J45" s="25"/>
      <c r="K45" s="17"/>
      <c r="M45" s="159"/>
      <c r="N45" s="66"/>
    </row>
    <row r="46" spans="3:14" ht="12.75">
      <c r="C46" s="17" t="s">
        <v>28</v>
      </c>
      <c r="D46" s="17"/>
      <c r="E46" s="89">
        <v>44463</v>
      </c>
      <c r="F46" s="45"/>
      <c r="G46" s="45">
        <v>22626.91</v>
      </c>
      <c r="H46" s="17"/>
      <c r="I46" s="25"/>
      <c r="J46" s="25"/>
      <c r="K46" s="17"/>
      <c r="M46" s="159"/>
      <c r="N46" s="66"/>
    </row>
    <row r="47" spans="3:14" ht="12.75">
      <c r="C47" s="17"/>
      <c r="D47" s="17"/>
      <c r="E47" s="89">
        <v>44484</v>
      </c>
      <c r="F47" s="45"/>
      <c r="G47" s="45">
        <v>969199.17</v>
      </c>
      <c r="H47" s="17"/>
      <c r="I47" s="25"/>
      <c r="J47" s="25"/>
      <c r="K47" s="17"/>
      <c r="M47" s="159"/>
      <c r="N47" s="66"/>
    </row>
    <row r="48" spans="3:14" ht="12.75">
      <c r="C48" s="17"/>
      <c r="D48" s="17"/>
      <c r="E48" s="89">
        <v>44539</v>
      </c>
      <c r="F48" s="45"/>
      <c r="G48" s="45">
        <v>78313.97</v>
      </c>
      <c r="H48" s="17"/>
      <c r="I48" s="25"/>
      <c r="J48" s="25"/>
      <c r="K48" s="17"/>
      <c r="M48" s="159"/>
      <c r="N48" s="66"/>
    </row>
    <row r="49" spans="3:14" ht="12.75">
      <c r="C49" s="17" t="s">
        <v>35</v>
      </c>
      <c r="D49" s="17"/>
      <c r="E49" s="89">
        <v>44606</v>
      </c>
      <c r="F49" s="45"/>
      <c r="G49" s="45">
        <v>-474772.30</v>
      </c>
      <c r="H49" s="17"/>
      <c r="I49" s="25"/>
      <c r="J49" s="25"/>
      <c r="K49" s="17"/>
      <c r="M49" s="159"/>
      <c r="N49" s="66"/>
    </row>
    <row r="50" spans="3:14" ht="12.75">
      <c r="C50" s="17"/>
      <c r="D50" s="17"/>
      <c r="E50" s="89">
        <v>44649</v>
      </c>
      <c r="F50" s="45"/>
      <c r="G50" s="45">
        <v>-18846.15</v>
      </c>
      <c r="H50" s="17"/>
      <c r="I50" s="25"/>
      <c r="J50" s="25"/>
      <c r="K50" s="17"/>
      <c r="M50" s="159"/>
      <c r="N50" s="66"/>
    </row>
    <row r="51" spans="3:14" ht="12.75">
      <c r="C51" s="17"/>
      <c r="D51" s="17"/>
      <c r="E51" s="89">
        <v>44672</v>
      </c>
      <c r="F51" s="45"/>
      <c r="G51" s="45">
        <v>-7689.23</v>
      </c>
      <c r="H51" s="17"/>
      <c r="I51" s="25"/>
      <c r="J51" s="25"/>
      <c r="K51" s="17"/>
      <c r="M51" s="159"/>
      <c r="N51" s="66"/>
    </row>
    <row r="52" spans="3:14" ht="12.75">
      <c r="C52" s="17"/>
      <c r="D52" s="17"/>
      <c r="E52" s="89">
        <v>44736</v>
      </c>
      <c r="F52" s="45"/>
      <c r="G52" s="45">
        <v>-61966.16</v>
      </c>
      <c r="H52" s="17"/>
      <c r="I52" s="25"/>
      <c r="J52" s="25"/>
      <c r="K52" s="17"/>
      <c r="M52" s="159"/>
      <c r="N52" s="66"/>
    </row>
    <row r="53" spans="3:14" ht="12.75">
      <c r="C53" s="17"/>
      <c r="D53" s="17"/>
      <c r="E53" s="89">
        <v>44764</v>
      </c>
      <c r="F53" s="45"/>
      <c r="G53" s="45">
        <v>-300181.54</v>
      </c>
      <c r="H53" s="17"/>
      <c r="I53" s="25"/>
      <c r="J53" s="25"/>
      <c r="K53" s="17"/>
      <c r="M53" s="159"/>
      <c r="N53" s="66"/>
    </row>
    <row r="54" spans="3:14" ht="12.75">
      <c r="C54" s="17"/>
      <c r="D54" s="17"/>
      <c r="E54" s="89">
        <v>44819</v>
      </c>
      <c r="F54" s="45"/>
      <c r="G54" s="45">
        <v>-681175.39</v>
      </c>
      <c r="H54" s="17"/>
      <c r="I54" s="25"/>
      <c r="J54" s="25"/>
      <c r="K54" s="17"/>
      <c r="M54" s="159"/>
      <c r="N54" s="66"/>
    </row>
    <row r="55" spans="3:14" ht="12.75">
      <c r="C55" s="17" t="s">
        <v>29</v>
      </c>
      <c r="D55" s="17"/>
      <c r="E55" s="89">
        <v>44615</v>
      </c>
      <c r="F55" s="45"/>
      <c r="G55" s="45">
        <v>16557.02</v>
      </c>
      <c r="H55" s="17"/>
      <c r="I55" s="25"/>
      <c r="J55" s="25"/>
      <c r="K55" s="17"/>
      <c r="M55" s="159"/>
      <c r="N55" s="66"/>
    </row>
    <row r="56" spans="3:14" ht="12.75">
      <c r="C56" s="17"/>
      <c r="D56" s="17"/>
      <c r="E56" s="89">
        <v>44785</v>
      </c>
      <c r="F56" s="45"/>
      <c r="G56" s="45">
        <v>54642.34</v>
      </c>
      <c r="H56" s="17"/>
      <c r="I56" s="25"/>
      <c r="J56" s="25"/>
      <c r="K56" s="17"/>
      <c r="M56" s="159"/>
      <c r="N56" s="66"/>
    </row>
    <row r="57" spans="3:14" ht="12.75">
      <c r="C57" s="17"/>
      <c r="D57" s="17"/>
      <c r="E57" s="89"/>
      <c r="F57" s="45"/>
      <c r="G57" s="45"/>
      <c r="H57" s="17"/>
      <c r="I57" s="25"/>
      <c r="J57" s="25"/>
      <c r="K57" s="17"/>
      <c r="M57" s="159"/>
      <c r="N57" s="66"/>
    </row>
    <row r="58" spans="3:10" ht="4.5" customHeight="1">
      <c r="C58" s="17"/>
      <c r="D58" s="17"/>
      <c r="E58" s="89"/>
      <c r="F58" s="17"/>
      <c r="G58" s="45"/>
      <c r="H58" s="17"/>
      <c r="I58" s="25"/>
      <c r="J58" s="25"/>
    </row>
    <row r="59" spans="3:13" ht="12.75">
      <c r="C59" s="17" t="s">
        <v>5</v>
      </c>
      <c r="D59" s="17"/>
      <c r="E59" s="89">
        <f>+E8</f>
        <v>44834</v>
      </c>
      <c r="F59" s="17"/>
      <c r="G59" s="94">
        <f>L59*C22</f>
        <v>3059703.2547235982</v>
      </c>
      <c r="H59" s="17"/>
      <c r="I59" s="45">
        <f>+SUMIF($G$24:$G$58,"&lt;0",$G$24:$G$58)+G29</f>
        <v>-3691584.65</v>
      </c>
      <c r="J59" s="17" t="s">
        <v>20</v>
      </c>
      <c r="L59" s="124">
        <v>175259798</v>
      </c>
      <c r="M59" s="134"/>
    </row>
    <row r="60" spans="3:10" ht="12.75">
      <c r="C60" s="17"/>
      <c r="D60" s="17"/>
      <c r="E60" s="17"/>
      <c r="F60" s="17"/>
      <c r="G60" s="17"/>
      <c r="H60" s="17"/>
      <c r="I60" s="45">
        <f>+SUMIF($G$24:$G$58,"&gt;0",$G$24:$G$58)-G29</f>
        <v>1270986.3000000003</v>
      </c>
      <c r="J60" s="17" t="s">
        <v>21</v>
      </c>
    </row>
    <row r="61" spans="3:8" ht="12.75">
      <c r="C61" s="15" t="s">
        <v>0</v>
      </c>
      <c r="G61" s="72">
        <f>+XIRR(G24:G59,E24:E59)</f>
        <v>0.08548317849636078</v>
      </c>
      <c r="H61" s="17"/>
    </row>
    <row r="62" spans="3:8" ht="12.75">
      <c r="C62" s="15"/>
      <c r="G62" s="72"/>
      <c r="H62" s="17"/>
    </row>
    <row r="63" spans="3:8" ht="12.75">
      <c r="C63" s="28"/>
      <c r="D63" s="28"/>
      <c r="E63" s="75"/>
      <c r="F63" s="28"/>
      <c r="G63" s="75"/>
      <c r="H63" s="17"/>
    </row>
    <row r="64" spans="3:8" ht="12.75">
      <c r="C64" s="28"/>
      <c r="D64" s="28"/>
      <c r="E64" s="75"/>
      <c r="F64" s="28"/>
      <c r="G64" s="75"/>
      <c r="H64" s="17"/>
    </row>
    <row r="65" spans="3:8" ht="12.75">
      <c r="C65" s="28"/>
      <c r="D65" s="28"/>
      <c r="E65" s="75"/>
      <c r="F65" s="28"/>
      <c r="G65" s="75"/>
      <c r="H65" s="17"/>
    </row>
    <row r="66" spans="3:8" ht="12.75">
      <c r="C66" s="28"/>
      <c r="D66" s="28"/>
      <c r="E66" s="76"/>
      <c r="F66" s="76"/>
      <c r="G66" s="76"/>
      <c r="H66" s="15"/>
    </row>
    <row r="67" spans="3:8" ht="12.75">
      <c r="C67" s="28"/>
      <c r="D67" s="28"/>
      <c r="E67" s="75"/>
      <c r="F67" s="75"/>
      <c r="G67" s="75"/>
      <c r="H67" s="15"/>
    </row>
    <row r="68" spans="3:8" ht="12.75">
      <c r="C68" s="28"/>
      <c r="D68" s="28"/>
      <c r="E68" s="28"/>
      <c r="F68" s="28"/>
      <c r="G68" s="28"/>
      <c r="H68" s="15"/>
    </row>
    <row r="69" spans="3:8" ht="12.75">
      <c r="C69" s="171"/>
      <c r="D69" s="171"/>
      <c r="E69" s="173"/>
      <c r="F69" s="96"/>
      <c r="G69" s="32"/>
      <c r="H69" s="17"/>
    </row>
    <row r="70" spans="3:8" ht="12.75">
      <c r="C70" s="171"/>
      <c r="D70" s="171"/>
      <c r="E70" s="97"/>
      <c r="F70" s="96"/>
      <c r="G70" s="97"/>
      <c r="H70" s="17"/>
    </row>
    <row r="71" spans="3:8" ht="12.75">
      <c r="C71" s="171"/>
      <c r="D71" s="171"/>
      <c r="E71" s="97"/>
      <c r="F71" s="96"/>
      <c r="G71" s="97"/>
      <c r="H71" s="17"/>
    </row>
    <row r="72" spans="3:8" ht="12.75">
      <c r="C72" s="189"/>
      <c r="D72" s="171"/>
      <c r="E72" s="97"/>
      <c r="F72" s="96"/>
      <c r="G72" s="97"/>
      <c r="H72" s="17"/>
    </row>
    <row r="73" spans="3:8" ht="12.75">
      <c r="C73" s="189"/>
      <c r="D73" s="171"/>
      <c r="E73" s="97"/>
      <c r="F73" s="96"/>
      <c r="G73" s="97"/>
      <c r="H73" s="17"/>
    </row>
    <row r="74" spans="3:8" ht="12.75">
      <c r="C74" s="190"/>
      <c r="D74" s="171"/>
      <c r="E74" s="97"/>
      <c r="F74" s="96"/>
      <c r="G74" s="97"/>
      <c r="H74" s="17"/>
    </row>
    <row r="75" spans="3:8" ht="12.75">
      <c r="C75" s="171"/>
      <c r="D75" s="171"/>
      <c r="E75" s="97"/>
      <c r="F75" s="96"/>
      <c r="G75" s="97"/>
      <c r="H75" s="17"/>
    </row>
    <row r="76" spans="3:8" ht="12.75">
      <c r="C76" s="171"/>
      <c r="D76" s="171"/>
      <c r="E76" s="97"/>
      <c r="F76" s="96"/>
      <c r="G76" s="97"/>
      <c r="H76" s="17"/>
    </row>
    <row r="77" spans="3:8" ht="12.75">
      <c r="C77" s="171"/>
      <c r="D77" s="171"/>
      <c r="E77" s="97"/>
      <c r="F77" s="96"/>
      <c r="G77" s="97"/>
      <c r="H77" s="17"/>
    </row>
    <row r="78" spans="3:8" ht="12.75">
      <c r="C78" s="171"/>
      <c r="D78" s="171"/>
      <c r="E78" s="97"/>
      <c r="F78" s="96"/>
      <c r="G78" s="97"/>
      <c r="H78" s="17"/>
    </row>
    <row r="79" spans="3:8" ht="12.75">
      <c r="C79" s="171"/>
      <c r="D79" s="171"/>
      <c r="E79" s="97"/>
      <c r="F79" s="96"/>
      <c r="G79" s="97"/>
      <c r="H79" s="17"/>
    </row>
    <row r="80" spans="3:8" ht="12.75">
      <c r="C80" s="171"/>
      <c r="D80" s="171"/>
      <c r="E80" s="97"/>
      <c r="F80" s="96"/>
      <c r="G80" s="97"/>
      <c r="H80" s="17"/>
    </row>
    <row r="81" spans="3:8" ht="4.9" customHeight="1">
      <c r="C81" s="17"/>
      <c r="D81" s="17"/>
      <c r="E81" s="17"/>
      <c r="F81" s="17"/>
      <c r="G81" s="17"/>
      <c r="H81" s="17"/>
    </row>
    <row r="82" spans="3:8" ht="12.75">
      <c r="C82" s="17"/>
      <c r="D82" s="17"/>
      <c r="E82" s="17"/>
      <c r="F82" s="17"/>
      <c r="G82" s="17"/>
      <c r="H82" s="17"/>
    </row>
  </sheetData>
  <mergeCells count="1">
    <mergeCell ref="E66:G66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6" ma:contentTypeDescription="Create a new document." ma:contentTypeScope="" ma:versionID="1eea900a64deb794cdb99b5f2532b621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94c870accb11b529575280629ed7135f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b6379d-5402-4ed7-9167-0c02804ceeec" xsi:nil="true"/>
    <lcf76f155ced4ddcb4097134ff3c332f xmlns="16c4b767-81a9-4964-9cba-5e0dcfc5f9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CEA3D5-A265-4C65-A504-614A151022BC}"/>
</file>

<file path=customXml/itemProps2.xml><?xml version="1.0" encoding="utf-8"?>
<ds:datastoreItem xmlns:ds="http://schemas.openxmlformats.org/officeDocument/2006/customXml" ds:itemID="{73C562E8-2042-408E-9CF1-02B2084720C4}"/>
</file>

<file path=customXml/itemProps3.xml><?xml version="1.0" encoding="utf-8"?>
<ds:datastoreItem xmlns:ds="http://schemas.openxmlformats.org/officeDocument/2006/customXml" ds:itemID="{FD855AE6-0D36-48B0-8642-E510039183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VI LP</vt:lpstr>
      <vt:lpstr>VI-B LP</vt:lpstr>
      <vt:lpstr>VII</vt:lpstr>
      <vt:lpstr>VII-B</vt:lpstr>
      <vt:lpstr>VIII</vt:lpstr>
      <vt:lpstr>VIII-B</vt:lpstr>
      <vt:lpstr>VIII-C</vt:lpstr>
      <vt:lpstr>VIII-D</vt:lpstr>
      <vt:lpstr>Fund IX</vt:lpstr>
      <vt:lpstr>Fund IX-C</vt:lpstr>
      <vt:lpstr>Fund IX-D</vt:lpstr>
      <vt:lpstr>Fund X</vt:lpstr>
      <vt:lpstr>Fund X-C</vt:lpstr>
      <vt:lpstr>Fund X-D</vt:lpstr>
      <vt:lpstr>Fund XI</vt:lpstr>
      <vt:lpstr>Fund XI-C</vt:lpstr>
      <vt:lpstr>Fund XI-D</vt:lpstr>
      <vt:lpstr>EETF I-A</vt:lpstr>
      <vt:lpstr>EEIF</vt:lpstr>
      <vt:lpstr>EEIF Feeder</vt:lpstr>
      <vt:lpstr>EFM II</vt:lpstr>
      <vt:lpstr>EFM II-C</vt:lpstr>
      <vt:lpstr>EFM II-D</vt:lpstr>
      <vt:lpstr>EFM III</vt:lpstr>
      <vt:lpstr>EFM III-C</vt:lpstr>
      <vt:lpstr>EFM III-D</vt:lpstr>
      <vt:lpstr>EFM IV</vt:lpstr>
      <vt:lpstr>EFM IV-C</vt:lpstr>
      <vt:lpstr>EFM IV-D</vt:lpstr>
    </vt:vector>
  </TitlesOfParts>
  <Template/>
  <Manager/>
  <Company>PricewaterhouseCoopers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Morgan</dc:creator>
  <cp:keywords/>
  <dc:description/>
  <cp:lastModifiedBy>Cole Sanches</cp:lastModifiedBy>
  <cp:lastPrinted>2009-03-12T17:38:08Z</cp:lastPrinted>
  <dcterms:created xsi:type="dcterms:W3CDTF">2002-01-08T18:22:21Z</dcterms:created>
  <dcterms:modified xsi:type="dcterms:W3CDTF">2022-12-06T00:29:32Z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0x01010035B04DF9C75CAB4DAB32342A81611457</vt:lpwstr>
  </property>
</Properties>
</file>