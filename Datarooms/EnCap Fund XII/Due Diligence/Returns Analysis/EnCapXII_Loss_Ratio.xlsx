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tonegardengroup.sharepoint.com/sites/StoneGardenShare/Shared Documents/Intern/SHARED INTERN FOLDER/Phase 3s/Energy/EnCap Fund XII/Internal Approvals and Analysis/Returns Analysis/"/>
    </mc:Choice>
  </mc:AlternateContent>
  <xr:revisionPtr revIDLastSave="23" documentId="11_81702016E3C97381A0427581E785B778E092C658" xr6:coauthVersionLast="47" xr6:coauthVersionMax="47" xr10:uidLastSave="{6120BDE3-C34B-41AD-A97F-257612511011}"/>
  <bookViews>
    <workbookView xWindow="28680" yWindow="-120" windowWidth="29040" windowHeight="15720" activeTab="2" xr2:uid="{00000000-000D-0000-FFFF-FFFF00000000}"/>
  </bookViews>
  <sheets>
    <sheet name="Funds" sheetId="1" r:id="rId1"/>
    <sheet name="Portfolios" sheetId="2" r:id="rId2"/>
    <sheet name="Loss Ratio Analysi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3" l="1"/>
  <c r="AK9" i="3"/>
  <c r="AK8" i="3"/>
  <c r="AK10" i="3" s="1"/>
  <c r="AG5" i="3"/>
  <c r="AD5" i="3"/>
  <c r="AA5" i="3"/>
  <c r="X5" i="3"/>
  <c r="U5" i="3"/>
  <c r="R5" i="3"/>
  <c r="O5" i="3"/>
  <c r="L5" i="3"/>
  <c r="I5" i="3"/>
  <c r="F5" i="3"/>
  <c r="AG4" i="3"/>
  <c r="AD4" i="3"/>
  <c r="AA4" i="3"/>
  <c r="X4" i="3"/>
  <c r="U4" i="3"/>
  <c r="R4" i="3"/>
  <c r="O4" i="3"/>
  <c r="L4" i="3"/>
  <c r="I4" i="3"/>
  <c r="F4" i="3"/>
  <c r="C4" i="3"/>
  <c r="G246" i="2"/>
  <c r="B246" i="2"/>
  <c r="G245" i="2"/>
  <c r="B245" i="2"/>
  <c r="G244" i="2"/>
  <c r="B244" i="2"/>
  <c r="G243" i="2"/>
  <c r="B243" i="2"/>
  <c r="G242" i="2"/>
  <c r="B242" i="2"/>
  <c r="G241" i="2"/>
  <c r="B241" i="2"/>
  <c r="G240" i="2"/>
  <c r="B240" i="2"/>
  <c r="G239" i="2"/>
  <c r="B239" i="2"/>
  <c r="G238" i="2"/>
  <c r="B238" i="2"/>
  <c r="G237" i="2"/>
  <c r="B237" i="2"/>
  <c r="G236" i="2"/>
  <c r="B236" i="2"/>
  <c r="G235" i="2"/>
  <c r="B235" i="2"/>
  <c r="G234" i="2"/>
  <c r="B234" i="2"/>
  <c r="G233" i="2"/>
  <c r="B233" i="2"/>
  <c r="G232" i="2"/>
  <c r="B232" i="2"/>
  <c r="G231" i="2"/>
  <c r="B231" i="2"/>
  <c r="G230" i="2"/>
  <c r="B230" i="2"/>
  <c r="G229" i="2"/>
  <c r="B229" i="2"/>
  <c r="G228" i="2"/>
  <c r="B228" i="2"/>
  <c r="G227" i="2"/>
  <c r="B227" i="2"/>
  <c r="G226" i="2"/>
  <c r="B226" i="2"/>
  <c r="G225" i="2"/>
  <c r="B225" i="2"/>
  <c r="G224" i="2"/>
  <c r="B224" i="2"/>
  <c r="G223" i="2"/>
  <c r="B223" i="2"/>
  <c r="G222" i="2"/>
  <c r="B222" i="2"/>
  <c r="G221" i="2"/>
  <c r="B221" i="2"/>
  <c r="G220" i="2"/>
  <c r="B220" i="2"/>
  <c r="G219" i="2"/>
  <c r="B219" i="2"/>
  <c r="G218" i="2"/>
  <c r="B218" i="2"/>
  <c r="G217" i="2"/>
  <c r="B217" i="2"/>
  <c r="G216" i="2"/>
  <c r="B216" i="2"/>
  <c r="G215" i="2"/>
  <c r="B215" i="2"/>
  <c r="G214" i="2"/>
  <c r="B214" i="2"/>
  <c r="G213" i="2"/>
  <c r="B213" i="2"/>
  <c r="G212" i="2"/>
  <c r="B212" i="2"/>
  <c r="G211" i="2"/>
  <c r="B211" i="2"/>
  <c r="G210" i="2"/>
  <c r="B210" i="2"/>
  <c r="G209" i="2"/>
  <c r="B209" i="2"/>
  <c r="G208" i="2"/>
  <c r="B208" i="2"/>
  <c r="G207" i="2"/>
  <c r="B207" i="2"/>
  <c r="G206" i="2"/>
  <c r="B206" i="2"/>
  <c r="G205" i="2"/>
  <c r="B205" i="2"/>
  <c r="G204" i="2"/>
  <c r="B204" i="2"/>
  <c r="G203" i="2"/>
  <c r="B203" i="2"/>
  <c r="G202" i="2"/>
  <c r="B202" i="2"/>
  <c r="G201" i="2"/>
  <c r="B201" i="2"/>
  <c r="G200" i="2"/>
  <c r="B200" i="2"/>
  <c r="G199" i="2"/>
  <c r="B199" i="2"/>
  <c r="G198" i="2"/>
  <c r="B198" i="2"/>
  <c r="G197" i="2"/>
  <c r="B197" i="2"/>
  <c r="G196" i="2"/>
  <c r="B196" i="2"/>
  <c r="G195" i="2"/>
  <c r="B195" i="2"/>
  <c r="G194" i="2"/>
  <c r="B194" i="2"/>
  <c r="G193" i="2"/>
  <c r="B193" i="2"/>
  <c r="G192" i="2"/>
  <c r="B192" i="2"/>
  <c r="G191" i="2"/>
  <c r="B191" i="2"/>
  <c r="G190" i="2"/>
  <c r="B190" i="2"/>
  <c r="G189" i="2"/>
  <c r="B189" i="2"/>
  <c r="G188" i="2"/>
  <c r="B188" i="2"/>
  <c r="G187" i="2"/>
  <c r="B187" i="2"/>
  <c r="G186" i="2"/>
  <c r="B186" i="2"/>
  <c r="G185" i="2"/>
  <c r="B185" i="2"/>
  <c r="G184" i="2"/>
  <c r="B184" i="2"/>
  <c r="G183" i="2"/>
  <c r="B183" i="2"/>
  <c r="G182" i="2"/>
  <c r="B182" i="2"/>
  <c r="G181" i="2"/>
  <c r="B181" i="2"/>
  <c r="G180" i="2"/>
  <c r="B180" i="2"/>
  <c r="G179" i="2"/>
  <c r="B179" i="2"/>
  <c r="G178" i="2"/>
  <c r="B178" i="2"/>
  <c r="G177" i="2"/>
  <c r="B177" i="2"/>
  <c r="G176" i="2"/>
  <c r="B176" i="2"/>
  <c r="G175" i="2"/>
  <c r="B175" i="2"/>
  <c r="G174" i="2"/>
  <c r="B174" i="2"/>
  <c r="G173" i="2"/>
  <c r="B173" i="2"/>
  <c r="G172" i="2"/>
  <c r="B172" i="2"/>
  <c r="G171" i="2"/>
  <c r="B171" i="2"/>
  <c r="G170" i="2"/>
  <c r="B170" i="2"/>
  <c r="G169" i="2"/>
  <c r="B169" i="2"/>
  <c r="G168" i="2"/>
  <c r="B168" i="2"/>
  <c r="G167" i="2"/>
  <c r="B167" i="2"/>
  <c r="G166" i="2"/>
  <c r="B166" i="2"/>
  <c r="G165" i="2"/>
  <c r="B165" i="2"/>
  <c r="G164" i="2"/>
  <c r="B164" i="2"/>
  <c r="G163" i="2"/>
  <c r="B163" i="2"/>
  <c r="G162" i="2"/>
  <c r="B162" i="2"/>
  <c r="G161" i="2"/>
  <c r="B161" i="2"/>
  <c r="G160" i="2"/>
  <c r="B160" i="2"/>
  <c r="G159" i="2"/>
  <c r="B159" i="2"/>
  <c r="G158" i="2"/>
  <c r="B158" i="2"/>
  <c r="G157" i="2"/>
  <c r="B157" i="2"/>
  <c r="G156" i="2"/>
  <c r="B156" i="2"/>
  <c r="G155" i="2"/>
  <c r="B155" i="2"/>
  <c r="G154" i="2"/>
  <c r="B154" i="2"/>
  <c r="G153" i="2"/>
  <c r="B153" i="2"/>
  <c r="G152" i="2"/>
  <c r="B152" i="2"/>
  <c r="G151" i="2"/>
  <c r="B151" i="2"/>
  <c r="G150" i="2"/>
  <c r="B150" i="2"/>
  <c r="G149" i="2"/>
  <c r="B149" i="2"/>
  <c r="G148" i="2"/>
  <c r="B148" i="2"/>
  <c r="G147" i="2"/>
  <c r="B147" i="2"/>
  <c r="G146" i="2"/>
  <c r="B146" i="2"/>
  <c r="G145" i="2"/>
  <c r="B145" i="2"/>
  <c r="G144" i="2"/>
  <c r="B144" i="2"/>
  <c r="G143" i="2"/>
  <c r="B143" i="2"/>
  <c r="G142" i="2"/>
  <c r="B142" i="2"/>
  <c r="G141" i="2"/>
  <c r="B141" i="2"/>
  <c r="G140" i="2"/>
  <c r="B140" i="2"/>
  <c r="G139" i="2"/>
  <c r="B139" i="2"/>
  <c r="G138" i="2"/>
  <c r="B138" i="2"/>
  <c r="G137" i="2"/>
  <c r="B137" i="2"/>
  <c r="G136" i="2"/>
  <c r="B136" i="2"/>
  <c r="G135" i="2"/>
  <c r="B135" i="2"/>
  <c r="G134" i="2"/>
  <c r="B134" i="2"/>
  <c r="G133" i="2"/>
  <c r="B133" i="2"/>
  <c r="G132" i="2"/>
  <c r="B132" i="2"/>
  <c r="G131" i="2"/>
  <c r="B131" i="2"/>
  <c r="G130" i="2"/>
  <c r="B130" i="2"/>
  <c r="G129" i="2"/>
  <c r="B129" i="2"/>
  <c r="G128" i="2"/>
  <c r="B128" i="2"/>
  <c r="G127" i="2"/>
  <c r="B127" i="2"/>
  <c r="G126" i="2"/>
  <c r="B126" i="2"/>
  <c r="G125" i="2"/>
  <c r="B125" i="2"/>
  <c r="G124" i="2"/>
  <c r="B124" i="2"/>
  <c r="G123" i="2"/>
  <c r="B123" i="2"/>
  <c r="G122" i="2"/>
  <c r="B122" i="2"/>
  <c r="G121" i="2"/>
  <c r="B121" i="2"/>
  <c r="G120" i="2"/>
  <c r="B120" i="2"/>
  <c r="G119" i="2"/>
  <c r="B119" i="2"/>
  <c r="G118" i="2"/>
  <c r="B118" i="2"/>
  <c r="G117" i="2"/>
  <c r="B117" i="2"/>
  <c r="G116" i="2"/>
  <c r="B116" i="2"/>
  <c r="G115" i="2"/>
  <c r="B115" i="2"/>
  <c r="G114" i="2"/>
  <c r="B114" i="2"/>
  <c r="G113" i="2"/>
  <c r="B113" i="2"/>
  <c r="G112" i="2"/>
  <c r="B112" i="2"/>
  <c r="G111" i="2"/>
  <c r="B111" i="2"/>
  <c r="G110" i="2"/>
  <c r="B110" i="2"/>
  <c r="G109" i="2"/>
  <c r="B109" i="2"/>
  <c r="G108" i="2"/>
  <c r="B108" i="2"/>
  <c r="G107" i="2"/>
  <c r="B107" i="2"/>
  <c r="G106" i="2"/>
  <c r="B106" i="2"/>
  <c r="G105" i="2"/>
  <c r="B105" i="2"/>
  <c r="G104" i="2"/>
  <c r="B104" i="2"/>
  <c r="G103" i="2"/>
  <c r="B103" i="2"/>
  <c r="G102" i="2"/>
  <c r="B102" i="2"/>
  <c r="G101" i="2"/>
  <c r="B101" i="2"/>
  <c r="G100" i="2"/>
  <c r="B100" i="2"/>
  <c r="G99" i="2"/>
  <c r="B99" i="2"/>
  <c r="G98" i="2"/>
  <c r="B98" i="2"/>
  <c r="G97" i="2"/>
  <c r="B97" i="2"/>
  <c r="G96" i="2"/>
  <c r="B96" i="2"/>
  <c r="G95" i="2"/>
  <c r="B95" i="2"/>
  <c r="G94" i="2"/>
  <c r="B94" i="2"/>
  <c r="G93" i="2"/>
  <c r="B93" i="2"/>
  <c r="G92" i="2"/>
  <c r="B92" i="2"/>
  <c r="G91" i="2"/>
  <c r="B91" i="2"/>
  <c r="G90" i="2"/>
  <c r="B90" i="2"/>
  <c r="G89" i="2"/>
  <c r="B89" i="2"/>
  <c r="G88" i="2"/>
  <c r="B88" i="2"/>
  <c r="G87" i="2"/>
  <c r="B87" i="2"/>
  <c r="G86" i="2"/>
  <c r="B86" i="2"/>
  <c r="G85" i="2"/>
  <c r="B85" i="2"/>
  <c r="G84" i="2"/>
  <c r="B84" i="2"/>
  <c r="G83" i="2"/>
  <c r="B83" i="2"/>
  <c r="G82" i="2"/>
  <c r="B82" i="2"/>
  <c r="G81" i="2"/>
  <c r="B81" i="2"/>
  <c r="G80" i="2"/>
  <c r="B80" i="2"/>
  <c r="G79" i="2"/>
  <c r="B79" i="2"/>
  <c r="G78" i="2"/>
  <c r="B78" i="2"/>
  <c r="G77" i="2"/>
  <c r="B77" i="2"/>
  <c r="G76" i="2"/>
  <c r="B76" i="2"/>
  <c r="G75" i="2"/>
  <c r="B75" i="2"/>
  <c r="G74" i="2"/>
  <c r="B74" i="2"/>
  <c r="G73" i="2"/>
  <c r="B73" i="2"/>
  <c r="G72" i="2"/>
  <c r="B72" i="2"/>
  <c r="G71" i="2"/>
  <c r="B71" i="2"/>
  <c r="G70" i="2"/>
  <c r="B70" i="2"/>
  <c r="G69" i="2"/>
  <c r="B69" i="2"/>
  <c r="G68" i="2"/>
  <c r="B68" i="2"/>
  <c r="G67" i="2"/>
  <c r="B67" i="2"/>
  <c r="G66" i="2"/>
  <c r="B66" i="2"/>
  <c r="G65" i="2"/>
  <c r="B65" i="2"/>
  <c r="G64" i="2"/>
  <c r="B64" i="2"/>
  <c r="G63" i="2"/>
  <c r="B63" i="2"/>
  <c r="G62" i="2"/>
  <c r="B62" i="2"/>
  <c r="G61" i="2"/>
  <c r="B61" i="2"/>
  <c r="G60" i="2"/>
  <c r="B60" i="2"/>
  <c r="G59" i="2"/>
  <c r="B59" i="2"/>
  <c r="G58" i="2"/>
  <c r="B58" i="2"/>
  <c r="G57" i="2"/>
  <c r="B57" i="2"/>
  <c r="G56" i="2"/>
  <c r="B56" i="2"/>
  <c r="G55" i="2"/>
  <c r="B55" i="2"/>
  <c r="G54" i="2"/>
  <c r="B54" i="2"/>
  <c r="G53" i="2"/>
  <c r="B53" i="2"/>
  <c r="G52" i="2"/>
  <c r="B52" i="2"/>
  <c r="G51" i="2"/>
  <c r="B51" i="2"/>
  <c r="G50" i="2"/>
  <c r="B50" i="2"/>
  <c r="G49" i="2"/>
  <c r="B49" i="2"/>
  <c r="G48" i="2"/>
  <c r="B48" i="2"/>
  <c r="G47" i="2"/>
  <c r="B47" i="2"/>
  <c r="G46" i="2"/>
  <c r="B46" i="2"/>
  <c r="G45" i="2"/>
  <c r="B45" i="2"/>
  <c r="G44" i="2"/>
  <c r="B44" i="2"/>
  <c r="G43" i="2"/>
  <c r="B43" i="2"/>
  <c r="G42" i="2"/>
  <c r="B42" i="2"/>
  <c r="G41" i="2"/>
  <c r="B41" i="2"/>
  <c r="G40" i="2"/>
  <c r="B40" i="2"/>
  <c r="G39" i="2"/>
  <c r="B39" i="2"/>
  <c r="G38" i="2"/>
  <c r="B38" i="2"/>
  <c r="G37" i="2"/>
  <c r="B37" i="2"/>
  <c r="G36" i="2"/>
  <c r="B36" i="2"/>
  <c r="G35" i="2"/>
  <c r="B35" i="2"/>
  <c r="G34" i="2"/>
  <c r="B34" i="2"/>
  <c r="G33" i="2"/>
  <c r="B33" i="2"/>
  <c r="G32" i="2"/>
  <c r="B32" i="2"/>
  <c r="G31" i="2"/>
  <c r="B31" i="2"/>
  <c r="G30" i="2"/>
  <c r="B30" i="2"/>
  <c r="G29" i="2"/>
  <c r="B29" i="2"/>
  <c r="G28" i="2"/>
  <c r="B28" i="2"/>
  <c r="G27" i="2"/>
  <c r="B27" i="2"/>
  <c r="G26" i="2"/>
  <c r="B26" i="2"/>
  <c r="G25" i="2"/>
  <c r="B25" i="2"/>
  <c r="G24" i="2"/>
  <c r="B24" i="2"/>
  <c r="G23" i="2"/>
  <c r="B23" i="2"/>
  <c r="G22" i="2"/>
  <c r="B22" i="2"/>
  <c r="G21" i="2"/>
  <c r="B21" i="2"/>
  <c r="G20" i="2"/>
  <c r="B20" i="2"/>
  <c r="G19" i="2"/>
  <c r="B19" i="2"/>
  <c r="G18" i="2"/>
  <c r="B18" i="2"/>
  <c r="G17" i="2"/>
  <c r="B17" i="2"/>
  <c r="G16" i="2"/>
  <c r="B16" i="2"/>
  <c r="G15" i="2"/>
  <c r="B15" i="2"/>
  <c r="G14" i="2"/>
  <c r="B14" i="2"/>
  <c r="G13" i="2"/>
  <c r="B13" i="2"/>
  <c r="G12" i="2"/>
  <c r="B12" i="2"/>
  <c r="G11" i="2"/>
  <c r="B11" i="2"/>
  <c r="G10" i="2"/>
  <c r="B10" i="2"/>
  <c r="G9" i="2"/>
  <c r="B9" i="2"/>
  <c r="G8" i="2"/>
  <c r="B8" i="2"/>
  <c r="G7" i="2"/>
  <c r="B7" i="2"/>
  <c r="G6" i="2"/>
  <c r="B6" i="2"/>
  <c r="G5" i="2"/>
  <c r="B5" i="2"/>
  <c r="G4" i="2"/>
  <c r="B4" i="2"/>
  <c r="G3" i="2"/>
  <c r="B3" i="2"/>
  <c r="G2" i="2"/>
  <c r="B2" i="2"/>
  <c r="AG8" i="3" l="1"/>
  <c r="AD8" i="3"/>
  <c r="AA8" i="3"/>
  <c r="X8" i="3"/>
  <c r="U8" i="3"/>
  <c r="R8" i="3"/>
  <c r="O8" i="3"/>
  <c r="L8" i="3"/>
  <c r="I8" i="3"/>
  <c r="F8" i="3"/>
  <c r="C8" i="3"/>
  <c r="AG6" i="3"/>
  <c r="AD6" i="3"/>
  <c r="AA6" i="3"/>
  <c r="X6" i="3"/>
  <c r="U6" i="3"/>
  <c r="R6" i="3"/>
  <c r="O6" i="3"/>
  <c r="L6" i="3"/>
  <c r="I6" i="3"/>
  <c r="F6" i="3"/>
  <c r="C6" i="3"/>
  <c r="M2" i="2"/>
  <c r="L2" i="2"/>
  <c r="K2" i="2"/>
  <c r="J2" i="2"/>
  <c r="I2" i="2"/>
  <c r="H2" i="2"/>
  <c r="M3" i="2"/>
  <c r="L3" i="2"/>
  <c r="K3" i="2"/>
  <c r="J3" i="2"/>
  <c r="I3" i="2"/>
  <c r="H3" i="2"/>
  <c r="N3" i="2" s="1"/>
  <c r="M4" i="2"/>
  <c r="L4" i="2"/>
  <c r="K4" i="2"/>
  <c r="J4" i="2"/>
  <c r="I4" i="2"/>
  <c r="H4" i="2"/>
  <c r="N4" i="2" s="1"/>
  <c r="M5" i="2"/>
  <c r="L5" i="2"/>
  <c r="K5" i="2"/>
  <c r="J5" i="2"/>
  <c r="I5" i="2"/>
  <c r="H5" i="2"/>
  <c r="N5" i="2" s="1"/>
  <c r="M6" i="2"/>
  <c r="L6" i="2"/>
  <c r="K6" i="2"/>
  <c r="J6" i="2"/>
  <c r="I6" i="2"/>
  <c r="H6" i="2"/>
  <c r="N6" i="2" s="1"/>
  <c r="M7" i="2"/>
  <c r="L7" i="2"/>
  <c r="K7" i="2"/>
  <c r="J7" i="2"/>
  <c r="I7" i="2"/>
  <c r="H7" i="2"/>
  <c r="N7" i="2" s="1"/>
  <c r="M8" i="2"/>
  <c r="L8" i="2"/>
  <c r="K8" i="2"/>
  <c r="J8" i="2"/>
  <c r="I8" i="2"/>
  <c r="H8" i="2"/>
  <c r="N8" i="2" s="1"/>
  <c r="M9" i="2"/>
  <c r="L9" i="2"/>
  <c r="K9" i="2"/>
  <c r="J9" i="2"/>
  <c r="I9" i="2"/>
  <c r="H9" i="2"/>
  <c r="N9" i="2" s="1"/>
  <c r="M10" i="2"/>
  <c r="L10" i="2"/>
  <c r="K10" i="2"/>
  <c r="J10" i="2"/>
  <c r="I10" i="2"/>
  <c r="H10" i="2"/>
  <c r="N10" i="2" s="1"/>
  <c r="M11" i="2"/>
  <c r="L11" i="2"/>
  <c r="K11" i="2"/>
  <c r="J11" i="2"/>
  <c r="I11" i="2"/>
  <c r="H11" i="2"/>
  <c r="N11" i="2" s="1"/>
  <c r="M12" i="2"/>
  <c r="L12" i="2"/>
  <c r="K12" i="2"/>
  <c r="J12" i="2"/>
  <c r="I12" i="2"/>
  <c r="H12" i="2"/>
  <c r="N12" i="2" s="1"/>
  <c r="M13" i="2"/>
  <c r="L13" i="2"/>
  <c r="K13" i="2"/>
  <c r="J13" i="2"/>
  <c r="I13" i="2"/>
  <c r="H13" i="2"/>
  <c r="N13" i="2" s="1"/>
  <c r="M14" i="2"/>
  <c r="L14" i="2"/>
  <c r="K14" i="2"/>
  <c r="J14" i="2"/>
  <c r="I14" i="2"/>
  <c r="H14" i="2"/>
  <c r="N14" i="2" s="1"/>
  <c r="M15" i="2"/>
  <c r="L15" i="2"/>
  <c r="K15" i="2"/>
  <c r="J15" i="2"/>
  <c r="I15" i="2"/>
  <c r="H15" i="2"/>
  <c r="N15" i="2" s="1"/>
  <c r="M16" i="2"/>
  <c r="L16" i="2"/>
  <c r="K16" i="2"/>
  <c r="J16" i="2"/>
  <c r="I16" i="2"/>
  <c r="H16" i="2"/>
  <c r="N16" i="2" s="1"/>
  <c r="M17" i="2"/>
  <c r="L17" i="2"/>
  <c r="K17" i="2"/>
  <c r="J17" i="2"/>
  <c r="I17" i="2"/>
  <c r="H17" i="2"/>
  <c r="N17" i="2" s="1"/>
  <c r="M18" i="2"/>
  <c r="L18" i="2"/>
  <c r="K18" i="2"/>
  <c r="J18" i="2"/>
  <c r="I18" i="2"/>
  <c r="H18" i="2"/>
  <c r="N18" i="2" s="1"/>
  <c r="M19" i="2"/>
  <c r="L19" i="2"/>
  <c r="K19" i="2"/>
  <c r="J19" i="2"/>
  <c r="I19" i="2"/>
  <c r="H19" i="2"/>
  <c r="N19" i="2" s="1"/>
  <c r="M20" i="2"/>
  <c r="L20" i="2"/>
  <c r="K20" i="2"/>
  <c r="J20" i="2"/>
  <c r="I20" i="2"/>
  <c r="H20" i="2"/>
  <c r="N20" i="2" s="1"/>
  <c r="M21" i="2"/>
  <c r="L21" i="2"/>
  <c r="K21" i="2"/>
  <c r="J21" i="2"/>
  <c r="I21" i="2"/>
  <c r="H21" i="2"/>
  <c r="N21" i="2" s="1"/>
  <c r="M22" i="2"/>
  <c r="L22" i="2"/>
  <c r="K22" i="2"/>
  <c r="J22" i="2"/>
  <c r="I22" i="2"/>
  <c r="H22" i="2"/>
  <c r="N22" i="2" s="1"/>
  <c r="M23" i="2"/>
  <c r="L23" i="2"/>
  <c r="K23" i="2"/>
  <c r="J23" i="2"/>
  <c r="I23" i="2"/>
  <c r="H23" i="2"/>
  <c r="N23" i="2" s="1"/>
  <c r="M24" i="2"/>
  <c r="L24" i="2"/>
  <c r="K24" i="2"/>
  <c r="J24" i="2"/>
  <c r="I24" i="2"/>
  <c r="H24" i="2"/>
  <c r="N24" i="2" s="1"/>
  <c r="M25" i="2"/>
  <c r="L25" i="2"/>
  <c r="K25" i="2"/>
  <c r="J25" i="2"/>
  <c r="I25" i="2"/>
  <c r="H25" i="2"/>
  <c r="N25" i="2" s="1"/>
  <c r="M26" i="2"/>
  <c r="L26" i="2"/>
  <c r="K26" i="2"/>
  <c r="J26" i="2"/>
  <c r="I26" i="2"/>
  <c r="H26" i="2"/>
  <c r="N26" i="2" s="1"/>
  <c r="M27" i="2"/>
  <c r="L27" i="2"/>
  <c r="K27" i="2"/>
  <c r="J27" i="2"/>
  <c r="I27" i="2"/>
  <c r="H27" i="2"/>
  <c r="N27" i="2" s="1"/>
  <c r="M28" i="2"/>
  <c r="L28" i="2"/>
  <c r="K28" i="2"/>
  <c r="J28" i="2"/>
  <c r="I28" i="2"/>
  <c r="H28" i="2"/>
  <c r="N28" i="2" s="1"/>
  <c r="M29" i="2"/>
  <c r="L29" i="2"/>
  <c r="K29" i="2"/>
  <c r="J29" i="2"/>
  <c r="I29" i="2"/>
  <c r="H29" i="2"/>
  <c r="N29" i="2" s="1"/>
  <c r="M30" i="2"/>
  <c r="L30" i="2"/>
  <c r="K30" i="2"/>
  <c r="J30" i="2"/>
  <c r="I30" i="2"/>
  <c r="H30" i="2"/>
  <c r="N30" i="2" s="1"/>
  <c r="M31" i="2"/>
  <c r="L31" i="2"/>
  <c r="K31" i="2"/>
  <c r="J31" i="2"/>
  <c r="I31" i="2"/>
  <c r="H31" i="2"/>
  <c r="N31" i="2" s="1"/>
  <c r="M32" i="2"/>
  <c r="L32" i="2"/>
  <c r="K32" i="2"/>
  <c r="J32" i="2"/>
  <c r="I32" i="2"/>
  <c r="H32" i="2"/>
  <c r="N32" i="2" s="1"/>
  <c r="M33" i="2"/>
  <c r="L33" i="2"/>
  <c r="K33" i="2"/>
  <c r="J33" i="2"/>
  <c r="I33" i="2"/>
  <c r="H33" i="2"/>
  <c r="N33" i="2" s="1"/>
  <c r="M34" i="2"/>
  <c r="L34" i="2"/>
  <c r="K34" i="2"/>
  <c r="J34" i="2"/>
  <c r="I34" i="2"/>
  <c r="H34" i="2"/>
  <c r="N34" i="2" s="1"/>
  <c r="M35" i="2"/>
  <c r="L35" i="2"/>
  <c r="K35" i="2"/>
  <c r="J35" i="2"/>
  <c r="I35" i="2"/>
  <c r="H35" i="2"/>
  <c r="N35" i="2" s="1"/>
  <c r="M36" i="2"/>
  <c r="L36" i="2"/>
  <c r="K36" i="2"/>
  <c r="J36" i="2"/>
  <c r="I36" i="2"/>
  <c r="H36" i="2"/>
  <c r="N36" i="2" s="1"/>
  <c r="M37" i="2"/>
  <c r="L37" i="2"/>
  <c r="K37" i="2"/>
  <c r="J37" i="2"/>
  <c r="I37" i="2"/>
  <c r="H37" i="2"/>
  <c r="N37" i="2" s="1"/>
  <c r="M38" i="2"/>
  <c r="L38" i="2"/>
  <c r="K38" i="2"/>
  <c r="J38" i="2"/>
  <c r="I38" i="2"/>
  <c r="H38" i="2"/>
  <c r="N38" i="2" s="1"/>
  <c r="M39" i="2"/>
  <c r="L39" i="2"/>
  <c r="K39" i="2"/>
  <c r="J39" i="2"/>
  <c r="I39" i="2"/>
  <c r="H39" i="2"/>
  <c r="N39" i="2" s="1"/>
  <c r="M40" i="2"/>
  <c r="L40" i="2"/>
  <c r="K40" i="2"/>
  <c r="J40" i="2"/>
  <c r="I40" i="2"/>
  <c r="H40" i="2"/>
  <c r="N40" i="2" s="1"/>
  <c r="M41" i="2"/>
  <c r="L41" i="2"/>
  <c r="K41" i="2"/>
  <c r="J41" i="2"/>
  <c r="I41" i="2"/>
  <c r="H41" i="2"/>
  <c r="N41" i="2" s="1"/>
  <c r="M42" i="2"/>
  <c r="L42" i="2"/>
  <c r="K42" i="2"/>
  <c r="J42" i="2"/>
  <c r="I42" i="2"/>
  <c r="H42" i="2"/>
  <c r="N42" i="2" s="1"/>
  <c r="M43" i="2"/>
  <c r="L43" i="2"/>
  <c r="K43" i="2"/>
  <c r="J43" i="2"/>
  <c r="I43" i="2"/>
  <c r="H43" i="2"/>
  <c r="N43" i="2" s="1"/>
  <c r="M44" i="2"/>
  <c r="L44" i="2"/>
  <c r="K44" i="2"/>
  <c r="J44" i="2"/>
  <c r="I44" i="2"/>
  <c r="H44" i="2"/>
  <c r="N44" i="2" s="1"/>
  <c r="M45" i="2"/>
  <c r="L45" i="2"/>
  <c r="K45" i="2"/>
  <c r="J45" i="2"/>
  <c r="I45" i="2"/>
  <c r="H45" i="2"/>
  <c r="N45" i="2" s="1"/>
  <c r="M46" i="2"/>
  <c r="L46" i="2"/>
  <c r="K46" i="2"/>
  <c r="J46" i="2"/>
  <c r="I46" i="2"/>
  <c r="H46" i="2"/>
  <c r="N46" i="2" s="1"/>
  <c r="M47" i="2"/>
  <c r="L47" i="2"/>
  <c r="K47" i="2"/>
  <c r="J47" i="2"/>
  <c r="I47" i="2"/>
  <c r="H47" i="2"/>
  <c r="N47" i="2" s="1"/>
  <c r="M48" i="2"/>
  <c r="L48" i="2"/>
  <c r="K48" i="2"/>
  <c r="J48" i="2"/>
  <c r="I48" i="2"/>
  <c r="H48" i="2"/>
  <c r="N48" i="2" s="1"/>
  <c r="M49" i="2"/>
  <c r="L49" i="2"/>
  <c r="K49" i="2"/>
  <c r="J49" i="2"/>
  <c r="I49" i="2"/>
  <c r="H49" i="2"/>
  <c r="N49" i="2" s="1"/>
  <c r="M50" i="2"/>
  <c r="L50" i="2"/>
  <c r="K50" i="2"/>
  <c r="J50" i="2"/>
  <c r="I50" i="2"/>
  <c r="H50" i="2"/>
  <c r="N50" i="2" s="1"/>
  <c r="M51" i="2"/>
  <c r="L51" i="2"/>
  <c r="K51" i="2"/>
  <c r="J51" i="2"/>
  <c r="I51" i="2"/>
  <c r="H51" i="2"/>
  <c r="N51" i="2" s="1"/>
  <c r="M52" i="2"/>
  <c r="L52" i="2"/>
  <c r="K52" i="2"/>
  <c r="J52" i="2"/>
  <c r="I52" i="2"/>
  <c r="H52" i="2"/>
  <c r="N52" i="2" s="1"/>
  <c r="M53" i="2"/>
  <c r="L53" i="2"/>
  <c r="K53" i="2"/>
  <c r="J53" i="2"/>
  <c r="I53" i="2"/>
  <c r="H53" i="2"/>
  <c r="N53" i="2" s="1"/>
  <c r="M54" i="2"/>
  <c r="L54" i="2"/>
  <c r="K54" i="2"/>
  <c r="J54" i="2"/>
  <c r="I54" i="2"/>
  <c r="H54" i="2"/>
  <c r="N54" i="2" s="1"/>
  <c r="M55" i="2"/>
  <c r="L55" i="2"/>
  <c r="K55" i="2"/>
  <c r="J55" i="2"/>
  <c r="I55" i="2"/>
  <c r="H55" i="2"/>
  <c r="N55" i="2" s="1"/>
  <c r="M56" i="2"/>
  <c r="L56" i="2"/>
  <c r="K56" i="2"/>
  <c r="J56" i="2"/>
  <c r="I56" i="2"/>
  <c r="H56" i="2"/>
  <c r="N56" i="2" s="1"/>
  <c r="M57" i="2"/>
  <c r="L57" i="2"/>
  <c r="K57" i="2"/>
  <c r="J57" i="2"/>
  <c r="I57" i="2"/>
  <c r="H57" i="2"/>
  <c r="N57" i="2" s="1"/>
  <c r="M58" i="2"/>
  <c r="L58" i="2"/>
  <c r="K58" i="2"/>
  <c r="J58" i="2"/>
  <c r="I58" i="2"/>
  <c r="H58" i="2"/>
  <c r="N58" i="2" s="1"/>
  <c r="M59" i="2"/>
  <c r="L59" i="2"/>
  <c r="K59" i="2"/>
  <c r="J59" i="2"/>
  <c r="I59" i="2"/>
  <c r="H59" i="2"/>
  <c r="N59" i="2" s="1"/>
  <c r="M60" i="2"/>
  <c r="L60" i="2"/>
  <c r="K60" i="2"/>
  <c r="J60" i="2"/>
  <c r="I60" i="2"/>
  <c r="H60" i="2"/>
  <c r="N60" i="2" s="1"/>
  <c r="M61" i="2"/>
  <c r="L61" i="2"/>
  <c r="K61" i="2"/>
  <c r="J61" i="2"/>
  <c r="I61" i="2"/>
  <c r="H61" i="2"/>
  <c r="N61" i="2" s="1"/>
  <c r="M62" i="2"/>
  <c r="L62" i="2"/>
  <c r="K62" i="2"/>
  <c r="J62" i="2"/>
  <c r="I62" i="2"/>
  <c r="H62" i="2"/>
  <c r="N62" i="2" s="1"/>
  <c r="M63" i="2"/>
  <c r="L63" i="2"/>
  <c r="K63" i="2"/>
  <c r="J63" i="2"/>
  <c r="I63" i="2"/>
  <c r="H63" i="2"/>
  <c r="N63" i="2" s="1"/>
  <c r="M64" i="2"/>
  <c r="L64" i="2"/>
  <c r="K64" i="2"/>
  <c r="J64" i="2"/>
  <c r="I64" i="2"/>
  <c r="H64" i="2"/>
  <c r="N64" i="2" s="1"/>
  <c r="M65" i="2"/>
  <c r="L65" i="2"/>
  <c r="K65" i="2"/>
  <c r="J65" i="2"/>
  <c r="I65" i="2"/>
  <c r="H65" i="2"/>
  <c r="N65" i="2" s="1"/>
  <c r="M66" i="2"/>
  <c r="L66" i="2"/>
  <c r="K66" i="2"/>
  <c r="J66" i="2"/>
  <c r="I66" i="2"/>
  <c r="H66" i="2"/>
  <c r="N66" i="2" s="1"/>
  <c r="M67" i="2"/>
  <c r="L67" i="2"/>
  <c r="K67" i="2"/>
  <c r="J67" i="2"/>
  <c r="I67" i="2"/>
  <c r="H67" i="2"/>
  <c r="N67" i="2" s="1"/>
  <c r="M68" i="2"/>
  <c r="L68" i="2"/>
  <c r="K68" i="2"/>
  <c r="J68" i="2"/>
  <c r="I68" i="2"/>
  <c r="H68" i="2"/>
  <c r="N68" i="2" s="1"/>
  <c r="M69" i="2"/>
  <c r="L69" i="2"/>
  <c r="K69" i="2"/>
  <c r="J69" i="2"/>
  <c r="I69" i="2"/>
  <c r="H69" i="2"/>
  <c r="N69" i="2" s="1"/>
  <c r="M70" i="2"/>
  <c r="L70" i="2"/>
  <c r="K70" i="2"/>
  <c r="J70" i="2"/>
  <c r="I70" i="2"/>
  <c r="H70" i="2"/>
  <c r="N70" i="2" s="1"/>
  <c r="M71" i="2"/>
  <c r="L71" i="2"/>
  <c r="K71" i="2"/>
  <c r="J71" i="2"/>
  <c r="I71" i="2"/>
  <c r="H71" i="2"/>
  <c r="N71" i="2" s="1"/>
  <c r="M72" i="2"/>
  <c r="L72" i="2"/>
  <c r="K72" i="2"/>
  <c r="J72" i="2"/>
  <c r="I72" i="2"/>
  <c r="H72" i="2"/>
  <c r="N72" i="2" s="1"/>
  <c r="M73" i="2"/>
  <c r="L73" i="2"/>
  <c r="K73" i="2"/>
  <c r="J73" i="2"/>
  <c r="I73" i="2"/>
  <c r="H73" i="2"/>
  <c r="N73" i="2" s="1"/>
  <c r="M74" i="2"/>
  <c r="L74" i="2"/>
  <c r="K74" i="2"/>
  <c r="J74" i="2"/>
  <c r="I74" i="2"/>
  <c r="H74" i="2"/>
  <c r="N74" i="2" s="1"/>
  <c r="M75" i="2"/>
  <c r="L75" i="2"/>
  <c r="K75" i="2"/>
  <c r="J75" i="2"/>
  <c r="I75" i="2"/>
  <c r="H75" i="2"/>
  <c r="N75" i="2" s="1"/>
  <c r="M76" i="2"/>
  <c r="L76" i="2"/>
  <c r="K76" i="2"/>
  <c r="J76" i="2"/>
  <c r="I76" i="2"/>
  <c r="H76" i="2"/>
  <c r="N76" i="2" s="1"/>
  <c r="M77" i="2"/>
  <c r="L77" i="2"/>
  <c r="K77" i="2"/>
  <c r="J77" i="2"/>
  <c r="I77" i="2"/>
  <c r="H77" i="2"/>
  <c r="N77" i="2" s="1"/>
  <c r="M78" i="2"/>
  <c r="L78" i="2"/>
  <c r="K78" i="2"/>
  <c r="J78" i="2"/>
  <c r="I78" i="2"/>
  <c r="H78" i="2"/>
  <c r="N78" i="2" s="1"/>
  <c r="M79" i="2"/>
  <c r="L79" i="2"/>
  <c r="K79" i="2"/>
  <c r="J79" i="2"/>
  <c r="I79" i="2"/>
  <c r="H79" i="2"/>
  <c r="N79" i="2" s="1"/>
  <c r="M80" i="2"/>
  <c r="L80" i="2"/>
  <c r="K80" i="2"/>
  <c r="J80" i="2"/>
  <c r="I80" i="2"/>
  <c r="H80" i="2"/>
  <c r="N80" i="2" s="1"/>
  <c r="M81" i="2"/>
  <c r="L81" i="2"/>
  <c r="K81" i="2"/>
  <c r="J81" i="2"/>
  <c r="I81" i="2"/>
  <c r="H81" i="2"/>
  <c r="N81" i="2" s="1"/>
  <c r="M82" i="2"/>
  <c r="L82" i="2"/>
  <c r="K82" i="2"/>
  <c r="J82" i="2"/>
  <c r="I82" i="2"/>
  <c r="H82" i="2"/>
  <c r="N82" i="2" s="1"/>
  <c r="M83" i="2"/>
  <c r="L83" i="2"/>
  <c r="K83" i="2"/>
  <c r="J83" i="2"/>
  <c r="I83" i="2"/>
  <c r="H83" i="2"/>
  <c r="N83" i="2" s="1"/>
  <c r="M84" i="2"/>
  <c r="L84" i="2"/>
  <c r="K84" i="2"/>
  <c r="J84" i="2"/>
  <c r="I84" i="2"/>
  <c r="H84" i="2"/>
  <c r="N84" i="2" s="1"/>
  <c r="M85" i="2"/>
  <c r="L85" i="2"/>
  <c r="K85" i="2"/>
  <c r="J85" i="2"/>
  <c r="I85" i="2"/>
  <c r="H85" i="2"/>
  <c r="N85" i="2" s="1"/>
  <c r="M86" i="2"/>
  <c r="L86" i="2"/>
  <c r="K86" i="2"/>
  <c r="J86" i="2"/>
  <c r="I86" i="2"/>
  <c r="H86" i="2"/>
  <c r="N86" i="2" s="1"/>
  <c r="M87" i="2"/>
  <c r="L87" i="2"/>
  <c r="K87" i="2"/>
  <c r="J87" i="2"/>
  <c r="I87" i="2"/>
  <c r="H87" i="2"/>
  <c r="N87" i="2" s="1"/>
  <c r="M88" i="2"/>
  <c r="L88" i="2"/>
  <c r="K88" i="2"/>
  <c r="J88" i="2"/>
  <c r="I88" i="2"/>
  <c r="H88" i="2"/>
  <c r="N88" i="2" s="1"/>
  <c r="M89" i="2"/>
  <c r="L89" i="2"/>
  <c r="K89" i="2"/>
  <c r="J89" i="2"/>
  <c r="I89" i="2"/>
  <c r="H89" i="2"/>
  <c r="N89" i="2" s="1"/>
  <c r="M90" i="2"/>
  <c r="L90" i="2"/>
  <c r="K90" i="2"/>
  <c r="J90" i="2"/>
  <c r="I90" i="2"/>
  <c r="H90" i="2"/>
  <c r="N90" i="2" s="1"/>
  <c r="M91" i="2"/>
  <c r="L91" i="2"/>
  <c r="K91" i="2"/>
  <c r="J91" i="2"/>
  <c r="I91" i="2"/>
  <c r="H91" i="2"/>
  <c r="N91" i="2" s="1"/>
  <c r="M92" i="2"/>
  <c r="L92" i="2"/>
  <c r="K92" i="2"/>
  <c r="J92" i="2"/>
  <c r="I92" i="2"/>
  <c r="H92" i="2"/>
  <c r="N92" i="2" s="1"/>
  <c r="M93" i="2"/>
  <c r="L93" i="2"/>
  <c r="K93" i="2"/>
  <c r="J93" i="2"/>
  <c r="I93" i="2"/>
  <c r="H93" i="2"/>
  <c r="N93" i="2" s="1"/>
  <c r="M94" i="2"/>
  <c r="L94" i="2"/>
  <c r="K94" i="2"/>
  <c r="J94" i="2"/>
  <c r="I94" i="2"/>
  <c r="H94" i="2"/>
  <c r="N94" i="2" s="1"/>
  <c r="M95" i="2"/>
  <c r="L95" i="2"/>
  <c r="K95" i="2"/>
  <c r="J95" i="2"/>
  <c r="I95" i="2"/>
  <c r="H95" i="2"/>
  <c r="N95" i="2" s="1"/>
  <c r="M96" i="2"/>
  <c r="L96" i="2"/>
  <c r="K96" i="2"/>
  <c r="J96" i="2"/>
  <c r="I96" i="2"/>
  <c r="H96" i="2"/>
  <c r="N96" i="2" s="1"/>
  <c r="M97" i="2"/>
  <c r="L97" i="2"/>
  <c r="K97" i="2"/>
  <c r="J97" i="2"/>
  <c r="I97" i="2"/>
  <c r="H97" i="2"/>
  <c r="N97" i="2" s="1"/>
  <c r="M98" i="2"/>
  <c r="L98" i="2"/>
  <c r="K98" i="2"/>
  <c r="J98" i="2"/>
  <c r="I98" i="2"/>
  <c r="H98" i="2"/>
  <c r="N98" i="2" s="1"/>
  <c r="M99" i="2"/>
  <c r="L99" i="2"/>
  <c r="K99" i="2"/>
  <c r="J99" i="2"/>
  <c r="I99" i="2"/>
  <c r="H99" i="2"/>
  <c r="N99" i="2" s="1"/>
  <c r="M100" i="2"/>
  <c r="L100" i="2"/>
  <c r="K100" i="2"/>
  <c r="J100" i="2"/>
  <c r="I100" i="2"/>
  <c r="H100" i="2"/>
  <c r="N100" i="2" s="1"/>
  <c r="M101" i="2"/>
  <c r="L101" i="2"/>
  <c r="K101" i="2"/>
  <c r="J101" i="2"/>
  <c r="I101" i="2"/>
  <c r="H101" i="2"/>
  <c r="N101" i="2" s="1"/>
  <c r="M102" i="2"/>
  <c r="L102" i="2"/>
  <c r="K102" i="2"/>
  <c r="J102" i="2"/>
  <c r="I102" i="2"/>
  <c r="H102" i="2"/>
  <c r="N102" i="2" s="1"/>
  <c r="M103" i="2"/>
  <c r="L103" i="2"/>
  <c r="K103" i="2"/>
  <c r="J103" i="2"/>
  <c r="I103" i="2"/>
  <c r="H103" i="2"/>
  <c r="N103" i="2" s="1"/>
  <c r="M104" i="2"/>
  <c r="L104" i="2"/>
  <c r="K104" i="2"/>
  <c r="J104" i="2"/>
  <c r="I104" i="2"/>
  <c r="H104" i="2"/>
  <c r="N104" i="2" s="1"/>
  <c r="M105" i="2"/>
  <c r="L105" i="2"/>
  <c r="K105" i="2"/>
  <c r="J105" i="2"/>
  <c r="I105" i="2"/>
  <c r="H105" i="2"/>
  <c r="N105" i="2" s="1"/>
  <c r="M106" i="2"/>
  <c r="L106" i="2"/>
  <c r="K106" i="2"/>
  <c r="J106" i="2"/>
  <c r="I106" i="2"/>
  <c r="H106" i="2"/>
  <c r="N106" i="2" s="1"/>
  <c r="M107" i="2"/>
  <c r="L107" i="2"/>
  <c r="K107" i="2"/>
  <c r="J107" i="2"/>
  <c r="I107" i="2"/>
  <c r="H107" i="2"/>
  <c r="N107" i="2" s="1"/>
  <c r="M108" i="2"/>
  <c r="L108" i="2"/>
  <c r="K108" i="2"/>
  <c r="J108" i="2"/>
  <c r="I108" i="2"/>
  <c r="H108" i="2"/>
  <c r="N108" i="2" s="1"/>
  <c r="M109" i="2"/>
  <c r="L109" i="2"/>
  <c r="K109" i="2"/>
  <c r="J109" i="2"/>
  <c r="I109" i="2"/>
  <c r="H109" i="2"/>
  <c r="N109" i="2" s="1"/>
  <c r="M110" i="2"/>
  <c r="L110" i="2"/>
  <c r="K110" i="2"/>
  <c r="J110" i="2"/>
  <c r="I110" i="2"/>
  <c r="H110" i="2"/>
  <c r="N110" i="2" s="1"/>
  <c r="M111" i="2"/>
  <c r="L111" i="2"/>
  <c r="K111" i="2"/>
  <c r="J111" i="2"/>
  <c r="I111" i="2"/>
  <c r="H111" i="2"/>
  <c r="N111" i="2" s="1"/>
  <c r="M112" i="2"/>
  <c r="L112" i="2"/>
  <c r="K112" i="2"/>
  <c r="J112" i="2"/>
  <c r="I112" i="2"/>
  <c r="H112" i="2"/>
  <c r="N112" i="2" s="1"/>
  <c r="M113" i="2"/>
  <c r="L113" i="2"/>
  <c r="K113" i="2"/>
  <c r="J113" i="2"/>
  <c r="I113" i="2"/>
  <c r="H113" i="2"/>
  <c r="N113" i="2" s="1"/>
  <c r="M114" i="2"/>
  <c r="L114" i="2"/>
  <c r="K114" i="2"/>
  <c r="J114" i="2"/>
  <c r="I114" i="2"/>
  <c r="H114" i="2"/>
  <c r="N114" i="2" s="1"/>
  <c r="M115" i="2"/>
  <c r="L115" i="2"/>
  <c r="K115" i="2"/>
  <c r="J115" i="2"/>
  <c r="I115" i="2"/>
  <c r="H115" i="2"/>
  <c r="N115" i="2" s="1"/>
  <c r="M116" i="2"/>
  <c r="L116" i="2"/>
  <c r="K116" i="2"/>
  <c r="J116" i="2"/>
  <c r="I116" i="2"/>
  <c r="H116" i="2"/>
  <c r="N116" i="2" s="1"/>
  <c r="M117" i="2"/>
  <c r="L117" i="2"/>
  <c r="K117" i="2"/>
  <c r="J117" i="2"/>
  <c r="I117" i="2"/>
  <c r="H117" i="2"/>
  <c r="N117" i="2" s="1"/>
  <c r="M118" i="2"/>
  <c r="L118" i="2"/>
  <c r="K118" i="2"/>
  <c r="J118" i="2"/>
  <c r="I118" i="2"/>
  <c r="H118" i="2"/>
  <c r="N118" i="2" s="1"/>
  <c r="M119" i="2"/>
  <c r="L119" i="2"/>
  <c r="K119" i="2"/>
  <c r="J119" i="2"/>
  <c r="I119" i="2"/>
  <c r="H119" i="2"/>
  <c r="N119" i="2" s="1"/>
  <c r="M120" i="2"/>
  <c r="L120" i="2"/>
  <c r="K120" i="2"/>
  <c r="J120" i="2"/>
  <c r="I120" i="2"/>
  <c r="H120" i="2"/>
  <c r="N120" i="2" s="1"/>
  <c r="M121" i="2"/>
  <c r="L121" i="2"/>
  <c r="K121" i="2"/>
  <c r="J121" i="2"/>
  <c r="I121" i="2"/>
  <c r="H121" i="2"/>
  <c r="N121" i="2" s="1"/>
  <c r="M122" i="2"/>
  <c r="L122" i="2"/>
  <c r="K122" i="2"/>
  <c r="J122" i="2"/>
  <c r="I122" i="2"/>
  <c r="H122" i="2"/>
  <c r="N122" i="2" s="1"/>
  <c r="M123" i="2"/>
  <c r="L123" i="2"/>
  <c r="K123" i="2"/>
  <c r="J123" i="2"/>
  <c r="I123" i="2"/>
  <c r="H123" i="2"/>
  <c r="N123" i="2" s="1"/>
  <c r="M124" i="2"/>
  <c r="L124" i="2"/>
  <c r="K124" i="2"/>
  <c r="J124" i="2"/>
  <c r="I124" i="2"/>
  <c r="H124" i="2"/>
  <c r="N124" i="2" s="1"/>
  <c r="M125" i="2"/>
  <c r="L125" i="2"/>
  <c r="K125" i="2"/>
  <c r="J125" i="2"/>
  <c r="I125" i="2"/>
  <c r="H125" i="2"/>
  <c r="N125" i="2" s="1"/>
  <c r="M126" i="2"/>
  <c r="L126" i="2"/>
  <c r="K126" i="2"/>
  <c r="J126" i="2"/>
  <c r="I126" i="2"/>
  <c r="H126" i="2"/>
  <c r="N126" i="2" s="1"/>
  <c r="M127" i="2"/>
  <c r="L127" i="2"/>
  <c r="K127" i="2"/>
  <c r="J127" i="2"/>
  <c r="I127" i="2"/>
  <c r="H127" i="2"/>
  <c r="N127" i="2" s="1"/>
  <c r="M128" i="2"/>
  <c r="L128" i="2"/>
  <c r="K128" i="2"/>
  <c r="J128" i="2"/>
  <c r="I128" i="2"/>
  <c r="H128" i="2"/>
  <c r="N128" i="2" s="1"/>
  <c r="M129" i="2"/>
  <c r="L129" i="2"/>
  <c r="K129" i="2"/>
  <c r="J129" i="2"/>
  <c r="I129" i="2"/>
  <c r="H129" i="2"/>
  <c r="N129" i="2" s="1"/>
  <c r="M130" i="2"/>
  <c r="L130" i="2"/>
  <c r="K130" i="2"/>
  <c r="J130" i="2"/>
  <c r="I130" i="2"/>
  <c r="H130" i="2"/>
  <c r="N130" i="2" s="1"/>
  <c r="M131" i="2"/>
  <c r="L131" i="2"/>
  <c r="K131" i="2"/>
  <c r="J131" i="2"/>
  <c r="I131" i="2"/>
  <c r="H131" i="2"/>
  <c r="N131" i="2" s="1"/>
  <c r="M132" i="2"/>
  <c r="L132" i="2"/>
  <c r="K132" i="2"/>
  <c r="J132" i="2"/>
  <c r="I132" i="2"/>
  <c r="H132" i="2"/>
  <c r="N132" i="2" s="1"/>
  <c r="M133" i="2"/>
  <c r="L133" i="2"/>
  <c r="K133" i="2"/>
  <c r="J133" i="2"/>
  <c r="I133" i="2"/>
  <c r="H133" i="2"/>
  <c r="N133" i="2" s="1"/>
  <c r="M134" i="2"/>
  <c r="L134" i="2"/>
  <c r="K134" i="2"/>
  <c r="J134" i="2"/>
  <c r="I134" i="2"/>
  <c r="H134" i="2"/>
  <c r="N134" i="2" s="1"/>
  <c r="M135" i="2"/>
  <c r="L135" i="2"/>
  <c r="K135" i="2"/>
  <c r="J135" i="2"/>
  <c r="I135" i="2"/>
  <c r="H135" i="2"/>
  <c r="N135" i="2" s="1"/>
  <c r="M136" i="2"/>
  <c r="L136" i="2"/>
  <c r="K136" i="2"/>
  <c r="J136" i="2"/>
  <c r="I136" i="2"/>
  <c r="H136" i="2"/>
  <c r="N136" i="2" s="1"/>
  <c r="M137" i="2"/>
  <c r="L137" i="2"/>
  <c r="K137" i="2"/>
  <c r="J137" i="2"/>
  <c r="I137" i="2"/>
  <c r="H137" i="2"/>
  <c r="N137" i="2" s="1"/>
  <c r="M138" i="2"/>
  <c r="L138" i="2"/>
  <c r="K138" i="2"/>
  <c r="J138" i="2"/>
  <c r="I138" i="2"/>
  <c r="H138" i="2"/>
  <c r="N138" i="2" s="1"/>
  <c r="M139" i="2"/>
  <c r="L139" i="2"/>
  <c r="K139" i="2"/>
  <c r="J139" i="2"/>
  <c r="I139" i="2"/>
  <c r="H139" i="2"/>
  <c r="N139" i="2" s="1"/>
  <c r="M140" i="2"/>
  <c r="L140" i="2"/>
  <c r="K140" i="2"/>
  <c r="J140" i="2"/>
  <c r="I140" i="2"/>
  <c r="H140" i="2"/>
  <c r="N140" i="2" s="1"/>
  <c r="M141" i="2"/>
  <c r="L141" i="2"/>
  <c r="K141" i="2"/>
  <c r="J141" i="2"/>
  <c r="I141" i="2"/>
  <c r="H141" i="2"/>
  <c r="N141" i="2" s="1"/>
  <c r="M142" i="2"/>
  <c r="L142" i="2"/>
  <c r="K142" i="2"/>
  <c r="J142" i="2"/>
  <c r="I142" i="2"/>
  <c r="H142" i="2"/>
  <c r="N142" i="2" s="1"/>
  <c r="M143" i="2"/>
  <c r="L143" i="2"/>
  <c r="K143" i="2"/>
  <c r="J143" i="2"/>
  <c r="I143" i="2"/>
  <c r="H143" i="2"/>
  <c r="N143" i="2" s="1"/>
  <c r="M144" i="2"/>
  <c r="L144" i="2"/>
  <c r="K144" i="2"/>
  <c r="J144" i="2"/>
  <c r="I144" i="2"/>
  <c r="H144" i="2"/>
  <c r="N144" i="2" s="1"/>
  <c r="M145" i="2"/>
  <c r="L145" i="2"/>
  <c r="K145" i="2"/>
  <c r="J145" i="2"/>
  <c r="I145" i="2"/>
  <c r="H145" i="2"/>
  <c r="N145" i="2" s="1"/>
  <c r="M146" i="2"/>
  <c r="L146" i="2"/>
  <c r="K146" i="2"/>
  <c r="J146" i="2"/>
  <c r="I146" i="2"/>
  <c r="H146" i="2"/>
  <c r="N146" i="2" s="1"/>
  <c r="M147" i="2"/>
  <c r="L147" i="2"/>
  <c r="K147" i="2"/>
  <c r="J147" i="2"/>
  <c r="I147" i="2"/>
  <c r="H147" i="2"/>
  <c r="N147" i="2" s="1"/>
  <c r="M148" i="2"/>
  <c r="L148" i="2"/>
  <c r="K148" i="2"/>
  <c r="J148" i="2"/>
  <c r="I148" i="2"/>
  <c r="H148" i="2"/>
  <c r="N148" i="2" s="1"/>
  <c r="M149" i="2"/>
  <c r="L149" i="2"/>
  <c r="K149" i="2"/>
  <c r="J149" i="2"/>
  <c r="I149" i="2"/>
  <c r="H149" i="2"/>
  <c r="N149" i="2" s="1"/>
  <c r="M150" i="2"/>
  <c r="L150" i="2"/>
  <c r="K150" i="2"/>
  <c r="J150" i="2"/>
  <c r="I150" i="2"/>
  <c r="H150" i="2"/>
  <c r="N150" i="2" s="1"/>
  <c r="M151" i="2"/>
  <c r="L151" i="2"/>
  <c r="K151" i="2"/>
  <c r="J151" i="2"/>
  <c r="I151" i="2"/>
  <c r="H151" i="2"/>
  <c r="N151" i="2" s="1"/>
  <c r="AG9" i="3"/>
  <c r="AD9" i="3"/>
  <c r="AA9" i="3"/>
  <c r="X9" i="3"/>
  <c r="U9" i="3"/>
  <c r="R9" i="3"/>
  <c r="O9" i="3"/>
  <c r="L9" i="3"/>
  <c r="I9" i="3"/>
  <c r="F9" i="3"/>
  <c r="C9" i="3"/>
  <c r="M152" i="2"/>
  <c r="L152" i="2"/>
  <c r="K152" i="2"/>
  <c r="J152" i="2"/>
  <c r="I152" i="2"/>
  <c r="H152" i="2"/>
  <c r="N152" i="2" s="1"/>
  <c r="M153" i="2"/>
  <c r="L153" i="2"/>
  <c r="K153" i="2"/>
  <c r="J153" i="2"/>
  <c r="I153" i="2"/>
  <c r="H153" i="2"/>
  <c r="N153" i="2" s="1"/>
  <c r="M154" i="2"/>
  <c r="L154" i="2"/>
  <c r="K154" i="2"/>
  <c r="J154" i="2"/>
  <c r="I154" i="2"/>
  <c r="H154" i="2"/>
  <c r="N154" i="2" s="1"/>
  <c r="M155" i="2"/>
  <c r="L155" i="2"/>
  <c r="K155" i="2"/>
  <c r="J155" i="2"/>
  <c r="I155" i="2"/>
  <c r="H155" i="2"/>
  <c r="N155" i="2" s="1"/>
  <c r="M156" i="2"/>
  <c r="L156" i="2"/>
  <c r="K156" i="2"/>
  <c r="J156" i="2"/>
  <c r="I156" i="2"/>
  <c r="H156" i="2"/>
  <c r="N156" i="2" s="1"/>
  <c r="M157" i="2"/>
  <c r="L157" i="2"/>
  <c r="K157" i="2"/>
  <c r="J157" i="2"/>
  <c r="I157" i="2"/>
  <c r="H157" i="2"/>
  <c r="N157" i="2" s="1"/>
  <c r="M158" i="2"/>
  <c r="L158" i="2"/>
  <c r="K158" i="2"/>
  <c r="J158" i="2"/>
  <c r="I158" i="2"/>
  <c r="H158" i="2"/>
  <c r="N158" i="2" s="1"/>
  <c r="M159" i="2"/>
  <c r="L159" i="2"/>
  <c r="K159" i="2"/>
  <c r="J159" i="2"/>
  <c r="I159" i="2"/>
  <c r="H159" i="2"/>
  <c r="N159" i="2" s="1"/>
  <c r="M160" i="2"/>
  <c r="L160" i="2"/>
  <c r="K160" i="2"/>
  <c r="J160" i="2"/>
  <c r="I160" i="2"/>
  <c r="H160" i="2"/>
  <c r="N160" i="2" s="1"/>
  <c r="M161" i="2"/>
  <c r="L161" i="2"/>
  <c r="K161" i="2"/>
  <c r="J161" i="2"/>
  <c r="I161" i="2"/>
  <c r="H161" i="2"/>
  <c r="N161" i="2" s="1"/>
  <c r="M162" i="2"/>
  <c r="L162" i="2"/>
  <c r="K162" i="2"/>
  <c r="J162" i="2"/>
  <c r="I162" i="2"/>
  <c r="H162" i="2"/>
  <c r="N162" i="2" s="1"/>
  <c r="M163" i="2"/>
  <c r="L163" i="2"/>
  <c r="K163" i="2"/>
  <c r="J163" i="2"/>
  <c r="I163" i="2"/>
  <c r="H163" i="2"/>
  <c r="N163" i="2" s="1"/>
  <c r="M164" i="2"/>
  <c r="L164" i="2"/>
  <c r="K164" i="2"/>
  <c r="J164" i="2"/>
  <c r="I164" i="2"/>
  <c r="H164" i="2"/>
  <c r="N164" i="2" s="1"/>
  <c r="M165" i="2"/>
  <c r="L165" i="2"/>
  <c r="K165" i="2"/>
  <c r="J165" i="2"/>
  <c r="I165" i="2"/>
  <c r="H165" i="2"/>
  <c r="N165" i="2" s="1"/>
  <c r="M166" i="2"/>
  <c r="L166" i="2"/>
  <c r="K166" i="2"/>
  <c r="J166" i="2"/>
  <c r="I166" i="2"/>
  <c r="H166" i="2"/>
  <c r="N166" i="2" s="1"/>
  <c r="M167" i="2"/>
  <c r="L167" i="2"/>
  <c r="K167" i="2"/>
  <c r="J167" i="2"/>
  <c r="I167" i="2"/>
  <c r="H167" i="2"/>
  <c r="N167" i="2" s="1"/>
  <c r="M168" i="2"/>
  <c r="L168" i="2"/>
  <c r="K168" i="2"/>
  <c r="J168" i="2"/>
  <c r="I168" i="2"/>
  <c r="H168" i="2"/>
  <c r="N168" i="2" s="1"/>
  <c r="M169" i="2"/>
  <c r="L169" i="2"/>
  <c r="K169" i="2"/>
  <c r="J169" i="2"/>
  <c r="I169" i="2"/>
  <c r="H169" i="2"/>
  <c r="N169" i="2" s="1"/>
  <c r="M170" i="2"/>
  <c r="L170" i="2"/>
  <c r="K170" i="2"/>
  <c r="J170" i="2"/>
  <c r="I170" i="2"/>
  <c r="H170" i="2"/>
  <c r="N170" i="2" s="1"/>
  <c r="M171" i="2"/>
  <c r="L171" i="2"/>
  <c r="K171" i="2"/>
  <c r="J171" i="2"/>
  <c r="I171" i="2"/>
  <c r="H171" i="2"/>
  <c r="N171" i="2" s="1"/>
  <c r="M172" i="2"/>
  <c r="L172" i="2"/>
  <c r="K172" i="2"/>
  <c r="J172" i="2"/>
  <c r="I172" i="2"/>
  <c r="H172" i="2"/>
  <c r="N172" i="2" s="1"/>
  <c r="M173" i="2"/>
  <c r="L173" i="2"/>
  <c r="K173" i="2"/>
  <c r="J173" i="2"/>
  <c r="I173" i="2"/>
  <c r="H173" i="2"/>
  <c r="N173" i="2" s="1"/>
  <c r="M174" i="2"/>
  <c r="L174" i="2"/>
  <c r="K174" i="2"/>
  <c r="J174" i="2"/>
  <c r="I174" i="2"/>
  <c r="H174" i="2"/>
  <c r="N174" i="2" s="1"/>
  <c r="M175" i="2"/>
  <c r="L175" i="2"/>
  <c r="K175" i="2"/>
  <c r="J175" i="2"/>
  <c r="I175" i="2"/>
  <c r="H175" i="2"/>
  <c r="N175" i="2" s="1"/>
  <c r="M176" i="2"/>
  <c r="L176" i="2"/>
  <c r="K176" i="2"/>
  <c r="J176" i="2"/>
  <c r="I176" i="2"/>
  <c r="H176" i="2"/>
  <c r="N176" i="2" s="1"/>
  <c r="M177" i="2"/>
  <c r="L177" i="2"/>
  <c r="K177" i="2"/>
  <c r="J177" i="2"/>
  <c r="I177" i="2"/>
  <c r="H177" i="2"/>
  <c r="N177" i="2" s="1"/>
  <c r="M178" i="2"/>
  <c r="L178" i="2"/>
  <c r="K178" i="2"/>
  <c r="J178" i="2"/>
  <c r="I178" i="2"/>
  <c r="H178" i="2"/>
  <c r="N178" i="2" s="1"/>
  <c r="M179" i="2"/>
  <c r="L179" i="2"/>
  <c r="K179" i="2"/>
  <c r="J179" i="2"/>
  <c r="I179" i="2"/>
  <c r="H179" i="2"/>
  <c r="N179" i="2" s="1"/>
  <c r="M180" i="2"/>
  <c r="L180" i="2"/>
  <c r="K180" i="2"/>
  <c r="J180" i="2"/>
  <c r="I180" i="2"/>
  <c r="H180" i="2"/>
  <c r="N180" i="2" s="1"/>
  <c r="M181" i="2"/>
  <c r="L181" i="2"/>
  <c r="K181" i="2"/>
  <c r="J181" i="2"/>
  <c r="I181" i="2"/>
  <c r="H181" i="2"/>
  <c r="N181" i="2" s="1"/>
  <c r="M182" i="2"/>
  <c r="L182" i="2"/>
  <c r="K182" i="2"/>
  <c r="J182" i="2"/>
  <c r="I182" i="2"/>
  <c r="H182" i="2"/>
  <c r="N182" i="2" s="1"/>
  <c r="M183" i="2"/>
  <c r="L183" i="2"/>
  <c r="K183" i="2"/>
  <c r="J183" i="2"/>
  <c r="I183" i="2"/>
  <c r="H183" i="2"/>
  <c r="N183" i="2" s="1"/>
  <c r="M184" i="2"/>
  <c r="L184" i="2"/>
  <c r="K184" i="2"/>
  <c r="J184" i="2"/>
  <c r="I184" i="2"/>
  <c r="H184" i="2"/>
  <c r="N184" i="2" s="1"/>
  <c r="M185" i="2"/>
  <c r="L185" i="2"/>
  <c r="K185" i="2"/>
  <c r="J185" i="2"/>
  <c r="I185" i="2"/>
  <c r="H185" i="2"/>
  <c r="N185" i="2" s="1"/>
  <c r="M186" i="2"/>
  <c r="L186" i="2"/>
  <c r="K186" i="2"/>
  <c r="J186" i="2"/>
  <c r="I186" i="2"/>
  <c r="H186" i="2"/>
  <c r="N186" i="2" s="1"/>
  <c r="M187" i="2"/>
  <c r="L187" i="2"/>
  <c r="K187" i="2"/>
  <c r="J187" i="2"/>
  <c r="I187" i="2"/>
  <c r="H187" i="2"/>
  <c r="N187" i="2" s="1"/>
  <c r="M188" i="2"/>
  <c r="L188" i="2"/>
  <c r="K188" i="2"/>
  <c r="J188" i="2"/>
  <c r="I188" i="2"/>
  <c r="H188" i="2"/>
  <c r="N188" i="2" s="1"/>
  <c r="M189" i="2"/>
  <c r="L189" i="2"/>
  <c r="K189" i="2"/>
  <c r="J189" i="2"/>
  <c r="I189" i="2"/>
  <c r="H189" i="2"/>
  <c r="N189" i="2" s="1"/>
  <c r="M190" i="2"/>
  <c r="L190" i="2"/>
  <c r="K190" i="2"/>
  <c r="J190" i="2"/>
  <c r="I190" i="2"/>
  <c r="H190" i="2"/>
  <c r="N190" i="2" s="1"/>
  <c r="M191" i="2"/>
  <c r="L191" i="2"/>
  <c r="K191" i="2"/>
  <c r="J191" i="2"/>
  <c r="I191" i="2"/>
  <c r="H191" i="2"/>
  <c r="N191" i="2" s="1"/>
  <c r="M192" i="2"/>
  <c r="L192" i="2"/>
  <c r="K192" i="2"/>
  <c r="J192" i="2"/>
  <c r="I192" i="2"/>
  <c r="H192" i="2"/>
  <c r="N192" i="2" s="1"/>
  <c r="M193" i="2"/>
  <c r="L193" i="2"/>
  <c r="K193" i="2"/>
  <c r="J193" i="2"/>
  <c r="I193" i="2"/>
  <c r="H193" i="2"/>
  <c r="N193" i="2" s="1"/>
  <c r="M194" i="2"/>
  <c r="L194" i="2"/>
  <c r="K194" i="2"/>
  <c r="J194" i="2"/>
  <c r="I194" i="2"/>
  <c r="H194" i="2"/>
  <c r="N194" i="2" s="1"/>
  <c r="M195" i="2"/>
  <c r="L195" i="2"/>
  <c r="K195" i="2"/>
  <c r="J195" i="2"/>
  <c r="I195" i="2"/>
  <c r="H195" i="2"/>
  <c r="N195" i="2" s="1"/>
  <c r="M196" i="2"/>
  <c r="L196" i="2"/>
  <c r="K196" i="2"/>
  <c r="J196" i="2"/>
  <c r="I196" i="2"/>
  <c r="H196" i="2"/>
  <c r="N196" i="2" s="1"/>
  <c r="M197" i="2"/>
  <c r="L197" i="2"/>
  <c r="K197" i="2"/>
  <c r="J197" i="2"/>
  <c r="I197" i="2"/>
  <c r="H197" i="2"/>
  <c r="N197" i="2" s="1"/>
  <c r="M198" i="2"/>
  <c r="L198" i="2"/>
  <c r="K198" i="2"/>
  <c r="J198" i="2"/>
  <c r="I198" i="2"/>
  <c r="H198" i="2"/>
  <c r="N198" i="2" s="1"/>
  <c r="M199" i="2"/>
  <c r="L199" i="2"/>
  <c r="K199" i="2"/>
  <c r="J199" i="2"/>
  <c r="I199" i="2"/>
  <c r="H199" i="2"/>
  <c r="N199" i="2" s="1"/>
  <c r="M200" i="2"/>
  <c r="L200" i="2"/>
  <c r="K200" i="2"/>
  <c r="J200" i="2"/>
  <c r="I200" i="2"/>
  <c r="H200" i="2"/>
  <c r="N200" i="2" s="1"/>
  <c r="M201" i="2"/>
  <c r="L201" i="2"/>
  <c r="K201" i="2"/>
  <c r="J201" i="2"/>
  <c r="I201" i="2"/>
  <c r="H201" i="2"/>
  <c r="N201" i="2" s="1"/>
  <c r="M202" i="2"/>
  <c r="L202" i="2"/>
  <c r="K202" i="2"/>
  <c r="J202" i="2"/>
  <c r="I202" i="2"/>
  <c r="H202" i="2"/>
  <c r="N202" i="2" s="1"/>
  <c r="M203" i="2"/>
  <c r="L203" i="2"/>
  <c r="K203" i="2"/>
  <c r="J203" i="2"/>
  <c r="I203" i="2"/>
  <c r="H203" i="2"/>
  <c r="N203" i="2" s="1"/>
  <c r="M204" i="2"/>
  <c r="L204" i="2"/>
  <c r="K204" i="2"/>
  <c r="J204" i="2"/>
  <c r="I204" i="2"/>
  <c r="H204" i="2"/>
  <c r="N204" i="2" s="1"/>
  <c r="M205" i="2"/>
  <c r="L205" i="2"/>
  <c r="K205" i="2"/>
  <c r="J205" i="2"/>
  <c r="I205" i="2"/>
  <c r="H205" i="2"/>
  <c r="N205" i="2" s="1"/>
  <c r="M206" i="2"/>
  <c r="L206" i="2"/>
  <c r="K206" i="2"/>
  <c r="J206" i="2"/>
  <c r="I206" i="2"/>
  <c r="H206" i="2"/>
  <c r="N206" i="2" s="1"/>
  <c r="M207" i="2"/>
  <c r="L207" i="2"/>
  <c r="K207" i="2"/>
  <c r="J207" i="2"/>
  <c r="I207" i="2"/>
  <c r="H207" i="2"/>
  <c r="N207" i="2" s="1"/>
  <c r="M208" i="2"/>
  <c r="L208" i="2"/>
  <c r="K208" i="2"/>
  <c r="J208" i="2"/>
  <c r="I208" i="2"/>
  <c r="H208" i="2"/>
  <c r="N208" i="2" s="1"/>
  <c r="M209" i="2"/>
  <c r="L209" i="2"/>
  <c r="K209" i="2"/>
  <c r="J209" i="2"/>
  <c r="I209" i="2"/>
  <c r="H209" i="2"/>
  <c r="N209" i="2" s="1"/>
  <c r="M210" i="2"/>
  <c r="L210" i="2"/>
  <c r="K210" i="2"/>
  <c r="J210" i="2"/>
  <c r="I210" i="2"/>
  <c r="H210" i="2"/>
  <c r="N210" i="2" s="1"/>
  <c r="M211" i="2"/>
  <c r="L211" i="2"/>
  <c r="K211" i="2"/>
  <c r="J211" i="2"/>
  <c r="I211" i="2"/>
  <c r="H211" i="2"/>
  <c r="N211" i="2" s="1"/>
  <c r="M212" i="2"/>
  <c r="L212" i="2"/>
  <c r="K212" i="2"/>
  <c r="J212" i="2"/>
  <c r="I212" i="2"/>
  <c r="H212" i="2"/>
  <c r="N212" i="2" s="1"/>
  <c r="M213" i="2"/>
  <c r="L213" i="2"/>
  <c r="K213" i="2"/>
  <c r="J213" i="2"/>
  <c r="I213" i="2"/>
  <c r="H213" i="2"/>
  <c r="N213" i="2" s="1"/>
  <c r="M214" i="2"/>
  <c r="L214" i="2"/>
  <c r="K214" i="2"/>
  <c r="J214" i="2"/>
  <c r="I214" i="2"/>
  <c r="H214" i="2"/>
  <c r="N214" i="2" s="1"/>
  <c r="M215" i="2"/>
  <c r="L215" i="2"/>
  <c r="K215" i="2"/>
  <c r="J215" i="2"/>
  <c r="I215" i="2"/>
  <c r="H215" i="2"/>
  <c r="N215" i="2" s="1"/>
  <c r="M216" i="2"/>
  <c r="L216" i="2"/>
  <c r="K216" i="2"/>
  <c r="J216" i="2"/>
  <c r="I216" i="2"/>
  <c r="H216" i="2"/>
  <c r="N216" i="2" s="1"/>
  <c r="M217" i="2"/>
  <c r="L217" i="2"/>
  <c r="K217" i="2"/>
  <c r="J217" i="2"/>
  <c r="I217" i="2"/>
  <c r="H217" i="2"/>
  <c r="N217" i="2" s="1"/>
  <c r="M218" i="2"/>
  <c r="L218" i="2"/>
  <c r="K218" i="2"/>
  <c r="J218" i="2"/>
  <c r="I218" i="2"/>
  <c r="H218" i="2"/>
  <c r="N218" i="2" s="1"/>
  <c r="M219" i="2"/>
  <c r="L219" i="2"/>
  <c r="K219" i="2"/>
  <c r="J219" i="2"/>
  <c r="I219" i="2"/>
  <c r="H219" i="2"/>
  <c r="N219" i="2" s="1"/>
  <c r="M220" i="2"/>
  <c r="L220" i="2"/>
  <c r="K220" i="2"/>
  <c r="J220" i="2"/>
  <c r="I220" i="2"/>
  <c r="H220" i="2"/>
  <c r="N220" i="2" s="1"/>
  <c r="M221" i="2"/>
  <c r="L221" i="2"/>
  <c r="K221" i="2"/>
  <c r="J221" i="2"/>
  <c r="I221" i="2"/>
  <c r="H221" i="2"/>
  <c r="N221" i="2" s="1"/>
  <c r="M222" i="2"/>
  <c r="L222" i="2"/>
  <c r="K222" i="2"/>
  <c r="J222" i="2"/>
  <c r="I222" i="2"/>
  <c r="H222" i="2"/>
  <c r="N222" i="2" s="1"/>
  <c r="M223" i="2"/>
  <c r="L223" i="2"/>
  <c r="K223" i="2"/>
  <c r="J223" i="2"/>
  <c r="I223" i="2"/>
  <c r="H223" i="2"/>
  <c r="N223" i="2" s="1"/>
  <c r="M224" i="2"/>
  <c r="L224" i="2"/>
  <c r="K224" i="2"/>
  <c r="J224" i="2"/>
  <c r="I224" i="2"/>
  <c r="H224" i="2"/>
  <c r="N224" i="2" s="1"/>
  <c r="M225" i="2"/>
  <c r="L225" i="2"/>
  <c r="K225" i="2"/>
  <c r="J225" i="2"/>
  <c r="I225" i="2"/>
  <c r="H225" i="2"/>
  <c r="N225" i="2" s="1"/>
  <c r="M226" i="2"/>
  <c r="L226" i="2"/>
  <c r="K226" i="2"/>
  <c r="J226" i="2"/>
  <c r="I226" i="2"/>
  <c r="H226" i="2"/>
  <c r="N226" i="2" s="1"/>
  <c r="M227" i="2"/>
  <c r="L227" i="2"/>
  <c r="K227" i="2"/>
  <c r="J227" i="2"/>
  <c r="I227" i="2"/>
  <c r="H227" i="2"/>
  <c r="N227" i="2" s="1"/>
  <c r="M228" i="2"/>
  <c r="L228" i="2"/>
  <c r="K228" i="2"/>
  <c r="J228" i="2"/>
  <c r="I228" i="2"/>
  <c r="H228" i="2"/>
  <c r="N228" i="2" s="1"/>
  <c r="M229" i="2"/>
  <c r="L229" i="2"/>
  <c r="K229" i="2"/>
  <c r="J229" i="2"/>
  <c r="I229" i="2"/>
  <c r="H229" i="2"/>
  <c r="N229" i="2" s="1"/>
  <c r="M230" i="2"/>
  <c r="L230" i="2"/>
  <c r="K230" i="2"/>
  <c r="J230" i="2"/>
  <c r="I230" i="2"/>
  <c r="H230" i="2"/>
  <c r="N230" i="2" s="1"/>
  <c r="M231" i="2"/>
  <c r="L231" i="2"/>
  <c r="K231" i="2"/>
  <c r="J231" i="2"/>
  <c r="I231" i="2"/>
  <c r="H231" i="2"/>
  <c r="N231" i="2" s="1"/>
  <c r="M232" i="2"/>
  <c r="L232" i="2"/>
  <c r="K232" i="2"/>
  <c r="J232" i="2"/>
  <c r="I232" i="2"/>
  <c r="H232" i="2"/>
  <c r="N232" i="2" s="1"/>
  <c r="M233" i="2"/>
  <c r="L233" i="2"/>
  <c r="K233" i="2"/>
  <c r="J233" i="2"/>
  <c r="I233" i="2"/>
  <c r="H233" i="2"/>
  <c r="N233" i="2" s="1"/>
  <c r="M234" i="2"/>
  <c r="L234" i="2"/>
  <c r="K234" i="2"/>
  <c r="J234" i="2"/>
  <c r="I234" i="2"/>
  <c r="H234" i="2"/>
  <c r="N234" i="2" s="1"/>
  <c r="M235" i="2"/>
  <c r="L235" i="2"/>
  <c r="K235" i="2"/>
  <c r="J235" i="2"/>
  <c r="I235" i="2"/>
  <c r="H235" i="2"/>
  <c r="N235" i="2" s="1"/>
  <c r="M236" i="2"/>
  <c r="L236" i="2"/>
  <c r="K236" i="2"/>
  <c r="J236" i="2"/>
  <c r="I236" i="2"/>
  <c r="H236" i="2"/>
  <c r="N236" i="2" s="1"/>
  <c r="M237" i="2"/>
  <c r="L237" i="2"/>
  <c r="K237" i="2"/>
  <c r="J237" i="2"/>
  <c r="I237" i="2"/>
  <c r="H237" i="2"/>
  <c r="N237" i="2" s="1"/>
  <c r="M238" i="2"/>
  <c r="L238" i="2"/>
  <c r="K238" i="2"/>
  <c r="J238" i="2"/>
  <c r="I238" i="2"/>
  <c r="H238" i="2"/>
  <c r="N238" i="2" s="1"/>
  <c r="M239" i="2"/>
  <c r="L239" i="2"/>
  <c r="K239" i="2"/>
  <c r="J239" i="2"/>
  <c r="I239" i="2"/>
  <c r="H239" i="2"/>
  <c r="N239" i="2" s="1"/>
  <c r="M240" i="2"/>
  <c r="L240" i="2"/>
  <c r="K240" i="2"/>
  <c r="J240" i="2"/>
  <c r="I240" i="2"/>
  <c r="H240" i="2"/>
  <c r="N240" i="2" s="1"/>
  <c r="M241" i="2"/>
  <c r="L241" i="2"/>
  <c r="K241" i="2"/>
  <c r="J241" i="2"/>
  <c r="I241" i="2"/>
  <c r="H241" i="2"/>
  <c r="N241" i="2" s="1"/>
  <c r="M242" i="2"/>
  <c r="L242" i="2"/>
  <c r="K242" i="2"/>
  <c r="J242" i="2"/>
  <c r="I242" i="2"/>
  <c r="H242" i="2"/>
  <c r="N242" i="2" s="1"/>
  <c r="M243" i="2"/>
  <c r="L243" i="2"/>
  <c r="K243" i="2"/>
  <c r="J243" i="2"/>
  <c r="I243" i="2"/>
  <c r="H243" i="2"/>
  <c r="N243" i="2" s="1"/>
  <c r="M244" i="2"/>
  <c r="L244" i="2"/>
  <c r="K244" i="2"/>
  <c r="J244" i="2"/>
  <c r="I244" i="2"/>
  <c r="H244" i="2"/>
  <c r="N244" i="2" s="1"/>
  <c r="M245" i="2"/>
  <c r="L245" i="2"/>
  <c r="K245" i="2"/>
  <c r="J245" i="2"/>
  <c r="I245" i="2"/>
  <c r="H245" i="2"/>
  <c r="N245" i="2" s="1"/>
  <c r="M246" i="2"/>
  <c r="L246" i="2"/>
  <c r="K246" i="2"/>
  <c r="J246" i="2"/>
  <c r="I246" i="2"/>
  <c r="H246" i="2"/>
  <c r="N246" i="2" s="1"/>
  <c r="AG36" i="3" l="1"/>
  <c r="AD36" i="3"/>
  <c r="AA36" i="3"/>
  <c r="X36" i="3"/>
  <c r="U36" i="3"/>
  <c r="R36" i="3"/>
  <c r="O36" i="3"/>
  <c r="L36" i="3"/>
  <c r="I36" i="3"/>
  <c r="F36" i="3"/>
  <c r="AK22" i="3"/>
  <c r="AG22" i="3"/>
  <c r="AD22" i="3"/>
  <c r="AA22" i="3"/>
  <c r="X22" i="3"/>
  <c r="U22" i="3"/>
  <c r="R22" i="3"/>
  <c r="O22" i="3"/>
  <c r="L22" i="3"/>
  <c r="I22" i="3"/>
  <c r="F22" i="3"/>
  <c r="C22" i="3"/>
  <c r="AK13" i="3"/>
  <c r="AG13" i="3"/>
  <c r="AD13" i="3"/>
  <c r="AA13" i="3"/>
  <c r="X13" i="3"/>
  <c r="U13" i="3"/>
  <c r="R13" i="3"/>
  <c r="O13" i="3"/>
  <c r="L13" i="3"/>
  <c r="I13" i="3"/>
  <c r="F13" i="3"/>
  <c r="C13" i="3"/>
  <c r="N2" i="2"/>
  <c r="AK23" i="3"/>
  <c r="AG23" i="3"/>
  <c r="AD23" i="3"/>
  <c r="AA23" i="3"/>
  <c r="X23" i="3"/>
  <c r="U23" i="3"/>
  <c r="R23" i="3"/>
  <c r="O23" i="3"/>
  <c r="L23" i="3"/>
  <c r="I23" i="3"/>
  <c r="F23" i="3"/>
  <c r="C23" i="3"/>
  <c r="AK14" i="3"/>
  <c r="AG14" i="3"/>
  <c r="AD14" i="3"/>
  <c r="AA14" i="3"/>
  <c r="X14" i="3"/>
  <c r="U14" i="3"/>
  <c r="R14" i="3"/>
  <c r="O14" i="3"/>
  <c r="L14" i="3"/>
  <c r="I14" i="3"/>
  <c r="F14" i="3"/>
  <c r="C14" i="3"/>
  <c r="AK24" i="3"/>
  <c r="AG24" i="3"/>
  <c r="AD24" i="3"/>
  <c r="AA24" i="3"/>
  <c r="X24" i="3"/>
  <c r="U24" i="3"/>
  <c r="R24" i="3"/>
  <c r="O24" i="3"/>
  <c r="L24" i="3"/>
  <c r="I24" i="3"/>
  <c r="F24" i="3"/>
  <c r="C24" i="3"/>
  <c r="AK15" i="3"/>
  <c r="AG15" i="3"/>
  <c r="AD15" i="3"/>
  <c r="AA15" i="3"/>
  <c r="X15" i="3"/>
  <c r="U15" i="3"/>
  <c r="R15" i="3"/>
  <c r="O15" i="3"/>
  <c r="L15" i="3"/>
  <c r="I15" i="3"/>
  <c r="F15" i="3"/>
  <c r="C15" i="3"/>
  <c r="AK25" i="3"/>
  <c r="AG25" i="3"/>
  <c r="AD25" i="3"/>
  <c r="AA25" i="3"/>
  <c r="X25" i="3"/>
  <c r="U25" i="3"/>
  <c r="R25" i="3"/>
  <c r="O25" i="3"/>
  <c r="L25" i="3"/>
  <c r="I25" i="3"/>
  <c r="F25" i="3"/>
  <c r="C25" i="3"/>
  <c r="AK16" i="3"/>
  <c r="AG16" i="3"/>
  <c r="AD16" i="3"/>
  <c r="AA16" i="3"/>
  <c r="X16" i="3"/>
  <c r="U16" i="3"/>
  <c r="R16" i="3"/>
  <c r="O16" i="3"/>
  <c r="L16" i="3"/>
  <c r="I16" i="3"/>
  <c r="F16" i="3"/>
  <c r="C16" i="3"/>
  <c r="AK26" i="3"/>
  <c r="AG26" i="3"/>
  <c r="AD26" i="3"/>
  <c r="AA26" i="3"/>
  <c r="X26" i="3"/>
  <c r="U26" i="3"/>
  <c r="R26" i="3"/>
  <c r="O26" i="3"/>
  <c r="L26" i="3"/>
  <c r="I26" i="3"/>
  <c r="F26" i="3"/>
  <c r="C26" i="3"/>
  <c r="AK17" i="3"/>
  <c r="AG17" i="3"/>
  <c r="AD17" i="3"/>
  <c r="AA17" i="3"/>
  <c r="X17" i="3"/>
  <c r="U17" i="3"/>
  <c r="R17" i="3"/>
  <c r="O17" i="3"/>
  <c r="L17" i="3"/>
  <c r="I17" i="3"/>
  <c r="F17" i="3"/>
  <c r="C17" i="3"/>
  <c r="AK27" i="3"/>
  <c r="AG27" i="3"/>
  <c r="AD27" i="3"/>
  <c r="AA27" i="3"/>
  <c r="X27" i="3"/>
  <c r="U27" i="3"/>
  <c r="R27" i="3"/>
  <c r="O27" i="3"/>
  <c r="L27" i="3"/>
  <c r="I27" i="3"/>
  <c r="F27" i="3"/>
  <c r="C27" i="3"/>
  <c r="AK18" i="3"/>
  <c r="AG18" i="3"/>
  <c r="AD18" i="3"/>
  <c r="AA18" i="3"/>
  <c r="X18" i="3"/>
  <c r="U18" i="3"/>
  <c r="R18" i="3"/>
  <c r="O18" i="3"/>
  <c r="L18" i="3"/>
  <c r="I18" i="3"/>
  <c r="F18" i="3"/>
  <c r="C18" i="3"/>
  <c r="C10" i="3"/>
  <c r="F10" i="3"/>
  <c r="I10" i="3"/>
  <c r="L10" i="3"/>
  <c r="O10" i="3"/>
  <c r="R10" i="3"/>
  <c r="U10" i="3"/>
  <c r="X10" i="3"/>
  <c r="AA10" i="3"/>
  <c r="AD10" i="3"/>
  <c r="AG10" i="3"/>
  <c r="AK36" i="3" l="1"/>
  <c r="C36" i="3"/>
  <c r="C38" i="3" s="1"/>
  <c r="C19" i="3"/>
  <c r="D14" i="3" s="1"/>
  <c r="D13" i="3"/>
  <c r="F19" i="3"/>
  <c r="G18" i="3" s="1"/>
  <c r="I19" i="3"/>
  <c r="J17" i="3" s="1"/>
  <c r="J13" i="3"/>
  <c r="L19" i="3"/>
  <c r="M16" i="3" s="1"/>
  <c r="O19" i="3"/>
  <c r="P15" i="3" s="1"/>
  <c r="R19" i="3"/>
  <c r="S14" i="3" s="1"/>
  <c r="S13" i="3"/>
  <c r="U19" i="3"/>
  <c r="V17" i="3" s="1"/>
  <c r="V13" i="3"/>
  <c r="X19" i="3"/>
  <c r="Y16" i="3" s="1"/>
  <c r="AA19" i="3"/>
  <c r="AB15" i="3" s="1"/>
  <c r="AD19" i="3"/>
  <c r="AE14" i="3" s="1"/>
  <c r="AE13" i="3"/>
  <c r="AG19" i="3"/>
  <c r="AH18" i="3" s="1"/>
  <c r="AK19" i="3"/>
  <c r="AL16" i="3" s="1"/>
  <c r="AL13" i="3"/>
  <c r="C31" i="3"/>
  <c r="C28" i="3"/>
  <c r="D27" i="3" s="1"/>
  <c r="F31" i="3"/>
  <c r="F28" i="3"/>
  <c r="G26" i="3" s="1"/>
  <c r="I31" i="3"/>
  <c r="I28" i="3"/>
  <c r="J25" i="3" s="1"/>
  <c r="J22" i="3"/>
  <c r="L31" i="3"/>
  <c r="L28" i="3"/>
  <c r="M24" i="3" s="1"/>
  <c r="M22" i="3"/>
  <c r="O31" i="3"/>
  <c r="O28" i="3"/>
  <c r="P27" i="3" s="1"/>
  <c r="P22" i="3"/>
  <c r="R31" i="3"/>
  <c r="R28" i="3"/>
  <c r="S26" i="3" s="1"/>
  <c r="S22" i="3"/>
  <c r="U31" i="3"/>
  <c r="U28" i="3"/>
  <c r="V25" i="3" s="1"/>
  <c r="X31" i="3"/>
  <c r="X28" i="3"/>
  <c r="Y24" i="3" s="1"/>
  <c r="Y22" i="3"/>
  <c r="AA31" i="3"/>
  <c r="AA28" i="3"/>
  <c r="AB24" i="3" s="1"/>
  <c r="AB22" i="3"/>
  <c r="AD31" i="3"/>
  <c r="AD28" i="3"/>
  <c r="AE27" i="3" s="1"/>
  <c r="AE22" i="3"/>
  <c r="AG31" i="3"/>
  <c r="AG28" i="3"/>
  <c r="AH26" i="3" s="1"/>
  <c r="AH22" i="3"/>
  <c r="AK31" i="3"/>
  <c r="AK28" i="3"/>
  <c r="AL24" i="3" s="1"/>
  <c r="AL22" i="3"/>
  <c r="O38" i="3"/>
  <c r="U38" i="3" l="1"/>
  <c r="G22" i="3"/>
  <c r="M13" i="3"/>
  <c r="AB13" i="3"/>
  <c r="D22" i="3"/>
  <c r="AK38" i="3"/>
  <c r="V22" i="3"/>
  <c r="V15" i="3"/>
  <c r="R38" i="3"/>
  <c r="S23" i="3"/>
  <c r="V14" i="3"/>
  <c r="AG38" i="3"/>
  <c r="AD38" i="3"/>
  <c r="AA38" i="3"/>
  <c r="AB23" i="3"/>
  <c r="X38" i="3"/>
  <c r="J23" i="3"/>
  <c r="AL14" i="3"/>
  <c r="J24" i="3"/>
  <c r="L38" i="3"/>
  <c r="I38" i="3"/>
  <c r="G25" i="3"/>
  <c r="F38" i="3"/>
  <c r="D26" i="3"/>
  <c r="AL18" i="3"/>
  <c r="M18" i="3"/>
  <c r="Y14" i="3"/>
  <c r="AH25" i="3"/>
  <c r="S16" i="3"/>
  <c r="AE26" i="3"/>
  <c r="P17" i="3"/>
  <c r="AB27" i="3"/>
  <c r="AH24" i="3"/>
  <c r="G24" i="3"/>
  <c r="S15" i="3"/>
  <c r="AE25" i="3"/>
  <c r="D25" i="3"/>
  <c r="P16" i="3"/>
  <c r="AB26" i="3"/>
  <c r="AL17" i="3"/>
  <c r="M17" i="3"/>
  <c r="Y27" i="3"/>
  <c r="J18" i="3"/>
  <c r="J14" i="3"/>
  <c r="V24" i="3"/>
  <c r="AH15" i="3"/>
  <c r="G15" i="3"/>
  <c r="S25" i="3"/>
  <c r="AE16" i="3"/>
  <c r="D16" i="3"/>
  <c r="P26" i="3"/>
  <c r="AB17" i="3"/>
  <c r="AL27" i="3"/>
  <c r="M27" i="3"/>
  <c r="Y18" i="3"/>
  <c r="AH23" i="3"/>
  <c r="Y23" i="3"/>
  <c r="P23" i="3"/>
  <c r="G23" i="3"/>
  <c r="P14" i="3"/>
  <c r="AL15" i="3"/>
  <c r="M15" i="3"/>
  <c r="Y25" i="3"/>
  <c r="J16" i="3"/>
  <c r="V26" i="3"/>
  <c r="AH17" i="3"/>
  <c r="G17" i="3"/>
  <c r="S27" i="3"/>
  <c r="AE18" i="3"/>
  <c r="D18" i="3"/>
  <c r="M14" i="3"/>
  <c r="J15" i="3"/>
  <c r="AH16" i="3"/>
  <c r="G16" i="3"/>
  <c r="AE17" i="3"/>
  <c r="D17" i="3"/>
  <c r="AB18" i="3"/>
  <c r="AB14" i="3"/>
  <c r="Y15" i="3"/>
  <c r="V16" i="3"/>
  <c r="S17" i="3"/>
  <c r="P18" i="3"/>
  <c r="R33" i="3"/>
  <c r="AK37" i="3"/>
  <c r="AK32" i="3"/>
  <c r="AK33" i="3" s="1"/>
  <c r="AG37" i="3"/>
  <c r="AG32" i="3"/>
  <c r="AG33" i="3" s="1"/>
  <c r="AD37" i="3"/>
  <c r="AD32" i="3"/>
  <c r="AD33" i="3" s="1"/>
  <c r="AA37" i="3"/>
  <c r="AA32" i="3"/>
  <c r="AA33" i="3" s="1"/>
  <c r="X37" i="3"/>
  <c r="X32" i="3"/>
  <c r="X33" i="3" s="1"/>
  <c r="U37" i="3"/>
  <c r="U32" i="3"/>
  <c r="U33" i="3" s="1"/>
  <c r="R37" i="3"/>
  <c r="R32" i="3"/>
  <c r="O37" i="3"/>
  <c r="O32" i="3"/>
  <c r="O33" i="3" s="1"/>
  <c r="L37" i="3"/>
  <c r="L32" i="3"/>
  <c r="L33" i="3" s="1"/>
  <c r="I37" i="3"/>
  <c r="I32" i="3"/>
  <c r="I33" i="3" s="1"/>
  <c r="F37" i="3"/>
  <c r="F32" i="3"/>
  <c r="F33" i="3" s="1"/>
  <c r="C37" i="3"/>
  <c r="C32" i="3"/>
  <c r="C33" i="3" s="1"/>
  <c r="AH13" i="3"/>
  <c r="Y13" i="3"/>
  <c r="P13" i="3"/>
  <c r="G13" i="3"/>
  <c r="AL23" i="3"/>
  <c r="AE23" i="3"/>
  <c r="V23" i="3"/>
  <c r="M23" i="3"/>
  <c r="D23" i="3"/>
  <c r="AH14" i="3"/>
  <c r="G14" i="3"/>
  <c r="S24" i="3"/>
  <c r="AE15" i="3"/>
  <c r="D15" i="3"/>
  <c r="P25" i="3"/>
  <c r="AB16" i="3"/>
  <c r="AL26" i="3"/>
  <c r="M26" i="3"/>
  <c r="Y17" i="3"/>
  <c r="J27" i="3"/>
  <c r="V18" i="3"/>
  <c r="P24" i="3"/>
  <c r="P28" i="3" s="1"/>
  <c r="AL25" i="3"/>
  <c r="M25" i="3"/>
  <c r="J26" i="3"/>
  <c r="J28" i="3" s="1"/>
  <c r="AH27" i="3"/>
  <c r="G27" i="3"/>
  <c r="S18" i="3"/>
  <c r="AE24" i="3"/>
  <c r="D24" i="3"/>
  <c r="AB25" i="3"/>
  <c r="Y26" i="3"/>
  <c r="V27" i="3"/>
  <c r="AL43" i="3" l="1"/>
  <c r="D28" i="3"/>
  <c r="AB28" i="3"/>
  <c r="J19" i="3"/>
  <c r="D19" i="3"/>
  <c r="M28" i="3"/>
  <c r="M19" i="3"/>
  <c r="V28" i="3"/>
  <c r="AL19" i="3"/>
  <c r="AH28" i="3"/>
  <c r="G19" i="3"/>
  <c r="P19" i="3"/>
  <c r="AL28" i="3"/>
  <c r="AK41" i="3"/>
  <c r="AL44" i="3"/>
  <c r="G28" i="3"/>
  <c r="AE28" i="3"/>
  <c r="AB19" i="3"/>
  <c r="AE19" i="3"/>
  <c r="AK40" i="3"/>
  <c r="S28" i="3"/>
  <c r="S19" i="3"/>
  <c r="V19" i="3"/>
  <c r="Y28" i="3"/>
  <c r="AH19" i="3"/>
  <c r="Y19" i="3"/>
</calcChain>
</file>

<file path=xl/sharedStrings.xml><?xml version="1.0" encoding="utf-8"?>
<sst xmlns="http://schemas.openxmlformats.org/spreadsheetml/2006/main" count="306" uniqueCount="250">
  <si>
    <t>Fund Name</t>
  </si>
  <si>
    <t>Vintage Year</t>
  </si>
  <si>
    <t>Fund I</t>
  </si>
  <si>
    <t>Fund II</t>
  </si>
  <si>
    <t>Fund III</t>
  </si>
  <si>
    <t>Fund IV</t>
  </si>
  <si>
    <t>Fund V</t>
  </si>
  <si>
    <t>Fund VI</t>
  </si>
  <si>
    <t>Fund VII</t>
  </si>
  <si>
    <t>Fund VIII</t>
  </si>
  <si>
    <t>Fund IX</t>
  </si>
  <si>
    <t>Fund X</t>
  </si>
  <si>
    <t>Fund XI</t>
  </si>
  <si>
    <t>Fund XII</t>
  </si>
  <si>
    <t>Portfolio Name</t>
  </si>
  <si>
    <t>Committed Capital (M)</t>
  </si>
  <si>
    <t>Invested Capital (M)</t>
  </si>
  <si>
    <t>Total Value (M)</t>
  </si>
  <si>
    <t>Realized</t>
  </si>
  <si>
    <t>MOIC</t>
  </si>
  <si>
    <t>Held at 0.0x</t>
  </si>
  <si>
    <t>Between 0.0x to 1.0x</t>
  </si>
  <si>
    <t>Held at 1.0x (cost)</t>
  </si>
  <si>
    <t>Between 1.0x to 2.0x</t>
  </si>
  <si>
    <t>Between 2.0x to 3.0x</t>
  </si>
  <si>
    <t>Above 3.0x</t>
  </si>
  <si>
    <t>Impaired Capital (M)</t>
  </si>
  <si>
    <t>Duck Lake</t>
  </si>
  <si>
    <t>Paloma</t>
  </si>
  <si>
    <t>Sierra 94</t>
  </si>
  <si>
    <t>ATP</t>
  </si>
  <si>
    <t>Future</t>
  </si>
  <si>
    <t>TAP</t>
  </si>
  <si>
    <t>EnerVest</t>
  </si>
  <si>
    <t>Sotex Frio</t>
  </si>
  <si>
    <t>Matrix I</t>
  </si>
  <si>
    <t>Double Diamond</t>
  </si>
  <si>
    <t>MPAC I</t>
  </si>
  <si>
    <t>Sierra 96</t>
  </si>
  <si>
    <t>MPAC II</t>
  </si>
  <si>
    <t>Cliffwood</t>
  </si>
  <si>
    <t>Sierra-Harris</t>
  </si>
  <si>
    <t>Matrix II</t>
  </si>
  <si>
    <t>Benz</t>
  </si>
  <si>
    <t>Harken</t>
  </si>
  <si>
    <t>San Juan</t>
  </si>
  <si>
    <t>Sharpe</t>
  </si>
  <si>
    <t>BreitBurn</t>
  </si>
  <si>
    <t>Plains Resources</t>
  </si>
  <si>
    <t>CERES</t>
  </si>
  <si>
    <t>Matrix III</t>
  </si>
  <si>
    <t>3TEC</t>
  </si>
  <si>
    <t>Bargo</t>
  </si>
  <si>
    <t>Cordillera</t>
  </si>
  <si>
    <t>Cheniere</t>
  </si>
  <si>
    <t>First Permian</t>
  </si>
  <si>
    <t>American Coastal</t>
  </si>
  <si>
    <t>Dallas Production</t>
  </si>
  <si>
    <t>PetroQuest</t>
  </si>
  <si>
    <t>Plains All-American LP Units</t>
  </si>
  <si>
    <t>Copano</t>
  </si>
  <si>
    <t>NCX</t>
  </si>
  <si>
    <t>Plains All-American GP &amp; LP Units</t>
  </si>
  <si>
    <t>Laredo I</t>
  </si>
  <si>
    <t>Ovation I</t>
  </si>
  <si>
    <t>Sawtooth</t>
  </si>
  <si>
    <t>Sierra 2002 (bridge)</t>
  </si>
  <si>
    <t>Medicine Bow</t>
  </si>
  <si>
    <t>Plantation I</t>
  </si>
  <si>
    <t>Nautilus</t>
  </si>
  <si>
    <t>Laredo II</t>
  </si>
  <si>
    <t>Plantation II</t>
  </si>
  <si>
    <t>Petrohawk</t>
  </si>
  <si>
    <t>Stroud</t>
  </si>
  <si>
    <t>Tempest</t>
  </si>
  <si>
    <t>NGL</t>
  </si>
  <si>
    <t>Laramie</t>
  </si>
  <si>
    <t>Protege</t>
  </si>
  <si>
    <t>Peregrine I</t>
  </si>
  <si>
    <t>Ovation II</t>
  </si>
  <si>
    <t>Laredo III</t>
  </si>
  <si>
    <t>Plantation III</t>
  </si>
  <si>
    <t>Escondido I</t>
  </si>
  <si>
    <t>Cordillera II</t>
  </si>
  <si>
    <t>Empresa</t>
  </si>
  <si>
    <t>Enduring</t>
  </si>
  <si>
    <t>Shona</t>
  </si>
  <si>
    <t>Bold</t>
  </si>
  <si>
    <t>Crimson</t>
  </si>
  <si>
    <t>Savant</t>
  </si>
  <si>
    <t>NCX II</t>
  </si>
  <si>
    <t>JOG</t>
  </si>
  <si>
    <t>PAA</t>
  </si>
  <si>
    <t>GFI (SMDR)</t>
  </si>
  <si>
    <t>Mediterranean</t>
  </si>
  <si>
    <t>Cornerstone</t>
  </si>
  <si>
    <t>OGX</t>
  </si>
  <si>
    <t>Riverbend</t>
  </si>
  <si>
    <t>Tracker</t>
  </si>
  <si>
    <t>EV Energy (Harvest Oil &amp; Gas)</t>
  </si>
  <si>
    <t>RiverStone</t>
  </si>
  <si>
    <t>Destiny</t>
  </si>
  <si>
    <t>O'BENCO II</t>
  </si>
  <si>
    <t>Phillips Royalty</t>
  </si>
  <si>
    <t>PetroEdge</t>
  </si>
  <si>
    <t>ER Energy Group</t>
  </si>
  <si>
    <t>Earthstone</t>
  </si>
  <si>
    <t>Core</t>
  </si>
  <si>
    <t>Lobos</t>
  </si>
  <si>
    <t>Marquette</t>
  </si>
  <si>
    <t>GulfTex</t>
  </si>
  <si>
    <t>Manti</t>
  </si>
  <si>
    <t>Talon</t>
  </si>
  <si>
    <t>Paloma Barnett</t>
  </si>
  <si>
    <t>Oasis</t>
  </si>
  <si>
    <t>Crimson III</t>
  </si>
  <si>
    <t>Eagle</t>
  </si>
  <si>
    <t>Grenadier</t>
  </si>
  <si>
    <t>Staghorn</t>
  </si>
  <si>
    <t>Phillips Energy I</t>
  </si>
  <si>
    <t>Cordillera III</t>
  </si>
  <si>
    <t>Peregrine II</t>
  </si>
  <si>
    <t>Unconventional</t>
  </si>
  <si>
    <t>Lone Star</t>
  </si>
  <si>
    <t>Laramie II</t>
  </si>
  <si>
    <t>Legado</t>
  </si>
  <si>
    <t>Red Arrow</t>
  </si>
  <si>
    <t>Renaissance</t>
  </si>
  <si>
    <t>Plantation IV</t>
  </si>
  <si>
    <t>Navidad</t>
  </si>
  <si>
    <t>Common</t>
  </si>
  <si>
    <t>Cheyenne River</t>
  </si>
  <si>
    <t>Piedra</t>
  </si>
  <si>
    <t>Limestone</t>
  </si>
  <si>
    <t>OGX II</t>
  </si>
  <si>
    <t>Bold II</t>
  </si>
  <si>
    <t>PetroEdge II</t>
  </si>
  <si>
    <t>Royal</t>
  </si>
  <si>
    <t>Protege II</t>
  </si>
  <si>
    <t>Cardinal</t>
  </si>
  <si>
    <t>HVL</t>
  </si>
  <si>
    <t>Empresa II</t>
  </si>
  <si>
    <t>Paloma II</t>
  </si>
  <si>
    <t>Phillips Energy II</t>
  </si>
  <si>
    <t>Common II</t>
  </si>
  <si>
    <t>Caiman</t>
  </si>
  <si>
    <t>Lone Star II</t>
  </si>
  <si>
    <t>Limestone II</t>
  </si>
  <si>
    <t>Enduring II</t>
  </si>
  <si>
    <t>Piedra II</t>
  </si>
  <si>
    <t>Silver Oak</t>
  </si>
  <si>
    <t>Talon II</t>
  </si>
  <si>
    <t>Venado</t>
  </si>
  <si>
    <t>Tracker III (Permian Resources)</t>
  </si>
  <si>
    <t>Dorado</t>
  </si>
  <si>
    <t>Forge</t>
  </si>
  <si>
    <t>Firewheel</t>
  </si>
  <si>
    <t>Plantation V</t>
  </si>
  <si>
    <t>Halcon</t>
  </si>
  <si>
    <t>Brigadier</t>
  </si>
  <si>
    <t>Broad Oak</t>
  </si>
  <si>
    <t>Phillips III (Kimbell Royalty)</t>
  </si>
  <si>
    <t>Grenadier II</t>
  </si>
  <si>
    <t>Common III</t>
  </si>
  <si>
    <t>Marlin</t>
  </si>
  <si>
    <t>Paloma III</t>
  </si>
  <si>
    <t>Payrock</t>
  </si>
  <si>
    <t>Montage (Southwestern Energy)</t>
  </si>
  <si>
    <t>PennEnergy</t>
  </si>
  <si>
    <t>Modern</t>
  </si>
  <si>
    <t>Felix</t>
  </si>
  <si>
    <t>QStar</t>
  </si>
  <si>
    <t>Silverback</t>
  </si>
  <si>
    <t>Sabalo</t>
  </si>
  <si>
    <t>Paloma IV</t>
  </si>
  <si>
    <t>Piedra III</t>
  </si>
  <si>
    <t>Fuse</t>
  </si>
  <si>
    <t>Sierra</t>
  </si>
  <si>
    <t>OGX III VNOM Shares</t>
  </si>
  <si>
    <t>Southland</t>
  </si>
  <si>
    <t>Phillips IV</t>
  </si>
  <si>
    <t>QStar II</t>
  </si>
  <si>
    <t>Bold III (Permian Resources)</t>
  </si>
  <si>
    <t>Protege III</t>
  </si>
  <si>
    <t>Excalibur</t>
  </si>
  <si>
    <t>EnCap Minerals</t>
  </si>
  <si>
    <t>Ameredev</t>
  </si>
  <si>
    <t>Talon III</t>
  </si>
  <si>
    <t>Moda</t>
  </si>
  <si>
    <t>Staghorn II</t>
  </si>
  <si>
    <t>Felix II</t>
  </si>
  <si>
    <t>Raisa</t>
  </si>
  <si>
    <t>Advance</t>
  </si>
  <si>
    <t>Novo</t>
  </si>
  <si>
    <t>PetroLegacy</t>
  </si>
  <si>
    <t>Grayson Mill</t>
  </si>
  <si>
    <t>Royal Holly</t>
  </si>
  <si>
    <t>Fortis Oklahoma</t>
  </si>
  <si>
    <t>Ameredev II</t>
  </si>
  <si>
    <t>Staghorn III</t>
  </si>
  <si>
    <t>Olifant</t>
  </si>
  <si>
    <t>Grayson Mill II</t>
  </si>
  <si>
    <t>Grayson Mill III</t>
  </si>
  <si>
    <t>Verdun</t>
  </si>
  <si>
    <t>Plains All American</t>
  </si>
  <si>
    <t>OGX IV Quinn Ranch</t>
  </si>
  <si>
    <t>Mongoose</t>
  </si>
  <si>
    <t>Enduring IV</t>
  </si>
  <si>
    <t>Verdun Austin Chalk JV</t>
  </si>
  <si>
    <t>Sable Bay</t>
  </si>
  <si>
    <t>Black Swan</t>
  </si>
  <si>
    <t>Piedra IV</t>
  </si>
  <si>
    <t>Silverado</t>
  </si>
  <si>
    <t>Forge II</t>
  </si>
  <si>
    <t>XCL</t>
  </si>
  <si>
    <t>Raisa III</t>
  </si>
  <si>
    <t>Paloma V (Solar &amp; Wind)</t>
  </si>
  <si>
    <t>Special Opportunities</t>
  </si>
  <si>
    <t>Silverback II</t>
  </si>
  <si>
    <t>Arbor Gas</t>
  </si>
  <si>
    <t>Grenadier III (at Cost)</t>
  </si>
  <si>
    <t>Pegasus II</t>
  </si>
  <si>
    <t>Verdun II</t>
  </si>
  <si>
    <t>Sabalo II (at Cost)</t>
  </si>
  <si>
    <t>Paloma VI</t>
  </si>
  <si>
    <t>Double Eagle IV</t>
  </si>
  <si>
    <t>Tumbleweed IV</t>
  </si>
  <si>
    <t>Permian Resources (formerly Earthstone)</t>
  </si>
  <si>
    <t>M6</t>
  </si>
  <si>
    <t>Ridge Runner (at Cost)</t>
  </si>
  <si>
    <t>Black Swan II (at Cost)</t>
  </si>
  <si>
    <t>Paloma VII (at Cost)</t>
  </si>
  <si>
    <t>Novo II (at Cost)</t>
  </si>
  <si>
    <t>Pegasus III (at Cost)</t>
  </si>
  <si>
    <t>Verdun III (at Cost)</t>
  </si>
  <si>
    <t>Loss Ratio Analysis</t>
  </si>
  <si>
    <t>Encap Upstream Fund XII</t>
  </si>
  <si>
    <t>(millions)</t>
  </si>
  <si>
    <t>Total</t>
  </si>
  <si>
    <t>Committed Capital</t>
  </si>
  <si>
    <t>Number of realized inv.</t>
  </si>
  <si>
    <t>Number of unrealized inv.</t>
  </si>
  <si>
    <t>Number of Investments</t>
  </si>
  <si>
    <t>Capital Invested</t>
  </si>
  <si>
    <t>Capital Invested in Impaired Deals</t>
  </si>
  <si>
    <t>Total capital invested</t>
  </si>
  <si>
    <t>% of capital invested in impaired deals</t>
  </si>
  <si>
    <t>Impaired Capital</t>
  </si>
  <si>
    <t>Total capital impaired</t>
  </si>
  <si>
    <t>% of capital impaired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</si>
</sst>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#,##0_);_(* \(#,##0\);_(\ &quot;-&quot;_);_(@_)"/>
    <numFmt numFmtId="165" formatCode="#,##0.0\x;\(#,##0.0\x\)"/>
    <numFmt numFmtId="166" formatCode="0;\-0;&quot;-&quot;;&quot;-&quot;"/>
    <numFmt numFmtId="167" formatCode="0%;\-0%;&quot;-&quot;"/>
    <numFmt numFmtId="168" formatCode="#.0\x"/>
  </numFmts>
  <fonts count="5" x14ac:knownFonts="1">
    <font>
      <sz val="12"/>
      <color theme="1"/>
      <name val="Aptos Narrow"/>
      <family val="2"/>
      <scheme val="minor"/>
    </font>
    <font>
      <sz val="12"/>
      <color rgb="FF0000FF"/>
      <name val="Aptos Narrow"/>
      <family val="2"/>
    </font>
    <font>
      <b/>
      <sz val="12"/>
      <name val="Aptos Narrow"/>
      <family val="2"/>
    </font>
    <font>
      <i/>
      <sz val="12"/>
      <name val="Aptos Narrow"/>
      <family val="2"/>
    </font>
    <font>
      <b/>
      <u/>
      <sz val="12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0" fillId="2" borderId="0" xfId="0" applyFill="1"/>
    <xf numFmtId="0" fontId="0" fillId="0" borderId="0" xfId="0" applyAlignment="1">
      <alignment indent="1"/>
    </xf>
    <xf numFmtId="0" fontId="4" fillId="0" borderId="0" xfId="0" applyFont="1"/>
    <xf numFmtId="167" fontId="0" fillId="0" borderId="0" xfId="0" applyNumberFormat="1"/>
    <xf numFmtId="164" fontId="0" fillId="2" borderId="0" xfId="0" applyNumberFormat="1" applyFill="1"/>
    <xf numFmtId="167" fontId="0" fillId="2" borderId="0" xfId="0" applyNumberFormat="1" applyFill="1"/>
    <xf numFmtId="164" fontId="0" fillId="0" borderId="2" xfId="0" applyNumberFormat="1" applyBorder="1"/>
    <xf numFmtId="167" fontId="0" fillId="0" borderId="2" xfId="0" applyNumberFormat="1" applyBorder="1"/>
    <xf numFmtId="164" fontId="0" fillId="2" borderId="2" xfId="0" applyNumberFormat="1" applyFill="1" applyBorder="1"/>
    <xf numFmtId="167" fontId="0" fillId="2" borderId="2" xfId="0" applyNumberFormat="1" applyFill="1" applyBorder="1"/>
    <xf numFmtId="0" fontId="0" fillId="0" borderId="0" xfId="0" applyAlignment="1">
      <alignment horizontal="right"/>
    </xf>
    <xf numFmtId="164" fontId="0" fillId="2" borderId="0" xfId="0" applyNumberFormat="1" applyFill="1" applyAlignment="1">
      <alignment horizontal="center" vertical="center"/>
    </xf>
    <xf numFmtId="0" fontId="0" fillId="2" borderId="0" xfId="0" applyFill="1"/>
    <xf numFmtId="164" fontId="0" fillId="0" borderId="0" xfId="0" applyNumberFormat="1" applyAlignment="1">
      <alignment horizontal="center" vertical="center"/>
    </xf>
    <xf numFmtId="0" fontId="0" fillId="0" borderId="0" xfId="0"/>
    <xf numFmtId="167" fontId="0" fillId="0" borderId="2" xfId="0" applyNumberFormat="1" applyBorder="1" applyAlignment="1">
      <alignment horizontal="center" vertical="center"/>
    </xf>
    <xf numFmtId="0" fontId="0" fillId="0" borderId="2" xfId="0" applyBorder="1"/>
    <xf numFmtId="164" fontId="0" fillId="0" borderId="2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166" fontId="0" fillId="0" borderId="0" xfId="0" applyNumberFormat="1" applyAlignment="1">
      <alignment horizontal="center" vertical="center"/>
    </xf>
    <xf numFmtId="167" fontId="0" fillId="2" borderId="2" xfId="0" applyNumberFormat="1" applyFill="1" applyBorder="1" applyAlignment="1">
      <alignment horizontal="center" vertical="center"/>
    </xf>
    <xf numFmtId="0" fontId="0" fillId="2" borderId="2" xfId="0" applyFill="1" applyBorder="1"/>
    <xf numFmtId="164" fontId="0" fillId="2" borderId="2" xfId="0" applyNumberForma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168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Dispersion of Returns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Capital Invested</c:v>
          </c:tx>
          <c:spPr>
            <a:solidFill>
              <a:srgbClr val="10263F"/>
            </a:solidFill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'Loss Ratio Analysis'!$B$13:$B$18</c:f>
              <c:strCache>
                <c:ptCount val="6"/>
                <c:pt idx="0">
                  <c:v>Held at 0.0x</c:v>
                </c:pt>
                <c:pt idx="1">
                  <c:v>Between 0.0x to 1.0x</c:v>
                </c:pt>
                <c:pt idx="2">
                  <c:v>Held at 1.0x (cost)</c:v>
                </c:pt>
                <c:pt idx="3">
                  <c:v>Between 1.0x to 2.0x</c:v>
                </c:pt>
                <c:pt idx="4">
                  <c:v>Between 2.0x to 3.0x</c:v>
                </c:pt>
                <c:pt idx="5">
                  <c:v>Above 3.0x</c:v>
                </c:pt>
              </c:strCache>
            </c:strRef>
          </c:cat>
          <c:val>
            <c:numRef>
              <c:f>'Loss Ratio Analysis'!$AK$22:$AK$27</c:f>
              <c:numCache>
                <c:formatCode>_(#,##0_);_(* \(#,##0\);_(\ "-"_);_(@_)</c:formatCode>
                <c:ptCount val="6"/>
                <c:pt idx="0">
                  <c:v>1164.3000000000002</c:v>
                </c:pt>
                <c:pt idx="1">
                  <c:v>6027.35</c:v>
                </c:pt>
                <c:pt idx="2">
                  <c:v>515.4</c:v>
                </c:pt>
                <c:pt idx="3">
                  <c:v>6816.4000000000015</c:v>
                </c:pt>
                <c:pt idx="4">
                  <c:v>8182.9999999999973</c:v>
                </c:pt>
                <c:pt idx="5">
                  <c:v>5701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7A-43D4-8033-E0FAA1D5E9C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0"/>
        <c:ser>
          <c:idx val="1"/>
          <c:order val="1"/>
          <c:tx>
            <c:v>Number of Investments</c:v>
          </c:tx>
          <c:spPr>
            <a:ln w="25400">
              <a:solidFill>
                <a:srgbClr val="C00000"/>
              </a:solidFill>
              <a:prstDash val="dash"/>
            </a:ln>
          </c:spPr>
          <c:marker>
            <c:symbol val="none"/>
          </c:marker>
          <c:val>
            <c:numRef>
              <c:f>'Loss Ratio Analysis'!$AK$13:$AK$18</c:f>
              <c:numCache>
                <c:formatCode>_(#,##0_);_(* \(#,##0\);_(\ "-"_);_(@_)</c:formatCode>
                <c:ptCount val="6"/>
                <c:pt idx="0">
                  <c:v>7</c:v>
                </c:pt>
                <c:pt idx="1">
                  <c:v>51</c:v>
                </c:pt>
                <c:pt idx="2">
                  <c:v>9</c:v>
                </c:pt>
                <c:pt idx="3">
                  <c:v>75</c:v>
                </c:pt>
                <c:pt idx="4">
                  <c:v>57</c:v>
                </c:pt>
                <c:pt idx="5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7A-43D4-8033-E0FAA1D5E9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noFill/>
              <a:prstDash val="solid"/>
            </a:ln>
          </c:spPr>
        </c:majorGridlines>
        <c:minorGridlines>
          <c:spPr>
            <a:ln>
              <a:noFill/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Invested Capital (millions)</a:t>
                </a:r>
              </a:p>
            </c:rich>
          </c:tx>
          <c:overlay val="0"/>
        </c:title>
        <c:numFmt formatCode="_(#,##0_);_(* \(#,##0\);_(\ &quot;-&quot;_);_(@_)" sourceLinked="1"/>
        <c:majorTickMark val="none"/>
        <c:minorTickMark val="none"/>
        <c:tickLblPos val="nextTo"/>
        <c:crossAx val="200"/>
        <c:crosses val="autoZero"/>
        <c:crossBetween val="midCat"/>
      </c:valAx>
      <c:valAx>
        <c:axId val="200"/>
        <c:scaling>
          <c:orientation val="minMax"/>
        </c:scaling>
        <c:delete val="0"/>
        <c:axPos val="r"/>
        <c:majorGridlines>
          <c:spPr>
            <a:ln>
              <a:noFill/>
              <a:prstDash val="solid"/>
            </a:ln>
          </c:spPr>
        </c:majorGridlines>
        <c:minorGridlines>
          <c:spPr>
            <a:ln>
              <a:noFill/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Investments</a:t>
                </a:r>
              </a:p>
            </c:rich>
          </c:tx>
          <c:overlay val="0"/>
        </c:title>
        <c:numFmt formatCode="_(#,##0_);_(* \(#,##0\);_(\ &quot;-&quot;_);_(@_)" sourceLinked="1"/>
        <c:majorTickMark val="none"/>
        <c:minorTickMark val="none"/>
        <c:tickLblPos val="nextTo"/>
        <c:crossAx val="100"/>
        <c:crosses val="max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21167</xdr:colOff>
      <xdr:row>40</xdr:row>
      <xdr:rowOff>10583</xdr:rowOff>
    </xdr:from>
    <xdr:ext cx="8366399" cy="36936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>
      <selection activeCell="D15" sqref="D15"/>
    </sheetView>
  </sheetViews>
  <sheetFormatPr defaultRowHeight="16" x14ac:dyDescent="0.4"/>
  <sheetData>
    <row r="1" spans="1:3" x14ac:dyDescent="0.4">
      <c r="A1" t="s">
        <v>0</v>
      </c>
      <c r="B1" t="s">
        <v>1</v>
      </c>
    </row>
    <row r="2" spans="1:3" x14ac:dyDescent="0.4">
      <c r="A2" s="1" t="s">
        <v>2</v>
      </c>
      <c r="B2" s="1">
        <v>1994</v>
      </c>
      <c r="C2" s="17"/>
    </row>
    <row r="3" spans="1:3" x14ac:dyDescent="0.4">
      <c r="A3" s="1" t="s">
        <v>3</v>
      </c>
      <c r="B3" s="1">
        <v>1996</v>
      </c>
      <c r="C3" s="17"/>
    </row>
    <row r="4" spans="1:3" x14ac:dyDescent="0.4">
      <c r="A4" s="1" t="s">
        <v>4</v>
      </c>
      <c r="B4" s="1">
        <v>1997</v>
      </c>
      <c r="C4" s="17"/>
    </row>
    <row r="5" spans="1:3" x14ac:dyDescent="0.4">
      <c r="A5" s="1" t="s">
        <v>5</v>
      </c>
      <c r="B5" s="1">
        <v>2001</v>
      </c>
      <c r="C5" s="17"/>
    </row>
    <row r="6" spans="1:3" x14ac:dyDescent="0.4">
      <c r="A6" s="1" t="s">
        <v>6</v>
      </c>
      <c r="B6" s="1">
        <v>2004</v>
      </c>
      <c r="C6" s="17"/>
    </row>
    <row r="7" spans="1:3" x14ac:dyDescent="0.4">
      <c r="A7" s="1" t="s">
        <v>7</v>
      </c>
      <c r="B7" s="1">
        <v>2006</v>
      </c>
      <c r="C7" s="17"/>
    </row>
    <row r="8" spans="1:3" x14ac:dyDescent="0.4">
      <c r="A8" s="1" t="s">
        <v>8</v>
      </c>
      <c r="B8" s="1">
        <v>2007</v>
      </c>
      <c r="C8" s="17"/>
    </row>
    <row r="9" spans="1:3" x14ac:dyDescent="0.4">
      <c r="A9" s="1" t="s">
        <v>9</v>
      </c>
      <c r="B9" s="1">
        <v>2010</v>
      </c>
      <c r="C9" s="17"/>
    </row>
    <row r="10" spans="1:3" x14ac:dyDescent="0.4">
      <c r="A10" s="1" t="s">
        <v>10</v>
      </c>
      <c r="B10" s="1">
        <v>2013</v>
      </c>
      <c r="C10" s="17"/>
    </row>
    <row r="11" spans="1:3" x14ac:dyDescent="0.4">
      <c r="A11" s="1" t="s">
        <v>11</v>
      </c>
      <c r="B11" s="1">
        <v>2015</v>
      </c>
      <c r="C11" s="17"/>
    </row>
    <row r="12" spans="1:3" x14ac:dyDescent="0.4">
      <c r="A12" s="1" t="s">
        <v>12</v>
      </c>
      <c r="B12" s="1">
        <v>2017</v>
      </c>
      <c r="C12" s="17"/>
    </row>
    <row r="13" spans="1:3" x14ac:dyDescent="0.4">
      <c r="A13" s="1" t="s">
        <v>13</v>
      </c>
      <c r="B13" s="1">
        <v>2023</v>
      </c>
      <c r="C13" s="17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46"/>
  <sheetViews>
    <sheetView topLeftCell="A112" workbookViewId="0">
      <selection activeCell="F178" sqref="F178"/>
    </sheetView>
  </sheetViews>
  <sheetFormatPr defaultRowHeight="16" x14ac:dyDescent="0.4"/>
  <sheetData>
    <row r="1" spans="1:14" x14ac:dyDescent="0.4">
      <c r="A1" t="s">
        <v>14</v>
      </c>
      <c r="B1" t="s">
        <v>0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</row>
    <row r="2" spans="1:14" x14ac:dyDescent="0.4">
      <c r="A2" s="1" t="s">
        <v>27</v>
      </c>
      <c r="B2" t="str">
        <f>Funds!A2</f>
        <v>Fund I</v>
      </c>
      <c r="C2" s="2">
        <v>15.2</v>
      </c>
      <c r="D2" s="2">
        <v>15.2</v>
      </c>
      <c r="E2" s="2">
        <v>28</v>
      </c>
      <c r="F2" s="2" t="b">
        <v>1</v>
      </c>
      <c r="G2" s="3">
        <f t="shared" ref="G2:G65" si="0">E2/D2</f>
        <v>1.8421052631578949</v>
      </c>
      <c r="H2" t="b">
        <f t="shared" ref="H2:H65" si="1">G2=0</f>
        <v>0</v>
      </c>
      <c r="I2" t="b">
        <f t="shared" ref="I2:I65" si="2">AND(G2&gt;0, G2&lt;1)</f>
        <v>0</v>
      </c>
      <c r="J2" t="b">
        <f t="shared" ref="J2:J65" si="3">G2=1</f>
        <v>0</v>
      </c>
      <c r="K2" t="b">
        <f t="shared" ref="K2:K65" si="4">AND(G2&gt;1, G2&lt;2)</f>
        <v>1</v>
      </c>
      <c r="L2" t="b">
        <f t="shared" ref="L2:L65" si="5">AND(G2&gt;=2, G2&lt;3)</f>
        <v>0</v>
      </c>
      <c r="M2" t="b">
        <f t="shared" ref="M2:M65" si="6">G2&gt;3</f>
        <v>0</v>
      </c>
      <c r="N2" s="4">
        <f t="shared" ref="N2:N65" si="7">IF(OR(H2, I2), -D2 * (G2 - 1), 0)</f>
        <v>0</v>
      </c>
    </row>
    <row r="3" spans="1:14" x14ac:dyDescent="0.4">
      <c r="A3" s="1" t="s">
        <v>28</v>
      </c>
      <c r="B3" t="str">
        <f>Funds!A2</f>
        <v>Fund I</v>
      </c>
      <c r="C3" s="2">
        <v>3.6</v>
      </c>
      <c r="D3" s="2">
        <v>3.6</v>
      </c>
      <c r="E3" s="2">
        <v>7.2</v>
      </c>
      <c r="F3" s="2" t="b">
        <v>1</v>
      </c>
      <c r="G3" s="3">
        <f t="shared" si="0"/>
        <v>2</v>
      </c>
      <c r="H3" t="b">
        <f t="shared" si="1"/>
        <v>0</v>
      </c>
      <c r="I3" t="b">
        <f t="shared" si="2"/>
        <v>0</v>
      </c>
      <c r="J3" t="b">
        <f t="shared" si="3"/>
        <v>0</v>
      </c>
      <c r="K3" t="b">
        <f t="shared" si="4"/>
        <v>0</v>
      </c>
      <c r="L3" t="b">
        <f t="shared" si="5"/>
        <v>1</v>
      </c>
      <c r="M3" t="b">
        <f t="shared" si="6"/>
        <v>0</v>
      </c>
      <c r="N3" s="4">
        <f t="shared" si="7"/>
        <v>0</v>
      </c>
    </row>
    <row r="4" spans="1:14" x14ac:dyDescent="0.4">
      <c r="A4" s="1" t="s">
        <v>29</v>
      </c>
      <c r="B4" t="str">
        <f>Funds!A2</f>
        <v>Fund I</v>
      </c>
      <c r="C4" s="2">
        <v>6.6</v>
      </c>
      <c r="D4" s="2">
        <v>6.6</v>
      </c>
      <c r="E4" s="2">
        <v>8.1999999999999993</v>
      </c>
      <c r="F4" s="2" t="b">
        <v>1</v>
      </c>
      <c r="G4" s="3">
        <f t="shared" si="0"/>
        <v>1.2424242424242424</v>
      </c>
      <c r="H4" t="b">
        <f t="shared" si="1"/>
        <v>0</v>
      </c>
      <c r="I4" t="b">
        <f t="shared" si="2"/>
        <v>0</v>
      </c>
      <c r="J4" t="b">
        <f t="shared" si="3"/>
        <v>0</v>
      </c>
      <c r="K4" t="b">
        <f t="shared" si="4"/>
        <v>1</v>
      </c>
      <c r="L4" t="b">
        <f t="shared" si="5"/>
        <v>0</v>
      </c>
      <c r="M4" t="b">
        <f t="shared" si="6"/>
        <v>0</v>
      </c>
      <c r="N4" s="4">
        <f t="shared" si="7"/>
        <v>0</v>
      </c>
    </row>
    <row r="5" spans="1:14" x14ac:dyDescent="0.4">
      <c r="A5" s="1" t="s">
        <v>30</v>
      </c>
      <c r="B5" t="str">
        <f>Funds!A2</f>
        <v>Fund I</v>
      </c>
      <c r="C5" s="2">
        <v>9.6</v>
      </c>
      <c r="D5" s="2">
        <v>9.6</v>
      </c>
      <c r="E5" s="2">
        <v>11.5</v>
      </c>
      <c r="F5" s="2" t="b">
        <v>1</v>
      </c>
      <c r="G5" s="3">
        <f t="shared" si="0"/>
        <v>1.1979166666666667</v>
      </c>
      <c r="H5" t="b">
        <f t="shared" si="1"/>
        <v>0</v>
      </c>
      <c r="I5" t="b">
        <f t="shared" si="2"/>
        <v>0</v>
      </c>
      <c r="J5" t="b">
        <f t="shared" si="3"/>
        <v>0</v>
      </c>
      <c r="K5" t="b">
        <f t="shared" si="4"/>
        <v>1</v>
      </c>
      <c r="L5" t="b">
        <f t="shared" si="5"/>
        <v>0</v>
      </c>
      <c r="M5" t="b">
        <f t="shared" si="6"/>
        <v>0</v>
      </c>
      <c r="N5" s="4">
        <f t="shared" si="7"/>
        <v>0</v>
      </c>
    </row>
    <row r="6" spans="1:14" x14ac:dyDescent="0.4">
      <c r="A6" s="1" t="s">
        <v>31</v>
      </c>
      <c r="B6" t="str">
        <f>Funds!A2</f>
        <v>Fund I</v>
      </c>
      <c r="C6" s="2">
        <v>9.6</v>
      </c>
      <c r="D6" s="2">
        <v>9.6</v>
      </c>
      <c r="E6" s="2">
        <v>14.5</v>
      </c>
      <c r="F6" s="2" t="b">
        <v>1</v>
      </c>
      <c r="G6" s="3">
        <f t="shared" si="0"/>
        <v>1.5104166666666667</v>
      </c>
      <c r="H6" t="b">
        <f t="shared" si="1"/>
        <v>0</v>
      </c>
      <c r="I6" t="b">
        <f t="shared" si="2"/>
        <v>0</v>
      </c>
      <c r="J6" t="b">
        <f t="shared" si="3"/>
        <v>0</v>
      </c>
      <c r="K6" t="b">
        <f t="shared" si="4"/>
        <v>1</v>
      </c>
      <c r="L6" t="b">
        <f t="shared" si="5"/>
        <v>0</v>
      </c>
      <c r="M6" t="b">
        <f t="shared" si="6"/>
        <v>0</v>
      </c>
      <c r="N6" s="4">
        <f t="shared" si="7"/>
        <v>0</v>
      </c>
    </row>
    <row r="7" spans="1:14" x14ac:dyDescent="0.4">
      <c r="A7" s="1" t="s">
        <v>32</v>
      </c>
      <c r="B7" t="str">
        <f>Funds!A2</f>
        <v>Fund I</v>
      </c>
      <c r="C7" s="2">
        <v>0.4</v>
      </c>
      <c r="D7" s="2">
        <v>0.4</v>
      </c>
      <c r="E7" s="2">
        <v>0</v>
      </c>
      <c r="F7" s="2" t="b">
        <v>1</v>
      </c>
      <c r="G7" s="3">
        <f t="shared" si="0"/>
        <v>0</v>
      </c>
      <c r="H7" t="b">
        <f t="shared" si="1"/>
        <v>1</v>
      </c>
      <c r="I7" t="b">
        <f t="shared" si="2"/>
        <v>0</v>
      </c>
      <c r="J7" t="b">
        <f t="shared" si="3"/>
        <v>0</v>
      </c>
      <c r="K7" t="b">
        <f t="shared" si="4"/>
        <v>0</v>
      </c>
      <c r="L7" t="b">
        <f t="shared" si="5"/>
        <v>0</v>
      </c>
      <c r="M7" t="b">
        <f t="shared" si="6"/>
        <v>0</v>
      </c>
      <c r="N7" s="4">
        <f t="shared" si="7"/>
        <v>0.4</v>
      </c>
    </row>
    <row r="8" spans="1:14" x14ac:dyDescent="0.4">
      <c r="A8" s="1" t="s">
        <v>33</v>
      </c>
      <c r="B8" t="str">
        <f>Funds!A2</f>
        <v>Fund I</v>
      </c>
      <c r="C8" s="2">
        <v>11.5</v>
      </c>
      <c r="D8" s="2">
        <v>11.5</v>
      </c>
      <c r="E8" s="2">
        <v>16.8</v>
      </c>
      <c r="F8" s="2" t="b">
        <v>1</v>
      </c>
      <c r="G8" s="3">
        <f t="shared" si="0"/>
        <v>1.4608695652173913</v>
      </c>
      <c r="H8" t="b">
        <f t="shared" si="1"/>
        <v>0</v>
      </c>
      <c r="I8" t="b">
        <f t="shared" si="2"/>
        <v>0</v>
      </c>
      <c r="J8" t="b">
        <f t="shared" si="3"/>
        <v>0</v>
      </c>
      <c r="K8" t="b">
        <f t="shared" si="4"/>
        <v>1</v>
      </c>
      <c r="L8" t="b">
        <f t="shared" si="5"/>
        <v>0</v>
      </c>
      <c r="M8" t="b">
        <f t="shared" si="6"/>
        <v>0</v>
      </c>
      <c r="N8" s="4">
        <f t="shared" si="7"/>
        <v>0</v>
      </c>
    </row>
    <row r="9" spans="1:14" x14ac:dyDescent="0.4">
      <c r="A9" s="1" t="s">
        <v>34</v>
      </c>
      <c r="B9" t="str">
        <f>Funds!A2</f>
        <v>Fund I</v>
      </c>
      <c r="C9" s="2">
        <v>9.1999999999999993</v>
      </c>
      <c r="D9" s="2">
        <v>9.1999999999999993</v>
      </c>
      <c r="E9" s="2">
        <v>14.8</v>
      </c>
      <c r="F9" s="2" t="b">
        <v>1</v>
      </c>
      <c r="G9" s="3">
        <f t="shared" si="0"/>
        <v>1.6086956521739133</v>
      </c>
      <c r="H9" t="b">
        <f t="shared" si="1"/>
        <v>0</v>
      </c>
      <c r="I9" t="b">
        <f t="shared" si="2"/>
        <v>0</v>
      </c>
      <c r="J9" t="b">
        <f t="shared" si="3"/>
        <v>0</v>
      </c>
      <c r="K9" t="b">
        <f t="shared" si="4"/>
        <v>1</v>
      </c>
      <c r="L9" t="b">
        <f t="shared" si="5"/>
        <v>0</v>
      </c>
      <c r="M9" t="b">
        <f t="shared" si="6"/>
        <v>0</v>
      </c>
      <c r="N9" s="4">
        <f t="shared" si="7"/>
        <v>0</v>
      </c>
    </row>
    <row r="10" spans="1:14" x14ac:dyDescent="0.4">
      <c r="A10" s="1" t="s">
        <v>35</v>
      </c>
      <c r="B10" t="str">
        <f>Funds!A2</f>
        <v>Fund I</v>
      </c>
      <c r="C10" s="2">
        <v>7.4</v>
      </c>
      <c r="D10" s="2">
        <v>7.4</v>
      </c>
      <c r="E10" s="2">
        <v>12.1</v>
      </c>
      <c r="F10" s="2" t="b">
        <v>1</v>
      </c>
      <c r="G10" s="3">
        <f t="shared" si="0"/>
        <v>1.6351351351351351</v>
      </c>
      <c r="H10" t="b">
        <f t="shared" si="1"/>
        <v>0</v>
      </c>
      <c r="I10" t="b">
        <f t="shared" si="2"/>
        <v>0</v>
      </c>
      <c r="J10" t="b">
        <f t="shared" si="3"/>
        <v>0</v>
      </c>
      <c r="K10" t="b">
        <f t="shared" si="4"/>
        <v>1</v>
      </c>
      <c r="L10" t="b">
        <f t="shared" si="5"/>
        <v>0</v>
      </c>
      <c r="M10" t="b">
        <f t="shared" si="6"/>
        <v>0</v>
      </c>
      <c r="N10" s="4">
        <f t="shared" si="7"/>
        <v>0</v>
      </c>
    </row>
    <row r="11" spans="1:14" x14ac:dyDescent="0.4">
      <c r="A11" s="1" t="s">
        <v>36</v>
      </c>
      <c r="B11" t="str">
        <f>Funds!A2</f>
        <v>Fund I</v>
      </c>
      <c r="C11" s="2">
        <v>3.1</v>
      </c>
      <c r="D11" s="2">
        <v>3.1</v>
      </c>
      <c r="E11" s="2">
        <v>4.8</v>
      </c>
      <c r="F11" s="2" t="b">
        <v>1</v>
      </c>
      <c r="G11" s="3">
        <f t="shared" si="0"/>
        <v>1.5483870967741935</v>
      </c>
      <c r="H11" t="b">
        <f t="shared" si="1"/>
        <v>0</v>
      </c>
      <c r="I11" t="b">
        <f t="shared" si="2"/>
        <v>0</v>
      </c>
      <c r="J11" t="b">
        <f t="shared" si="3"/>
        <v>0</v>
      </c>
      <c r="K11" t="b">
        <f t="shared" si="4"/>
        <v>1</v>
      </c>
      <c r="L11" t="b">
        <f t="shared" si="5"/>
        <v>0</v>
      </c>
      <c r="M11" t="b">
        <f t="shared" si="6"/>
        <v>0</v>
      </c>
      <c r="N11" s="4">
        <f t="shared" si="7"/>
        <v>0</v>
      </c>
    </row>
    <row r="12" spans="1:14" x14ac:dyDescent="0.4">
      <c r="A12" s="1" t="s">
        <v>37</v>
      </c>
      <c r="B12" t="str">
        <f>Funds!A2</f>
        <v>Fund I</v>
      </c>
      <c r="C12" s="2">
        <v>13.1</v>
      </c>
      <c r="D12" s="2">
        <v>13.1</v>
      </c>
      <c r="E12" s="2">
        <v>18.399999999999999</v>
      </c>
      <c r="F12" s="2" t="b">
        <v>1</v>
      </c>
      <c r="G12" s="3">
        <f t="shared" si="0"/>
        <v>1.4045801526717556</v>
      </c>
      <c r="H12" t="b">
        <f t="shared" si="1"/>
        <v>0</v>
      </c>
      <c r="I12" t="b">
        <f t="shared" si="2"/>
        <v>0</v>
      </c>
      <c r="J12" t="b">
        <f t="shared" si="3"/>
        <v>0</v>
      </c>
      <c r="K12" t="b">
        <f t="shared" si="4"/>
        <v>1</v>
      </c>
      <c r="L12" t="b">
        <f t="shared" si="5"/>
        <v>0</v>
      </c>
      <c r="M12" t="b">
        <f t="shared" si="6"/>
        <v>0</v>
      </c>
      <c r="N12" s="4">
        <f t="shared" si="7"/>
        <v>0</v>
      </c>
    </row>
    <row r="13" spans="1:14" x14ac:dyDescent="0.4">
      <c r="A13" s="1" t="s">
        <v>38</v>
      </c>
      <c r="B13" t="str">
        <f>Funds!A2</f>
        <v>Fund I</v>
      </c>
      <c r="C13" s="2">
        <v>14.8</v>
      </c>
      <c r="D13" s="2">
        <v>14.8</v>
      </c>
      <c r="E13" s="2">
        <v>59.7</v>
      </c>
      <c r="F13" s="2" t="b">
        <v>1</v>
      </c>
      <c r="G13" s="3">
        <f t="shared" si="0"/>
        <v>4.0337837837837842</v>
      </c>
      <c r="H13" t="b">
        <f t="shared" si="1"/>
        <v>0</v>
      </c>
      <c r="I13" t="b">
        <f t="shared" si="2"/>
        <v>0</v>
      </c>
      <c r="J13" t="b">
        <f t="shared" si="3"/>
        <v>0</v>
      </c>
      <c r="K13" t="b">
        <f t="shared" si="4"/>
        <v>0</v>
      </c>
      <c r="L13" t="b">
        <f t="shared" si="5"/>
        <v>0</v>
      </c>
      <c r="M13" t="b">
        <f t="shared" si="6"/>
        <v>1</v>
      </c>
      <c r="N13" s="4">
        <f t="shared" si="7"/>
        <v>0</v>
      </c>
    </row>
    <row r="14" spans="1:14" x14ac:dyDescent="0.4">
      <c r="A14" s="1" t="s">
        <v>39</v>
      </c>
      <c r="B14" t="str">
        <f>Funds!A3</f>
        <v>Fund II</v>
      </c>
      <c r="C14" s="2">
        <v>96.7</v>
      </c>
      <c r="D14" s="2">
        <v>96.7</v>
      </c>
      <c r="E14" s="2">
        <v>114.5</v>
      </c>
      <c r="F14" s="2" t="b">
        <v>1</v>
      </c>
      <c r="G14" s="3">
        <f t="shared" si="0"/>
        <v>1.1840744570837642</v>
      </c>
      <c r="H14" t="b">
        <f t="shared" si="1"/>
        <v>0</v>
      </c>
      <c r="I14" t="b">
        <f t="shared" si="2"/>
        <v>0</v>
      </c>
      <c r="J14" t="b">
        <f t="shared" si="3"/>
        <v>0</v>
      </c>
      <c r="K14" t="b">
        <f t="shared" si="4"/>
        <v>1</v>
      </c>
      <c r="L14" t="b">
        <f t="shared" si="5"/>
        <v>0</v>
      </c>
      <c r="M14" t="b">
        <f t="shared" si="6"/>
        <v>0</v>
      </c>
      <c r="N14" s="4">
        <f t="shared" si="7"/>
        <v>0</v>
      </c>
    </row>
    <row r="15" spans="1:14" x14ac:dyDescent="0.4">
      <c r="A15" s="1" t="s">
        <v>40</v>
      </c>
      <c r="B15" t="str">
        <f>Funds!A3</f>
        <v>Fund II</v>
      </c>
      <c r="C15" s="2">
        <v>7.1</v>
      </c>
      <c r="D15" s="2">
        <v>7.1</v>
      </c>
      <c r="E15" s="2">
        <v>13.6</v>
      </c>
      <c r="F15" s="2" t="b">
        <v>1</v>
      </c>
      <c r="G15" s="3">
        <f t="shared" si="0"/>
        <v>1.915492957746479</v>
      </c>
      <c r="H15" t="b">
        <f t="shared" si="1"/>
        <v>0</v>
      </c>
      <c r="I15" t="b">
        <f t="shared" si="2"/>
        <v>0</v>
      </c>
      <c r="J15" t="b">
        <f t="shared" si="3"/>
        <v>0</v>
      </c>
      <c r="K15" t="b">
        <f t="shared" si="4"/>
        <v>1</v>
      </c>
      <c r="L15" t="b">
        <f t="shared" si="5"/>
        <v>0</v>
      </c>
      <c r="M15" t="b">
        <f t="shared" si="6"/>
        <v>0</v>
      </c>
      <c r="N15" s="4">
        <f t="shared" si="7"/>
        <v>0</v>
      </c>
    </row>
    <row r="16" spans="1:14" x14ac:dyDescent="0.4">
      <c r="A16" s="1" t="s">
        <v>41</v>
      </c>
      <c r="B16" t="str">
        <f>Funds!A3</f>
        <v>Fund II</v>
      </c>
      <c r="C16" s="2">
        <v>2.2999999999999998</v>
      </c>
      <c r="D16" s="2">
        <v>2.2999999999999998</v>
      </c>
      <c r="E16" s="2">
        <v>3.4</v>
      </c>
      <c r="F16" s="2" t="b">
        <v>1</v>
      </c>
      <c r="G16" s="3">
        <f t="shared" si="0"/>
        <v>1.4782608695652175</v>
      </c>
      <c r="H16" t="b">
        <f t="shared" si="1"/>
        <v>0</v>
      </c>
      <c r="I16" t="b">
        <f t="shared" si="2"/>
        <v>0</v>
      </c>
      <c r="J16" t="b">
        <f t="shared" si="3"/>
        <v>0</v>
      </c>
      <c r="K16" t="b">
        <f t="shared" si="4"/>
        <v>1</v>
      </c>
      <c r="L16" t="b">
        <f t="shared" si="5"/>
        <v>0</v>
      </c>
      <c r="M16" t="b">
        <f t="shared" si="6"/>
        <v>0</v>
      </c>
      <c r="N16" s="4">
        <f t="shared" si="7"/>
        <v>0</v>
      </c>
    </row>
    <row r="17" spans="1:14" x14ac:dyDescent="0.4">
      <c r="A17" s="1" t="s">
        <v>42</v>
      </c>
      <c r="B17" t="str">
        <f>Funds!A3</f>
        <v>Fund II</v>
      </c>
      <c r="C17" s="2">
        <v>8.5</v>
      </c>
      <c r="D17" s="2">
        <v>8.5</v>
      </c>
      <c r="E17" s="2">
        <v>10.5</v>
      </c>
      <c r="F17" s="2" t="b">
        <v>1</v>
      </c>
      <c r="G17" s="3">
        <f t="shared" si="0"/>
        <v>1.2352941176470589</v>
      </c>
      <c r="H17" t="b">
        <f t="shared" si="1"/>
        <v>0</v>
      </c>
      <c r="I17" t="b">
        <f t="shared" si="2"/>
        <v>0</v>
      </c>
      <c r="J17" t="b">
        <f t="shared" si="3"/>
        <v>0</v>
      </c>
      <c r="K17" t="b">
        <f t="shared" si="4"/>
        <v>1</v>
      </c>
      <c r="L17" t="b">
        <f t="shared" si="5"/>
        <v>0</v>
      </c>
      <c r="M17" t="b">
        <f t="shared" si="6"/>
        <v>0</v>
      </c>
      <c r="N17" s="4">
        <f t="shared" si="7"/>
        <v>0</v>
      </c>
    </row>
    <row r="18" spans="1:14" x14ac:dyDescent="0.4">
      <c r="A18" s="1" t="s">
        <v>43</v>
      </c>
      <c r="B18" t="str">
        <f>Funds!A4</f>
        <v>Fund III</v>
      </c>
      <c r="C18" s="2">
        <v>24.9</v>
      </c>
      <c r="D18" s="2">
        <v>24.9</v>
      </c>
      <c r="E18" s="2">
        <v>33.299999999999997</v>
      </c>
      <c r="F18" s="2" t="b">
        <v>1</v>
      </c>
      <c r="G18" s="3">
        <f t="shared" si="0"/>
        <v>1.3373493975903614</v>
      </c>
      <c r="H18" t="b">
        <f t="shared" si="1"/>
        <v>0</v>
      </c>
      <c r="I18" t="b">
        <f t="shared" si="2"/>
        <v>0</v>
      </c>
      <c r="J18" t="b">
        <f t="shared" si="3"/>
        <v>0</v>
      </c>
      <c r="K18" t="b">
        <f t="shared" si="4"/>
        <v>1</v>
      </c>
      <c r="L18" t="b">
        <f t="shared" si="5"/>
        <v>0</v>
      </c>
      <c r="M18" t="b">
        <f t="shared" si="6"/>
        <v>0</v>
      </c>
      <c r="N18" s="4">
        <f t="shared" si="7"/>
        <v>0</v>
      </c>
    </row>
    <row r="19" spans="1:14" x14ac:dyDescent="0.4">
      <c r="A19" s="1" t="s">
        <v>44</v>
      </c>
      <c r="B19" t="str">
        <f>Funds!A4</f>
        <v>Fund III</v>
      </c>
      <c r="C19" s="2">
        <v>25</v>
      </c>
      <c r="D19" s="2">
        <v>25</v>
      </c>
      <c r="E19" s="2">
        <v>21.3</v>
      </c>
      <c r="F19" s="2" t="b">
        <v>1</v>
      </c>
      <c r="G19" s="3">
        <f t="shared" si="0"/>
        <v>0.85199999999999998</v>
      </c>
      <c r="H19" t="b">
        <f t="shared" si="1"/>
        <v>0</v>
      </c>
      <c r="I19" t="b">
        <f t="shared" si="2"/>
        <v>1</v>
      </c>
      <c r="J19" t="b">
        <f t="shared" si="3"/>
        <v>0</v>
      </c>
      <c r="K19" t="b">
        <f t="shared" si="4"/>
        <v>0</v>
      </c>
      <c r="L19" t="b">
        <f t="shared" si="5"/>
        <v>0</v>
      </c>
      <c r="M19" t="b">
        <f t="shared" si="6"/>
        <v>0</v>
      </c>
      <c r="N19" s="4">
        <f t="shared" si="7"/>
        <v>3.7000000000000006</v>
      </c>
    </row>
    <row r="20" spans="1:14" x14ac:dyDescent="0.4">
      <c r="A20" s="1" t="s">
        <v>45</v>
      </c>
      <c r="B20" t="str">
        <f>Funds!A4</f>
        <v>Fund III</v>
      </c>
      <c r="C20" s="2">
        <v>15.6</v>
      </c>
      <c r="D20" s="2">
        <v>15.6</v>
      </c>
      <c r="E20" s="2">
        <v>27.7</v>
      </c>
      <c r="F20" s="2" t="b">
        <v>1</v>
      </c>
      <c r="G20" s="3">
        <f t="shared" si="0"/>
        <v>1.7756410256410255</v>
      </c>
      <c r="H20" t="b">
        <f t="shared" si="1"/>
        <v>0</v>
      </c>
      <c r="I20" t="b">
        <f t="shared" si="2"/>
        <v>0</v>
      </c>
      <c r="J20" t="b">
        <f t="shared" si="3"/>
        <v>0</v>
      </c>
      <c r="K20" t="b">
        <f t="shared" si="4"/>
        <v>1</v>
      </c>
      <c r="L20" t="b">
        <f t="shared" si="5"/>
        <v>0</v>
      </c>
      <c r="M20" t="b">
        <f t="shared" si="6"/>
        <v>0</v>
      </c>
      <c r="N20" s="4">
        <f t="shared" si="7"/>
        <v>0</v>
      </c>
    </row>
    <row r="21" spans="1:14" x14ac:dyDescent="0.4">
      <c r="A21" s="1" t="s">
        <v>46</v>
      </c>
      <c r="B21" t="str">
        <f>Funds!A4</f>
        <v>Fund III</v>
      </c>
      <c r="C21" s="2">
        <v>3</v>
      </c>
      <c r="D21" s="2">
        <v>3</v>
      </c>
      <c r="E21" s="2">
        <v>3.7</v>
      </c>
      <c r="F21" s="2" t="b">
        <v>1</v>
      </c>
      <c r="G21" s="3">
        <f t="shared" si="0"/>
        <v>1.2333333333333334</v>
      </c>
      <c r="H21" t="b">
        <f t="shared" si="1"/>
        <v>0</v>
      </c>
      <c r="I21" t="b">
        <f t="shared" si="2"/>
        <v>0</v>
      </c>
      <c r="J21" t="b">
        <f t="shared" si="3"/>
        <v>0</v>
      </c>
      <c r="K21" t="b">
        <f t="shared" si="4"/>
        <v>1</v>
      </c>
      <c r="L21" t="b">
        <f t="shared" si="5"/>
        <v>0</v>
      </c>
      <c r="M21" t="b">
        <f t="shared" si="6"/>
        <v>0</v>
      </c>
      <c r="N21" s="4">
        <f t="shared" si="7"/>
        <v>0</v>
      </c>
    </row>
    <row r="22" spans="1:14" x14ac:dyDescent="0.4">
      <c r="A22" s="1" t="s">
        <v>47</v>
      </c>
      <c r="B22" t="str">
        <f>Funds!A4</f>
        <v>Fund III</v>
      </c>
      <c r="C22" s="2">
        <v>30</v>
      </c>
      <c r="D22" s="2">
        <v>30</v>
      </c>
      <c r="E22" s="2">
        <v>58.4</v>
      </c>
      <c r="F22" s="2" t="b">
        <v>1</v>
      </c>
      <c r="G22" s="3">
        <f t="shared" si="0"/>
        <v>1.9466666666666665</v>
      </c>
      <c r="H22" t="b">
        <f t="shared" si="1"/>
        <v>0</v>
      </c>
      <c r="I22" t="b">
        <f t="shared" si="2"/>
        <v>0</v>
      </c>
      <c r="J22" t="b">
        <f t="shared" si="3"/>
        <v>0</v>
      </c>
      <c r="K22" t="b">
        <f t="shared" si="4"/>
        <v>1</v>
      </c>
      <c r="L22" t="b">
        <f t="shared" si="5"/>
        <v>0</v>
      </c>
      <c r="M22" t="b">
        <f t="shared" si="6"/>
        <v>0</v>
      </c>
      <c r="N22" s="4">
        <f t="shared" si="7"/>
        <v>0</v>
      </c>
    </row>
    <row r="23" spans="1:14" x14ac:dyDescent="0.4">
      <c r="A23" s="1" t="s">
        <v>48</v>
      </c>
      <c r="B23" t="str">
        <f>Funds!A4</f>
        <v>Fund III</v>
      </c>
      <c r="C23" s="2">
        <v>48.5</v>
      </c>
      <c r="D23" s="2">
        <v>48.5</v>
      </c>
      <c r="E23" s="2">
        <v>115.6</v>
      </c>
      <c r="F23" s="2" t="b">
        <v>1</v>
      </c>
      <c r="G23" s="3">
        <f t="shared" si="0"/>
        <v>2.3835051546391752</v>
      </c>
      <c r="H23" t="b">
        <f t="shared" si="1"/>
        <v>0</v>
      </c>
      <c r="I23" t="b">
        <f t="shared" si="2"/>
        <v>0</v>
      </c>
      <c r="J23" t="b">
        <f t="shared" si="3"/>
        <v>0</v>
      </c>
      <c r="K23" t="b">
        <f t="shared" si="4"/>
        <v>0</v>
      </c>
      <c r="L23" t="b">
        <f t="shared" si="5"/>
        <v>1</v>
      </c>
      <c r="M23" t="b">
        <f t="shared" si="6"/>
        <v>0</v>
      </c>
      <c r="N23" s="4">
        <f t="shared" si="7"/>
        <v>0</v>
      </c>
    </row>
    <row r="24" spans="1:14" x14ac:dyDescent="0.4">
      <c r="A24" s="1" t="s">
        <v>49</v>
      </c>
      <c r="B24" t="str">
        <f>Funds!A4</f>
        <v>Fund III</v>
      </c>
      <c r="C24" s="2">
        <v>14.6</v>
      </c>
      <c r="D24" s="2">
        <v>14.6</v>
      </c>
      <c r="E24" s="2">
        <v>26.1</v>
      </c>
      <c r="F24" s="2" t="b">
        <v>1</v>
      </c>
      <c r="G24" s="3">
        <f t="shared" si="0"/>
        <v>1.7876712328767124</v>
      </c>
      <c r="H24" t="b">
        <f t="shared" si="1"/>
        <v>0</v>
      </c>
      <c r="I24" t="b">
        <f t="shared" si="2"/>
        <v>0</v>
      </c>
      <c r="J24" t="b">
        <f t="shared" si="3"/>
        <v>0</v>
      </c>
      <c r="K24" t="b">
        <f t="shared" si="4"/>
        <v>1</v>
      </c>
      <c r="L24" t="b">
        <f t="shared" si="5"/>
        <v>0</v>
      </c>
      <c r="M24" t="b">
        <f t="shared" si="6"/>
        <v>0</v>
      </c>
      <c r="N24" s="4">
        <f t="shared" si="7"/>
        <v>0</v>
      </c>
    </row>
    <row r="25" spans="1:14" x14ac:dyDescent="0.4">
      <c r="A25" s="1" t="s">
        <v>50</v>
      </c>
      <c r="B25" t="str">
        <f>Funds!A4</f>
        <v>Fund III</v>
      </c>
      <c r="C25" s="2">
        <v>28.6</v>
      </c>
      <c r="D25" s="2">
        <v>28.6</v>
      </c>
      <c r="E25" s="2">
        <v>99.4</v>
      </c>
      <c r="F25" s="2" t="b">
        <v>1</v>
      </c>
      <c r="G25" s="3">
        <f t="shared" si="0"/>
        <v>3.4755244755244754</v>
      </c>
      <c r="H25" t="b">
        <f t="shared" si="1"/>
        <v>0</v>
      </c>
      <c r="I25" t="b">
        <f t="shared" si="2"/>
        <v>0</v>
      </c>
      <c r="J25" t="b">
        <f t="shared" si="3"/>
        <v>0</v>
      </c>
      <c r="K25" t="b">
        <f t="shared" si="4"/>
        <v>0</v>
      </c>
      <c r="L25" t="b">
        <f t="shared" si="5"/>
        <v>0</v>
      </c>
      <c r="M25" t="b">
        <f t="shared" si="6"/>
        <v>1</v>
      </c>
      <c r="N25" s="4">
        <f t="shared" si="7"/>
        <v>0</v>
      </c>
    </row>
    <row r="26" spans="1:14" x14ac:dyDescent="0.4">
      <c r="A26" s="1" t="s">
        <v>51</v>
      </c>
      <c r="B26" t="str">
        <f>Funds!A4</f>
        <v>Fund III</v>
      </c>
      <c r="C26" s="2">
        <v>48.4</v>
      </c>
      <c r="D26" s="2">
        <v>48.4</v>
      </c>
      <c r="E26" s="2">
        <v>104.2</v>
      </c>
      <c r="F26" s="2" t="b">
        <v>1</v>
      </c>
      <c r="G26" s="3">
        <f t="shared" si="0"/>
        <v>2.1528925619834713</v>
      </c>
      <c r="H26" t="b">
        <f t="shared" si="1"/>
        <v>0</v>
      </c>
      <c r="I26" t="b">
        <f t="shared" si="2"/>
        <v>0</v>
      </c>
      <c r="J26" t="b">
        <f t="shared" si="3"/>
        <v>0</v>
      </c>
      <c r="K26" t="b">
        <f t="shared" si="4"/>
        <v>0</v>
      </c>
      <c r="L26" t="b">
        <f t="shared" si="5"/>
        <v>1</v>
      </c>
      <c r="M26" t="b">
        <f t="shared" si="6"/>
        <v>0</v>
      </c>
      <c r="N26" s="4">
        <f t="shared" si="7"/>
        <v>0</v>
      </c>
    </row>
    <row r="27" spans="1:14" x14ac:dyDescent="0.4">
      <c r="A27" s="1" t="s">
        <v>52</v>
      </c>
      <c r="B27" t="str">
        <f>Funds!A4</f>
        <v>Fund III</v>
      </c>
      <c r="C27" s="2">
        <v>15</v>
      </c>
      <c r="D27" s="2">
        <v>15</v>
      </c>
      <c r="E27" s="2">
        <v>26.7</v>
      </c>
      <c r="F27" s="2" t="b">
        <v>1</v>
      </c>
      <c r="G27" s="3">
        <f t="shared" si="0"/>
        <v>1.78</v>
      </c>
      <c r="H27" t="b">
        <f t="shared" si="1"/>
        <v>0</v>
      </c>
      <c r="I27" t="b">
        <f t="shared" si="2"/>
        <v>0</v>
      </c>
      <c r="J27" t="b">
        <f t="shared" si="3"/>
        <v>0</v>
      </c>
      <c r="K27" t="b">
        <f t="shared" si="4"/>
        <v>1</v>
      </c>
      <c r="L27" t="b">
        <f t="shared" si="5"/>
        <v>0</v>
      </c>
      <c r="M27" t="b">
        <f t="shared" si="6"/>
        <v>0</v>
      </c>
      <c r="N27" s="4">
        <f t="shared" si="7"/>
        <v>0</v>
      </c>
    </row>
    <row r="28" spans="1:14" x14ac:dyDescent="0.4">
      <c r="A28" s="1" t="s">
        <v>53</v>
      </c>
      <c r="B28" t="str">
        <f>Funds!A4</f>
        <v>Fund III</v>
      </c>
      <c r="C28" s="2">
        <v>48.5</v>
      </c>
      <c r="D28" s="2">
        <v>48.5</v>
      </c>
      <c r="E28" s="2">
        <v>133.69999999999999</v>
      </c>
      <c r="F28" s="2" t="b">
        <v>1</v>
      </c>
      <c r="G28" s="3">
        <f t="shared" si="0"/>
        <v>2.756701030927835</v>
      </c>
      <c r="H28" t="b">
        <f t="shared" si="1"/>
        <v>0</v>
      </c>
      <c r="I28" t="b">
        <f t="shared" si="2"/>
        <v>0</v>
      </c>
      <c r="J28" t="b">
        <f t="shared" si="3"/>
        <v>0</v>
      </c>
      <c r="K28" t="b">
        <f t="shared" si="4"/>
        <v>0</v>
      </c>
      <c r="L28" t="b">
        <f t="shared" si="5"/>
        <v>1</v>
      </c>
      <c r="M28" t="b">
        <f t="shared" si="6"/>
        <v>0</v>
      </c>
      <c r="N28" s="4">
        <f t="shared" si="7"/>
        <v>0</v>
      </c>
    </row>
    <row r="29" spans="1:14" x14ac:dyDescent="0.4">
      <c r="A29" s="1" t="s">
        <v>54</v>
      </c>
      <c r="B29" t="str">
        <f>Funds!A4</f>
        <v>Fund III</v>
      </c>
      <c r="C29" s="2">
        <v>3.7</v>
      </c>
      <c r="D29" s="2">
        <v>3.7</v>
      </c>
      <c r="E29" s="2">
        <v>4.5999999999999996</v>
      </c>
      <c r="F29" s="2" t="b">
        <v>1</v>
      </c>
      <c r="G29" s="3">
        <f t="shared" si="0"/>
        <v>1.243243243243243</v>
      </c>
      <c r="H29" t="b">
        <f t="shared" si="1"/>
        <v>0</v>
      </c>
      <c r="I29" t="b">
        <f t="shared" si="2"/>
        <v>0</v>
      </c>
      <c r="J29" t="b">
        <f t="shared" si="3"/>
        <v>0</v>
      </c>
      <c r="K29" t="b">
        <f t="shared" si="4"/>
        <v>1</v>
      </c>
      <c r="L29" t="b">
        <f t="shared" si="5"/>
        <v>0</v>
      </c>
      <c r="M29" t="b">
        <f t="shared" si="6"/>
        <v>0</v>
      </c>
      <c r="N29" s="4">
        <f t="shared" si="7"/>
        <v>0</v>
      </c>
    </row>
    <row r="30" spans="1:14" x14ac:dyDescent="0.4">
      <c r="A30" s="1" t="s">
        <v>55</v>
      </c>
      <c r="B30" t="str">
        <f>Funds!A4</f>
        <v>Fund III</v>
      </c>
      <c r="C30" s="2">
        <v>16</v>
      </c>
      <c r="D30" s="2">
        <v>16</v>
      </c>
      <c r="E30" s="2">
        <v>27.2</v>
      </c>
      <c r="F30" s="2" t="b">
        <v>1</v>
      </c>
      <c r="G30" s="3">
        <f t="shared" si="0"/>
        <v>1.7</v>
      </c>
      <c r="H30" t="b">
        <f t="shared" si="1"/>
        <v>0</v>
      </c>
      <c r="I30" t="b">
        <f t="shared" si="2"/>
        <v>0</v>
      </c>
      <c r="J30" t="b">
        <f t="shared" si="3"/>
        <v>0</v>
      </c>
      <c r="K30" t="b">
        <f t="shared" si="4"/>
        <v>1</v>
      </c>
      <c r="L30" t="b">
        <f t="shared" si="5"/>
        <v>0</v>
      </c>
      <c r="M30" t="b">
        <f t="shared" si="6"/>
        <v>0</v>
      </c>
      <c r="N30" s="4">
        <f t="shared" si="7"/>
        <v>0</v>
      </c>
    </row>
    <row r="31" spans="1:14" x14ac:dyDescent="0.4">
      <c r="A31" s="1" t="s">
        <v>56</v>
      </c>
      <c r="B31" t="str">
        <f>Funds!A4</f>
        <v>Fund III</v>
      </c>
      <c r="C31" s="2">
        <v>12</v>
      </c>
      <c r="D31" s="2">
        <v>12</v>
      </c>
      <c r="E31" s="2">
        <v>14.3</v>
      </c>
      <c r="F31" s="2" t="b">
        <v>1</v>
      </c>
      <c r="G31" s="3">
        <f t="shared" si="0"/>
        <v>1.1916666666666667</v>
      </c>
      <c r="H31" t="b">
        <f t="shared" si="1"/>
        <v>0</v>
      </c>
      <c r="I31" t="b">
        <f t="shared" si="2"/>
        <v>0</v>
      </c>
      <c r="J31" t="b">
        <f t="shared" si="3"/>
        <v>0</v>
      </c>
      <c r="K31" t="b">
        <f t="shared" si="4"/>
        <v>1</v>
      </c>
      <c r="L31" t="b">
        <f t="shared" si="5"/>
        <v>0</v>
      </c>
      <c r="M31" t="b">
        <f t="shared" si="6"/>
        <v>0</v>
      </c>
      <c r="N31" s="4">
        <f t="shared" si="7"/>
        <v>0</v>
      </c>
    </row>
    <row r="32" spans="1:14" x14ac:dyDescent="0.4">
      <c r="A32" s="1" t="s">
        <v>57</v>
      </c>
      <c r="B32" t="str">
        <f>Funds!A4</f>
        <v>Fund III</v>
      </c>
      <c r="C32" s="2">
        <v>22.3</v>
      </c>
      <c r="D32" s="2">
        <v>22.3</v>
      </c>
      <c r="E32" s="2">
        <v>37.299999999999997</v>
      </c>
      <c r="F32" s="2" t="b">
        <v>1</v>
      </c>
      <c r="G32" s="3">
        <f t="shared" si="0"/>
        <v>1.6726457399103136</v>
      </c>
      <c r="H32" t="b">
        <f t="shared" si="1"/>
        <v>0</v>
      </c>
      <c r="I32" t="b">
        <f t="shared" si="2"/>
        <v>0</v>
      </c>
      <c r="J32" t="b">
        <f t="shared" si="3"/>
        <v>0</v>
      </c>
      <c r="K32" t="b">
        <f t="shared" si="4"/>
        <v>1</v>
      </c>
      <c r="L32" t="b">
        <f t="shared" si="5"/>
        <v>0</v>
      </c>
      <c r="M32" t="b">
        <f t="shared" si="6"/>
        <v>0</v>
      </c>
      <c r="N32" s="4">
        <f t="shared" si="7"/>
        <v>0</v>
      </c>
    </row>
    <row r="33" spans="1:14" x14ac:dyDescent="0.4">
      <c r="A33" s="1" t="s">
        <v>58</v>
      </c>
      <c r="B33" t="str">
        <f>Funds!A4</f>
        <v>Fund III</v>
      </c>
      <c r="C33" s="2">
        <v>7.5</v>
      </c>
      <c r="D33" s="2">
        <v>7.5</v>
      </c>
      <c r="E33" s="2">
        <v>8.9</v>
      </c>
      <c r="F33" s="2" t="b">
        <v>1</v>
      </c>
      <c r="G33" s="3">
        <f t="shared" si="0"/>
        <v>1.1866666666666668</v>
      </c>
      <c r="H33" t="b">
        <f t="shared" si="1"/>
        <v>0</v>
      </c>
      <c r="I33" t="b">
        <f t="shared" si="2"/>
        <v>0</v>
      </c>
      <c r="J33" t="b">
        <f t="shared" si="3"/>
        <v>0</v>
      </c>
      <c r="K33" t="b">
        <f t="shared" si="4"/>
        <v>1</v>
      </c>
      <c r="L33" t="b">
        <f t="shared" si="5"/>
        <v>0</v>
      </c>
      <c r="M33" t="b">
        <f t="shared" si="6"/>
        <v>0</v>
      </c>
      <c r="N33" s="4">
        <f t="shared" si="7"/>
        <v>0</v>
      </c>
    </row>
    <row r="34" spans="1:14" x14ac:dyDescent="0.4">
      <c r="A34" s="1" t="s">
        <v>59</v>
      </c>
      <c r="B34" t="str">
        <f>Funds!A4</f>
        <v>Fund III</v>
      </c>
      <c r="C34" s="2">
        <v>19.899999999999999</v>
      </c>
      <c r="D34" s="2">
        <v>19.899999999999999</v>
      </c>
      <c r="E34" s="2">
        <v>33.299999999999997</v>
      </c>
      <c r="F34" s="2" t="b">
        <v>1</v>
      </c>
      <c r="G34" s="3">
        <f t="shared" si="0"/>
        <v>1.6733668341708543</v>
      </c>
      <c r="H34" t="b">
        <f t="shared" si="1"/>
        <v>0</v>
      </c>
      <c r="I34" t="b">
        <f t="shared" si="2"/>
        <v>0</v>
      </c>
      <c r="J34" t="b">
        <f t="shared" si="3"/>
        <v>0</v>
      </c>
      <c r="K34" t="b">
        <f t="shared" si="4"/>
        <v>1</v>
      </c>
      <c r="L34" t="b">
        <f t="shared" si="5"/>
        <v>0</v>
      </c>
      <c r="M34" t="b">
        <f t="shared" si="6"/>
        <v>0</v>
      </c>
      <c r="N34" s="4">
        <f t="shared" si="7"/>
        <v>0</v>
      </c>
    </row>
    <row r="35" spans="1:14" x14ac:dyDescent="0.4">
      <c r="A35" s="1" t="s">
        <v>60</v>
      </c>
      <c r="B35" t="str">
        <f>Funds!A4</f>
        <v>Fund III</v>
      </c>
      <c r="C35" s="2">
        <v>30</v>
      </c>
      <c r="D35" s="2">
        <v>30</v>
      </c>
      <c r="E35" s="2">
        <v>103</v>
      </c>
      <c r="F35" s="2" t="b">
        <v>1</v>
      </c>
      <c r="G35" s="3">
        <f t="shared" si="0"/>
        <v>3.4333333333333331</v>
      </c>
      <c r="H35" t="b">
        <f t="shared" si="1"/>
        <v>0</v>
      </c>
      <c r="I35" t="b">
        <f t="shared" si="2"/>
        <v>0</v>
      </c>
      <c r="J35" t="b">
        <f t="shared" si="3"/>
        <v>0</v>
      </c>
      <c r="K35" t="b">
        <f t="shared" si="4"/>
        <v>0</v>
      </c>
      <c r="L35" t="b">
        <f t="shared" si="5"/>
        <v>0</v>
      </c>
      <c r="M35" t="b">
        <f t="shared" si="6"/>
        <v>1</v>
      </c>
      <c r="N35" s="4">
        <f t="shared" si="7"/>
        <v>0</v>
      </c>
    </row>
    <row r="36" spans="1:14" x14ac:dyDescent="0.4">
      <c r="A36" s="1" t="s">
        <v>61</v>
      </c>
      <c r="B36" t="str">
        <f>Funds!A4</f>
        <v>Fund III</v>
      </c>
      <c r="C36" s="2">
        <v>18.2</v>
      </c>
      <c r="D36" s="2">
        <v>18.2</v>
      </c>
      <c r="E36" s="2">
        <v>88.6</v>
      </c>
      <c r="F36" s="2" t="b">
        <v>1</v>
      </c>
      <c r="G36" s="3">
        <f t="shared" si="0"/>
        <v>4.8681318681318677</v>
      </c>
      <c r="H36" t="b">
        <f t="shared" si="1"/>
        <v>0</v>
      </c>
      <c r="I36" t="b">
        <f t="shared" si="2"/>
        <v>0</v>
      </c>
      <c r="J36" t="b">
        <f t="shared" si="3"/>
        <v>0</v>
      </c>
      <c r="K36" t="b">
        <f t="shared" si="4"/>
        <v>0</v>
      </c>
      <c r="L36" t="b">
        <f t="shared" si="5"/>
        <v>0</v>
      </c>
      <c r="M36" t="b">
        <f t="shared" si="6"/>
        <v>1</v>
      </c>
      <c r="N36" s="4">
        <f t="shared" si="7"/>
        <v>0</v>
      </c>
    </row>
    <row r="37" spans="1:14" x14ac:dyDescent="0.4">
      <c r="A37" s="1" t="s">
        <v>62</v>
      </c>
      <c r="B37" t="str">
        <f>Funds!A4</f>
        <v>Fund III</v>
      </c>
      <c r="C37" s="2">
        <v>36.9</v>
      </c>
      <c r="D37" s="2">
        <v>36.9</v>
      </c>
      <c r="E37" s="2">
        <v>338.5</v>
      </c>
      <c r="F37" s="2" t="b">
        <v>1</v>
      </c>
      <c r="G37" s="3">
        <f t="shared" si="0"/>
        <v>9.1734417344173451</v>
      </c>
      <c r="H37" t="b">
        <f t="shared" si="1"/>
        <v>0</v>
      </c>
      <c r="I37" t="b">
        <f t="shared" si="2"/>
        <v>0</v>
      </c>
      <c r="J37" t="b">
        <f t="shared" si="3"/>
        <v>0</v>
      </c>
      <c r="K37" t="b">
        <f t="shared" si="4"/>
        <v>0</v>
      </c>
      <c r="L37" t="b">
        <f t="shared" si="5"/>
        <v>0</v>
      </c>
      <c r="M37" t="b">
        <f t="shared" si="6"/>
        <v>1</v>
      </c>
      <c r="N37" s="4">
        <f t="shared" si="7"/>
        <v>0</v>
      </c>
    </row>
    <row r="38" spans="1:14" x14ac:dyDescent="0.4">
      <c r="A38" s="1" t="s">
        <v>63</v>
      </c>
      <c r="B38" t="str">
        <f>Funds!A5</f>
        <v>Fund IV</v>
      </c>
      <c r="C38" s="2">
        <v>14</v>
      </c>
      <c r="D38" s="2">
        <v>14</v>
      </c>
      <c r="E38" s="2">
        <v>70.400000000000006</v>
      </c>
      <c r="F38" s="2" t="b">
        <v>1</v>
      </c>
      <c r="G38" s="3">
        <f t="shared" si="0"/>
        <v>5.0285714285714294</v>
      </c>
      <c r="H38" t="b">
        <f t="shared" si="1"/>
        <v>0</v>
      </c>
      <c r="I38" t="b">
        <f t="shared" si="2"/>
        <v>0</v>
      </c>
      <c r="J38" t="b">
        <f t="shared" si="3"/>
        <v>0</v>
      </c>
      <c r="K38" t="b">
        <f t="shared" si="4"/>
        <v>0</v>
      </c>
      <c r="L38" t="b">
        <f t="shared" si="5"/>
        <v>0</v>
      </c>
      <c r="M38" t="b">
        <f t="shared" si="6"/>
        <v>1</v>
      </c>
      <c r="N38" s="4">
        <f t="shared" si="7"/>
        <v>0</v>
      </c>
    </row>
    <row r="39" spans="1:14" x14ac:dyDescent="0.4">
      <c r="A39" s="1" t="s">
        <v>64</v>
      </c>
      <c r="B39" t="str">
        <f>Funds!A5</f>
        <v>Fund IV</v>
      </c>
      <c r="C39" s="2">
        <v>17.8</v>
      </c>
      <c r="D39" s="2">
        <v>17.8</v>
      </c>
      <c r="E39" s="2">
        <v>40.4</v>
      </c>
      <c r="F39" s="2" t="b">
        <v>1</v>
      </c>
      <c r="G39" s="3">
        <f t="shared" si="0"/>
        <v>2.2696629213483144</v>
      </c>
      <c r="H39" t="b">
        <f t="shared" si="1"/>
        <v>0</v>
      </c>
      <c r="I39" t="b">
        <f t="shared" si="2"/>
        <v>0</v>
      </c>
      <c r="J39" t="b">
        <f t="shared" si="3"/>
        <v>0</v>
      </c>
      <c r="K39" t="b">
        <f t="shared" si="4"/>
        <v>0</v>
      </c>
      <c r="L39" t="b">
        <f t="shared" si="5"/>
        <v>1</v>
      </c>
      <c r="M39" t="b">
        <f t="shared" si="6"/>
        <v>0</v>
      </c>
      <c r="N39" s="4">
        <f t="shared" si="7"/>
        <v>0</v>
      </c>
    </row>
    <row r="40" spans="1:14" x14ac:dyDescent="0.4">
      <c r="A40" s="1" t="s">
        <v>65</v>
      </c>
      <c r="B40" t="str">
        <f>Funds!A5</f>
        <v>Fund IV</v>
      </c>
      <c r="C40" s="2">
        <v>6.7</v>
      </c>
      <c r="D40" s="2">
        <v>6.7</v>
      </c>
      <c r="E40" s="2">
        <v>22.8</v>
      </c>
      <c r="F40" s="2" t="b">
        <v>1</v>
      </c>
      <c r="G40" s="3">
        <f t="shared" si="0"/>
        <v>3.4029850746268657</v>
      </c>
      <c r="H40" t="b">
        <f t="shared" si="1"/>
        <v>0</v>
      </c>
      <c r="I40" t="b">
        <f t="shared" si="2"/>
        <v>0</v>
      </c>
      <c r="J40" t="b">
        <f t="shared" si="3"/>
        <v>0</v>
      </c>
      <c r="K40" t="b">
        <f t="shared" si="4"/>
        <v>0</v>
      </c>
      <c r="L40" t="b">
        <f t="shared" si="5"/>
        <v>0</v>
      </c>
      <c r="M40" t="b">
        <f t="shared" si="6"/>
        <v>1</v>
      </c>
      <c r="N40" s="4">
        <f t="shared" si="7"/>
        <v>0</v>
      </c>
    </row>
    <row r="41" spans="1:14" x14ac:dyDescent="0.4">
      <c r="A41" s="1" t="s">
        <v>66</v>
      </c>
      <c r="B41" t="str">
        <f>Funds!A5</f>
        <v>Fund IV</v>
      </c>
      <c r="C41" s="2">
        <v>7.8</v>
      </c>
      <c r="D41" s="2">
        <v>7.8</v>
      </c>
      <c r="E41" s="2">
        <v>9.1</v>
      </c>
      <c r="F41" s="2" t="b">
        <v>1</v>
      </c>
      <c r="G41" s="3">
        <f t="shared" si="0"/>
        <v>1.1666666666666667</v>
      </c>
      <c r="H41" t="b">
        <f t="shared" si="1"/>
        <v>0</v>
      </c>
      <c r="I41" t="b">
        <f t="shared" si="2"/>
        <v>0</v>
      </c>
      <c r="J41" t="b">
        <f t="shared" si="3"/>
        <v>0</v>
      </c>
      <c r="K41" t="b">
        <f t="shared" si="4"/>
        <v>1</v>
      </c>
      <c r="L41" t="b">
        <f t="shared" si="5"/>
        <v>0</v>
      </c>
      <c r="M41" t="b">
        <f t="shared" si="6"/>
        <v>0</v>
      </c>
      <c r="N41" s="4">
        <f t="shared" si="7"/>
        <v>0</v>
      </c>
    </row>
    <row r="42" spans="1:14" x14ac:dyDescent="0.4">
      <c r="A42" s="1" t="s">
        <v>67</v>
      </c>
      <c r="B42" t="str">
        <f>Funds!A5</f>
        <v>Fund IV</v>
      </c>
      <c r="C42" s="2">
        <v>57.3</v>
      </c>
      <c r="D42" s="2">
        <v>57.3</v>
      </c>
      <c r="E42" s="2">
        <v>232.1</v>
      </c>
      <c r="F42" s="2" t="b">
        <v>1</v>
      </c>
      <c r="G42" s="3">
        <f t="shared" si="0"/>
        <v>4.0506108202443283</v>
      </c>
      <c r="H42" t="b">
        <f t="shared" si="1"/>
        <v>0</v>
      </c>
      <c r="I42" t="b">
        <f t="shared" si="2"/>
        <v>0</v>
      </c>
      <c r="J42" t="b">
        <f t="shared" si="3"/>
        <v>0</v>
      </c>
      <c r="K42" t="b">
        <f t="shared" si="4"/>
        <v>0</v>
      </c>
      <c r="L42" t="b">
        <f t="shared" si="5"/>
        <v>0</v>
      </c>
      <c r="M42" t="b">
        <f t="shared" si="6"/>
        <v>1</v>
      </c>
      <c r="N42" s="4">
        <f t="shared" si="7"/>
        <v>0</v>
      </c>
    </row>
    <row r="43" spans="1:14" x14ac:dyDescent="0.4">
      <c r="A43" s="1" t="s">
        <v>68</v>
      </c>
      <c r="B43" t="str">
        <f>Funds!A5</f>
        <v>Fund IV</v>
      </c>
      <c r="C43" s="2">
        <v>30</v>
      </c>
      <c r="D43" s="2">
        <v>30</v>
      </c>
      <c r="E43" s="2">
        <v>64.400000000000006</v>
      </c>
      <c r="F43" s="2" t="b">
        <v>1</v>
      </c>
      <c r="G43" s="3">
        <f t="shared" si="0"/>
        <v>2.1466666666666669</v>
      </c>
      <c r="H43" t="b">
        <f t="shared" si="1"/>
        <v>0</v>
      </c>
      <c r="I43" t="b">
        <f t="shared" si="2"/>
        <v>0</v>
      </c>
      <c r="J43" t="b">
        <f t="shared" si="3"/>
        <v>0</v>
      </c>
      <c r="K43" t="b">
        <f t="shared" si="4"/>
        <v>0</v>
      </c>
      <c r="L43" t="b">
        <f t="shared" si="5"/>
        <v>1</v>
      </c>
      <c r="M43" t="b">
        <f t="shared" si="6"/>
        <v>0</v>
      </c>
      <c r="N43" s="4">
        <f t="shared" si="7"/>
        <v>0</v>
      </c>
    </row>
    <row r="44" spans="1:14" x14ac:dyDescent="0.4">
      <c r="A44" s="1" t="s">
        <v>69</v>
      </c>
      <c r="B44" t="str">
        <f>Funds!A5</f>
        <v>Fund IV</v>
      </c>
      <c r="C44" s="2">
        <v>30</v>
      </c>
      <c r="D44" s="2">
        <v>30</v>
      </c>
      <c r="E44" s="2">
        <v>44.4</v>
      </c>
      <c r="F44" s="2" t="b">
        <v>1</v>
      </c>
      <c r="G44" s="3">
        <f t="shared" si="0"/>
        <v>1.48</v>
      </c>
      <c r="H44" t="b">
        <f t="shared" si="1"/>
        <v>0</v>
      </c>
      <c r="I44" t="b">
        <f t="shared" si="2"/>
        <v>0</v>
      </c>
      <c r="J44" t="b">
        <f t="shared" si="3"/>
        <v>0</v>
      </c>
      <c r="K44" t="b">
        <f t="shared" si="4"/>
        <v>1</v>
      </c>
      <c r="L44" t="b">
        <f t="shared" si="5"/>
        <v>0</v>
      </c>
      <c r="M44" t="b">
        <f t="shared" si="6"/>
        <v>0</v>
      </c>
      <c r="N44" s="4">
        <f t="shared" si="7"/>
        <v>0</v>
      </c>
    </row>
    <row r="45" spans="1:14" x14ac:dyDescent="0.4">
      <c r="A45" s="1" t="s">
        <v>70</v>
      </c>
      <c r="B45" t="str">
        <f>Funds!A5</f>
        <v>Fund IV</v>
      </c>
      <c r="C45" s="2">
        <v>20.6</v>
      </c>
      <c r="D45" s="2">
        <v>20.6</v>
      </c>
      <c r="E45" s="2">
        <v>126.1</v>
      </c>
      <c r="F45" s="2" t="b">
        <v>1</v>
      </c>
      <c r="G45" s="3">
        <f t="shared" si="0"/>
        <v>6.1213592233009706</v>
      </c>
      <c r="H45" t="b">
        <f t="shared" si="1"/>
        <v>0</v>
      </c>
      <c r="I45" t="b">
        <f t="shared" si="2"/>
        <v>0</v>
      </c>
      <c r="J45" t="b">
        <f t="shared" si="3"/>
        <v>0</v>
      </c>
      <c r="K45" t="b">
        <f t="shared" si="4"/>
        <v>0</v>
      </c>
      <c r="L45" t="b">
        <f t="shared" si="5"/>
        <v>0</v>
      </c>
      <c r="M45" t="b">
        <f t="shared" si="6"/>
        <v>1</v>
      </c>
      <c r="N45" s="4">
        <f t="shared" si="7"/>
        <v>0</v>
      </c>
    </row>
    <row r="46" spans="1:14" x14ac:dyDescent="0.4">
      <c r="A46" s="1" t="s">
        <v>71</v>
      </c>
      <c r="B46" t="str">
        <f>Funds!A5</f>
        <v>Fund IV</v>
      </c>
      <c r="C46" s="2">
        <v>10</v>
      </c>
      <c r="D46" s="2">
        <v>10</v>
      </c>
      <c r="E46" s="2">
        <v>59.3</v>
      </c>
      <c r="F46" s="2" t="b">
        <v>1</v>
      </c>
      <c r="G46" s="3">
        <f t="shared" si="0"/>
        <v>5.93</v>
      </c>
      <c r="H46" t="b">
        <f t="shared" si="1"/>
        <v>0</v>
      </c>
      <c r="I46" t="b">
        <f t="shared" si="2"/>
        <v>0</v>
      </c>
      <c r="J46" t="b">
        <f t="shared" si="3"/>
        <v>0</v>
      </c>
      <c r="K46" t="b">
        <f t="shared" si="4"/>
        <v>0</v>
      </c>
      <c r="L46" t="b">
        <f t="shared" si="5"/>
        <v>0</v>
      </c>
      <c r="M46" t="b">
        <f t="shared" si="6"/>
        <v>1</v>
      </c>
      <c r="N46" s="4">
        <f t="shared" si="7"/>
        <v>0</v>
      </c>
    </row>
    <row r="47" spans="1:14" x14ac:dyDescent="0.4">
      <c r="A47" s="1" t="s">
        <v>72</v>
      </c>
      <c r="B47" t="str">
        <f>Funds!A5</f>
        <v>Fund IV</v>
      </c>
      <c r="C47" s="2">
        <v>39.1</v>
      </c>
      <c r="D47" s="2">
        <v>39.1</v>
      </c>
      <c r="E47" s="2">
        <v>127.8</v>
      </c>
      <c r="F47" s="2" t="b">
        <v>1</v>
      </c>
      <c r="G47" s="3">
        <f t="shared" si="0"/>
        <v>3.2685421994884907</v>
      </c>
      <c r="H47" t="b">
        <f t="shared" si="1"/>
        <v>0</v>
      </c>
      <c r="I47" t="b">
        <f t="shared" si="2"/>
        <v>0</v>
      </c>
      <c r="J47" t="b">
        <f t="shared" si="3"/>
        <v>0</v>
      </c>
      <c r="K47" t="b">
        <f t="shared" si="4"/>
        <v>0</v>
      </c>
      <c r="L47" t="b">
        <f t="shared" si="5"/>
        <v>0</v>
      </c>
      <c r="M47" t="b">
        <f t="shared" si="6"/>
        <v>1</v>
      </c>
      <c r="N47" s="4">
        <f t="shared" si="7"/>
        <v>0</v>
      </c>
    </row>
    <row r="48" spans="1:14" x14ac:dyDescent="0.4">
      <c r="A48" s="1" t="s">
        <v>73</v>
      </c>
      <c r="B48" t="str">
        <f>Funds!A5</f>
        <v>Fund IV</v>
      </c>
      <c r="C48" s="2">
        <v>27</v>
      </c>
      <c r="D48" s="2">
        <v>27</v>
      </c>
      <c r="E48" s="2">
        <v>83.9</v>
      </c>
      <c r="F48" s="2" t="b">
        <v>1</v>
      </c>
      <c r="G48" s="3">
        <f t="shared" si="0"/>
        <v>3.1074074074074076</v>
      </c>
      <c r="H48" t="b">
        <f t="shared" si="1"/>
        <v>0</v>
      </c>
      <c r="I48" t="b">
        <f t="shared" si="2"/>
        <v>0</v>
      </c>
      <c r="J48" t="b">
        <f t="shared" si="3"/>
        <v>0</v>
      </c>
      <c r="K48" t="b">
        <f t="shared" si="4"/>
        <v>0</v>
      </c>
      <c r="L48" t="b">
        <f t="shared" si="5"/>
        <v>0</v>
      </c>
      <c r="M48" t="b">
        <f t="shared" si="6"/>
        <v>1</v>
      </c>
      <c r="N48" s="4">
        <f t="shared" si="7"/>
        <v>0</v>
      </c>
    </row>
    <row r="49" spans="1:14" x14ac:dyDescent="0.4">
      <c r="A49" s="1" t="s">
        <v>74</v>
      </c>
      <c r="B49" t="str">
        <f>Funds!A5</f>
        <v>Fund IV</v>
      </c>
      <c r="C49" s="2">
        <v>33.9</v>
      </c>
      <c r="D49" s="2">
        <v>33.9</v>
      </c>
      <c r="E49" s="2">
        <v>1.1000000000000001</v>
      </c>
      <c r="F49" s="2" t="b">
        <v>1</v>
      </c>
      <c r="G49" s="3">
        <f t="shared" si="0"/>
        <v>3.244837758112095E-2</v>
      </c>
      <c r="H49" t="b">
        <f t="shared" si="1"/>
        <v>0</v>
      </c>
      <c r="I49" t="b">
        <f t="shared" si="2"/>
        <v>1</v>
      </c>
      <c r="J49" t="b">
        <f t="shared" si="3"/>
        <v>0</v>
      </c>
      <c r="K49" t="b">
        <f t="shared" si="4"/>
        <v>0</v>
      </c>
      <c r="L49" t="b">
        <f t="shared" si="5"/>
        <v>0</v>
      </c>
      <c r="M49" t="b">
        <f t="shared" si="6"/>
        <v>0</v>
      </c>
      <c r="N49" s="4">
        <f t="shared" si="7"/>
        <v>32.799999999999997</v>
      </c>
    </row>
    <row r="50" spans="1:14" x14ac:dyDescent="0.4">
      <c r="A50" s="1" t="s">
        <v>75</v>
      </c>
      <c r="B50" t="str">
        <f>Funds!A5</f>
        <v>Fund IV</v>
      </c>
      <c r="C50" s="2">
        <v>50</v>
      </c>
      <c r="D50" s="2">
        <v>50</v>
      </c>
      <c r="E50" s="2">
        <v>75.7</v>
      </c>
      <c r="F50" s="2" t="b">
        <v>1</v>
      </c>
      <c r="G50" s="3">
        <f t="shared" si="0"/>
        <v>1.514</v>
      </c>
      <c r="H50" t="b">
        <f t="shared" si="1"/>
        <v>0</v>
      </c>
      <c r="I50" t="b">
        <f t="shared" si="2"/>
        <v>0</v>
      </c>
      <c r="J50" t="b">
        <f t="shared" si="3"/>
        <v>0</v>
      </c>
      <c r="K50" t="b">
        <f t="shared" si="4"/>
        <v>1</v>
      </c>
      <c r="L50" t="b">
        <f t="shared" si="5"/>
        <v>0</v>
      </c>
      <c r="M50" t="b">
        <f t="shared" si="6"/>
        <v>0</v>
      </c>
      <c r="N50" s="4">
        <f t="shared" si="7"/>
        <v>0</v>
      </c>
    </row>
    <row r="51" spans="1:14" x14ac:dyDescent="0.4">
      <c r="A51" s="1" t="s">
        <v>76</v>
      </c>
      <c r="B51" t="str">
        <f>Funds!A5</f>
        <v>Fund IV</v>
      </c>
      <c r="C51" s="2">
        <v>77.3</v>
      </c>
      <c r="D51" s="2">
        <v>77.3</v>
      </c>
      <c r="E51" s="2">
        <v>265.5</v>
      </c>
      <c r="F51" s="2" t="b">
        <v>1</v>
      </c>
      <c r="G51" s="3">
        <f t="shared" si="0"/>
        <v>3.4346701164294955</v>
      </c>
      <c r="H51" t="b">
        <f t="shared" si="1"/>
        <v>0</v>
      </c>
      <c r="I51" t="b">
        <f t="shared" si="2"/>
        <v>0</v>
      </c>
      <c r="J51" t="b">
        <f t="shared" si="3"/>
        <v>0</v>
      </c>
      <c r="K51" t="b">
        <f t="shared" si="4"/>
        <v>0</v>
      </c>
      <c r="L51" t="b">
        <f t="shared" si="5"/>
        <v>0</v>
      </c>
      <c r="M51" t="b">
        <f t="shared" si="6"/>
        <v>1</v>
      </c>
      <c r="N51" s="4">
        <f t="shared" si="7"/>
        <v>0</v>
      </c>
    </row>
    <row r="52" spans="1:14" x14ac:dyDescent="0.4">
      <c r="A52" s="1" t="s">
        <v>77</v>
      </c>
      <c r="B52" t="str">
        <f>Funds!A5</f>
        <v>Fund IV</v>
      </c>
      <c r="C52" s="2">
        <v>30</v>
      </c>
      <c r="D52" s="2">
        <v>30</v>
      </c>
      <c r="E52" s="2">
        <v>64.7</v>
      </c>
      <c r="F52" s="2" t="b">
        <v>1</v>
      </c>
      <c r="G52" s="3">
        <f t="shared" si="0"/>
        <v>2.1566666666666667</v>
      </c>
      <c r="H52" t="b">
        <f t="shared" si="1"/>
        <v>0</v>
      </c>
      <c r="I52" t="b">
        <f t="shared" si="2"/>
        <v>0</v>
      </c>
      <c r="J52" t="b">
        <f t="shared" si="3"/>
        <v>0</v>
      </c>
      <c r="K52" t="b">
        <f t="shared" si="4"/>
        <v>0</v>
      </c>
      <c r="L52" t="b">
        <f t="shared" si="5"/>
        <v>1</v>
      </c>
      <c r="M52" t="b">
        <f t="shared" si="6"/>
        <v>0</v>
      </c>
      <c r="N52" s="4">
        <f t="shared" si="7"/>
        <v>0</v>
      </c>
    </row>
    <row r="53" spans="1:14" x14ac:dyDescent="0.4">
      <c r="A53" s="1" t="s">
        <v>78</v>
      </c>
      <c r="B53" t="str">
        <f>Funds!A5</f>
        <v>Fund IV</v>
      </c>
      <c r="C53" s="2">
        <v>25</v>
      </c>
      <c r="D53" s="2">
        <v>25.05</v>
      </c>
      <c r="E53" s="2">
        <v>19.5</v>
      </c>
      <c r="F53" s="2" t="b">
        <v>1</v>
      </c>
      <c r="G53" s="3">
        <f t="shared" si="0"/>
        <v>0.77844311377245512</v>
      </c>
      <c r="H53" t="b">
        <f t="shared" si="1"/>
        <v>0</v>
      </c>
      <c r="I53" t="b">
        <f t="shared" si="2"/>
        <v>1</v>
      </c>
      <c r="J53" t="b">
        <f t="shared" si="3"/>
        <v>0</v>
      </c>
      <c r="K53" t="b">
        <f t="shared" si="4"/>
        <v>0</v>
      </c>
      <c r="L53" t="b">
        <f t="shared" si="5"/>
        <v>0</v>
      </c>
      <c r="M53" t="b">
        <f t="shared" si="6"/>
        <v>0</v>
      </c>
      <c r="N53" s="4">
        <f t="shared" si="7"/>
        <v>5.55</v>
      </c>
    </row>
    <row r="54" spans="1:14" x14ac:dyDescent="0.4">
      <c r="A54" s="1" t="s">
        <v>79</v>
      </c>
      <c r="B54" t="str">
        <f>Funds!A5</f>
        <v>Fund IV</v>
      </c>
      <c r="C54" s="2">
        <v>36.200000000000003</v>
      </c>
      <c r="D54" s="2">
        <v>36.200000000000003</v>
      </c>
      <c r="E54" s="2">
        <v>7.2</v>
      </c>
      <c r="F54" s="2" t="b">
        <v>1</v>
      </c>
      <c r="G54" s="3">
        <f t="shared" si="0"/>
        <v>0.19889502762430938</v>
      </c>
      <c r="H54" t="b">
        <f t="shared" si="1"/>
        <v>0</v>
      </c>
      <c r="I54" t="b">
        <f t="shared" si="2"/>
        <v>1</v>
      </c>
      <c r="J54" t="b">
        <f t="shared" si="3"/>
        <v>0</v>
      </c>
      <c r="K54" t="b">
        <f t="shared" si="4"/>
        <v>0</v>
      </c>
      <c r="L54" t="b">
        <f t="shared" si="5"/>
        <v>0</v>
      </c>
      <c r="M54" t="b">
        <f t="shared" si="6"/>
        <v>0</v>
      </c>
      <c r="N54" s="4">
        <f t="shared" si="7"/>
        <v>29.000000000000004</v>
      </c>
    </row>
    <row r="55" spans="1:14" x14ac:dyDescent="0.4">
      <c r="A55" s="1" t="s">
        <v>80</v>
      </c>
      <c r="B55" t="str">
        <f>Funds!A5</f>
        <v>Fund IV</v>
      </c>
      <c r="C55" s="2">
        <v>24.6</v>
      </c>
      <c r="D55" s="2">
        <v>24.6</v>
      </c>
      <c r="E55" s="2">
        <v>104.4</v>
      </c>
      <c r="F55" s="2" t="b">
        <v>1</v>
      </c>
      <c r="G55" s="3">
        <f t="shared" si="0"/>
        <v>4.2439024390243905</v>
      </c>
      <c r="H55" t="b">
        <f t="shared" si="1"/>
        <v>0</v>
      </c>
      <c r="I55" t="b">
        <f t="shared" si="2"/>
        <v>0</v>
      </c>
      <c r="J55" t="b">
        <f t="shared" si="3"/>
        <v>0</v>
      </c>
      <c r="K55" t="b">
        <f t="shared" si="4"/>
        <v>0</v>
      </c>
      <c r="L55" t="b">
        <f t="shared" si="5"/>
        <v>0</v>
      </c>
      <c r="M55" t="b">
        <f t="shared" si="6"/>
        <v>1</v>
      </c>
      <c r="N55" s="4">
        <f t="shared" si="7"/>
        <v>0</v>
      </c>
    </row>
    <row r="56" spans="1:14" x14ac:dyDescent="0.4">
      <c r="A56" s="1" t="s">
        <v>81</v>
      </c>
      <c r="B56" t="str">
        <f>Funds!A5</f>
        <v>Fund IV</v>
      </c>
      <c r="C56" s="2">
        <v>33.1</v>
      </c>
      <c r="D56" s="2">
        <v>33.1</v>
      </c>
      <c r="E56" s="2">
        <v>66.2</v>
      </c>
      <c r="F56" s="2" t="b">
        <v>1</v>
      </c>
      <c r="G56" s="3">
        <f t="shared" si="0"/>
        <v>2</v>
      </c>
      <c r="H56" t="b">
        <f t="shared" si="1"/>
        <v>0</v>
      </c>
      <c r="I56" t="b">
        <f t="shared" si="2"/>
        <v>0</v>
      </c>
      <c r="J56" t="b">
        <f t="shared" si="3"/>
        <v>0</v>
      </c>
      <c r="K56" t="b">
        <f t="shared" si="4"/>
        <v>0</v>
      </c>
      <c r="L56" t="b">
        <f t="shared" si="5"/>
        <v>1</v>
      </c>
      <c r="M56" t="b">
        <f t="shared" si="6"/>
        <v>0</v>
      </c>
      <c r="N56" s="4">
        <f t="shared" si="7"/>
        <v>0</v>
      </c>
    </row>
    <row r="57" spans="1:14" x14ac:dyDescent="0.4">
      <c r="A57" s="1" t="s">
        <v>79</v>
      </c>
      <c r="B57" t="str">
        <f>Funds!A6</f>
        <v>Fund V</v>
      </c>
      <c r="C57" s="2">
        <v>9</v>
      </c>
      <c r="D57" s="2">
        <v>9</v>
      </c>
      <c r="E57" s="2">
        <v>1.9</v>
      </c>
      <c r="F57" s="2" t="b">
        <v>1</v>
      </c>
      <c r="G57" s="3">
        <f t="shared" si="0"/>
        <v>0.21111111111111111</v>
      </c>
      <c r="H57" t="b">
        <f t="shared" si="1"/>
        <v>0</v>
      </c>
      <c r="I57" t="b">
        <f t="shared" si="2"/>
        <v>1</v>
      </c>
      <c r="J57" t="b">
        <f t="shared" si="3"/>
        <v>0</v>
      </c>
      <c r="K57" t="b">
        <f t="shared" si="4"/>
        <v>0</v>
      </c>
      <c r="L57" t="b">
        <f t="shared" si="5"/>
        <v>0</v>
      </c>
      <c r="M57" t="b">
        <f t="shared" si="6"/>
        <v>0</v>
      </c>
      <c r="N57" s="4">
        <f t="shared" si="7"/>
        <v>7.1</v>
      </c>
    </row>
    <row r="58" spans="1:14" x14ac:dyDescent="0.4">
      <c r="A58" s="1" t="s">
        <v>82</v>
      </c>
      <c r="B58" t="str">
        <f>Funds!A6</f>
        <v>Fund V</v>
      </c>
      <c r="C58" s="2">
        <v>53.7</v>
      </c>
      <c r="D58" s="2">
        <v>53.7</v>
      </c>
      <c r="E58" s="2">
        <v>131.69999999999999</v>
      </c>
      <c r="F58" s="2" t="b">
        <v>1</v>
      </c>
      <c r="G58" s="3">
        <f t="shared" si="0"/>
        <v>2.4525139664804465</v>
      </c>
      <c r="H58" t="b">
        <f t="shared" si="1"/>
        <v>0</v>
      </c>
      <c r="I58" t="b">
        <f t="shared" si="2"/>
        <v>0</v>
      </c>
      <c r="J58" t="b">
        <f t="shared" si="3"/>
        <v>0</v>
      </c>
      <c r="K58" t="b">
        <f t="shared" si="4"/>
        <v>0</v>
      </c>
      <c r="L58" t="b">
        <f t="shared" si="5"/>
        <v>1</v>
      </c>
      <c r="M58" t="b">
        <f t="shared" si="6"/>
        <v>0</v>
      </c>
      <c r="N58" s="4">
        <f t="shared" si="7"/>
        <v>0</v>
      </c>
    </row>
    <row r="59" spans="1:14" x14ac:dyDescent="0.4">
      <c r="A59" s="1" t="s">
        <v>83</v>
      </c>
      <c r="B59" t="str">
        <f>Funds!A6</f>
        <v>Fund V</v>
      </c>
      <c r="C59" s="2">
        <v>99.5</v>
      </c>
      <c r="D59" s="2">
        <v>99.5</v>
      </c>
      <c r="E59" s="2">
        <v>193.2</v>
      </c>
      <c r="F59" s="2" t="b">
        <v>1</v>
      </c>
      <c r="G59" s="3">
        <f t="shared" si="0"/>
        <v>1.9417085427135676</v>
      </c>
      <c r="H59" t="b">
        <f t="shared" si="1"/>
        <v>0</v>
      </c>
      <c r="I59" t="b">
        <f t="shared" si="2"/>
        <v>0</v>
      </c>
      <c r="J59" t="b">
        <f t="shared" si="3"/>
        <v>0</v>
      </c>
      <c r="K59" t="b">
        <f t="shared" si="4"/>
        <v>1</v>
      </c>
      <c r="L59" t="b">
        <f t="shared" si="5"/>
        <v>0</v>
      </c>
      <c r="M59" t="b">
        <f t="shared" si="6"/>
        <v>0</v>
      </c>
      <c r="N59" s="4">
        <f t="shared" si="7"/>
        <v>0</v>
      </c>
    </row>
    <row r="60" spans="1:14" x14ac:dyDescent="0.4">
      <c r="A60" s="1" t="s">
        <v>84</v>
      </c>
      <c r="B60" t="str">
        <f>Funds!A6</f>
        <v>Fund V</v>
      </c>
      <c r="C60" s="2">
        <v>86.2</v>
      </c>
      <c r="D60" s="2">
        <v>86.2</v>
      </c>
      <c r="E60" s="2">
        <v>337.9</v>
      </c>
      <c r="F60" s="2" t="b">
        <v>1</v>
      </c>
      <c r="G60" s="3">
        <f t="shared" si="0"/>
        <v>3.9199535962877028</v>
      </c>
      <c r="H60" t="b">
        <f t="shared" si="1"/>
        <v>0</v>
      </c>
      <c r="I60" t="b">
        <f t="shared" si="2"/>
        <v>0</v>
      </c>
      <c r="J60" t="b">
        <f t="shared" si="3"/>
        <v>0</v>
      </c>
      <c r="K60" t="b">
        <f t="shared" si="4"/>
        <v>0</v>
      </c>
      <c r="L60" t="b">
        <f t="shared" si="5"/>
        <v>0</v>
      </c>
      <c r="M60" t="b">
        <f t="shared" si="6"/>
        <v>1</v>
      </c>
      <c r="N60" s="4">
        <f t="shared" si="7"/>
        <v>0</v>
      </c>
    </row>
    <row r="61" spans="1:14" x14ac:dyDescent="0.4">
      <c r="A61" s="1" t="s">
        <v>85</v>
      </c>
      <c r="B61" t="str">
        <f>Funds!A6</f>
        <v>Fund V</v>
      </c>
      <c r="C61" s="2">
        <v>162.19999999999999</v>
      </c>
      <c r="D61" s="2">
        <v>162.19999999999999</v>
      </c>
      <c r="E61" s="2">
        <v>408.9</v>
      </c>
      <c r="F61" s="2" t="b">
        <v>1</v>
      </c>
      <c r="G61" s="3">
        <f t="shared" si="0"/>
        <v>2.5209617755856968</v>
      </c>
      <c r="H61" t="b">
        <f t="shared" si="1"/>
        <v>0</v>
      </c>
      <c r="I61" t="b">
        <f t="shared" si="2"/>
        <v>0</v>
      </c>
      <c r="J61" t="b">
        <f t="shared" si="3"/>
        <v>0</v>
      </c>
      <c r="K61" t="b">
        <f t="shared" si="4"/>
        <v>0</v>
      </c>
      <c r="L61" t="b">
        <f t="shared" si="5"/>
        <v>1</v>
      </c>
      <c r="M61" t="b">
        <f t="shared" si="6"/>
        <v>0</v>
      </c>
      <c r="N61" s="4">
        <f t="shared" si="7"/>
        <v>0</v>
      </c>
    </row>
    <row r="62" spans="1:14" x14ac:dyDescent="0.4">
      <c r="A62" s="1" t="s">
        <v>86</v>
      </c>
      <c r="B62" t="str">
        <f>Funds!A6</f>
        <v>Fund V</v>
      </c>
      <c r="C62" s="2">
        <v>13</v>
      </c>
      <c r="D62" s="2">
        <v>13</v>
      </c>
      <c r="E62" s="2">
        <v>29.6</v>
      </c>
      <c r="F62" s="2" t="b">
        <v>1</v>
      </c>
      <c r="G62" s="3">
        <f t="shared" si="0"/>
        <v>2.2769230769230768</v>
      </c>
      <c r="H62" t="b">
        <f t="shared" si="1"/>
        <v>0</v>
      </c>
      <c r="I62" t="b">
        <f t="shared" si="2"/>
        <v>0</v>
      </c>
      <c r="J62" t="b">
        <f t="shared" si="3"/>
        <v>0</v>
      </c>
      <c r="K62" t="b">
        <f t="shared" si="4"/>
        <v>0</v>
      </c>
      <c r="L62" t="b">
        <f t="shared" si="5"/>
        <v>1</v>
      </c>
      <c r="M62" t="b">
        <f t="shared" si="6"/>
        <v>0</v>
      </c>
      <c r="N62" s="4">
        <f t="shared" si="7"/>
        <v>0</v>
      </c>
    </row>
    <row r="63" spans="1:14" x14ac:dyDescent="0.4">
      <c r="A63" s="1" t="s">
        <v>87</v>
      </c>
      <c r="B63" t="str">
        <f>Funds!A6</f>
        <v>Fund V</v>
      </c>
      <c r="C63" s="2">
        <v>22.8</v>
      </c>
      <c r="D63" s="2">
        <v>22.8</v>
      </c>
      <c r="E63" s="2">
        <v>54.9</v>
      </c>
      <c r="F63" s="2" t="b">
        <v>1</v>
      </c>
      <c r="G63" s="3">
        <f t="shared" si="0"/>
        <v>2.4078947368421053</v>
      </c>
      <c r="H63" t="b">
        <f t="shared" si="1"/>
        <v>0</v>
      </c>
      <c r="I63" t="b">
        <f t="shared" si="2"/>
        <v>0</v>
      </c>
      <c r="J63" t="b">
        <f t="shared" si="3"/>
        <v>0</v>
      </c>
      <c r="K63" t="b">
        <f t="shared" si="4"/>
        <v>0</v>
      </c>
      <c r="L63" t="b">
        <f t="shared" si="5"/>
        <v>1</v>
      </c>
      <c r="M63" t="b">
        <f t="shared" si="6"/>
        <v>0</v>
      </c>
      <c r="N63" s="4">
        <f t="shared" si="7"/>
        <v>0</v>
      </c>
    </row>
    <row r="64" spans="1:14" x14ac:dyDescent="0.4">
      <c r="A64" s="1" t="s">
        <v>88</v>
      </c>
      <c r="B64" t="str">
        <f>Funds!A6</f>
        <v>Fund V</v>
      </c>
      <c r="C64" s="2">
        <v>27.3</v>
      </c>
      <c r="D64" s="2">
        <v>27.3</v>
      </c>
      <c r="E64" s="2">
        <v>35.299999999999997</v>
      </c>
      <c r="F64" s="2" t="b">
        <v>1</v>
      </c>
      <c r="G64" s="3">
        <f t="shared" si="0"/>
        <v>1.2930402930402929</v>
      </c>
      <c r="H64" t="b">
        <f t="shared" si="1"/>
        <v>0</v>
      </c>
      <c r="I64" t="b">
        <f t="shared" si="2"/>
        <v>0</v>
      </c>
      <c r="J64" t="b">
        <f t="shared" si="3"/>
        <v>0</v>
      </c>
      <c r="K64" t="b">
        <f t="shared" si="4"/>
        <v>1</v>
      </c>
      <c r="L64" t="b">
        <f t="shared" si="5"/>
        <v>0</v>
      </c>
      <c r="M64" t="b">
        <f t="shared" si="6"/>
        <v>0</v>
      </c>
      <c r="N64" s="4">
        <f t="shared" si="7"/>
        <v>0</v>
      </c>
    </row>
    <row r="65" spans="1:14" x14ac:dyDescent="0.4">
      <c r="A65" s="1" t="s">
        <v>89</v>
      </c>
      <c r="B65" t="str">
        <f>Funds!A6</f>
        <v>Fund V</v>
      </c>
      <c r="C65" s="2">
        <v>4.2</v>
      </c>
      <c r="D65" s="2">
        <v>4.2</v>
      </c>
      <c r="E65" s="2">
        <v>11.6</v>
      </c>
      <c r="F65" s="2" t="b">
        <v>1</v>
      </c>
      <c r="G65" s="3">
        <f t="shared" si="0"/>
        <v>2.7619047619047619</v>
      </c>
      <c r="H65" t="b">
        <f t="shared" si="1"/>
        <v>0</v>
      </c>
      <c r="I65" t="b">
        <f t="shared" si="2"/>
        <v>0</v>
      </c>
      <c r="J65" t="b">
        <f t="shared" si="3"/>
        <v>0</v>
      </c>
      <c r="K65" t="b">
        <f t="shared" si="4"/>
        <v>0</v>
      </c>
      <c r="L65" t="b">
        <f t="shared" si="5"/>
        <v>1</v>
      </c>
      <c r="M65" t="b">
        <f t="shared" si="6"/>
        <v>0</v>
      </c>
      <c r="N65" s="4">
        <f t="shared" si="7"/>
        <v>0</v>
      </c>
    </row>
    <row r="66" spans="1:14" x14ac:dyDescent="0.4">
      <c r="A66" s="1" t="s">
        <v>81</v>
      </c>
      <c r="B66" t="str">
        <f>Funds!A6</f>
        <v>Fund V</v>
      </c>
      <c r="C66" s="2">
        <v>6.6</v>
      </c>
      <c r="D66" s="2">
        <v>6.6</v>
      </c>
      <c r="E66" s="2">
        <v>13.4</v>
      </c>
      <c r="F66" s="2" t="b">
        <v>1</v>
      </c>
      <c r="G66" s="3">
        <f t="shared" ref="G66:G129" si="8">E66/D66</f>
        <v>2.0303030303030303</v>
      </c>
      <c r="H66" t="b">
        <f t="shared" ref="H66:H129" si="9">G66=0</f>
        <v>0</v>
      </c>
      <c r="I66" t="b">
        <f t="shared" ref="I66:I129" si="10">AND(G66&gt;0, G66&lt;1)</f>
        <v>0</v>
      </c>
      <c r="J66" t="b">
        <f t="shared" ref="J66:J129" si="11">G66=1</f>
        <v>0</v>
      </c>
      <c r="K66" t="b">
        <f t="shared" ref="K66:K129" si="12">AND(G66&gt;1, G66&lt;2)</f>
        <v>0</v>
      </c>
      <c r="L66" t="b">
        <f t="shared" ref="L66:L129" si="13">AND(G66&gt;=2, G66&lt;3)</f>
        <v>1</v>
      </c>
      <c r="M66" t="b">
        <f t="shared" ref="M66:M129" si="14">G66&gt;3</f>
        <v>0</v>
      </c>
      <c r="N66" s="4">
        <f t="shared" ref="N66:N129" si="15">IF(OR(H66, I66), -D66 * (G66 - 1), 0)</f>
        <v>0</v>
      </c>
    </row>
    <row r="67" spans="1:14" x14ac:dyDescent="0.4">
      <c r="A67" s="1" t="s">
        <v>90</v>
      </c>
      <c r="B67" t="str">
        <f>Funds!A6</f>
        <v>Fund V</v>
      </c>
      <c r="C67" s="2">
        <v>9</v>
      </c>
      <c r="D67" s="2">
        <v>9</v>
      </c>
      <c r="E67" s="2">
        <v>3.3</v>
      </c>
      <c r="F67" s="2" t="b">
        <v>1</v>
      </c>
      <c r="G67" s="3">
        <f t="shared" si="8"/>
        <v>0.36666666666666664</v>
      </c>
      <c r="H67" t="b">
        <f t="shared" si="9"/>
        <v>0</v>
      </c>
      <c r="I67" t="b">
        <f t="shared" si="10"/>
        <v>1</v>
      </c>
      <c r="J67" t="b">
        <f t="shared" si="11"/>
        <v>0</v>
      </c>
      <c r="K67" t="b">
        <f t="shared" si="12"/>
        <v>0</v>
      </c>
      <c r="L67" t="b">
        <f t="shared" si="13"/>
        <v>0</v>
      </c>
      <c r="M67" t="b">
        <f t="shared" si="14"/>
        <v>0</v>
      </c>
      <c r="N67" s="4">
        <f t="shared" si="15"/>
        <v>5.6999999999999993</v>
      </c>
    </row>
    <row r="68" spans="1:14" x14ac:dyDescent="0.4">
      <c r="A68" s="1" t="s">
        <v>91</v>
      </c>
      <c r="B68" t="str">
        <f>Funds!A6</f>
        <v>Fund V</v>
      </c>
      <c r="C68" s="2">
        <v>21.9</v>
      </c>
      <c r="D68" s="2">
        <v>21.9</v>
      </c>
      <c r="E68" s="2">
        <v>24.7</v>
      </c>
      <c r="F68" s="2" t="b">
        <v>1</v>
      </c>
      <c r="G68" s="3">
        <f t="shared" si="8"/>
        <v>1.1278538812785388</v>
      </c>
      <c r="H68" t="b">
        <f t="shared" si="9"/>
        <v>0</v>
      </c>
      <c r="I68" t="b">
        <f t="shared" si="10"/>
        <v>0</v>
      </c>
      <c r="J68" t="b">
        <f t="shared" si="11"/>
        <v>0</v>
      </c>
      <c r="K68" t="b">
        <f t="shared" si="12"/>
        <v>1</v>
      </c>
      <c r="L68" t="b">
        <f t="shared" si="13"/>
        <v>0</v>
      </c>
      <c r="M68" t="b">
        <f t="shared" si="14"/>
        <v>0</v>
      </c>
      <c r="N68" s="4">
        <f t="shared" si="15"/>
        <v>0</v>
      </c>
    </row>
    <row r="69" spans="1:14" x14ac:dyDescent="0.4">
      <c r="A69" s="1" t="s">
        <v>92</v>
      </c>
      <c r="B69" t="str">
        <f>Funds!A6</f>
        <v>Fund V</v>
      </c>
      <c r="C69" s="2">
        <v>15.9</v>
      </c>
      <c r="D69" s="2">
        <v>15.9</v>
      </c>
      <c r="E69" s="2">
        <v>78.8</v>
      </c>
      <c r="F69" s="2" t="b">
        <v>1</v>
      </c>
      <c r="G69" s="3">
        <f t="shared" si="8"/>
        <v>4.9559748427672954</v>
      </c>
      <c r="H69" t="b">
        <f t="shared" si="9"/>
        <v>0</v>
      </c>
      <c r="I69" t="b">
        <f t="shared" si="10"/>
        <v>0</v>
      </c>
      <c r="J69" t="b">
        <f t="shared" si="11"/>
        <v>0</v>
      </c>
      <c r="K69" t="b">
        <f t="shared" si="12"/>
        <v>0</v>
      </c>
      <c r="L69" t="b">
        <f t="shared" si="13"/>
        <v>0</v>
      </c>
      <c r="M69" t="b">
        <f t="shared" si="14"/>
        <v>1</v>
      </c>
      <c r="N69" s="4">
        <f t="shared" si="15"/>
        <v>0</v>
      </c>
    </row>
    <row r="70" spans="1:14" x14ac:dyDescent="0.4">
      <c r="A70" s="1" t="s">
        <v>93</v>
      </c>
      <c r="B70" t="str">
        <f>Funds!A6</f>
        <v>Fund V</v>
      </c>
      <c r="C70" s="2">
        <v>6</v>
      </c>
      <c r="D70" s="2">
        <v>6</v>
      </c>
      <c r="E70" s="2">
        <v>16.7</v>
      </c>
      <c r="F70" s="2" t="b">
        <v>1</v>
      </c>
      <c r="G70" s="3">
        <f t="shared" si="8"/>
        <v>2.7833333333333332</v>
      </c>
      <c r="H70" t="b">
        <f t="shared" si="9"/>
        <v>0</v>
      </c>
      <c r="I70" t="b">
        <f t="shared" si="10"/>
        <v>0</v>
      </c>
      <c r="J70" t="b">
        <f t="shared" si="11"/>
        <v>0</v>
      </c>
      <c r="K70" t="b">
        <f t="shared" si="12"/>
        <v>0</v>
      </c>
      <c r="L70" t="b">
        <f t="shared" si="13"/>
        <v>1</v>
      </c>
      <c r="M70" t="b">
        <f t="shared" si="14"/>
        <v>0</v>
      </c>
      <c r="N70" s="4">
        <f t="shared" si="15"/>
        <v>0</v>
      </c>
    </row>
    <row r="71" spans="1:14" x14ac:dyDescent="0.4">
      <c r="A71" s="1" t="s">
        <v>94</v>
      </c>
      <c r="B71" t="str">
        <f>Funds!A6</f>
        <v>Fund V</v>
      </c>
      <c r="C71" s="2">
        <v>33.700000000000003</v>
      </c>
      <c r="D71" s="2">
        <v>33.700000000000003</v>
      </c>
      <c r="E71" s="2">
        <v>56.7</v>
      </c>
      <c r="F71" s="2" t="b">
        <v>1</v>
      </c>
      <c r="G71" s="3">
        <f t="shared" si="8"/>
        <v>1.6824925816023739</v>
      </c>
      <c r="H71" t="b">
        <f t="shared" si="9"/>
        <v>0</v>
      </c>
      <c r="I71" t="b">
        <f t="shared" si="10"/>
        <v>0</v>
      </c>
      <c r="J71" t="b">
        <f t="shared" si="11"/>
        <v>0</v>
      </c>
      <c r="K71" t="b">
        <f t="shared" si="12"/>
        <v>1</v>
      </c>
      <c r="L71" t="b">
        <f t="shared" si="13"/>
        <v>0</v>
      </c>
      <c r="M71" t="b">
        <f t="shared" si="14"/>
        <v>0</v>
      </c>
      <c r="N71" s="4">
        <f t="shared" si="15"/>
        <v>0</v>
      </c>
    </row>
    <row r="72" spans="1:14" x14ac:dyDescent="0.4">
      <c r="A72" s="1" t="s">
        <v>95</v>
      </c>
      <c r="B72" t="str">
        <f>Funds!A6</f>
        <v>Fund V</v>
      </c>
      <c r="C72" s="2">
        <v>29.2</v>
      </c>
      <c r="D72" s="2">
        <v>29.2</v>
      </c>
      <c r="E72" s="2">
        <v>4.7</v>
      </c>
      <c r="F72" s="2" t="b">
        <v>1</v>
      </c>
      <c r="G72" s="3">
        <f t="shared" si="8"/>
        <v>0.16095890410958905</v>
      </c>
      <c r="H72" t="b">
        <f t="shared" si="9"/>
        <v>0</v>
      </c>
      <c r="I72" t="b">
        <f t="shared" si="10"/>
        <v>1</v>
      </c>
      <c r="J72" t="b">
        <f t="shared" si="11"/>
        <v>0</v>
      </c>
      <c r="K72" t="b">
        <f t="shared" si="12"/>
        <v>0</v>
      </c>
      <c r="L72" t="b">
        <f t="shared" si="13"/>
        <v>0</v>
      </c>
      <c r="M72" t="b">
        <f t="shared" si="14"/>
        <v>0</v>
      </c>
      <c r="N72" s="4">
        <f t="shared" si="15"/>
        <v>24.5</v>
      </c>
    </row>
    <row r="73" spans="1:14" x14ac:dyDescent="0.4">
      <c r="A73" s="1" t="s">
        <v>96</v>
      </c>
      <c r="B73" t="str">
        <f>Funds!A6</f>
        <v>Fund V</v>
      </c>
      <c r="C73" s="2">
        <v>32.200000000000003</v>
      </c>
      <c r="D73" s="2">
        <v>32.200000000000003</v>
      </c>
      <c r="E73" s="2">
        <v>90.5</v>
      </c>
      <c r="F73" s="2" t="b">
        <v>1</v>
      </c>
      <c r="G73" s="3">
        <f t="shared" si="8"/>
        <v>2.81055900621118</v>
      </c>
      <c r="H73" t="b">
        <f t="shared" si="9"/>
        <v>0</v>
      </c>
      <c r="I73" t="b">
        <f t="shared" si="10"/>
        <v>0</v>
      </c>
      <c r="J73" t="b">
        <f t="shared" si="11"/>
        <v>0</v>
      </c>
      <c r="K73" t="b">
        <f t="shared" si="12"/>
        <v>0</v>
      </c>
      <c r="L73" t="b">
        <f t="shared" si="13"/>
        <v>1</v>
      </c>
      <c r="M73" t="b">
        <f t="shared" si="14"/>
        <v>0</v>
      </c>
      <c r="N73" s="4">
        <f t="shared" si="15"/>
        <v>0</v>
      </c>
    </row>
    <row r="74" spans="1:14" x14ac:dyDescent="0.4">
      <c r="A74" s="1" t="s">
        <v>97</v>
      </c>
      <c r="B74" t="str">
        <f>Funds!A6</f>
        <v>Fund V</v>
      </c>
      <c r="C74" s="2">
        <v>7.5</v>
      </c>
      <c r="D74" s="2">
        <v>7.5</v>
      </c>
      <c r="E74" s="2">
        <v>21.4</v>
      </c>
      <c r="F74" s="2" t="b">
        <v>1</v>
      </c>
      <c r="G74" s="3">
        <f t="shared" si="8"/>
        <v>2.8533333333333331</v>
      </c>
      <c r="H74" t="b">
        <f t="shared" si="9"/>
        <v>0</v>
      </c>
      <c r="I74" t="b">
        <f t="shared" si="10"/>
        <v>0</v>
      </c>
      <c r="J74" t="b">
        <f t="shared" si="11"/>
        <v>0</v>
      </c>
      <c r="K74" t="b">
        <f t="shared" si="12"/>
        <v>0</v>
      </c>
      <c r="L74" t="b">
        <f t="shared" si="13"/>
        <v>1</v>
      </c>
      <c r="M74" t="b">
        <f t="shared" si="14"/>
        <v>0</v>
      </c>
      <c r="N74" s="4">
        <f t="shared" si="15"/>
        <v>0</v>
      </c>
    </row>
    <row r="75" spans="1:14" x14ac:dyDescent="0.4">
      <c r="A75" s="1" t="s">
        <v>98</v>
      </c>
      <c r="B75" t="str">
        <f>Funds!A6</f>
        <v>Fund V</v>
      </c>
      <c r="C75" s="2">
        <v>50.3</v>
      </c>
      <c r="D75" s="2">
        <v>50.3</v>
      </c>
      <c r="E75" s="2">
        <v>145.9</v>
      </c>
      <c r="F75" s="2" t="b">
        <v>1</v>
      </c>
      <c r="G75" s="3">
        <f t="shared" si="8"/>
        <v>2.9005964214711732</v>
      </c>
      <c r="H75" t="b">
        <f t="shared" si="9"/>
        <v>0</v>
      </c>
      <c r="I75" t="b">
        <f t="shared" si="10"/>
        <v>0</v>
      </c>
      <c r="J75" t="b">
        <f t="shared" si="11"/>
        <v>0</v>
      </c>
      <c r="K75" t="b">
        <f t="shared" si="12"/>
        <v>0</v>
      </c>
      <c r="L75" t="b">
        <f t="shared" si="13"/>
        <v>1</v>
      </c>
      <c r="M75" t="b">
        <f t="shared" si="14"/>
        <v>0</v>
      </c>
      <c r="N75" s="4">
        <f t="shared" si="15"/>
        <v>0</v>
      </c>
    </row>
    <row r="76" spans="1:14" x14ac:dyDescent="0.4">
      <c r="A76" s="1" t="s">
        <v>99</v>
      </c>
      <c r="B76" t="str">
        <f>Funds!A6</f>
        <v>Fund V</v>
      </c>
      <c r="C76" s="2">
        <v>22.5</v>
      </c>
      <c r="D76" s="2">
        <v>22.5</v>
      </c>
      <c r="E76" s="2">
        <v>47.7</v>
      </c>
      <c r="F76" s="2" t="b">
        <v>1</v>
      </c>
      <c r="G76" s="3">
        <f t="shared" si="8"/>
        <v>2.12</v>
      </c>
      <c r="H76" t="b">
        <f t="shared" si="9"/>
        <v>0</v>
      </c>
      <c r="I76" t="b">
        <f t="shared" si="10"/>
        <v>0</v>
      </c>
      <c r="J76" t="b">
        <f t="shared" si="11"/>
        <v>0</v>
      </c>
      <c r="K76" t="b">
        <f t="shared" si="12"/>
        <v>0</v>
      </c>
      <c r="L76" t="b">
        <f t="shared" si="13"/>
        <v>1</v>
      </c>
      <c r="M76" t="b">
        <f t="shared" si="14"/>
        <v>0</v>
      </c>
      <c r="N76" s="4">
        <f t="shared" si="15"/>
        <v>0</v>
      </c>
    </row>
    <row r="77" spans="1:14" x14ac:dyDescent="0.4">
      <c r="A77" s="1" t="s">
        <v>100</v>
      </c>
      <c r="B77" t="str">
        <f>Funds!A6</f>
        <v>Fund V</v>
      </c>
      <c r="C77" s="2">
        <v>47</v>
      </c>
      <c r="D77" s="2">
        <v>47</v>
      </c>
      <c r="E77" s="2">
        <v>75.099999999999994</v>
      </c>
      <c r="F77" s="2" t="b">
        <v>1</v>
      </c>
      <c r="G77" s="3">
        <f t="shared" si="8"/>
        <v>1.5978723404255317</v>
      </c>
      <c r="H77" t="b">
        <f t="shared" si="9"/>
        <v>0</v>
      </c>
      <c r="I77" t="b">
        <f t="shared" si="10"/>
        <v>0</v>
      </c>
      <c r="J77" t="b">
        <f t="shared" si="11"/>
        <v>0</v>
      </c>
      <c r="K77" t="b">
        <f t="shared" si="12"/>
        <v>1</v>
      </c>
      <c r="L77" t="b">
        <f t="shared" si="13"/>
        <v>0</v>
      </c>
      <c r="M77" t="b">
        <f t="shared" si="14"/>
        <v>0</v>
      </c>
      <c r="N77" s="4">
        <f t="shared" si="15"/>
        <v>0</v>
      </c>
    </row>
    <row r="78" spans="1:14" x14ac:dyDescent="0.4">
      <c r="A78" s="1" t="s">
        <v>101</v>
      </c>
      <c r="B78" t="str">
        <f>Funds!A6</f>
        <v>Fund V</v>
      </c>
      <c r="C78" s="2">
        <v>12.7</v>
      </c>
      <c r="D78" s="2">
        <v>12.7</v>
      </c>
      <c r="E78" s="2">
        <v>12.7</v>
      </c>
      <c r="F78" s="2" t="b">
        <v>1</v>
      </c>
      <c r="G78" s="3">
        <f t="shared" si="8"/>
        <v>1</v>
      </c>
      <c r="H78" t="b">
        <f t="shared" si="9"/>
        <v>0</v>
      </c>
      <c r="I78" t="b">
        <f t="shared" si="10"/>
        <v>0</v>
      </c>
      <c r="J78" t="b">
        <f t="shared" si="11"/>
        <v>1</v>
      </c>
      <c r="K78" t="b">
        <f t="shared" si="12"/>
        <v>0</v>
      </c>
      <c r="L78" t="b">
        <f t="shared" si="13"/>
        <v>0</v>
      </c>
      <c r="M78" t="b">
        <f t="shared" si="14"/>
        <v>0</v>
      </c>
      <c r="N78" s="4">
        <f t="shared" si="15"/>
        <v>0</v>
      </c>
    </row>
    <row r="79" spans="1:14" x14ac:dyDescent="0.4">
      <c r="A79" s="1" t="s">
        <v>102</v>
      </c>
      <c r="B79" t="str">
        <f>Funds!A6</f>
        <v>Fund V</v>
      </c>
      <c r="C79" s="2">
        <v>35.1</v>
      </c>
      <c r="D79" s="2">
        <v>35.1</v>
      </c>
      <c r="E79" s="2">
        <v>70.3</v>
      </c>
      <c r="F79" s="2" t="b">
        <v>1</v>
      </c>
      <c r="G79" s="3">
        <f t="shared" si="8"/>
        <v>2.0028490028490027</v>
      </c>
      <c r="H79" t="b">
        <f t="shared" si="9"/>
        <v>0</v>
      </c>
      <c r="I79" t="b">
        <f t="shared" si="10"/>
        <v>0</v>
      </c>
      <c r="J79" t="b">
        <f t="shared" si="11"/>
        <v>0</v>
      </c>
      <c r="K79" t="b">
        <f t="shared" si="12"/>
        <v>0</v>
      </c>
      <c r="L79" t="b">
        <f t="shared" si="13"/>
        <v>1</v>
      </c>
      <c r="M79" t="b">
        <f t="shared" si="14"/>
        <v>0</v>
      </c>
      <c r="N79" s="4">
        <f t="shared" si="15"/>
        <v>0</v>
      </c>
    </row>
    <row r="80" spans="1:14" x14ac:dyDescent="0.4">
      <c r="A80" s="1" t="s">
        <v>103</v>
      </c>
      <c r="B80" t="str">
        <f>Funds!A6</f>
        <v>Fund V</v>
      </c>
      <c r="C80" s="2">
        <v>1.5</v>
      </c>
      <c r="D80" s="2">
        <v>1.5</v>
      </c>
      <c r="E80" s="2">
        <v>2.5</v>
      </c>
      <c r="F80" s="2" t="b">
        <v>1</v>
      </c>
      <c r="G80" s="3">
        <f t="shared" si="8"/>
        <v>1.6666666666666667</v>
      </c>
      <c r="H80" t="b">
        <f t="shared" si="9"/>
        <v>0</v>
      </c>
      <c r="I80" t="b">
        <f t="shared" si="10"/>
        <v>0</v>
      </c>
      <c r="J80" t="b">
        <f t="shared" si="11"/>
        <v>0</v>
      </c>
      <c r="K80" t="b">
        <f t="shared" si="12"/>
        <v>1</v>
      </c>
      <c r="L80" t="b">
        <f t="shared" si="13"/>
        <v>0</v>
      </c>
      <c r="M80" t="b">
        <f t="shared" si="14"/>
        <v>0</v>
      </c>
      <c r="N80" s="4">
        <f t="shared" si="15"/>
        <v>0</v>
      </c>
    </row>
    <row r="81" spans="1:14" x14ac:dyDescent="0.4">
      <c r="A81" s="1" t="s">
        <v>104</v>
      </c>
      <c r="B81" t="str">
        <f>Funds!A6</f>
        <v>Fund V</v>
      </c>
      <c r="C81" s="2">
        <v>39.4</v>
      </c>
      <c r="D81" s="2">
        <v>39.4</v>
      </c>
      <c r="E81" s="2">
        <v>64</v>
      </c>
      <c r="F81" s="2" t="b">
        <v>1</v>
      </c>
      <c r="G81" s="3">
        <f t="shared" si="8"/>
        <v>1.6243654822335025</v>
      </c>
      <c r="H81" t="b">
        <f t="shared" si="9"/>
        <v>0</v>
      </c>
      <c r="I81" t="b">
        <f t="shared" si="10"/>
        <v>0</v>
      </c>
      <c r="J81" t="b">
        <f t="shared" si="11"/>
        <v>0</v>
      </c>
      <c r="K81" t="b">
        <f t="shared" si="12"/>
        <v>1</v>
      </c>
      <c r="L81" t="b">
        <f t="shared" si="13"/>
        <v>0</v>
      </c>
      <c r="M81" t="b">
        <f t="shared" si="14"/>
        <v>0</v>
      </c>
      <c r="N81" s="4">
        <f t="shared" si="15"/>
        <v>0</v>
      </c>
    </row>
    <row r="82" spans="1:14" x14ac:dyDescent="0.4">
      <c r="A82" s="1" t="s">
        <v>105</v>
      </c>
      <c r="B82" t="str">
        <f>Funds!A6</f>
        <v>Fund V</v>
      </c>
      <c r="C82" s="2">
        <v>57</v>
      </c>
      <c r="D82" s="2">
        <v>57</v>
      </c>
      <c r="E82" s="2">
        <v>1.1000000000000001</v>
      </c>
      <c r="F82" s="2" t="b">
        <v>1</v>
      </c>
      <c r="G82" s="3">
        <f t="shared" si="8"/>
        <v>1.9298245614035089E-2</v>
      </c>
      <c r="H82" t="b">
        <f t="shared" si="9"/>
        <v>0</v>
      </c>
      <c r="I82" t="b">
        <f t="shared" si="10"/>
        <v>1</v>
      </c>
      <c r="J82" t="b">
        <f t="shared" si="11"/>
        <v>0</v>
      </c>
      <c r="K82" t="b">
        <f t="shared" si="12"/>
        <v>0</v>
      </c>
      <c r="L82" t="b">
        <f t="shared" si="13"/>
        <v>0</v>
      </c>
      <c r="M82" t="b">
        <f t="shared" si="14"/>
        <v>0</v>
      </c>
      <c r="N82" s="4">
        <f t="shared" si="15"/>
        <v>55.900000000000006</v>
      </c>
    </row>
    <row r="83" spans="1:14" x14ac:dyDescent="0.4">
      <c r="A83" s="1" t="s">
        <v>76</v>
      </c>
      <c r="B83" t="str">
        <f>Funds!A6</f>
        <v>Fund V</v>
      </c>
      <c r="C83" s="2">
        <v>10.199999999999999</v>
      </c>
      <c r="D83" s="2">
        <v>10.199999999999999</v>
      </c>
      <c r="E83" s="2">
        <v>35.200000000000003</v>
      </c>
      <c r="F83" s="2" t="b">
        <v>1</v>
      </c>
      <c r="G83" s="3">
        <f t="shared" si="8"/>
        <v>3.4509803921568634</v>
      </c>
      <c r="H83" t="b">
        <f t="shared" si="9"/>
        <v>0</v>
      </c>
      <c r="I83" t="b">
        <f t="shared" si="10"/>
        <v>0</v>
      </c>
      <c r="J83" t="b">
        <f t="shared" si="11"/>
        <v>0</v>
      </c>
      <c r="K83" t="b">
        <f t="shared" si="12"/>
        <v>0</v>
      </c>
      <c r="L83" t="b">
        <f t="shared" si="13"/>
        <v>0</v>
      </c>
      <c r="M83" t="b">
        <f t="shared" si="14"/>
        <v>1</v>
      </c>
      <c r="N83" s="4">
        <f t="shared" si="15"/>
        <v>0</v>
      </c>
    </row>
    <row r="84" spans="1:14" x14ac:dyDescent="0.4">
      <c r="A84" s="1" t="s">
        <v>106</v>
      </c>
      <c r="B84" t="str">
        <f>Funds!A6</f>
        <v>Fund V</v>
      </c>
      <c r="C84" s="2">
        <v>6.7</v>
      </c>
      <c r="D84" s="2">
        <v>6.7</v>
      </c>
      <c r="E84" s="2">
        <v>0.6</v>
      </c>
      <c r="F84" s="2" t="b">
        <v>1</v>
      </c>
      <c r="G84" s="3">
        <f t="shared" si="8"/>
        <v>8.9552238805970144E-2</v>
      </c>
      <c r="H84" t="b">
        <f t="shared" si="9"/>
        <v>0</v>
      </c>
      <c r="I84" t="b">
        <f t="shared" si="10"/>
        <v>1</v>
      </c>
      <c r="J84" t="b">
        <f t="shared" si="11"/>
        <v>0</v>
      </c>
      <c r="K84" t="b">
        <f t="shared" si="12"/>
        <v>0</v>
      </c>
      <c r="L84" t="b">
        <f t="shared" si="13"/>
        <v>0</v>
      </c>
      <c r="M84" t="b">
        <f t="shared" si="14"/>
        <v>0</v>
      </c>
      <c r="N84" s="4">
        <f t="shared" si="15"/>
        <v>6.1</v>
      </c>
    </row>
    <row r="85" spans="1:14" x14ac:dyDescent="0.4">
      <c r="A85" s="1" t="s">
        <v>107</v>
      </c>
      <c r="B85" t="str">
        <f>Funds!A7</f>
        <v>Fund VI</v>
      </c>
      <c r="C85" s="2">
        <v>27.6</v>
      </c>
      <c r="D85" s="2">
        <v>27.6</v>
      </c>
      <c r="E85" s="2">
        <v>38.700000000000003</v>
      </c>
      <c r="F85" s="2" t="b">
        <v>1</v>
      </c>
      <c r="G85" s="3">
        <f t="shared" si="8"/>
        <v>1.4021739130434783</v>
      </c>
      <c r="H85" t="b">
        <f t="shared" si="9"/>
        <v>0</v>
      </c>
      <c r="I85" t="b">
        <f t="shared" si="10"/>
        <v>0</v>
      </c>
      <c r="J85" t="b">
        <f t="shared" si="11"/>
        <v>0</v>
      </c>
      <c r="K85" t="b">
        <f t="shared" si="12"/>
        <v>1</v>
      </c>
      <c r="L85" t="b">
        <f t="shared" si="13"/>
        <v>0</v>
      </c>
      <c r="M85" t="b">
        <f t="shared" si="14"/>
        <v>0</v>
      </c>
      <c r="N85" s="4">
        <f t="shared" si="15"/>
        <v>0</v>
      </c>
    </row>
    <row r="86" spans="1:14" x14ac:dyDescent="0.4">
      <c r="A86" s="1" t="s">
        <v>108</v>
      </c>
      <c r="B86" t="str">
        <f>Funds!A7</f>
        <v>Fund VI</v>
      </c>
      <c r="C86" s="2">
        <v>51.7</v>
      </c>
      <c r="D86" s="2">
        <v>51.7</v>
      </c>
      <c r="E86" s="2">
        <v>86.7</v>
      </c>
      <c r="F86" s="2" t="b">
        <v>1</v>
      </c>
      <c r="G86" s="3">
        <f t="shared" si="8"/>
        <v>1.6769825918762089</v>
      </c>
      <c r="H86" t="b">
        <f t="shared" si="9"/>
        <v>0</v>
      </c>
      <c r="I86" t="b">
        <f t="shared" si="10"/>
        <v>0</v>
      </c>
      <c r="J86" t="b">
        <f t="shared" si="11"/>
        <v>0</v>
      </c>
      <c r="K86" t="b">
        <f t="shared" si="12"/>
        <v>1</v>
      </c>
      <c r="L86" t="b">
        <f t="shared" si="13"/>
        <v>0</v>
      </c>
      <c r="M86" t="b">
        <f t="shared" si="14"/>
        <v>0</v>
      </c>
      <c r="N86" s="4">
        <f t="shared" si="15"/>
        <v>0</v>
      </c>
    </row>
    <row r="87" spans="1:14" x14ac:dyDescent="0.4">
      <c r="A87" s="1" t="s">
        <v>109</v>
      </c>
      <c r="B87" t="str">
        <f>Funds!A7</f>
        <v>Fund VI</v>
      </c>
      <c r="C87" s="2">
        <v>50</v>
      </c>
      <c r="D87" s="2">
        <v>50</v>
      </c>
      <c r="E87" s="2">
        <v>330.2</v>
      </c>
      <c r="F87" s="2" t="b">
        <v>1</v>
      </c>
      <c r="G87" s="3">
        <f t="shared" si="8"/>
        <v>6.6040000000000001</v>
      </c>
      <c r="H87" t="b">
        <f t="shared" si="9"/>
        <v>0</v>
      </c>
      <c r="I87" t="b">
        <f t="shared" si="10"/>
        <v>0</v>
      </c>
      <c r="J87" t="b">
        <f t="shared" si="11"/>
        <v>0</v>
      </c>
      <c r="K87" t="b">
        <f t="shared" si="12"/>
        <v>0</v>
      </c>
      <c r="L87" t="b">
        <f t="shared" si="13"/>
        <v>0</v>
      </c>
      <c r="M87" t="b">
        <f t="shared" si="14"/>
        <v>1</v>
      </c>
      <c r="N87" s="4">
        <f t="shared" si="15"/>
        <v>0</v>
      </c>
    </row>
    <row r="88" spans="1:14" x14ac:dyDescent="0.4">
      <c r="A88" s="1" t="s">
        <v>110</v>
      </c>
      <c r="B88" t="str">
        <f>Funds!A7</f>
        <v>Fund VI</v>
      </c>
      <c r="C88" s="2">
        <v>25.7</v>
      </c>
      <c r="D88" s="2">
        <v>25.7</v>
      </c>
      <c r="E88" s="2">
        <v>44.2</v>
      </c>
      <c r="F88" s="2" t="b">
        <v>1</v>
      </c>
      <c r="G88" s="3">
        <f t="shared" si="8"/>
        <v>1.7198443579766538</v>
      </c>
      <c r="H88" t="b">
        <f t="shared" si="9"/>
        <v>0</v>
      </c>
      <c r="I88" t="b">
        <f t="shared" si="10"/>
        <v>0</v>
      </c>
      <c r="J88" t="b">
        <f t="shared" si="11"/>
        <v>0</v>
      </c>
      <c r="K88" t="b">
        <f t="shared" si="12"/>
        <v>1</v>
      </c>
      <c r="L88" t="b">
        <f t="shared" si="13"/>
        <v>0</v>
      </c>
      <c r="M88" t="b">
        <f t="shared" si="14"/>
        <v>0</v>
      </c>
      <c r="N88" s="4">
        <f t="shared" si="15"/>
        <v>0</v>
      </c>
    </row>
    <row r="89" spans="1:14" x14ac:dyDescent="0.4">
      <c r="A89" s="1" t="s">
        <v>93</v>
      </c>
      <c r="B89" t="str">
        <f>Funds!A7</f>
        <v>Fund VI</v>
      </c>
      <c r="C89" s="2">
        <v>12</v>
      </c>
      <c r="D89" s="2">
        <v>12</v>
      </c>
      <c r="E89" s="2">
        <v>21.1</v>
      </c>
      <c r="F89" s="2" t="b">
        <v>1</v>
      </c>
      <c r="G89" s="3">
        <f t="shared" si="8"/>
        <v>1.7583333333333335</v>
      </c>
      <c r="H89" t="b">
        <f t="shared" si="9"/>
        <v>0</v>
      </c>
      <c r="I89" t="b">
        <f t="shared" si="10"/>
        <v>0</v>
      </c>
      <c r="J89" t="b">
        <f t="shared" si="11"/>
        <v>0</v>
      </c>
      <c r="K89" t="b">
        <f t="shared" si="12"/>
        <v>1</v>
      </c>
      <c r="L89" t="b">
        <f t="shared" si="13"/>
        <v>0</v>
      </c>
      <c r="M89" t="b">
        <f t="shared" si="14"/>
        <v>0</v>
      </c>
      <c r="N89" s="4">
        <f t="shared" si="15"/>
        <v>0</v>
      </c>
    </row>
    <row r="90" spans="1:14" x14ac:dyDescent="0.4">
      <c r="A90" s="1" t="s">
        <v>111</v>
      </c>
      <c r="B90" t="str">
        <f>Funds!A7</f>
        <v>Fund VI</v>
      </c>
      <c r="C90" s="2">
        <v>77.900000000000006</v>
      </c>
      <c r="D90" s="2">
        <v>77.900000000000006</v>
      </c>
      <c r="E90" s="2">
        <v>85.6</v>
      </c>
      <c r="F90" s="2" t="b">
        <v>1</v>
      </c>
      <c r="G90" s="3">
        <f t="shared" si="8"/>
        <v>1.0988446726572527</v>
      </c>
      <c r="H90" t="b">
        <f t="shared" si="9"/>
        <v>0</v>
      </c>
      <c r="I90" t="b">
        <f t="shared" si="10"/>
        <v>0</v>
      </c>
      <c r="J90" t="b">
        <f t="shared" si="11"/>
        <v>0</v>
      </c>
      <c r="K90" t="b">
        <f t="shared" si="12"/>
        <v>1</v>
      </c>
      <c r="L90" t="b">
        <f t="shared" si="13"/>
        <v>0</v>
      </c>
      <c r="M90" t="b">
        <f t="shared" si="14"/>
        <v>0</v>
      </c>
      <c r="N90" s="4">
        <f t="shared" si="15"/>
        <v>0</v>
      </c>
    </row>
    <row r="91" spans="1:14" x14ac:dyDescent="0.4">
      <c r="A91" s="1" t="s">
        <v>112</v>
      </c>
      <c r="B91" t="str">
        <f>Funds!A7</f>
        <v>Fund VI</v>
      </c>
      <c r="C91" s="2">
        <v>135.80000000000001</v>
      </c>
      <c r="D91" s="2">
        <v>135.80000000000001</v>
      </c>
      <c r="E91" s="2">
        <v>368</v>
      </c>
      <c r="F91" s="2" t="b">
        <v>1</v>
      </c>
      <c r="G91" s="3">
        <f t="shared" si="8"/>
        <v>2.7098674521354931</v>
      </c>
      <c r="H91" t="b">
        <f t="shared" si="9"/>
        <v>0</v>
      </c>
      <c r="I91" t="b">
        <f t="shared" si="10"/>
        <v>0</v>
      </c>
      <c r="J91" t="b">
        <f t="shared" si="11"/>
        <v>0</v>
      </c>
      <c r="K91" t="b">
        <f t="shared" si="12"/>
        <v>0</v>
      </c>
      <c r="L91" t="b">
        <f t="shared" si="13"/>
        <v>1</v>
      </c>
      <c r="M91" t="b">
        <f t="shared" si="14"/>
        <v>0</v>
      </c>
      <c r="N91" s="4">
        <f t="shared" si="15"/>
        <v>0</v>
      </c>
    </row>
    <row r="92" spans="1:14" x14ac:dyDescent="0.4">
      <c r="A92" s="1" t="s">
        <v>106</v>
      </c>
      <c r="B92" t="str">
        <f>Funds!A7</f>
        <v>Fund VI</v>
      </c>
      <c r="C92" s="2">
        <v>55.7</v>
      </c>
      <c r="D92" s="2">
        <v>55.7</v>
      </c>
      <c r="E92" s="2">
        <v>2.5</v>
      </c>
      <c r="F92" s="2" t="b">
        <v>1</v>
      </c>
      <c r="G92" s="3">
        <f t="shared" si="8"/>
        <v>4.4883303411131059E-2</v>
      </c>
      <c r="H92" t="b">
        <f t="shared" si="9"/>
        <v>0</v>
      </c>
      <c r="I92" t="b">
        <f t="shared" si="10"/>
        <v>1</v>
      </c>
      <c r="J92" t="b">
        <f t="shared" si="11"/>
        <v>0</v>
      </c>
      <c r="K92" t="b">
        <f t="shared" si="12"/>
        <v>0</v>
      </c>
      <c r="L92" t="b">
        <f t="shared" si="13"/>
        <v>0</v>
      </c>
      <c r="M92" t="b">
        <f t="shared" si="14"/>
        <v>0</v>
      </c>
      <c r="N92" s="4">
        <f t="shared" si="15"/>
        <v>53.2</v>
      </c>
    </row>
    <row r="93" spans="1:14" x14ac:dyDescent="0.4">
      <c r="A93" s="1" t="s">
        <v>113</v>
      </c>
      <c r="B93" t="str">
        <f>Funds!A7</f>
        <v>Fund VI</v>
      </c>
      <c r="C93" s="2">
        <v>69.400000000000006</v>
      </c>
      <c r="D93" s="2">
        <v>69.400000000000006</v>
      </c>
      <c r="E93" s="2">
        <v>146.69999999999999</v>
      </c>
      <c r="F93" s="2" t="b">
        <v>1</v>
      </c>
      <c r="G93" s="3">
        <f t="shared" si="8"/>
        <v>2.113832853025936</v>
      </c>
      <c r="H93" t="b">
        <f t="shared" si="9"/>
        <v>0</v>
      </c>
      <c r="I93" t="b">
        <f t="shared" si="10"/>
        <v>0</v>
      </c>
      <c r="J93" t="b">
        <f t="shared" si="11"/>
        <v>0</v>
      </c>
      <c r="K93" t="b">
        <f t="shared" si="12"/>
        <v>0</v>
      </c>
      <c r="L93" t="b">
        <f t="shared" si="13"/>
        <v>1</v>
      </c>
      <c r="M93" t="b">
        <f t="shared" si="14"/>
        <v>0</v>
      </c>
      <c r="N93" s="4">
        <f t="shared" si="15"/>
        <v>0</v>
      </c>
    </row>
    <row r="94" spans="1:14" x14ac:dyDescent="0.4">
      <c r="A94" s="1" t="s">
        <v>114</v>
      </c>
      <c r="B94" t="str">
        <f>Funds!A7</f>
        <v>Fund VI</v>
      </c>
      <c r="C94" s="2">
        <v>117</v>
      </c>
      <c r="D94" s="2">
        <v>117</v>
      </c>
      <c r="E94" s="2">
        <v>568.20000000000005</v>
      </c>
      <c r="F94" s="2" t="b">
        <v>1</v>
      </c>
      <c r="G94" s="3">
        <f t="shared" si="8"/>
        <v>4.8564102564102569</v>
      </c>
      <c r="H94" t="b">
        <f t="shared" si="9"/>
        <v>0</v>
      </c>
      <c r="I94" t="b">
        <f t="shared" si="10"/>
        <v>0</v>
      </c>
      <c r="J94" t="b">
        <f t="shared" si="11"/>
        <v>0</v>
      </c>
      <c r="K94" t="b">
        <f t="shared" si="12"/>
        <v>0</v>
      </c>
      <c r="L94" t="b">
        <f t="shared" si="13"/>
        <v>0</v>
      </c>
      <c r="M94" t="b">
        <f t="shared" si="14"/>
        <v>1</v>
      </c>
      <c r="N94" s="4">
        <f t="shared" si="15"/>
        <v>0</v>
      </c>
    </row>
    <row r="95" spans="1:14" x14ac:dyDescent="0.4">
      <c r="A95" s="1" t="s">
        <v>115</v>
      </c>
      <c r="B95" t="str">
        <f>Funds!A7</f>
        <v>Fund VI</v>
      </c>
      <c r="C95" s="2">
        <v>3.9</v>
      </c>
      <c r="D95" s="2">
        <v>3.9</v>
      </c>
      <c r="E95" s="2">
        <v>0.5</v>
      </c>
      <c r="F95" s="2" t="b">
        <v>1</v>
      </c>
      <c r="G95" s="3">
        <f t="shared" si="8"/>
        <v>0.12820512820512822</v>
      </c>
      <c r="H95" t="b">
        <f t="shared" si="9"/>
        <v>0</v>
      </c>
      <c r="I95" t="b">
        <f t="shared" si="10"/>
        <v>1</v>
      </c>
      <c r="J95" t="b">
        <f t="shared" si="11"/>
        <v>0</v>
      </c>
      <c r="K95" t="b">
        <f t="shared" si="12"/>
        <v>0</v>
      </c>
      <c r="L95" t="b">
        <f t="shared" si="13"/>
        <v>0</v>
      </c>
      <c r="M95" t="b">
        <f t="shared" si="14"/>
        <v>0</v>
      </c>
      <c r="N95" s="4">
        <f t="shared" si="15"/>
        <v>3.4</v>
      </c>
    </row>
    <row r="96" spans="1:14" x14ac:dyDescent="0.4">
      <c r="A96" s="1" t="s">
        <v>116</v>
      </c>
      <c r="B96" t="str">
        <f>Funds!A7</f>
        <v>Fund VI</v>
      </c>
      <c r="C96" s="2">
        <v>83.7</v>
      </c>
      <c r="D96" s="2">
        <v>83.7</v>
      </c>
      <c r="E96" s="2">
        <v>152.80000000000001</v>
      </c>
      <c r="F96" s="2" t="b">
        <v>1</v>
      </c>
      <c r="G96" s="3">
        <f t="shared" si="8"/>
        <v>1.8255675029868579</v>
      </c>
      <c r="H96" t="b">
        <f t="shared" si="9"/>
        <v>0</v>
      </c>
      <c r="I96" t="b">
        <f t="shared" si="10"/>
        <v>0</v>
      </c>
      <c r="J96" t="b">
        <f t="shared" si="11"/>
        <v>0</v>
      </c>
      <c r="K96" t="b">
        <f t="shared" si="12"/>
        <v>1</v>
      </c>
      <c r="L96" t="b">
        <f t="shared" si="13"/>
        <v>0</v>
      </c>
      <c r="M96" t="b">
        <f t="shared" si="14"/>
        <v>0</v>
      </c>
      <c r="N96" s="4">
        <f t="shared" si="15"/>
        <v>0</v>
      </c>
    </row>
    <row r="97" spans="1:14" x14ac:dyDescent="0.4">
      <c r="A97" s="1" t="s">
        <v>117</v>
      </c>
      <c r="B97" t="str">
        <f>Funds!A7</f>
        <v>Fund VI</v>
      </c>
      <c r="C97" s="2">
        <v>51.4</v>
      </c>
      <c r="D97" s="2">
        <v>51.4</v>
      </c>
      <c r="E97" s="2">
        <v>90</v>
      </c>
      <c r="F97" s="2" t="b">
        <v>1</v>
      </c>
      <c r="G97" s="3">
        <f t="shared" si="8"/>
        <v>1.7509727626459144</v>
      </c>
      <c r="H97" t="b">
        <f t="shared" si="9"/>
        <v>0</v>
      </c>
      <c r="I97" t="b">
        <f t="shared" si="10"/>
        <v>0</v>
      </c>
      <c r="J97" t="b">
        <f t="shared" si="11"/>
        <v>0</v>
      </c>
      <c r="K97" t="b">
        <f t="shared" si="12"/>
        <v>1</v>
      </c>
      <c r="L97" t="b">
        <f t="shared" si="13"/>
        <v>0</v>
      </c>
      <c r="M97" t="b">
        <f t="shared" si="14"/>
        <v>0</v>
      </c>
      <c r="N97" s="4">
        <f t="shared" si="15"/>
        <v>0</v>
      </c>
    </row>
    <row r="98" spans="1:14" x14ac:dyDescent="0.4">
      <c r="A98" s="1" t="s">
        <v>94</v>
      </c>
      <c r="B98" t="str">
        <f>Funds!A7</f>
        <v>Fund VI</v>
      </c>
      <c r="C98" s="2">
        <v>8.9</v>
      </c>
      <c r="D98" s="2">
        <v>8.9</v>
      </c>
      <c r="E98" s="2">
        <v>10.9</v>
      </c>
      <c r="F98" s="2" t="b">
        <v>1</v>
      </c>
      <c r="G98" s="3">
        <f t="shared" si="8"/>
        <v>1.2247191011235954</v>
      </c>
      <c r="H98" t="b">
        <f t="shared" si="9"/>
        <v>0</v>
      </c>
      <c r="I98" t="b">
        <f t="shared" si="10"/>
        <v>0</v>
      </c>
      <c r="J98" t="b">
        <f t="shared" si="11"/>
        <v>0</v>
      </c>
      <c r="K98" t="b">
        <f t="shared" si="12"/>
        <v>1</v>
      </c>
      <c r="L98" t="b">
        <f t="shared" si="13"/>
        <v>0</v>
      </c>
      <c r="M98" t="b">
        <f t="shared" si="14"/>
        <v>0</v>
      </c>
      <c r="N98" s="4">
        <f t="shared" si="15"/>
        <v>0</v>
      </c>
    </row>
    <row r="99" spans="1:14" x14ac:dyDescent="0.4">
      <c r="A99" s="1" t="s">
        <v>118</v>
      </c>
      <c r="B99" t="str">
        <f>Funds!A7</f>
        <v>Fund VI</v>
      </c>
      <c r="C99" s="2">
        <v>9.5</v>
      </c>
      <c r="D99" s="2">
        <v>9.5</v>
      </c>
      <c r="E99" s="2">
        <v>24.6</v>
      </c>
      <c r="F99" s="2" t="b">
        <v>1</v>
      </c>
      <c r="G99" s="3">
        <f t="shared" si="8"/>
        <v>2.5894736842105264</v>
      </c>
      <c r="H99" t="b">
        <f t="shared" si="9"/>
        <v>0</v>
      </c>
      <c r="I99" t="b">
        <f t="shared" si="10"/>
        <v>0</v>
      </c>
      <c r="J99" t="b">
        <f t="shared" si="11"/>
        <v>0</v>
      </c>
      <c r="K99" t="b">
        <f t="shared" si="12"/>
        <v>0</v>
      </c>
      <c r="L99" t="b">
        <f t="shared" si="13"/>
        <v>1</v>
      </c>
      <c r="M99" t="b">
        <f t="shared" si="14"/>
        <v>0</v>
      </c>
      <c r="N99" s="4">
        <f t="shared" si="15"/>
        <v>0</v>
      </c>
    </row>
    <row r="100" spans="1:14" x14ac:dyDescent="0.4">
      <c r="A100" s="1" t="s">
        <v>119</v>
      </c>
      <c r="B100" t="str">
        <f>Funds!A7</f>
        <v>Fund VI</v>
      </c>
      <c r="C100" s="2">
        <v>30.6</v>
      </c>
      <c r="D100" s="2">
        <v>30.6</v>
      </c>
      <c r="E100" s="2">
        <v>77.5</v>
      </c>
      <c r="F100" s="2" t="b">
        <v>1</v>
      </c>
      <c r="G100" s="3">
        <f t="shared" si="8"/>
        <v>2.5326797385620914</v>
      </c>
      <c r="H100" t="b">
        <f t="shared" si="9"/>
        <v>0</v>
      </c>
      <c r="I100" t="b">
        <f t="shared" si="10"/>
        <v>0</v>
      </c>
      <c r="J100" t="b">
        <f t="shared" si="11"/>
        <v>0</v>
      </c>
      <c r="K100" t="b">
        <f t="shared" si="12"/>
        <v>0</v>
      </c>
      <c r="L100" t="b">
        <f t="shared" si="13"/>
        <v>1</v>
      </c>
      <c r="M100" t="b">
        <f t="shared" si="14"/>
        <v>0</v>
      </c>
      <c r="N100" s="4">
        <f t="shared" si="15"/>
        <v>0</v>
      </c>
    </row>
    <row r="101" spans="1:14" x14ac:dyDescent="0.4">
      <c r="A101" s="1" t="s">
        <v>120</v>
      </c>
      <c r="B101" t="str">
        <f>Funds!A7</f>
        <v>Fund VI</v>
      </c>
      <c r="C101" s="2">
        <v>145.69999999999999</v>
      </c>
      <c r="D101" s="2">
        <v>145.69999999999999</v>
      </c>
      <c r="E101" s="2">
        <v>489.5</v>
      </c>
      <c r="F101" s="2" t="b">
        <v>1</v>
      </c>
      <c r="G101" s="3">
        <f t="shared" si="8"/>
        <v>3.3596431022649282</v>
      </c>
      <c r="H101" t="b">
        <f t="shared" si="9"/>
        <v>0</v>
      </c>
      <c r="I101" t="b">
        <f t="shared" si="10"/>
        <v>0</v>
      </c>
      <c r="J101" t="b">
        <f t="shared" si="11"/>
        <v>0</v>
      </c>
      <c r="K101" t="b">
        <f t="shared" si="12"/>
        <v>0</v>
      </c>
      <c r="L101" t="b">
        <f t="shared" si="13"/>
        <v>0</v>
      </c>
      <c r="M101" t="b">
        <f t="shared" si="14"/>
        <v>1</v>
      </c>
      <c r="N101" s="4">
        <f t="shared" si="15"/>
        <v>0</v>
      </c>
    </row>
    <row r="102" spans="1:14" x14ac:dyDescent="0.4">
      <c r="A102" s="1" t="s">
        <v>121</v>
      </c>
      <c r="B102" t="str">
        <f>Funds!A7</f>
        <v>Fund VI</v>
      </c>
      <c r="C102" s="2">
        <v>50</v>
      </c>
      <c r="D102" s="2">
        <v>50</v>
      </c>
      <c r="E102" s="2">
        <v>26</v>
      </c>
      <c r="F102" s="2" t="b">
        <v>1</v>
      </c>
      <c r="G102" s="3">
        <f t="shared" si="8"/>
        <v>0.52</v>
      </c>
      <c r="H102" t="b">
        <f t="shared" si="9"/>
        <v>0</v>
      </c>
      <c r="I102" t="b">
        <f t="shared" si="10"/>
        <v>1</v>
      </c>
      <c r="J102" t="b">
        <f t="shared" si="11"/>
        <v>0</v>
      </c>
      <c r="K102" t="b">
        <f t="shared" si="12"/>
        <v>0</v>
      </c>
      <c r="L102" t="b">
        <f t="shared" si="13"/>
        <v>0</v>
      </c>
      <c r="M102" t="b">
        <f t="shared" si="14"/>
        <v>0</v>
      </c>
      <c r="N102" s="4">
        <f t="shared" si="15"/>
        <v>24</v>
      </c>
    </row>
    <row r="103" spans="1:14" x14ac:dyDescent="0.4">
      <c r="A103" s="1" t="s">
        <v>122</v>
      </c>
      <c r="B103" t="str">
        <f>Funds!A7</f>
        <v>Fund VI</v>
      </c>
      <c r="C103" s="2">
        <v>61</v>
      </c>
      <c r="D103" s="2">
        <v>61</v>
      </c>
      <c r="E103" s="2">
        <v>9.5</v>
      </c>
      <c r="F103" s="2" t="b">
        <v>1</v>
      </c>
      <c r="G103" s="3">
        <f t="shared" si="8"/>
        <v>0.15573770491803279</v>
      </c>
      <c r="H103" t="b">
        <f t="shared" si="9"/>
        <v>0</v>
      </c>
      <c r="I103" t="b">
        <f t="shared" si="10"/>
        <v>1</v>
      </c>
      <c r="J103" t="b">
        <f t="shared" si="11"/>
        <v>0</v>
      </c>
      <c r="K103" t="b">
        <f t="shared" si="12"/>
        <v>0</v>
      </c>
      <c r="L103" t="b">
        <f t="shared" si="13"/>
        <v>0</v>
      </c>
      <c r="M103" t="b">
        <f t="shared" si="14"/>
        <v>0</v>
      </c>
      <c r="N103" s="4">
        <f t="shared" si="15"/>
        <v>51.499999999999993</v>
      </c>
    </row>
    <row r="104" spans="1:14" x14ac:dyDescent="0.4">
      <c r="A104" s="1" t="s">
        <v>123</v>
      </c>
      <c r="B104" t="str">
        <f>Funds!A7</f>
        <v>Fund VI</v>
      </c>
      <c r="C104" s="2">
        <v>19.2</v>
      </c>
      <c r="D104" s="2">
        <v>19.2</v>
      </c>
      <c r="E104" s="2">
        <v>76.3</v>
      </c>
      <c r="F104" s="2" t="b">
        <v>1</v>
      </c>
      <c r="G104" s="3">
        <f t="shared" si="8"/>
        <v>3.9739583333333335</v>
      </c>
      <c r="H104" t="b">
        <f t="shared" si="9"/>
        <v>0</v>
      </c>
      <c r="I104" t="b">
        <f t="shared" si="10"/>
        <v>0</v>
      </c>
      <c r="J104" t="b">
        <f t="shared" si="11"/>
        <v>0</v>
      </c>
      <c r="K104" t="b">
        <f t="shared" si="12"/>
        <v>0</v>
      </c>
      <c r="L104" t="b">
        <f t="shared" si="13"/>
        <v>0</v>
      </c>
      <c r="M104" t="b">
        <f t="shared" si="14"/>
        <v>1</v>
      </c>
      <c r="N104" s="4">
        <f t="shared" si="15"/>
        <v>0</v>
      </c>
    </row>
    <row r="105" spans="1:14" x14ac:dyDescent="0.4">
      <c r="A105" s="1" t="s">
        <v>124</v>
      </c>
      <c r="B105" t="str">
        <f>Funds!A7</f>
        <v>Fund VI</v>
      </c>
      <c r="C105" s="2">
        <v>123.3</v>
      </c>
      <c r="D105" s="2">
        <v>123.3</v>
      </c>
      <c r="E105" s="2">
        <v>17.399999999999999</v>
      </c>
      <c r="F105" s="2" t="b">
        <v>1</v>
      </c>
      <c r="G105" s="3">
        <f t="shared" si="8"/>
        <v>0.14111922141119221</v>
      </c>
      <c r="H105" t="b">
        <f t="shared" si="9"/>
        <v>0</v>
      </c>
      <c r="I105" t="b">
        <f t="shared" si="10"/>
        <v>1</v>
      </c>
      <c r="J105" t="b">
        <f t="shared" si="11"/>
        <v>0</v>
      </c>
      <c r="K105" t="b">
        <f t="shared" si="12"/>
        <v>0</v>
      </c>
      <c r="L105" t="b">
        <f t="shared" si="13"/>
        <v>0</v>
      </c>
      <c r="M105" t="b">
        <f t="shared" si="14"/>
        <v>0</v>
      </c>
      <c r="N105" s="4">
        <f t="shared" si="15"/>
        <v>105.89999999999999</v>
      </c>
    </row>
    <row r="106" spans="1:14" x14ac:dyDescent="0.4">
      <c r="A106" s="1" t="s">
        <v>125</v>
      </c>
      <c r="B106" t="str">
        <f>Funds!A7</f>
        <v>Fund VI</v>
      </c>
      <c r="C106" s="2">
        <v>64.5</v>
      </c>
      <c r="D106" s="2">
        <v>64.5</v>
      </c>
      <c r="E106" s="2">
        <v>59.1</v>
      </c>
      <c r="F106" s="2" t="b">
        <v>1</v>
      </c>
      <c r="G106" s="3">
        <f t="shared" si="8"/>
        <v>0.91627906976744189</v>
      </c>
      <c r="H106" t="b">
        <f t="shared" si="9"/>
        <v>0</v>
      </c>
      <c r="I106" t="b">
        <f t="shared" si="10"/>
        <v>1</v>
      </c>
      <c r="J106" t="b">
        <f t="shared" si="11"/>
        <v>0</v>
      </c>
      <c r="K106" t="b">
        <f t="shared" si="12"/>
        <v>0</v>
      </c>
      <c r="L106" t="b">
        <f t="shared" si="13"/>
        <v>0</v>
      </c>
      <c r="M106" t="b">
        <f t="shared" si="14"/>
        <v>0</v>
      </c>
      <c r="N106" s="4">
        <f t="shared" si="15"/>
        <v>5.3999999999999986</v>
      </c>
    </row>
    <row r="107" spans="1:14" x14ac:dyDescent="0.4">
      <c r="A107" s="1" t="s">
        <v>126</v>
      </c>
      <c r="B107" t="str">
        <f>Funds!A7</f>
        <v>Fund VI</v>
      </c>
      <c r="C107" s="2">
        <v>26.3</v>
      </c>
      <c r="D107" s="2">
        <v>26.3</v>
      </c>
      <c r="E107" s="2">
        <v>71.599999999999994</v>
      </c>
      <c r="F107" s="2" t="b">
        <v>1</v>
      </c>
      <c r="G107" s="3">
        <f t="shared" si="8"/>
        <v>2.7224334600760454</v>
      </c>
      <c r="H107" t="b">
        <f t="shared" si="9"/>
        <v>0</v>
      </c>
      <c r="I107" t="b">
        <f t="shared" si="10"/>
        <v>0</v>
      </c>
      <c r="J107" t="b">
        <f t="shared" si="11"/>
        <v>0</v>
      </c>
      <c r="K107" t="b">
        <f t="shared" si="12"/>
        <v>0</v>
      </c>
      <c r="L107" t="b">
        <f t="shared" si="13"/>
        <v>1</v>
      </c>
      <c r="M107" t="b">
        <f t="shared" si="14"/>
        <v>0</v>
      </c>
      <c r="N107" s="4">
        <f t="shared" si="15"/>
        <v>0</v>
      </c>
    </row>
    <row r="108" spans="1:14" x14ac:dyDescent="0.4">
      <c r="A108" s="1" t="s">
        <v>127</v>
      </c>
      <c r="B108" t="str">
        <f>Funds!A7</f>
        <v>Fund VI</v>
      </c>
      <c r="C108" s="2">
        <v>60.9</v>
      </c>
      <c r="D108" s="2">
        <v>60.9</v>
      </c>
      <c r="E108" s="2">
        <v>77.400000000000006</v>
      </c>
      <c r="F108" s="2" t="b">
        <v>1</v>
      </c>
      <c r="G108" s="3">
        <f t="shared" si="8"/>
        <v>1.2709359605911332</v>
      </c>
      <c r="H108" t="b">
        <f t="shared" si="9"/>
        <v>0</v>
      </c>
      <c r="I108" t="b">
        <f t="shared" si="10"/>
        <v>0</v>
      </c>
      <c r="J108" t="b">
        <f t="shared" si="11"/>
        <v>0</v>
      </c>
      <c r="K108" t="b">
        <f t="shared" si="12"/>
        <v>1</v>
      </c>
      <c r="L108" t="b">
        <f t="shared" si="13"/>
        <v>0</v>
      </c>
      <c r="M108" t="b">
        <f t="shared" si="14"/>
        <v>0</v>
      </c>
      <c r="N108" s="4">
        <f t="shared" si="15"/>
        <v>0</v>
      </c>
    </row>
    <row r="109" spans="1:14" x14ac:dyDescent="0.4">
      <c r="A109" s="1" t="s">
        <v>128</v>
      </c>
      <c r="B109" t="str">
        <f>Funds!A7</f>
        <v>Fund VI</v>
      </c>
      <c r="C109" s="2">
        <v>36</v>
      </c>
      <c r="D109" s="2">
        <v>36</v>
      </c>
      <c r="E109" s="2">
        <v>88.6</v>
      </c>
      <c r="F109" s="2" t="b">
        <v>1</v>
      </c>
      <c r="G109" s="3">
        <f t="shared" si="8"/>
        <v>2.4611111111111108</v>
      </c>
      <c r="H109" t="b">
        <f t="shared" si="9"/>
        <v>0</v>
      </c>
      <c r="I109" t="b">
        <f t="shared" si="10"/>
        <v>0</v>
      </c>
      <c r="J109" t="b">
        <f t="shared" si="11"/>
        <v>0</v>
      </c>
      <c r="K109" t="b">
        <f t="shared" si="12"/>
        <v>0</v>
      </c>
      <c r="L109" t="b">
        <f t="shared" si="13"/>
        <v>1</v>
      </c>
      <c r="M109" t="b">
        <f t="shared" si="14"/>
        <v>0</v>
      </c>
      <c r="N109" s="4">
        <f t="shared" si="15"/>
        <v>0</v>
      </c>
    </row>
    <row r="110" spans="1:14" x14ac:dyDescent="0.4">
      <c r="A110" s="1" t="s">
        <v>129</v>
      </c>
      <c r="B110" t="str">
        <f>Funds!A7</f>
        <v>Fund VI</v>
      </c>
      <c r="C110" s="2">
        <v>112.2</v>
      </c>
      <c r="D110" s="2">
        <v>112.2</v>
      </c>
      <c r="E110" s="2">
        <v>160.80000000000001</v>
      </c>
      <c r="F110" s="2" t="b">
        <v>1</v>
      </c>
      <c r="G110" s="3">
        <f t="shared" si="8"/>
        <v>1.4331550802139037</v>
      </c>
      <c r="H110" t="b">
        <f t="shared" si="9"/>
        <v>0</v>
      </c>
      <c r="I110" t="b">
        <f t="shared" si="10"/>
        <v>0</v>
      </c>
      <c r="J110" t="b">
        <f t="shared" si="11"/>
        <v>0</v>
      </c>
      <c r="K110" t="b">
        <f t="shared" si="12"/>
        <v>1</v>
      </c>
      <c r="L110" t="b">
        <f t="shared" si="13"/>
        <v>0</v>
      </c>
      <c r="M110" t="b">
        <f t="shared" si="14"/>
        <v>0</v>
      </c>
      <c r="N110" s="4">
        <f t="shared" si="15"/>
        <v>0</v>
      </c>
    </row>
    <row r="111" spans="1:14" x14ac:dyDescent="0.4">
      <c r="A111" s="1" t="s">
        <v>130</v>
      </c>
      <c r="B111" t="str">
        <f>Funds!A7</f>
        <v>Fund VI</v>
      </c>
      <c r="C111" s="2">
        <v>54.3</v>
      </c>
      <c r="D111" s="2">
        <v>54.3</v>
      </c>
      <c r="E111" s="2">
        <v>162.19999999999999</v>
      </c>
      <c r="F111" s="2" t="b">
        <v>1</v>
      </c>
      <c r="G111" s="3">
        <f t="shared" si="8"/>
        <v>2.9871086556169431</v>
      </c>
      <c r="H111" t="b">
        <f t="shared" si="9"/>
        <v>0</v>
      </c>
      <c r="I111" t="b">
        <f t="shared" si="10"/>
        <v>0</v>
      </c>
      <c r="J111" t="b">
        <f t="shared" si="11"/>
        <v>0</v>
      </c>
      <c r="K111" t="b">
        <f t="shared" si="12"/>
        <v>0</v>
      </c>
      <c r="L111" t="b">
        <f t="shared" si="13"/>
        <v>1</v>
      </c>
      <c r="M111" t="b">
        <f t="shared" si="14"/>
        <v>0</v>
      </c>
      <c r="N111" s="4">
        <f t="shared" si="15"/>
        <v>0</v>
      </c>
    </row>
    <row r="112" spans="1:14" x14ac:dyDescent="0.4">
      <c r="A112" s="1" t="s">
        <v>130</v>
      </c>
      <c r="B112" t="str">
        <f>Funds!A8</f>
        <v>Fund VII</v>
      </c>
      <c r="C112" s="2">
        <v>31.9</v>
      </c>
      <c r="D112" s="2">
        <v>31.9</v>
      </c>
      <c r="E112" s="2">
        <v>95.4</v>
      </c>
      <c r="F112" s="2" t="b">
        <v>1</v>
      </c>
      <c r="G112" s="3">
        <f t="shared" si="8"/>
        <v>2.9905956112852667</v>
      </c>
      <c r="H112" t="b">
        <f t="shared" si="9"/>
        <v>0</v>
      </c>
      <c r="I112" t="b">
        <f t="shared" si="10"/>
        <v>0</v>
      </c>
      <c r="J112" t="b">
        <f t="shared" si="11"/>
        <v>0</v>
      </c>
      <c r="K112" t="b">
        <f t="shared" si="12"/>
        <v>0</v>
      </c>
      <c r="L112" t="b">
        <f t="shared" si="13"/>
        <v>1</v>
      </c>
      <c r="M112" t="b">
        <f t="shared" si="14"/>
        <v>0</v>
      </c>
      <c r="N112" s="4">
        <f t="shared" si="15"/>
        <v>0</v>
      </c>
    </row>
    <row r="113" spans="1:14" x14ac:dyDescent="0.4">
      <c r="A113" s="1" t="s">
        <v>126</v>
      </c>
      <c r="B113" t="str">
        <f>Funds!A8</f>
        <v>Fund VII</v>
      </c>
      <c r="C113" s="2">
        <v>26.3</v>
      </c>
      <c r="D113" s="2">
        <v>26.3</v>
      </c>
      <c r="E113" s="2">
        <v>71.599999999999994</v>
      </c>
      <c r="F113" s="2" t="b">
        <v>1</v>
      </c>
      <c r="G113" s="3">
        <f t="shared" si="8"/>
        <v>2.7224334600760454</v>
      </c>
      <c r="H113" t="b">
        <f t="shared" si="9"/>
        <v>0</v>
      </c>
      <c r="I113" t="b">
        <f t="shared" si="10"/>
        <v>0</v>
      </c>
      <c r="J113" t="b">
        <f t="shared" si="11"/>
        <v>0</v>
      </c>
      <c r="K113" t="b">
        <f t="shared" si="12"/>
        <v>0</v>
      </c>
      <c r="L113" t="b">
        <f t="shared" si="13"/>
        <v>1</v>
      </c>
      <c r="M113" t="b">
        <f t="shared" si="14"/>
        <v>0</v>
      </c>
      <c r="N113" s="4">
        <f t="shared" si="15"/>
        <v>0</v>
      </c>
    </row>
    <row r="114" spans="1:14" x14ac:dyDescent="0.4">
      <c r="A114" s="1" t="s">
        <v>128</v>
      </c>
      <c r="B114" t="str">
        <f>Funds!A8</f>
        <v>Fund VII</v>
      </c>
      <c r="C114" s="2">
        <v>36</v>
      </c>
      <c r="D114" s="2">
        <v>36</v>
      </c>
      <c r="E114" s="2">
        <v>88.6</v>
      </c>
      <c r="F114" s="2" t="b">
        <v>1</v>
      </c>
      <c r="G114" s="3">
        <f t="shared" si="8"/>
        <v>2.4611111111111108</v>
      </c>
      <c r="H114" t="b">
        <f t="shared" si="9"/>
        <v>0</v>
      </c>
      <c r="I114" t="b">
        <f t="shared" si="10"/>
        <v>0</v>
      </c>
      <c r="J114" t="b">
        <f t="shared" si="11"/>
        <v>0</v>
      </c>
      <c r="K114" t="b">
        <f t="shared" si="12"/>
        <v>0</v>
      </c>
      <c r="L114" t="b">
        <f t="shared" si="13"/>
        <v>1</v>
      </c>
      <c r="M114" t="b">
        <f t="shared" si="14"/>
        <v>0</v>
      </c>
      <c r="N114" s="4">
        <f t="shared" si="15"/>
        <v>0</v>
      </c>
    </row>
    <row r="115" spans="1:14" x14ac:dyDescent="0.4">
      <c r="A115" s="1" t="s">
        <v>120</v>
      </c>
      <c r="B115" t="str">
        <f>Funds!A8</f>
        <v>Fund VII</v>
      </c>
      <c r="C115" s="2">
        <v>72.900000000000006</v>
      </c>
      <c r="D115" s="2">
        <v>72.900000000000006</v>
      </c>
      <c r="E115" s="2">
        <v>244.7</v>
      </c>
      <c r="F115" s="2" t="b">
        <v>1</v>
      </c>
      <c r="G115" s="3">
        <f t="shared" si="8"/>
        <v>3.3566529492455413</v>
      </c>
      <c r="H115" t="b">
        <f t="shared" si="9"/>
        <v>0</v>
      </c>
      <c r="I115" t="b">
        <f t="shared" si="10"/>
        <v>0</v>
      </c>
      <c r="J115" t="b">
        <f t="shared" si="11"/>
        <v>0</v>
      </c>
      <c r="K115" t="b">
        <f t="shared" si="12"/>
        <v>0</v>
      </c>
      <c r="L115" t="b">
        <f t="shared" si="13"/>
        <v>0</v>
      </c>
      <c r="M115" t="b">
        <f t="shared" si="14"/>
        <v>1</v>
      </c>
      <c r="N115" s="4">
        <f t="shared" si="15"/>
        <v>0</v>
      </c>
    </row>
    <row r="116" spans="1:14" x14ac:dyDescent="0.4">
      <c r="A116" s="1" t="s">
        <v>125</v>
      </c>
      <c r="B116" t="str">
        <f>Funds!A8</f>
        <v>Fund VII</v>
      </c>
      <c r="C116" s="2">
        <v>60.4</v>
      </c>
      <c r="D116" s="2">
        <v>60.4</v>
      </c>
      <c r="E116" s="2">
        <v>55.3</v>
      </c>
      <c r="F116" s="2" t="b">
        <v>1</v>
      </c>
      <c r="G116" s="3">
        <f t="shared" si="8"/>
        <v>0.91556291390728473</v>
      </c>
      <c r="H116" t="b">
        <f t="shared" si="9"/>
        <v>0</v>
      </c>
      <c r="I116" t="b">
        <f t="shared" si="10"/>
        <v>1</v>
      </c>
      <c r="J116" t="b">
        <f t="shared" si="11"/>
        <v>0</v>
      </c>
      <c r="K116" t="b">
        <f t="shared" si="12"/>
        <v>0</v>
      </c>
      <c r="L116" t="b">
        <f t="shared" si="13"/>
        <v>0</v>
      </c>
      <c r="M116" t="b">
        <f t="shared" si="14"/>
        <v>0</v>
      </c>
      <c r="N116" s="4">
        <f t="shared" si="15"/>
        <v>5.1000000000000023</v>
      </c>
    </row>
    <row r="117" spans="1:14" x14ac:dyDescent="0.4">
      <c r="A117" s="1" t="s">
        <v>131</v>
      </c>
      <c r="B117" t="str">
        <f>Funds!A8</f>
        <v>Fund VII</v>
      </c>
      <c r="C117" s="2">
        <v>61.5</v>
      </c>
      <c r="D117" s="2">
        <v>61.5</v>
      </c>
      <c r="E117" s="2">
        <v>10.4</v>
      </c>
      <c r="F117" s="2" t="b">
        <v>1</v>
      </c>
      <c r="G117" s="3">
        <f t="shared" si="8"/>
        <v>0.16910569105691056</v>
      </c>
      <c r="H117" t="b">
        <f t="shared" si="9"/>
        <v>0</v>
      </c>
      <c r="I117" t="b">
        <f t="shared" si="10"/>
        <v>1</v>
      </c>
      <c r="J117" t="b">
        <f t="shared" si="11"/>
        <v>0</v>
      </c>
      <c r="K117" t="b">
        <f t="shared" si="12"/>
        <v>0</v>
      </c>
      <c r="L117" t="b">
        <f t="shared" si="13"/>
        <v>0</v>
      </c>
      <c r="M117" t="b">
        <f t="shared" si="14"/>
        <v>0</v>
      </c>
      <c r="N117" s="4">
        <f t="shared" si="15"/>
        <v>51.1</v>
      </c>
    </row>
    <row r="118" spans="1:14" x14ac:dyDescent="0.4">
      <c r="A118" s="1" t="s">
        <v>114</v>
      </c>
      <c r="B118" t="str">
        <f>Funds!A8</f>
        <v>Fund VII</v>
      </c>
      <c r="C118" s="2">
        <v>61.5</v>
      </c>
      <c r="D118" s="2">
        <v>61.5</v>
      </c>
      <c r="E118" s="2">
        <v>298.7</v>
      </c>
      <c r="F118" s="2" t="b">
        <v>1</v>
      </c>
      <c r="G118" s="3">
        <f t="shared" si="8"/>
        <v>4.8569105691056906</v>
      </c>
      <c r="H118" t="b">
        <f t="shared" si="9"/>
        <v>0</v>
      </c>
      <c r="I118" t="b">
        <f t="shared" si="10"/>
        <v>0</v>
      </c>
      <c r="J118" t="b">
        <f t="shared" si="11"/>
        <v>0</v>
      </c>
      <c r="K118" t="b">
        <f t="shared" si="12"/>
        <v>0</v>
      </c>
      <c r="L118" t="b">
        <f t="shared" si="13"/>
        <v>0</v>
      </c>
      <c r="M118" t="b">
        <f t="shared" si="14"/>
        <v>1</v>
      </c>
      <c r="N118" s="4">
        <f t="shared" si="15"/>
        <v>0</v>
      </c>
    </row>
    <row r="119" spans="1:14" x14ac:dyDescent="0.4">
      <c r="A119" s="1" t="s">
        <v>132</v>
      </c>
      <c r="B119" t="str">
        <f>Funds!A8</f>
        <v>Fund VII</v>
      </c>
      <c r="C119" s="2">
        <v>45.1</v>
      </c>
      <c r="D119" s="2">
        <v>45.1</v>
      </c>
      <c r="E119" s="2">
        <v>109.7</v>
      </c>
      <c r="F119" s="2" t="b">
        <v>1</v>
      </c>
      <c r="G119" s="3">
        <f t="shared" si="8"/>
        <v>2.432372505543237</v>
      </c>
      <c r="H119" t="b">
        <f t="shared" si="9"/>
        <v>0</v>
      </c>
      <c r="I119" t="b">
        <f t="shared" si="10"/>
        <v>0</v>
      </c>
      <c r="J119" t="b">
        <f t="shared" si="11"/>
        <v>0</v>
      </c>
      <c r="K119" t="b">
        <f t="shared" si="12"/>
        <v>0</v>
      </c>
      <c r="L119" t="b">
        <f t="shared" si="13"/>
        <v>1</v>
      </c>
      <c r="M119" t="b">
        <f t="shared" si="14"/>
        <v>0</v>
      </c>
      <c r="N119" s="4">
        <f t="shared" si="15"/>
        <v>0</v>
      </c>
    </row>
    <row r="120" spans="1:14" x14ac:dyDescent="0.4">
      <c r="A120" s="1" t="s">
        <v>105</v>
      </c>
      <c r="B120" t="str">
        <f>Funds!A8</f>
        <v>Fund VII</v>
      </c>
      <c r="C120" s="2">
        <v>317.3</v>
      </c>
      <c r="D120" s="2">
        <v>317.3</v>
      </c>
      <c r="E120" s="2">
        <v>6.8</v>
      </c>
      <c r="F120" s="2" t="b">
        <v>1</v>
      </c>
      <c r="G120" s="3">
        <f t="shared" si="8"/>
        <v>2.1430822565395524E-2</v>
      </c>
      <c r="H120" t="b">
        <f t="shared" si="9"/>
        <v>0</v>
      </c>
      <c r="I120" t="b">
        <f t="shared" si="10"/>
        <v>1</v>
      </c>
      <c r="J120" t="b">
        <f t="shared" si="11"/>
        <v>0</v>
      </c>
      <c r="K120" t="b">
        <f t="shared" si="12"/>
        <v>0</v>
      </c>
      <c r="L120" t="b">
        <f t="shared" si="13"/>
        <v>0</v>
      </c>
      <c r="M120" t="b">
        <f t="shared" si="14"/>
        <v>0</v>
      </c>
      <c r="N120" s="4">
        <f t="shared" si="15"/>
        <v>310.5</v>
      </c>
    </row>
    <row r="121" spans="1:14" x14ac:dyDescent="0.4">
      <c r="A121" s="1" t="s">
        <v>106</v>
      </c>
      <c r="B121" t="str">
        <f>Funds!A8</f>
        <v>Fund VII</v>
      </c>
      <c r="C121" s="2">
        <v>256.89999999999998</v>
      </c>
      <c r="D121" s="2">
        <v>257</v>
      </c>
      <c r="E121" s="2">
        <v>55.8</v>
      </c>
      <c r="F121" s="2" t="b">
        <v>1</v>
      </c>
      <c r="G121" s="3">
        <f t="shared" si="8"/>
        <v>0.21712062256809336</v>
      </c>
      <c r="H121" t="b">
        <f t="shared" si="9"/>
        <v>0</v>
      </c>
      <c r="I121" t="b">
        <f t="shared" si="10"/>
        <v>1</v>
      </c>
      <c r="J121" t="b">
        <f t="shared" si="11"/>
        <v>0</v>
      </c>
      <c r="K121" t="b">
        <f t="shared" si="12"/>
        <v>0</v>
      </c>
      <c r="L121" t="b">
        <f t="shared" si="13"/>
        <v>0</v>
      </c>
      <c r="M121" t="b">
        <f t="shared" si="14"/>
        <v>0</v>
      </c>
      <c r="N121" s="4">
        <f t="shared" si="15"/>
        <v>201.2</v>
      </c>
    </row>
    <row r="122" spans="1:14" x14ac:dyDescent="0.4">
      <c r="A122" s="1" t="s">
        <v>133</v>
      </c>
      <c r="B122" t="str">
        <f>Funds!A8</f>
        <v>Fund VII</v>
      </c>
      <c r="C122" s="2">
        <v>36.1</v>
      </c>
      <c r="D122" s="2">
        <v>36.1</v>
      </c>
      <c r="E122" s="2">
        <v>132.80000000000001</v>
      </c>
      <c r="F122" s="2" t="b">
        <v>1</v>
      </c>
      <c r="G122" s="3">
        <f t="shared" si="8"/>
        <v>3.6786703601108033</v>
      </c>
      <c r="H122" t="b">
        <f t="shared" si="9"/>
        <v>0</v>
      </c>
      <c r="I122" t="b">
        <f t="shared" si="10"/>
        <v>0</v>
      </c>
      <c r="J122" t="b">
        <f t="shared" si="11"/>
        <v>0</v>
      </c>
      <c r="K122" t="b">
        <f t="shared" si="12"/>
        <v>0</v>
      </c>
      <c r="L122" t="b">
        <f t="shared" si="13"/>
        <v>0</v>
      </c>
      <c r="M122" t="b">
        <f t="shared" si="14"/>
        <v>1</v>
      </c>
      <c r="N122" s="4">
        <f t="shared" si="15"/>
        <v>0</v>
      </c>
    </row>
    <row r="123" spans="1:14" x14ac:dyDescent="0.4">
      <c r="A123" s="1" t="s">
        <v>100</v>
      </c>
      <c r="B123" t="str">
        <f>Funds!A8</f>
        <v>Fund VII</v>
      </c>
      <c r="C123" s="2">
        <v>17.399999999999999</v>
      </c>
      <c r="D123" s="2">
        <v>17.399999999999999</v>
      </c>
      <c r="E123" s="2">
        <v>31.3</v>
      </c>
      <c r="F123" s="2" t="b">
        <v>1</v>
      </c>
      <c r="G123" s="3">
        <f t="shared" si="8"/>
        <v>1.7988505747126438</v>
      </c>
      <c r="H123" t="b">
        <f t="shared" si="9"/>
        <v>0</v>
      </c>
      <c r="I123" t="b">
        <f t="shared" si="10"/>
        <v>0</v>
      </c>
      <c r="J123" t="b">
        <f t="shared" si="11"/>
        <v>0</v>
      </c>
      <c r="K123" t="b">
        <f t="shared" si="12"/>
        <v>1</v>
      </c>
      <c r="L123" t="b">
        <f t="shared" si="13"/>
        <v>0</v>
      </c>
      <c r="M123" t="b">
        <f t="shared" si="14"/>
        <v>0</v>
      </c>
      <c r="N123" s="4">
        <f t="shared" si="15"/>
        <v>0</v>
      </c>
    </row>
    <row r="124" spans="1:14" x14ac:dyDescent="0.4">
      <c r="A124" s="1" t="s">
        <v>134</v>
      </c>
      <c r="B124" t="str">
        <f>Funds!A8</f>
        <v>Fund VII</v>
      </c>
      <c r="C124" s="2">
        <v>101</v>
      </c>
      <c r="D124" s="2">
        <v>101</v>
      </c>
      <c r="E124" s="2">
        <v>438</v>
      </c>
      <c r="F124" s="2" t="b">
        <v>1</v>
      </c>
      <c r="G124" s="3">
        <f t="shared" si="8"/>
        <v>4.3366336633663369</v>
      </c>
      <c r="H124" t="b">
        <f t="shared" si="9"/>
        <v>0</v>
      </c>
      <c r="I124" t="b">
        <f t="shared" si="10"/>
        <v>0</v>
      </c>
      <c r="J124" t="b">
        <f t="shared" si="11"/>
        <v>0</v>
      </c>
      <c r="K124" t="b">
        <f t="shared" si="12"/>
        <v>0</v>
      </c>
      <c r="L124" t="b">
        <f t="shared" si="13"/>
        <v>0</v>
      </c>
      <c r="M124" t="b">
        <f t="shared" si="14"/>
        <v>1</v>
      </c>
      <c r="N124" s="4">
        <f t="shared" si="15"/>
        <v>0</v>
      </c>
    </row>
    <row r="125" spans="1:14" x14ac:dyDescent="0.4">
      <c r="A125" s="1" t="s">
        <v>135</v>
      </c>
      <c r="B125" t="str">
        <f>Funds!A8</f>
        <v>Fund VII</v>
      </c>
      <c r="C125" s="2">
        <v>47.5</v>
      </c>
      <c r="D125" s="2">
        <v>47.5</v>
      </c>
      <c r="E125" s="2">
        <v>54.3</v>
      </c>
      <c r="F125" s="2" t="b">
        <v>1</v>
      </c>
      <c r="G125" s="3">
        <f t="shared" si="8"/>
        <v>1.1431578947368422</v>
      </c>
      <c r="H125" t="b">
        <f t="shared" si="9"/>
        <v>0</v>
      </c>
      <c r="I125" t="b">
        <f t="shared" si="10"/>
        <v>0</v>
      </c>
      <c r="J125" t="b">
        <f t="shared" si="11"/>
        <v>0</v>
      </c>
      <c r="K125" t="b">
        <f t="shared" si="12"/>
        <v>1</v>
      </c>
      <c r="L125" t="b">
        <f t="shared" si="13"/>
        <v>0</v>
      </c>
      <c r="M125" t="b">
        <f t="shared" si="14"/>
        <v>0</v>
      </c>
      <c r="N125" s="4">
        <f t="shared" si="15"/>
        <v>0</v>
      </c>
    </row>
    <row r="126" spans="1:14" x14ac:dyDescent="0.4">
      <c r="A126" s="1" t="s">
        <v>136</v>
      </c>
      <c r="B126" t="str">
        <f>Funds!A8</f>
        <v>Fund VII</v>
      </c>
      <c r="C126" s="2">
        <v>87.5</v>
      </c>
      <c r="D126" s="2">
        <v>87.5</v>
      </c>
      <c r="E126" s="2">
        <v>119.3</v>
      </c>
      <c r="F126" s="2" t="b">
        <v>1</v>
      </c>
      <c r="G126" s="3">
        <f t="shared" si="8"/>
        <v>1.3634285714285714</v>
      </c>
      <c r="H126" t="b">
        <f t="shared" si="9"/>
        <v>0</v>
      </c>
      <c r="I126" t="b">
        <f t="shared" si="10"/>
        <v>0</v>
      </c>
      <c r="J126" t="b">
        <f t="shared" si="11"/>
        <v>0</v>
      </c>
      <c r="K126" t="b">
        <f t="shared" si="12"/>
        <v>1</v>
      </c>
      <c r="L126" t="b">
        <f t="shared" si="13"/>
        <v>0</v>
      </c>
      <c r="M126" t="b">
        <f t="shared" si="14"/>
        <v>0</v>
      </c>
      <c r="N126" s="4">
        <f t="shared" si="15"/>
        <v>0</v>
      </c>
    </row>
    <row r="127" spans="1:14" x14ac:dyDescent="0.4">
      <c r="A127" s="1" t="s">
        <v>137</v>
      </c>
      <c r="B127" t="str">
        <f>Funds!A8</f>
        <v>Fund VII</v>
      </c>
      <c r="C127" s="2">
        <v>51.5</v>
      </c>
      <c r="D127" s="2">
        <v>51.5</v>
      </c>
      <c r="E127" s="2">
        <v>22.6</v>
      </c>
      <c r="F127" s="2" t="b">
        <v>1</v>
      </c>
      <c r="G127" s="3">
        <f t="shared" si="8"/>
        <v>0.43883495145631068</v>
      </c>
      <c r="H127" t="b">
        <f t="shared" si="9"/>
        <v>0</v>
      </c>
      <c r="I127" t="b">
        <f t="shared" si="10"/>
        <v>1</v>
      </c>
      <c r="J127" t="b">
        <f t="shared" si="11"/>
        <v>0</v>
      </c>
      <c r="K127" t="b">
        <f t="shared" si="12"/>
        <v>0</v>
      </c>
      <c r="L127" t="b">
        <f t="shared" si="13"/>
        <v>0</v>
      </c>
      <c r="M127" t="b">
        <f t="shared" si="14"/>
        <v>0</v>
      </c>
      <c r="N127" s="4">
        <f t="shared" si="15"/>
        <v>28.9</v>
      </c>
    </row>
    <row r="128" spans="1:14" x14ac:dyDescent="0.4">
      <c r="A128" s="1" t="s">
        <v>138</v>
      </c>
      <c r="B128" t="str">
        <f>Funds!A8</f>
        <v>Fund VII</v>
      </c>
      <c r="C128" s="2">
        <v>87.1</v>
      </c>
      <c r="D128" s="2">
        <v>87.1</v>
      </c>
      <c r="E128" s="2">
        <v>203</v>
      </c>
      <c r="F128" s="2" t="b">
        <v>1</v>
      </c>
      <c r="G128" s="3">
        <f t="shared" si="8"/>
        <v>2.3306544202066592</v>
      </c>
      <c r="H128" t="b">
        <f t="shared" si="9"/>
        <v>0</v>
      </c>
      <c r="I128" t="b">
        <f t="shared" si="10"/>
        <v>0</v>
      </c>
      <c r="J128" t="b">
        <f t="shared" si="11"/>
        <v>0</v>
      </c>
      <c r="K128" t="b">
        <f t="shared" si="12"/>
        <v>0</v>
      </c>
      <c r="L128" t="b">
        <f t="shared" si="13"/>
        <v>1</v>
      </c>
      <c r="M128" t="b">
        <f t="shared" si="14"/>
        <v>0</v>
      </c>
      <c r="N128" s="4">
        <f t="shared" si="15"/>
        <v>0</v>
      </c>
    </row>
    <row r="129" spans="1:14" x14ac:dyDescent="0.4">
      <c r="A129" s="1" t="s">
        <v>139</v>
      </c>
      <c r="B129" t="str">
        <f>Funds!A8</f>
        <v>Fund VII</v>
      </c>
      <c r="C129" s="2">
        <v>149.9</v>
      </c>
      <c r="D129" s="2">
        <v>149.9</v>
      </c>
      <c r="E129" s="2">
        <v>280.10000000000002</v>
      </c>
      <c r="F129" s="2" t="b">
        <v>1</v>
      </c>
      <c r="G129" s="3">
        <f t="shared" si="8"/>
        <v>1.8685790527018014</v>
      </c>
      <c r="H129" t="b">
        <f t="shared" si="9"/>
        <v>0</v>
      </c>
      <c r="I129" t="b">
        <f t="shared" si="10"/>
        <v>0</v>
      </c>
      <c r="J129" t="b">
        <f t="shared" si="11"/>
        <v>0</v>
      </c>
      <c r="K129" t="b">
        <f t="shared" si="12"/>
        <v>1</v>
      </c>
      <c r="L129" t="b">
        <f t="shared" si="13"/>
        <v>0</v>
      </c>
      <c r="M129" t="b">
        <f t="shared" si="14"/>
        <v>0</v>
      </c>
      <c r="N129" s="4">
        <f t="shared" si="15"/>
        <v>0</v>
      </c>
    </row>
    <row r="130" spans="1:14" x14ac:dyDescent="0.4">
      <c r="A130" s="1" t="s">
        <v>140</v>
      </c>
      <c r="B130" t="str">
        <f>Funds!A8</f>
        <v>Fund VII</v>
      </c>
      <c r="C130" s="2">
        <v>31.2</v>
      </c>
      <c r="D130" s="2">
        <v>31.2</v>
      </c>
      <c r="E130" s="2">
        <v>8.1999999999999993</v>
      </c>
      <c r="F130" s="2" t="b">
        <v>1</v>
      </c>
      <c r="G130" s="3">
        <f t="shared" ref="G130:G193" si="16">E130/D130</f>
        <v>0.26282051282051283</v>
      </c>
      <c r="H130" t="b">
        <f t="shared" ref="H130:H193" si="17">G130=0</f>
        <v>0</v>
      </c>
      <c r="I130" t="b">
        <f t="shared" ref="I130:I193" si="18">AND(G130&gt;0, G130&lt;1)</f>
        <v>1</v>
      </c>
      <c r="J130" t="b">
        <f t="shared" ref="J130:J193" si="19">G130=1</f>
        <v>0</v>
      </c>
      <c r="K130" t="b">
        <f t="shared" ref="K130:K193" si="20">AND(G130&gt;1, G130&lt;2)</f>
        <v>0</v>
      </c>
      <c r="L130" t="b">
        <f t="shared" ref="L130:L193" si="21">AND(G130&gt;=2, G130&lt;3)</f>
        <v>0</v>
      </c>
      <c r="M130" t="b">
        <f t="shared" ref="M130:M193" si="22">G130&gt;3</f>
        <v>0</v>
      </c>
      <c r="N130" s="4">
        <f t="shared" ref="N130:N193" si="23">IF(OR(H130, I130), -D130 * (G130 - 1), 0)</f>
        <v>23</v>
      </c>
    </row>
    <row r="131" spans="1:14" x14ac:dyDescent="0.4">
      <c r="A131" s="1" t="s">
        <v>122</v>
      </c>
      <c r="B131" t="str">
        <f>Funds!A8</f>
        <v>Fund VII</v>
      </c>
      <c r="C131" s="2">
        <v>107.7</v>
      </c>
      <c r="D131" s="2">
        <v>107.7</v>
      </c>
      <c r="E131" s="2">
        <v>13</v>
      </c>
      <c r="F131" s="2" t="b">
        <v>1</v>
      </c>
      <c r="G131" s="3">
        <f t="shared" si="16"/>
        <v>0.12070566388115134</v>
      </c>
      <c r="H131" t="b">
        <f t="shared" si="17"/>
        <v>0</v>
      </c>
      <c r="I131" t="b">
        <f t="shared" si="18"/>
        <v>1</v>
      </c>
      <c r="J131" t="b">
        <f t="shared" si="19"/>
        <v>0</v>
      </c>
      <c r="K131" t="b">
        <f t="shared" si="20"/>
        <v>0</v>
      </c>
      <c r="L131" t="b">
        <f t="shared" si="21"/>
        <v>0</v>
      </c>
      <c r="M131" t="b">
        <f t="shared" si="22"/>
        <v>0</v>
      </c>
      <c r="N131" s="4">
        <f t="shared" si="23"/>
        <v>94.7</v>
      </c>
    </row>
    <row r="132" spans="1:14" x14ac:dyDescent="0.4">
      <c r="A132" s="1" t="s">
        <v>109</v>
      </c>
      <c r="B132" t="str">
        <f>Funds!A8</f>
        <v>Fund VII</v>
      </c>
      <c r="C132" s="2">
        <v>41.6</v>
      </c>
      <c r="D132" s="2">
        <v>41.6</v>
      </c>
      <c r="E132" s="2">
        <v>223.1</v>
      </c>
      <c r="F132" s="2" t="b">
        <v>1</v>
      </c>
      <c r="G132" s="3">
        <f t="shared" si="16"/>
        <v>5.3629807692307692</v>
      </c>
      <c r="H132" t="b">
        <f t="shared" si="17"/>
        <v>0</v>
      </c>
      <c r="I132" t="b">
        <f t="shared" si="18"/>
        <v>0</v>
      </c>
      <c r="J132" t="b">
        <f t="shared" si="19"/>
        <v>0</v>
      </c>
      <c r="K132" t="b">
        <f t="shared" si="20"/>
        <v>0</v>
      </c>
      <c r="L132" t="b">
        <f t="shared" si="21"/>
        <v>0</v>
      </c>
      <c r="M132" t="b">
        <f t="shared" si="22"/>
        <v>1</v>
      </c>
      <c r="N132" s="4">
        <f t="shared" si="23"/>
        <v>0</v>
      </c>
    </row>
    <row r="133" spans="1:14" x14ac:dyDescent="0.4">
      <c r="A133" s="1" t="s">
        <v>95</v>
      </c>
      <c r="B133" t="str">
        <f>Funds!A8</f>
        <v>Fund VII</v>
      </c>
      <c r="C133" s="2">
        <v>95.2</v>
      </c>
      <c r="D133" s="2">
        <v>95.2</v>
      </c>
      <c r="E133" s="2">
        <v>11.5</v>
      </c>
      <c r="F133" s="2" t="b">
        <v>1</v>
      </c>
      <c r="G133" s="3">
        <f t="shared" si="16"/>
        <v>0.12079831932773109</v>
      </c>
      <c r="H133" t="b">
        <f t="shared" si="17"/>
        <v>0</v>
      </c>
      <c r="I133" t="b">
        <f t="shared" si="18"/>
        <v>1</v>
      </c>
      <c r="J133" t="b">
        <f t="shared" si="19"/>
        <v>0</v>
      </c>
      <c r="K133" t="b">
        <f t="shared" si="20"/>
        <v>0</v>
      </c>
      <c r="L133" t="b">
        <f t="shared" si="21"/>
        <v>0</v>
      </c>
      <c r="M133" t="b">
        <f t="shared" si="22"/>
        <v>0</v>
      </c>
      <c r="N133" s="4">
        <f t="shared" si="23"/>
        <v>83.7</v>
      </c>
    </row>
    <row r="134" spans="1:14" x14ac:dyDescent="0.4">
      <c r="A134" s="1" t="s">
        <v>98</v>
      </c>
      <c r="B134" t="str">
        <f>Funds!A8</f>
        <v>Fund VII</v>
      </c>
      <c r="C134" s="2">
        <v>12.6</v>
      </c>
      <c r="D134" s="2">
        <v>12.6</v>
      </c>
      <c r="E134" s="2">
        <v>43.6</v>
      </c>
      <c r="F134" s="2" t="b">
        <v>1</v>
      </c>
      <c r="G134" s="3">
        <f t="shared" si="16"/>
        <v>3.4603174603174605</v>
      </c>
      <c r="H134" t="b">
        <f t="shared" si="17"/>
        <v>0</v>
      </c>
      <c r="I134" t="b">
        <f t="shared" si="18"/>
        <v>0</v>
      </c>
      <c r="J134" t="b">
        <f t="shared" si="19"/>
        <v>0</v>
      </c>
      <c r="K134" t="b">
        <f t="shared" si="20"/>
        <v>0</v>
      </c>
      <c r="L134" t="b">
        <f t="shared" si="21"/>
        <v>0</v>
      </c>
      <c r="M134" t="b">
        <f t="shared" si="22"/>
        <v>1</v>
      </c>
      <c r="N134" s="4">
        <f t="shared" si="23"/>
        <v>0</v>
      </c>
    </row>
    <row r="135" spans="1:14" x14ac:dyDescent="0.4">
      <c r="A135" s="1" t="s">
        <v>141</v>
      </c>
      <c r="B135" t="str">
        <f>Funds!A8</f>
        <v>Fund VII</v>
      </c>
      <c r="C135" s="2">
        <v>81</v>
      </c>
      <c r="D135" s="2">
        <v>81</v>
      </c>
      <c r="E135" s="2">
        <v>90.1</v>
      </c>
      <c r="F135" s="2" t="b">
        <v>1</v>
      </c>
      <c r="G135" s="3">
        <f t="shared" si="16"/>
        <v>1.1123456790123456</v>
      </c>
      <c r="H135" t="b">
        <f t="shared" si="17"/>
        <v>0</v>
      </c>
      <c r="I135" t="b">
        <f t="shared" si="18"/>
        <v>0</v>
      </c>
      <c r="J135" t="b">
        <f t="shared" si="19"/>
        <v>0</v>
      </c>
      <c r="K135" t="b">
        <f t="shared" si="20"/>
        <v>1</v>
      </c>
      <c r="L135" t="b">
        <f t="shared" si="21"/>
        <v>0</v>
      </c>
      <c r="M135" t="b">
        <f t="shared" si="22"/>
        <v>0</v>
      </c>
      <c r="N135" s="4">
        <f t="shared" si="23"/>
        <v>0</v>
      </c>
    </row>
    <row r="136" spans="1:14" x14ac:dyDescent="0.4">
      <c r="A136" s="1" t="s">
        <v>142</v>
      </c>
      <c r="B136" t="str">
        <f>Funds!A8</f>
        <v>Fund VII</v>
      </c>
      <c r="C136" s="2">
        <v>124</v>
      </c>
      <c r="D136" s="2">
        <v>124</v>
      </c>
      <c r="E136" s="2">
        <v>423.7</v>
      </c>
      <c r="F136" s="2" t="b">
        <v>1</v>
      </c>
      <c r="G136" s="3">
        <f t="shared" si="16"/>
        <v>3.4169354838709678</v>
      </c>
      <c r="H136" t="b">
        <f t="shared" si="17"/>
        <v>0</v>
      </c>
      <c r="I136" t="b">
        <f t="shared" si="18"/>
        <v>0</v>
      </c>
      <c r="J136" t="b">
        <f t="shared" si="19"/>
        <v>0</v>
      </c>
      <c r="K136" t="b">
        <f t="shared" si="20"/>
        <v>0</v>
      </c>
      <c r="L136" t="b">
        <f t="shared" si="21"/>
        <v>0</v>
      </c>
      <c r="M136" t="b">
        <f t="shared" si="22"/>
        <v>1</v>
      </c>
      <c r="N136" s="4">
        <f t="shared" si="23"/>
        <v>0</v>
      </c>
    </row>
    <row r="137" spans="1:14" x14ac:dyDescent="0.4">
      <c r="A137" s="1" t="s">
        <v>85</v>
      </c>
      <c r="B137" t="str">
        <f>Funds!A8</f>
        <v>Fund VII</v>
      </c>
      <c r="C137" s="2">
        <v>41.7</v>
      </c>
      <c r="D137" s="2">
        <v>41.7</v>
      </c>
      <c r="E137" s="2">
        <v>96.7</v>
      </c>
      <c r="F137" s="2" t="b">
        <v>1</v>
      </c>
      <c r="G137" s="3">
        <f t="shared" si="16"/>
        <v>2.3189448441247</v>
      </c>
      <c r="H137" t="b">
        <f t="shared" si="17"/>
        <v>0</v>
      </c>
      <c r="I137" t="b">
        <f t="shared" si="18"/>
        <v>0</v>
      </c>
      <c r="J137" t="b">
        <f t="shared" si="19"/>
        <v>0</v>
      </c>
      <c r="K137" t="b">
        <f t="shared" si="20"/>
        <v>0</v>
      </c>
      <c r="L137" t="b">
        <f t="shared" si="21"/>
        <v>1</v>
      </c>
      <c r="M137" t="b">
        <f t="shared" si="22"/>
        <v>0</v>
      </c>
      <c r="N137" s="4">
        <f t="shared" si="23"/>
        <v>0</v>
      </c>
    </row>
    <row r="138" spans="1:14" x14ac:dyDescent="0.4">
      <c r="A138" s="1" t="s">
        <v>143</v>
      </c>
      <c r="B138" t="str">
        <f>Funds!A8</f>
        <v>Fund VII</v>
      </c>
      <c r="C138" s="2">
        <v>51</v>
      </c>
      <c r="D138" s="2">
        <v>51</v>
      </c>
      <c r="E138" s="2">
        <v>92.6</v>
      </c>
      <c r="F138" s="2" t="b">
        <v>1</v>
      </c>
      <c r="G138" s="3">
        <f t="shared" si="16"/>
        <v>1.8156862745098039</v>
      </c>
      <c r="H138" t="b">
        <f t="shared" si="17"/>
        <v>0</v>
      </c>
      <c r="I138" t="b">
        <f t="shared" si="18"/>
        <v>0</v>
      </c>
      <c r="J138" t="b">
        <f t="shared" si="19"/>
        <v>0</v>
      </c>
      <c r="K138" t="b">
        <f t="shared" si="20"/>
        <v>1</v>
      </c>
      <c r="L138" t="b">
        <f t="shared" si="21"/>
        <v>0</v>
      </c>
      <c r="M138" t="b">
        <f t="shared" si="22"/>
        <v>0</v>
      </c>
      <c r="N138" s="4">
        <f t="shared" si="23"/>
        <v>0</v>
      </c>
    </row>
    <row r="139" spans="1:14" x14ac:dyDescent="0.4">
      <c r="A139" s="1" t="s">
        <v>144</v>
      </c>
      <c r="B139" t="str">
        <f>Funds!A8</f>
        <v>Fund VII</v>
      </c>
      <c r="C139" s="2">
        <v>27.4</v>
      </c>
      <c r="D139" s="2">
        <v>27.4</v>
      </c>
      <c r="E139" s="2">
        <v>45.4</v>
      </c>
      <c r="F139" s="2" t="b">
        <v>1</v>
      </c>
      <c r="G139" s="3">
        <f t="shared" si="16"/>
        <v>1.6569343065693432</v>
      </c>
      <c r="H139" t="b">
        <f t="shared" si="17"/>
        <v>0</v>
      </c>
      <c r="I139" t="b">
        <f t="shared" si="18"/>
        <v>0</v>
      </c>
      <c r="J139" t="b">
        <f t="shared" si="19"/>
        <v>0</v>
      </c>
      <c r="K139" t="b">
        <f t="shared" si="20"/>
        <v>1</v>
      </c>
      <c r="L139" t="b">
        <f t="shared" si="21"/>
        <v>0</v>
      </c>
      <c r="M139" t="b">
        <f t="shared" si="22"/>
        <v>0</v>
      </c>
      <c r="N139" s="4">
        <f t="shared" si="23"/>
        <v>0</v>
      </c>
    </row>
    <row r="140" spans="1:14" x14ac:dyDescent="0.4">
      <c r="A140" s="1" t="s">
        <v>145</v>
      </c>
      <c r="B140" t="str">
        <f>Funds!A8</f>
        <v>Fund VII</v>
      </c>
      <c r="C140" s="2">
        <v>44.3</v>
      </c>
      <c r="D140" s="2">
        <v>44.3</v>
      </c>
      <c r="E140" s="2">
        <v>195.1</v>
      </c>
      <c r="F140" s="2" t="b">
        <v>1</v>
      </c>
      <c r="G140" s="3">
        <f t="shared" si="16"/>
        <v>4.4040632054176072</v>
      </c>
      <c r="H140" t="b">
        <f t="shared" si="17"/>
        <v>0</v>
      </c>
      <c r="I140" t="b">
        <f t="shared" si="18"/>
        <v>0</v>
      </c>
      <c r="J140" t="b">
        <f t="shared" si="19"/>
        <v>0</v>
      </c>
      <c r="K140" t="b">
        <f t="shared" si="20"/>
        <v>0</v>
      </c>
      <c r="L140" t="b">
        <f t="shared" si="21"/>
        <v>0</v>
      </c>
      <c r="M140" t="b">
        <f t="shared" si="22"/>
        <v>1</v>
      </c>
      <c r="N140" s="4">
        <f t="shared" si="23"/>
        <v>0</v>
      </c>
    </row>
    <row r="141" spans="1:14" x14ac:dyDescent="0.4">
      <c r="A141" s="1" t="s">
        <v>146</v>
      </c>
      <c r="B141" t="str">
        <f>Funds!A8</f>
        <v>Fund VII</v>
      </c>
      <c r="C141" s="2">
        <v>14.2</v>
      </c>
      <c r="D141" s="2">
        <v>14.2</v>
      </c>
      <c r="E141" s="2">
        <v>1.1000000000000001</v>
      </c>
      <c r="F141" s="2" t="b">
        <v>1</v>
      </c>
      <c r="G141" s="3">
        <f t="shared" si="16"/>
        <v>7.7464788732394374E-2</v>
      </c>
      <c r="H141" t="b">
        <f t="shared" si="17"/>
        <v>0</v>
      </c>
      <c r="I141" t="b">
        <f t="shared" si="18"/>
        <v>1</v>
      </c>
      <c r="J141" t="b">
        <f t="shared" si="19"/>
        <v>0</v>
      </c>
      <c r="K141" t="b">
        <f t="shared" si="20"/>
        <v>0</v>
      </c>
      <c r="L141" t="b">
        <f t="shared" si="21"/>
        <v>0</v>
      </c>
      <c r="M141" t="b">
        <f t="shared" si="22"/>
        <v>0</v>
      </c>
      <c r="N141" s="4">
        <f t="shared" si="23"/>
        <v>13.1</v>
      </c>
    </row>
    <row r="142" spans="1:14" x14ac:dyDescent="0.4">
      <c r="A142" s="1" t="s">
        <v>147</v>
      </c>
      <c r="B142" t="str">
        <f>Funds!A8</f>
        <v>Fund VII</v>
      </c>
      <c r="C142" s="2">
        <v>184</v>
      </c>
      <c r="D142" s="2">
        <v>184</v>
      </c>
      <c r="E142" s="2">
        <v>58.7</v>
      </c>
      <c r="F142" s="2" t="b">
        <v>1</v>
      </c>
      <c r="G142" s="3">
        <f t="shared" si="16"/>
        <v>0.3190217391304348</v>
      </c>
      <c r="H142" t="b">
        <f t="shared" si="17"/>
        <v>0</v>
      </c>
      <c r="I142" t="b">
        <f t="shared" si="18"/>
        <v>1</v>
      </c>
      <c r="J142" t="b">
        <f t="shared" si="19"/>
        <v>0</v>
      </c>
      <c r="K142" t="b">
        <f t="shared" si="20"/>
        <v>0</v>
      </c>
      <c r="L142" t="b">
        <f t="shared" si="21"/>
        <v>0</v>
      </c>
      <c r="M142" t="b">
        <f t="shared" si="22"/>
        <v>0</v>
      </c>
      <c r="N142" s="4">
        <f t="shared" si="23"/>
        <v>125.29999999999998</v>
      </c>
    </row>
    <row r="143" spans="1:14" x14ac:dyDescent="0.4">
      <c r="A143" s="1" t="s">
        <v>148</v>
      </c>
      <c r="B143" t="str">
        <f>Funds!A8</f>
        <v>Fund VII</v>
      </c>
      <c r="C143" s="2">
        <v>106.2</v>
      </c>
      <c r="D143" s="2">
        <v>106.2</v>
      </c>
      <c r="E143" s="2">
        <v>304.8</v>
      </c>
      <c r="F143" s="2" t="b">
        <v>1</v>
      </c>
      <c r="G143" s="3">
        <f t="shared" si="16"/>
        <v>2.8700564971751414</v>
      </c>
      <c r="H143" t="b">
        <f t="shared" si="17"/>
        <v>0</v>
      </c>
      <c r="I143" t="b">
        <f t="shared" si="18"/>
        <v>0</v>
      </c>
      <c r="J143" t="b">
        <f t="shared" si="19"/>
        <v>0</v>
      </c>
      <c r="K143" t="b">
        <f t="shared" si="20"/>
        <v>0</v>
      </c>
      <c r="L143" t="b">
        <f t="shared" si="21"/>
        <v>1</v>
      </c>
      <c r="M143" t="b">
        <f t="shared" si="22"/>
        <v>0</v>
      </c>
      <c r="N143" s="4">
        <f t="shared" si="23"/>
        <v>0</v>
      </c>
    </row>
    <row r="144" spans="1:14" x14ac:dyDescent="0.4">
      <c r="A144" s="1" t="s">
        <v>149</v>
      </c>
      <c r="B144" t="str">
        <f>Funds!A8</f>
        <v>Fund VII</v>
      </c>
      <c r="C144" s="2">
        <v>43.2</v>
      </c>
      <c r="D144" s="2">
        <v>43.2</v>
      </c>
      <c r="E144" s="2">
        <v>139</v>
      </c>
      <c r="F144" s="2" t="b">
        <v>1</v>
      </c>
      <c r="G144" s="3">
        <f t="shared" si="16"/>
        <v>3.2175925925925926</v>
      </c>
      <c r="H144" t="b">
        <f t="shared" si="17"/>
        <v>0</v>
      </c>
      <c r="I144" t="b">
        <f t="shared" si="18"/>
        <v>0</v>
      </c>
      <c r="J144" t="b">
        <f t="shared" si="19"/>
        <v>0</v>
      </c>
      <c r="K144" t="b">
        <f t="shared" si="20"/>
        <v>0</v>
      </c>
      <c r="L144" t="b">
        <f t="shared" si="21"/>
        <v>0</v>
      </c>
      <c r="M144" t="b">
        <f t="shared" si="22"/>
        <v>1</v>
      </c>
      <c r="N144" s="4">
        <f t="shared" si="23"/>
        <v>0</v>
      </c>
    </row>
    <row r="145" spans="1:14" x14ac:dyDescent="0.4">
      <c r="A145" s="1" t="s">
        <v>145</v>
      </c>
      <c r="B145" t="str">
        <f>Funds!A9</f>
        <v>Fund VIII</v>
      </c>
      <c r="C145" s="2">
        <v>43.6</v>
      </c>
      <c r="D145" s="2">
        <v>43.6</v>
      </c>
      <c r="E145" s="2">
        <v>194.2</v>
      </c>
      <c r="F145" s="2" t="b">
        <v>1</v>
      </c>
      <c r="G145" s="3">
        <f t="shared" si="16"/>
        <v>4.4541284403669721</v>
      </c>
      <c r="H145" t="b">
        <f t="shared" si="17"/>
        <v>0</v>
      </c>
      <c r="I145" t="b">
        <f t="shared" si="18"/>
        <v>0</v>
      </c>
      <c r="J145" t="b">
        <f t="shared" si="19"/>
        <v>0</v>
      </c>
      <c r="K145" t="b">
        <f t="shared" si="20"/>
        <v>0</v>
      </c>
      <c r="L145" t="b">
        <f t="shared" si="21"/>
        <v>0</v>
      </c>
      <c r="M145" t="b">
        <f t="shared" si="22"/>
        <v>1</v>
      </c>
      <c r="N145" s="4">
        <f t="shared" si="23"/>
        <v>0</v>
      </c>
    </row>
    <row r="146" spans="1:14" x14ac:dyDescent="0.4">
      <c r="A146" s="1" t="s">
        <v>144</v>
      </c>
      <c r="B146" t="str">
        <f>Funds!A9</f>
        <v>Fund VIII</v>
      </c>
      <c r="C146" s="2">
        <v>26.9</v>
      </c>
      <c r="D146" s="2">
        <v>26.9</v>
      </c>
      <c r="E146" s="2">
        <v>44.8</v>
      </c>
      <c r="F146" s="2" t="b">
        <v>1</v>
      </c>
      <c r="G146" s="3">
        <f t="shared" si="16"/>
        <v>1.6654275092936803</v>
      </c>
      <c r="H146" t="b">
        <f t="shared" si="17"/>
        <v>0</v>
      </c>
      <c r="I146" t="b">
        <f t="shared" si="18"/>
        <v>0</v>
      </c>
      <c r="J146" t="b">
        <f t="shared" si="19"/>
        <v>0</v>
      </c>
      <c r="K146" t="b">
        <f t="shared" si="20"/>
        <v>1</v>
      </c>
      <c r="L146" t="b">
        <f t="shared" si="21"/>
        <v>0</v>
      </c>
      <c r="M146" t="b">
        <f t="shared" si="22"/>
        <v>0</v>
      </c>
      <c r="N146" s="4">
        <f t="shared" si="23"/>
        <v>0</v>
      </c>
    </row>
    <row r="147" spans="1:14" x14ac:dyDescent="0.4">
      <c r="A147" s="1" t="s">
        <v>146</v>
      </c>
      <c r="B147" t="str">
        <f>Funds!A9</f>
        <v>Fund VIII</v>
      </c>
      <c r="C147" s="2">
        <v>14.2</v>
      </c>
      <c r="D147" s="2">
        <v>14.2</v>
      </c>
      <c r="E147" s="2">
        <v>1.1000000000000001</v>
      </c>
      <c r="F147" s="2" t="b">
        <v>1</v>
      </c>
      <c r="G147" s="3">
        <f t="shared" si="16"/>
        <v>7.7464788732394374E-2</v>
      </c>
      <c r="H147" t="b">
        <f t="shared" si="17"/>
        <v>0</v>
      </c>
      <c r="I147" t="b">
        <f t="shared" si="18"/>
        <v>1</v>
      </c>
      <c r="J147" t="b">
        <f t="shared" si="19"/>
        <v>0</v>
      </c>
      <c r="K147" t="b">
        <f t="shared" si="20"/>
        <v>0</v>
      </c>
      <c r="L147" t="b">
        <f t="shared" si="21"/>
        <v>0</v>
      </c>
      <c r="M147" t="b">
        <f t="shared" si="22"/>
        <v>0</v>
      </c>
      <c r="N147" s="4">
        <f t="shared" si="23"/>
        <v>13.1</v>
      </c>
    </row>
    <row r="148" spans="1:14" x14ac:dyDescent="0.4">
      <c r="A148" s="1" t="s">
        <v>150</v>
      </c>
      <c r="B148" t="str">
        <f>Funds!A9</f>
        <v>Fund VIII</v>
      </c>
      <c r="C148" s="2">
        <v>73.7</v>
      </c>
      <c r="D148" s="2">
        <v>73.7</v>
      </c>
      <c r="E148" s="2">
        <v>22</v>
      </c>
      <c r="F148" s="2" t="b">
        <v>1</v>
      </c>
      <c r="G148" s="3">
        <f t="shared" si="16"/>
        <v>0.29850746268656714</v>
      </c>
      <c r="H148" t="b">
        <f t="shared" si="17"/>
        <v>0</v>
      </c>
      <c r="I148" t="b">
        <f t="shared" si="18"/>
        <v>1</v>
      </c>
      <c r="J148" t="b">
        <f t="shared" si="19"/>
        <v>0</v>
      </c>
      <c r="K148" t="b">
        <f t="shared" si="20"/>
        <v>0</v>
      </c>
      <c r="L148" t="b">
        <f t="shared" si="21"/>
        <v>0</v>
      </c>
      <c r="M148" t="b">
        <f t="shared" si="22"/>
        <v>0</v>
      </c>
      <c r="N148" s="4">
        <f t="shared" si="23"/>
        <v>51.7</v>
      </c>
    </row>
    <row r="149" spans="1:14" x14ac:dyDescent="0.4">
      <c r="A149" s="1" t="s">
        <v>151</v>
      </c>
      <c r="B149" t="str">
        <f>Funds!A9</f>
        <v>Fund VIII</v>
      </c>
      <c r="C149" s="2">
        <v>131.6</v>
      </c>
      <c r="D149" s="2">
        <v>131.6</v>
      </c>
      <c r="E149" s="2">
        <v>0</v>
      </c>
      <c r="F149" s="2"/>
      <c r="G149" s="3">
        <f t="shared" si="16"/>
        <v>0</v>
      </c>
      <c r="H149" t="b">
        <f t="shared" si="17"/>
        <v>1</v>
      </c>
      <c r="I149" t="b">
        <f t="shared" si="18"/>
        <v>0</v>
      </c>
      <c r="J149" t="b">
        <f t="shared" si="19"/>
        <v>0</v>
      </c>
      <c r="K149" t="b">
        <f t="shared" si="20"/>
        <v>0</v>
      </c>
      <c r="L149" t="b">
        <f t="shared" si="21"/>
        <v>0</v>
      </c>
      <c r="M149" t="b">
        <f t="shared" si="22"/>
        <v>0</v>
      </c>
      <c r="N149" s="4">
        <f t="shared" si="23"/>
        <v>131.6</v>
      </c>
    </row>
    <row r="150" spans="1:14" x14ac:dyDescent="0.4">
      <c r="A150" s="1" t="s">
        <v>152</v>
      </c>
      <c r="B150" t="str">
        <f>Funds!A9</f>
        <v>Fund VIII</v>
      </c>
      <c r="C150" s="2">
        <v>115.9</v>
      </c>
      <c r="D150" s="2">
        <v>115.9</v>
      </c>
      <c r="E150" s="2">
        <v>0</v>
      </c>
      <c r="F150" s="2"/>
      <c r="G150" s="3">
        <f t="shared" si="16"/>
        <v>0</v>
      </c>
      <c r="H150" t="b">
        <f t="shared" si="17"/>
        <v>1</v>
      </c>
      <c r="I150" t="b">
        <f t="shared" si="18"/>
        <v>0</v>
      </c>
      <c r="J150" t="b">
        <f t="shared" si="19"/>
        <v>0</v>
      </c>
      <c r="K150" t="b">
        <f t="shared" si="20"/>
        <v>0</v>
      </c>
      <c r="L150" t="b">
        <f t="shared" si="21"/>
        <v>0</v>
      </c>
      <c r="M150" t="b">
        <f t="shared" si="22"/>
        <v>0</v>
      </c>
      <c r="N150" s="4">
        <f t="shared" si="23"/>
        <v>115.9</v>
      </c>
    </row>
    <row r="151" spans="1:14" x14ac:dyDescent="0.4">
      <c r="A151" s="1" t="s">
        <v>148</v>
      </c>
      <c r="B151" t="str">
        <f>Funds!A9</f>
        <v>Fund VIII</v>
      </c>
      <c r="C151" s="2">
        <v>170.3</v>
      </c>
      <c r="D151" s="2">
        <v>170.3</v>
      </c>
      <c r="E151" s="2">
        <v>496.3</v>
      </c>
      <c r="F151" s="2" t="b">
        <v>1</v>
      </c>
      <c r="G151" s="3">
        <f t="shared" si="16"/>
        <v>2.9142689371697004</v>
      </c>
      <c r="H151" t="b">
        <f t="shared" si="17"/>
        <v>0</v>
      </c>
      <c r="I151" t="b">
        <f t="shared" si="18"/>
        <v>0</v>
      </c>
      <c r="J151" t="b">
        <f t="shared" si="19"/>
        <v>0</v>
      </c>
      <c r="K151" t="b">
        <f t="shared" si="20"/>
        <v>0</v>
      </c>
      <c r="L151" t="b">
        <f t="shared" si="21"/>
        <v>1</v>
      </c>
      <c r="M151" t="b">
        <f t="shared" si="22"/>
        <v>0</v>
      </c>
      <c r="N151" s="4">
        <f t="shared" si="23"/>
        <v>0</v>
      </c>
    </row>
    <row r="152" spans="1:14" x14ac:dyDescent="0.4">
      <c r="A152" s="1" t="s">
        <v>153</v>
      </c>
      <c r="B152" t="str">
        <f>Funds!A9</f>
        <v>Fund VIII</v>
      </c>
      <c r="C152" s="2">
        <v>189.1</v>
      </c>
      <c r="D152" s="2">
        <v>189.1</v>
      </c>
      <c r="E152" s="2">
        <v>57</v>
      </c>
      <c r="F152" s="2" t="b">
        <v>0</v>
      </c>
      <c r="G152" s="3">
        <f t="shared" si="16"/>
        <v>0.30142781597038604</v>
      </c>
      <c r="H152" t="b">
        <f t="shared" si="17"/>
        <v>0</v>
      </c>
      <c r="I152" t="b">
        <f t="shared" si="18"/>
        <v>1</v>
      </c>
      <c r="J152" t="b">
        <f t="shared" si="19"/>
        <v>0</v>
      </c>
      <c r="K152" t="b">
        <f t="shared" si="20"/>
        <v>0</v>
      </c>
      <c r="L152" t="b">
        <f t="shared" si="21"/>
        <v>0</v>
      </c>
      <c r="M152" t="b">
        <f t="shared" si="22"/>
        <v>0</v>
      </c>
      <c r="N152" s="4">
        <f t="shared" si="23"/>
        <v>132.1</v>
      </c>
    </row>
    <row r="153" spans="1:14" x14ac:dyDescent="0.4">
      <c r="A153" s="1" t="s">
        <v>154</v>
      </c>
      <c r="B153" t="str">
        <f>Funds!A9</f>
        <v>Fund VIII</v>
      </c>
      <c r="C153" s="2">
        <v>133.80000000000001</v>
      </c>
      <c r="D153" s="2">
        <v>133.80000000000001</v>
      </c>
      <c r="E153" s="2">
        <v>122.7</v>
      </c>
      <c r="F153" s="2" t="b">
        <v>1</v>
      </c>
      <c r="G153" s="3">
        <f t="shared" si="16"/>
        <v>0.9170403587443946</v>
      </c>
      <c r="H153" t="b">
        <f t="shared" si="17"/>
        <v>0</v>
      </c>
      <c r="I153" t="b">
        <f t="shared" si="18"/>
        <v>1</v>
      </c>
      <c r="J153" t="b">
        <f t="shared" si="19"/>
        <v>0</v>
      </c>
      <c r="K153" t="b">
        <f t="shared" si="20"/>
        <v>0</v>
      </c>
      <c r="L153" t="b">
        <f t="shared" si="21"/>
        <v>0</v>
      </c>
      <c r="M153" t="b">
        <f t="shared" si="22"/>
        <v>0</v>
      </c>
      <c r="N153" s="4">
        <f t="shared" si="23"/>
        <v>11.100000000000003</v>
      </c>
    </row>
    <row r="154" spans="1:14" x14ac:dyDescent="0.4">
      <c r="A154" s="1" t="s">
        <v>155</v>
      </c>
      <c r="B154" t="str">
        <f>Funds!A9</f>
        <v>Fund VIII</v>
      </c>
      <c r="C154" s="2">
        <v>279.7</v>
      </c>
      <c r="D154" s="2">
        <v>279.7</v>
      </c>
      <c r="E154" s="2">
        <v>266.10000000000002</v>
      </c>
      <c r="F154" s="2" t="b">
        <v>1</v>
      </c>
      <c r="G154" s="3">
        <f t="shared" si="16"/>
        <v>0.95137647479442267</v>
      </c>
      <c r="H154" t="b">
        <f t="shared" si="17"/>
        <v>0</v>
      </c>
      <c r="I154" t="b">
        <f t="shared" si="18"/>
        <v>1</v>
      </c>
      <c r="J154" t="b">
        <f t="shared" si="19"/>
        <v>0</v>
      </c>
      <c r="K154" t="b">
        <f t="shared" si="20"/>
        <v>0</v>
      </c>
      <c r="L154" t="b">
        <f t="shared" si="21"/>
        <v>0</v>
      </c>
      <c r="M154" t="b">
        <f t="shared" si="22"/>
        <v>0</v>
      </c>
      <c r="N154" s="4">
        <f t="shared" si="23"/>
        <v>13.59999999999998</v>
      </c>
    </row>
    <row r="155" spans="1:14" x14ac:dyDescent="0.4">
      <c r="A155" s="1" t="s">
        <v>156</v>
      </c>
      <c r="B155" t="str">
        <f>Funds!A9</f>
        <v>Fund VIII</v>
      </c>
      <c r="C155" s="2">
        <v>224.1</v>
      </c>
      <c r="D155" s="2">
        <v>224.1</v>
      </c>
      <c r="E155" s="2">
        <v>217.2</v>
      </c>
      <c r="F155" s="2" t="b">
        <v>1</v>
      </c>
      <c r="G155" s="3">
        <f t="shared" si="16"/>
        <v>0.96921017402945109</v>
      </c>
      <c r="H155" t="b">
        <f t="shared" si="17"/>
        <v>0</v>
      </c>
      <c r="I155" t="b">
        <f t="shared" si="18"/>
        <v>1</v>
      </c>
      <c r="J155" t="b">
        <f t="shared" si="19"/>
        <v>0</v>
      </c>
      <c r="K155" t="b">
        <f t="shared" si="20"/>
        <v>0</v>
      </c>
      <c r="L155" t="b">
        <f t="shared" si="21"/>
        <v>0</v>
      </c>
      <c r="M155" t="b">
        <f t="shared" si="22"/>
        <v>0</v>
      </c>
      <c r="N155" s="4">
        <f t="shared" si="23"/>
        <v>6.900000000000011</v>
      </c>
    </row>
    <row r="156" spans="1:14" x14ac:dyDescent="0.4">
      <c r="A156" s="1" t="s">
        <v>157</v>
      </c>
      <c r="B156" t="str">
        <f>Funds!A9</f>
        <v>Fund VIII</v>
      </c>
      <c r="C156" s="2">
        <v>207</v>
      </c>
      <c r="D156" s="2">
        <v>207</v>
      </c>
      <c r="E156" s="2">
        <v>21.6</v>
      </c>
      <c r="F156" s="2" t="b">
        <v>1</v>
      </c>
      <c r="G156" s="3">
        <f t="shared" si="16"/>
        <v>0.10434782608695653</v>
      </c>
      <c r="H156" t="b">
        <f t="shared" si="17"/>
        <v>0</v>
      </c>
      <c r="I156" t="b">
        <f t="shared" si="18"/>
        <v>1</v>
      </c>
      <c r="J156" t="b">
        <f t="shared" si="19"/>
        <v>0</v>
      </c>
      <c r="K156" t="b">
        <f t="shared" si="20"/>
        <v>0</v>
      </c>
      <c r="L156" t="b">
        <f t="shared" si="21"/>
        <v>0</v>
      </c>
      <c r="M156" t="b">
        <f t="shared" si="22"/>
        <v>0</v>
      </c>
      <c r="N156" s="4">
        <f t="shared" si="23"/>
        <v>185.39999999999998</v>
      </c>
    </row>
    <row r="157" spans="1:14" x14ac:dyDescent="0.4">
      <c r="A157" s="1" t="s">
        <v>158</v>
      </c>
      <c r="B157" t="str">
        <f>Funds!A9</f>
        <v>Fund VIII</v>
      </c>
      <c r="C157" s="2">
        <v>330</v>
      </c>
      <c r="D157" s="2">
        <v>330</v>
      </c>
      <c r="E157" s="2">
        <v>347.5</v>
      </c>
      <c r="F157" s="2" t="b">
        <v>1</v>
      </c>
      <c r="G157" s="3">
        <f t="shared" si="16"/>
        <v>1.053030303030303</v>
      </c>
      <c r="H157" t="b">
        <f t="shared" si="17"/>
        <v>0</v>
      </c>
      <c r="I157" t="b">
        <f t="shared" si="18"/>
        <v>0</v>
      </c>
      <c r="J157" t="b">
        <f t="shared" si="19"/>
        <v>0</v>
      </c>
      <c r="K157" t="b">
        <f t="shared" si="20"/>
        <v>1</v>
      </c>
      <c r="L157" t="b">
        <f t="shared" si="21"/>
        <v>0</v>
      </c>
      <c r="M157" t="b">
        <f t="shared" si="22"/>
        <v>0</v>
      </c>
      <c r="N157" s="4">
        <f t="shared" si="23"/>
        <v>0</v>
      </c>
    </row>
    <row r="158" spans="1:14" x14ac:dyDescent="0.4">
      <c r="A158" s="1" t="s">
        <v>159</v>
      </c>
      <c r="B158" t="str">
        <f>Funds!A9</f>
        <v>Fund VIII</v>
      </c>
      <c r="C158" s="2">
        <v>246.1</v>
      </c>
      <c r="D158" s="2">
        <v>246.1</v>
      </c>
      <c r="E158" s="2">
        <v>4.0999999999999996</v>
      </c>
      <c r="F158" s="2" t="b">
        <v>1</v>
      </c>
      <c r="G158" s="3">
        <f t="shared" si="16"/>
        <v>1.6659894351889474E-2</v>
      </c>
      <c r="H158" t="b">
        <f t="shared" si="17"/>
        <v>0</v>
      </c>
      <c r="I158" t="b">
        <f t="shared" si="18"/>
        <v>1</v>
      </c>
      <c r="J158" t="b">
        <f t="shared" si="19"/>
        <v>0</v>
      </c>
      <c r="K158" t="b">
        <f t="shared" si="20"/>
        <v>0</v>
      </c>
      <c r="L158" t="b">
        <f t="shared" si="21"/>
        <v>0</v>
      </c>
      <c r="M158" t="b">
        <f t="shared" si="22"/>
        <v>0</v>
      </c>
      <c r="N158" s="4">
        <f t="shared" si="23"/>
        <v>241.99999999999997</v>
      </c>
    </row>
    <row r="159" spans="1:14" x14ac:dyDescent="0.4">
      <c r="A159" s="1" t="s">
        <v>160</v>
      </c>
      <c r="B159" t="str">
        <f>Funds!A9</f>
        <v>Fund VIII</v>
      </c>
      <c r="C159" s="2">
        <v>183.3</v>
      </c>
      <c r="D159" s="2">
        <v>183.3</v>
      </c>
      <c r="E159" s="2">
        <v>182.2</v>
      </c>
      <c r="F159" s="2" t="b">
        <v>1</v>
      </c>
      <c r="G159" s="3">
        <f t="shared" si="16"/>
        <v>0.99399890889252585</v>
      </c>
      <c r="H159" t="b">
        <f t="shared" si="17"/>
        <v>0</v>
      </c>
      <c r="I159" t="b">
        <f t="shared" si="18"/>
        <v>1</v>
      </c>
      <c r="J159" t="b">
        <f t="shared" si="19"/>
        <v>0</v>
      </c>
      <c r="K159" t="b">
        <f t="shared" si="20"/>
        <v>0</v>
      </c>
      <c r="L159" t="b">
        <f t="shared" si="21"/>
        <v>0</v>
      </c>
      <c r="M159" t="b">
        <f t="shared" si="22"/>
        <v>0</v>
      </c>
      <c r="N159" s="4">
        <f t="shared" si="23"/>
        <v>1.1000000000000125</v>
      </c>
    </row>
    <row r="160" spans="1:14" x14ac:dyDescent="0.4">
      <c r="A160" s="1" t="s">
        <v>161</v>
      </c>
      <c r="B160" t="str">
        <f>Funds!A9</f>
        <v>Fund VIII</v>
      </c>
      <c r="C160" s="2">
        <v>92.6</v>
      </c>
      <c r="D160" s="2">
        <v>92.6</v>
      </c>
      <c r="E160" s="2">
        <v>138.80000000000001</v>
      </c>
      <c r="F160" s="2" t="b">
        <v>0</v>
      </c>
      <c r="G160" s="3">
        <f t="shared" si="16"/>
        <v>1.4989200863930887</v>
      </c>
      <c r="H160" t="b">
        <f t="shared" si="17"/>
        <v>0</v>
      </c>
      <c r="I160" t="b">
        <f t="shared" si="18"/>
        <v>0</v>
      </c>
      <c r="J160" t="b">
        <f t="shared" si="19"/>
        <v>0</v>
      </c>
      <c r="K160" t="b">
        <f t="shared" si="20"/>
        <v>1</v>
      </c>
      <c r="L160" t="b">
        <f t="shared" si="21"/>
        <v>0</v>
      </c>
      <c r="M160" t="b">
        <f t="shared" si="22"/>
        <v>0</v>
      </c>
      <c r="N160" s="4">
        <f t="shared" si="23"/>
        <v>0</v>
      </c>
    </row>
    <row r="161" spans="1:14" x14ac:dyDescent="0.4">
      <c r="A161" s="1" t="s">
        <v>162</v>
      </c>
      <c r="B161" t="str">
        <f>Funds!A9</f>
        <v>Fund VIII</v>
      </c>
      <c r="C161" s="2">
        <v>33.299999999999997</v>
      </c>
      <c r="D161" s="2">
        <v>33.299999999999997</v>
      </c>
      <c r="E161" s="2">
        <v>48.5</v>
      </c>
      <c r="F161" s="2" t="b">
        <v>1</v>
      </c>
      <c r="G161" s="3">
        <f t="shared" si="16"/>
        <v>1.4564564564564566</v>
      </c>
      <c r="H161" t="b">
        <f t="shared" si="17"/>
        <v>0</v>
      </c>
      <c r="I161" t="b">
        <f t="shared" si="18"/>
        <v>0</v>
      </c>
      <c r="J161" t="b">
        <f t="shared" si="19"/>
        <v>0</v>
      </c>
      <c r="K161" t="b">
        <f t="shared" si="20"/>
        <v>1</v>
      </c>
      <c r="L161" t="b">
        <f t="shared" si="21"/>
        <v>0</v>
      </c>
      <c r="M161" t="b">
        <f t="shared" si="22"/>
        <v>0</v>
      </c>
      <c r="N161" s="4">
        <f t="shared" si="23"/>
        <v>0</v>
      </c>
    </row>
    <row r="162" spans="1:14" x14ac:dyDescent="0.4">
      <c r="A162" s="1" t="s">
        <v>163</v>
      </c>
      <c r="B162" t="str">
        <f>Funds!A9</f>
        <v>Fund VIII</v>
      </c>
      <c r="C162" s="2">
        <v>60.4</v>
      </c>
      <c r="D162" s="2">
        <v>60.4</v>
      </c>
      <c r="E162" s="2">
        <v>11.7</v>
      </c>
      <c r="F162" s="2" t="b">
        <v>1</v>
      </c>
      <c r="G162" s="3">
        <f t="shared" si="16"/>
        <v>0.19370860927152317</v>
      </c>
      <c r="H162" t="b">
        <f t="shared" si="17"/>
        <v>0</v>
      </c>
      <c r="I162" t="b">
        <f t="shared" si="18"/>
        <v>1</v>
      </c>
      <c r="J162" t="b">
        <f t="shared" si="19"/>
        <v>0</v>
      </c>
      <c r="K162" t="b">
        <f t="shared" si="20"/>
        <v>0</v>
      </c>
      <c r="L162" t="b">
        <f t="shared" si="21"/>
        <v>0</v>
      </c>
      <c r="M162" t="b">
        <f t="shared" si="22"/>
        <v>0</v>
      </c>
      <c r="N162" s="4">
        <f t="shared" si="23"/>
        <v>48.699999999999996</v>
      </c>
    </row>
    <row r="163" spans="1:14" x14ac:dyDescent="0.4">
      <c r="A163" s="1" t="s">
        <v>164</v>
      </c>
      <c r="B163" t="str">
        <f>Funds!A9</f>
        <v>Fund VIII</v>
      </c>
      <c r="C163" s="2">
        <v>145.9</v>
      </c>
      <c r="D163" s="2">
        <v>145.9</v>
      </c>
      <c r="E163" s="2">
        <v>24.4</v>
      </c>
      <c r="F163" s="2" t="b">
        <v>1</v>
      </c>
      <c r="G163" s="3">
        <f t="shared" si="16"/>
        <v>0.16723783413296778</v>
      </c>
      <c r="H163" t="b">
        <f t="shared" si="17"/>
        <v>0</v>
      </c>
      <c r="I163" t="b">
        <f t="shared" si="18"/>
        <v>1</v>
      </c>
      <c r="J163" t="b">
        <f t="shared" si="19"/>
        <v>0</v>
      </c>
      <c r="K163" t="b">
        <f t="shared" si="20"/>
        <v>0</v>
      </c>
      <c r="L163" t="b">
        <f t="shared" si="21"/>
        <v>0</v>
      </c>
      <c r="M163" t="b">
        <f t="shared" si="22"/>
        <v>0</v>
      </c>
      <c r="N163" s="4">
        <f t="shared" si="23"/>
        <v>121.5</v>
      </c>
    </row>
    <row r="164" spans="1:14" x14ac:dyDescent="0.4">
      <c r="A164" s="1" t="s">
        <v>165</v>
      </c>
      <c r="B164" t="str">
        <f>Funds!A9</f>
        <v>Fund VIII</v>
      </c>
      <c r="C164" s="2">
        <v>51.2</v>
      </c>
      <c r="D164" s="2">
        <v>51.2</v>
      </c>
      <c r="E164" s="2">
        <v>107.6</v>
      </c>
      <c r="F164" s="2" t="b">
        <v>1</v>
      </c>
      <c r="G164" s="3">
        <f t="shared" si="16"/>
        <v>2.1015624999999996</v>
      </c>
      <c r="H164" t="b">
        <f t="shared" si="17"/>
        <v>0</v>
      </c>
      <c r="I164" t="b">
        <f t="shared" si="18"/>
        <v>0</v>
      </c>
      <c r="J164" t="b">
        <f t="shared" si="19"/>
        <v>0</v>
      </c>
      <c r="K164" t="b">
        <f t="shared" si="20"/>
        <v>0</v>
      </c>
      <c r="L164" t="b">
        <f t="shared" si="21"/>
        <v>1</v>
      </c>
      <c r="M164" t="b">
        <f t="shared" si="22"/>
        <v>0</v>
      </c>
      <c r="N164" s="4">
        <f t="shared" si="23"/>
        <v>0</v>
      </c>
    </row>
    <row r="165" spans="1:14" x14ac:dyDescent="0.4">
      <c r="A165" s="1" t="s">
        <v>166</v>
      </c>
      <c r="B165" t="str">
        <f>Funds!A9</f>
        <v>Fund VIII</v>
      </c>
      <c r="C165" s="2">
        <v>66.8</v>
      </c>
      <c r="D165" s="2">
        <v>66.8</v>
      </c>
      <c r="E165" s="2">
        <v>309</v>
      </c>
      <c r="F165" s="2" t="b">
        <v>1</v>
      </c>
      <c r="G165" s="3">
        <f t="shared" si="16"/>
        <v>4.6257485029940124</v>
      </c>
      <c r="H165" t="b">
        <f t="shared" si="17"/>
        <v>0</v>
      </c>
      <c r="I165" t="b">
        <f t="shared" si="18"/>
        <v>0</v>
      </c>
      <c r="J165" t="b">
        <f t="shared" si="19"/>
        <v>0</v>
      </c>
      <c r="K165" t="b">
        <f t="shared" si="20"/>
        <v>0</v>
      </c>
      <c r="L165" t="b">
        <f t="shared" si="21"/>
        <v>0</v>
      </c>
      <c r="M165" t="b">
        <f t="shared" si="22"/>
        <v>1</v>
      </c>
      <c r="N165" s="4">
        <f t="shared" si="23"/>
        <v>0</v>
      </c>
    </row>
    <row r="166" spans="1:14" x14ac:dyDescent="0.4">
      <c r="A166" s="1" t="s">
        <v>167</v>
      </c>
      <c r="B166" t="str">
        <f>Funds!A9</f>
        <v>Fund VIII</v>
      </c>
      <c r="C166" s="2">
        <v>358.2</v>
      </c>
      <c r="D166" s="2">
        <v>358.2</v>
      </c>
      <c r="E166" s="2">
        <v>146.69999999999999</v>
      </c>
      <c r="F166" s="2" t="b">
        <v>0</v>
      </c>
      <c r="G166" s="3">
        <f t="shared" si="16"/>
        <v>0.40954773869346733</v>
      </c>
      <c r="H166" t="b">
        <f t="shared" si="17"/>
        <v>0</v>
      </c>
      <c r="I166" t="b">
        <f t="shared" si="18"/>
        <v>1</v>
      </c>
      <c r="J166" t="b">
        <f t="shared" si="19"/>
        <v>0</v>
      </c>
      <c r="K166" t="b">
        <f t="shared" si="20"/>
        <v>0</v>
      </c>
      <c r="L166" t="b">
        <f t="shared" si="21"/>
        <v>0</v>
      </c>
      <c r="M166" t="b">
        <f t="shared" si="22"/>
        <v>0</v>
      </c>
      <c r="N166" s="4">
        <f t="shared" si="23"/>
        <v>211.49999999999997</v>
      </c>
    </row>
    <row r="167" spans="1:14" x14ac:dyDescent="0.4">
      <c r="A167" s="1" t="s">
        <v>168</v>
      </c>
      <c r="B167" t="str">
        <f>Funds!A9</f>
        <v>Fund VIII</v>
      </c>
      <c r="C167" s="2">
        <v>584</v>
      </c>
      <c r="D167" s="2">
        <v>584</v>
      </c>
      <c r="E167" s="2">
        <v>1466.5</v>
      </c>
      <c r="F167" s="2" t="b">
        <v>0</v>
      </c>
      <c r="G167" s="3">
        <f t="shared" si="16"/>
        <v>2.5111301369863015</v>
      </c>
      <c r="H167" t="b">
        <f t="shared" si="17"/>
        <v>0</v>
      </c>
      <c r="I167" t="b">
        <f t="shared" si="18"/>
        <v>0</v>
      </c>
      <c r="J167" t="b">
        <f t="shared" si="19"/>
        <v>0</v>
      </c>
      <c r="K167" t="b">
        <f t="shared" si="20"/>
        <v>0</v>
      </c>
      <c r="L167" t="b">
        <f t="shared" si="21"/>
        <v>1</v>
      </c>
      <c r="M167" t="b">
        <f t="shared" si="22"/>
        <v>0</v>
      </c>
      <c r="N167" s="4">
        <f t="shared" si="23"/>
        <v>0</v>
      </c>
    </row>
    <row r="168" spans="1:14" x14ac:dyDescent="0.4">
      <c r="A168" s="1" t="s">
        <v>165</v>
      </c>
      <c r="B168" t="str">
        <f>Funds!A10</f>
        <v>Fund IX</v>
      </c>
      <c r="C168" s="2">
        <v>51.2</v>
      </c>
      <c r="D168" s="2">
        <v>51.2</v>
      </c>
      <c r="E168" s="2">
        <v>107.6</v>
      </c>
      <c r="F168" s="2" t="b">
        <v>1</v>
      </c>
      <c r="G168" s="3">
        <f t="shared" si="16"/>
        <v>2.1015624999999996</v>
      </c>
      <c r="H168" t="b">
        <f t="shared" si="17"/>
        <v>0</v>
      </c>
      <c r="I168" t="b">
        <f t="shared" si="18"/>
        <v>0</v>
      </c>
      <c r="J168" t="b">
        <f t="shared" si="19"/>
        <v>0</v>
      </c>
      <c r="K168" t="b">
        <f t="shared" si="20"/>
        <v>0</v>
      </c>
      <c r="L168" t="b">
        <f t="shared" si="21"/>
        <v>1</v>
      </c>
      <c r="M168" t="b">
        <f t="shared" si="22"/>
        <v>0</v>
      </c>
      <c r="N168" s="4">
        <f t="shared" si="23"/>
        <v>0</v>
      </c>
    </row>
    <row r="169" spans="1:14" x14ac:dyDescent="0.4">
      <c r="A169" s="1" t="s">
        <v>166</v>
      </c>
      <c r="B169" t="str">
        <f>Funds!A10</f>
        <v>Fund IX</v>
      </c>
      <c r="C169" s="2">
        <v>66.8</v>
      </c>
      <c r="D169" s="2">
        <v>66.8</v>
      </c>
      <c r="E169" s="2">
        <v>309</v>
      </c>
      <c r="F169" s="2" t="b">
        <v>1</v>
      </c>
      <c r="G169" s="3">
        <f t="shared" si="16"/>
        <v>4.6257485029940124</v>
      </c>
      <c r="H169" t="b">
        <f t="shared" si="17"/>
        <v>0</v>
      </c>
      <c r="I169" t="b">
        <f t="shared" si="18"/>
        <v>0</v>
      </c>
      <c r="J169" t="b">
        <f t="shared" si="19"/>
        <v>0</v>
      </c>
      <c r="K169" t="b">
        <f t="shared" si="20"/>
        <v>0</v>
      </c>
      <c r="L169" t="b">
        <f t="shared" si="21"/>
        <v>0</v>
      </c>
      <c r="M169" t="b">
        <f t="shared" si="22"/>
        <v>1</v>
      </c>
      <c r="N169" s="4">
        <f t="shared" si="23"/>
        <v>0</v>
      </c>
    </row>
    <row r="170" spans="1:14" x14ac:dyDescent="0.4">
      <c r="A170" s="1" t="s">
        <v>163</v>
      </c>
      <c r="B170" t="str">
        <f>Funds!A10</f>
        <v>Fund IX</v>
      </c>
      <c r="C170" s="2">
        <v>60.4</v>
      </c>
      <c r="D170" s="2">
        <v>60.4</v>
      </c>
      <c r="E170" s="2">
        <v>11.7</v>
      </c>
      <c r="F170" s="2" t="b">
        <v>1</v>
      </c>
      <c r="G170" s="3">
        <f t="shared" si="16"/>
        <v>0.19370860927152317</v>
      </c>
      <c r="H170" t="b">
        <f t="shared" si="17"/>
        <v>0</v>
      </c>
      <c r="I170" t="b">
        <f t="shared" si="18"/>
        <v>1</v>
      </c>
      <c r="J170" t="b">
        <f t="shared" si="19"/>
        <v>0</v>
      </c>
      <c r="K170" t="b">
        <f t="shared" si="20"/>
        <v>0</v>
      </c>
      <c r="L170" t="b">
        <f t="shared" si="21"/>
        <v>0</v>
      </c>
      <c r="M170" t="b">
        <f t="shared" si="22"/>
        <v>0</v>
      </c>
      <c r="N170" s="4">
        <f t="shared" si="23"/>
        <v>48.699999999999996</v>
      </c>
    </row>
    <row r="171" spans="1:14" x14ac:dyDescent="0.4">
      <c r="A171" s="1" t="s">
        <v>169</v>
      </c>
      <c r="B171" t="str">
        <f>Funds!A10</f>
        <v>Fund IX</v>
      </c>
      <c r="C171" s="2">
        <v>128.9</v>
      </c>
      <c r="D171" s="2">
        <v>128.9</v>
      </c>
      <c r="E171" s="2">
        <v>30.5</v>
      </c>
      <c r="F171" s="2" t="b">
        <v>1</v>
      </c>
      <c r="G171" s="3">
        <f t="shared" si="16"/>
        <v>0.23661753297129556</v>
      </c>
      <c r="H171" t="b">
        <f t="shared" si="17"/>
        <v>0</v>
      </c>
      <c r="I171" t="b">
        <f t="shared" si="18"/>
        <v>1</v>
      </c>
      <c r="J171" t="b">
        <f t="shared" si="19"/>
        <v>0</v>
      </c>
      <c r="K171" t="b">
        <f t="shared" si="20"/>
        <v>0</v>
      </c>
      <c r="L171" t="b">
        <f t="shared" si="21"/>
        <v>0</v>
      </c>
      <c r="M171" t="b">
        <f t="shared" si="22"/>
        <v>0</v>
      </c>
      <c r="N171" s="4">
        <f t="shared" si="23"/>
        <v>98.4</v>
      </c>
    </row>
    <row r="172" spans="1:14" x14ac:dyDescent="0.4">
      <c r="A172" s="1" t="s">
        <v>170</v>
      </c>
      <c r="B172" t="str">
        <f>Funds!A10</f>
        <v>Fund IX</v>
      </c>
      <c r="C172" s="2">
        <v>381.9</v>
      </c>
      <c r="D172" s="2">
        <v>381.9</v>
      </c>
      <c r="E172" s="2">
        <v>1974.3</v>
      </c>
      <c r="F172" s="2" t="b">
        <v>1</v>
      </c>
      <c r="G172" s="3">
        <f t="shared" si="16"/>
        <v>5.1696779261586805</v>
      </c>
      <c r="H172" t="b">
        <f t="shared" si="17"/>
        <v>0</v>
      </c>
      <c r="I172" t="b">
        <f t="shared" si="18"/>
        <v>0</v>
      </c>
      <c r="J172" t="b">
        <f t="shared" si="19"/>
        <v>0</v>
      </c>
      <c r="K172" t="b">
        <f t="shared" si="20"/>
        <v>0</v>
      </c>
      <c r="L172" t="b">
        <f t="shared" si="21"/>
        <v>0</v>
      </c>
      <c r="M172" t="b">
        <f t="shared" si="22"/>
        <v>1</v>
      </c>
      <c r="N172" s="4">
        <f t="shared" si="23"/>
        <v>0</v>
      </c>
    </row>
    <row r="173" spans="1:14" x14ac:dyDescent="0.4">
      <c r="A173" s="1" t="s">
        <v>171</v>
      </c>
      <c r="B173" t="str">
        <f>Funds!A10</f>
        <v>Fund IX</v>
      </c>
      <c r="C173" s="2">
        <v>338.5</v>
      </c>
      <c r="D173" s="2">
        <v>338.5</v>
      </c>
      <c r="E173" s="2">
        <v>826.7</v>
      </c>
      <c r="F173" s="2" t="b">
        <v>1</v>
      </c>
      <c r="G173" s="3">
        <f t="shared" si="16"/>
        <v>2.4422451994091583</v>
      </c>
      <c r="H173" t="b">
        <f t="shared" si="17"/>
        <v>0</v>
      </c>
      <c r="I173" t="b">
        <f t="shared" si="18"/>
        <v>0</v>
      </c>
      <c r="J173" t="b">
        <f t="shared" si="19"/>
        <v>0</v>
      </c>
      <c r="K173" t="b">
        <f t="shared" si="20"/>
        <v>0</v>
      </c>
      <c r="L173" t="b">
        <f t="shared" si="21"/>
        <v>1</v>
      </c>
      <c r="M173" t="b">
        <f t="shared" si="22"/>
        <v>0</v>
      </c>
      <c r="N173" s="4">
        <f t="shared" si="23"/>
        <v>0</v>
      </c>
    </row>
    <row r="174" spans="1:14" x14ac:dyDescent="0.4">
      <c r="A174" s="1" t="s">
        <v>172</v>
      </c>
      <c r="B174" t="str">
        <f>Funds!A10</f>
        <v>Fund IX</v>
      </c>
      <c r="C174" s="2">
        <v>292.2</v>
      </c>
      <c r="D174" s="2">
        <v>292.2</v>
      </c>
      <c r="E174" s="2">
        <v>915.9</v>
      </c>
      <c r="F174" s="2" t="b">
        <v>1</v>
      </c>
      <c r="G174" s="3">
        <f t="shared" si="16"/>
        <v>3.1344969199178645</v>
      </c>
      <c r="H174" t="b">
        <f t="shared" si="17"/>
        <v>0</v>
      </c>
      <c r="I174" t="b">
        <f t="shared" si="18"/>
        <v>0</v>
      </c>
      <c r="J174" t="b">
        <f t="shared" si="19"/>
        <v>0</v>
      </c>
      <c r="K174" t="b">
        <f t="shared" si="20"/>
        <v>0</v>
      </c>
      <c r="L174" t="b">
        <f t="shared" si="21"/>
        <v>0</v>
      </c>
      <c r="M174" t="b">
        <f t="shared" si="22"/>
        <v>1</v>
      </c>
      <c r="N174" s="4">
        <f t="shared" si="23"/>
        <v>0</v>
      </c>
    </row>
    <row r="175" spans="1:14" x14ac:dyDescent="0.4">
      <c r="A175" s="1" t="s">
        <v>173</v>
      </c>
      <c r="B175" t="str">
        <f>Funds!A10</f>
        <v>Fund IX</v>
      </c>
      <c r="C175" s="2">
        <v>319.60000000000002</v>
      </c>
      <c r="D175" s="2">
        <v>319.60000000000002</v>
      </c>
      <c r="E175" s="2">
        <v>716.2</v>
      </c>
      <c r="F175" s="2" t="b">
        <v>0</v>
      </c>
      <c r="G175" s="3">
        <f t="shared" si="16"/>
        <v>2.2409261576971216</v>
      </c>
      <c r="H175" t="b">
        <f t="shared" si="17"/>
        <v>0</v>
      </c>
      <c r="I175" t="b">
        <f t="shared" si="18"/>
        <v>0</v>
      </c>
      <c r="J175" t="b">
        <f t="shared" si="19"/>
        <v>0</v>
      </c>
      <c r="K175" t="b">
        <f t="shared" si="20"/>
        <v>0</v>
      </c>
      <c r="L175" t="b">
        <f t="shared" si="21"/>
        <v>1</v>
      </c>
      <c r="M175" t="b">
        <f t="shared" si="22"/>
        <v>0</v>
      </c>
      <c r="N175" s="4">
        <f t="shared" si="23"/>
        <v>0</v>
      </c>
    </row>
    <row r="176" spans="1:14" x14ac:dyDescent="0.4">
      <c r="A176" s="1" t="s">
        <v>174</v>
      </c>
      <c r="B176" t="str">
        <f>Funds!A10</f>
        <v>Fund IX</v>
      </c>
      <c r="C176" s="2">
        <v>470.6</v>
      </c>
      <c r="D176" s="2">
        <v>470.6</v>
      </c>
      <c r="E176" s="2">
        <v>601.5</v>
      </c>
      <c r="F176" s="2" t="b">
        <v>0</v>
      </c>
      <c r="G176" s="3">
        <f t="shared" si="16"/>
        <v>1.2781555461113472</v>
      </c>
      <c r="H176" t="b">
        <f t="shared" si="17"/>
        <v>0</v>
      </c>
      <c r="I176" t="b">
        <f t="shared" si="18"/>
        <v>0</v>
      </c>
      <c r="J176" t="b">
        <f t="shared" si="19"/>
        <v>0</v>
      </c>
      <c r="K176" t="b">
        <f t="shared" si="20"/>
        <v>1</v>
      </c>
      <c r="L176" t="b">
        <f t="shared" si="21"/>
        <v>0</v>
      </c>
      <c r="M176" t="b">
        <f t="shared" si="22"/>
        <v>0</v>
      </c>
      <c r="N176" s="4">
        <f t="shared" si="23"/>
        <v>0</v>
      </c>
    </row>
    <row r="177" spans="1:14" x14ac:dyDescent="0.4">
      <c r="A177" s="1" t="s">
        <v>175</v>
      </c>
      <c r="B177" t="str">
        <f>Funds!A10</f>
        <v>Fund IX</v>
      </c>
      <c r="C177" s="2">
        <v>302</v>
      </c>
      <c r="D177" s="2">
        <v>302</v>
      </c>
      <c r="E177" s="2">
        <v>1190.7</v>
      </c>
      <c r="F177" s="2" t="b">
        <v>0</v>
      </c>
      <c r="G177" s="3">
        <f t="shared" si="16"/>
        <v>3.9427152317880796</v>
      </c>
      <c r="H177" t="b">
        <f t="shared" si="17"/>
        <v>0</v>
      </c>
      <c r="I177" t="b">
        <f t="shared" si="18"/>
        <v>0</v>
      </c>
      <c r="J177" t="b">
        <f t="shared" si="19"/>
        <v>0</v>
      </c>
      <c r="K177" t="b">
        <f t="shared" si="20"/>
        <v>0</v>
      </c>
      <c r="L177" t="b">
        <f t="shared" si="21"/>
        <v>0</v>
      </c>
      <c r="M177" t="b">
        <f t="shared" si="22"/>
        <v>1</v>
      </c>
      <c r="N177" s="4">
        <f t="shared" si="23"/>
        <v>0</v>
      </c>
    </row>
    <row r="178" spans="1:14" x14ac:dyDescent="0.4">
      <c r="A178" s="1" t="s">
        <v>176</v>
      </c>
      <c r="B178" t="str">
        <f>Funds!A10</f>
        <v>Fund IX</v>
      </c>
      <c r="C178" s="2">
        <v>134.80000000000001</v>
      </c>
      <c r="D178" s="2">
        <v>134.80000000000001</v>
      </c>
      <c r="E178" s="2">
        <v>0</v>
      </c>
      <c r="F178" s="2"/>
      <c r="G178" s="3">
        <f t="shared" si="16"/>
        <v>0</v>
      </c>
      <c r="H178" t="b">
        <f t="shared" si="17"/>
        <v>1</v>
      </c>
      <c r="I178" t="b">
        <f t="shared" si="18"/>
        <v>0</v>
      </c>
      <c r="J178" t="b">
        <f t="shared" si="19"/>
        <v>0</v>
      </c>
      <c r="K178" t="b">
        <f t="shared" si="20"/>
        <v>0</v>
      </c>
      <c r="L178" t="b">
        <f t="shared" si="21"/>
        <v>0</v>
      </c>
      <c r="M178" t="b">
        <f t="shared" si="22"/>
        <v>0</v>
      </c>
      <c r="N178" s="4">
        <f t="shared" si="23"/>
        <v>134.80000000000001</v>
      </c>
    </row>
    <row r="179" spans="1:14" x14ac:dyDescent="0.4">
      <c r="A179" s="1" t="s">
        <v>177</v>
      </c>
      <c r="B179" t="str">
        <f>Funds!A10</f>
        <v>Fund IX</v>
      </c>
      <c r="C179" s="2">
        <v>110.5</v>
      </c>
      <c r="D179" s="2">
        <v>110.5</v>
      </c>
      <c r="E179" s="2">
        <v>242.1</v>
      </c>
      <c r="F179" s="2" t="b">
        <v>1</v>
      </c>
      <c r="G179" s="3">
        <f t="shared" si="16"/>
        <v>2.1909502262443437</v>
      </c>
      <c r="H179" t="b">
        <f t="shared" si="17"/>
        <v>0</v>
      </c>
      <c r="I179" t="b">
        <f t="shared" si="18"/>
        <v>0</v>
      </c>
      <c r="J179" t="b">
        <f t="shared" si="19"/>
        <v>0</v>
      </c>
      <c r="K179" t="b">
        <f t="shared" si="20"/>
        <v>0</v>
      </c>
      <c r="L179" t="b">
        <f t="shared" si="21"/>
        <v>1</v>
      </c>
      <c r="M179" t="b">
        <f t="shared" si="22"/>
        <v>0</v>
      </c>
      <c r="N179" s="4">
        <f t="shared" si="23"/>
        <v>0</v>
      </c>
    </row>
    <row r="180" spans="1:14" x14ac:dyDescent="0.4">
      <c r="A180" s="1" t="s">
        <v>178</v>
      </c>
      <c r="B180" t="str">
        <f>Funds!A10</f>
        <v>Fund IX</v>
      </c>
      <c r="C180" s="2">
        <v>258.2</v>
      </c>
      <c r="D180" s="2">
        <v>258.2</v>
      </c>
      <c r="E180" s="2">
        <v>519.20000000000005</v>
      </c>
      <c r="F180" s="2" t="b">
        <v>1</v>
      </c>
      <c r="G180" s="3">
        <f t="shared" si="16"/>
        <v>2.0108443067389623</v>
      </c>
      <c r="H180" t="b">
        <f t="shared" si="17"/>
        <v>0</v>
      </c>
      <c r="I180" t="b">
        <f t="shared" si="18"/>
        <v>0</v>
      </c>
      <c r="J180" t="b">
        <f t="shared" si="19"/>
        <v>0</v>
      </c>
      <c r="K180" t="b">
        <f t="shared" si="20"/>
        <v>0</v>
      </c>
      <c r="L180" t="b">
        <f t="shared" si="21"/>
        <v>1</v>
      </c>
      <c r="M180" t="b">
        <f t="shared" si="22"/>
        <v>0</v>
      </c>
      <c r="N180" s="4">
        <f t="shared" si="23"/>
        <v>0</v>
      </c>
    </row>
    <row r="181" spans="1:14" x14ac:dyDescent="0.4">
      <c r="A181" s="1" t="s">
        <v>179</v>
      </c>
      <c r="B181" t="str">
        <f>Funds!A10</f>
        <v>Fund IX</v>
      </c>
      <c r="C181" s="2">
        <v>310.2</v>
      </c>
      <c r="D181" s="2">
        <v>310.2</v>
      </c>
      <c r="E181" s="2">
        <v>0</v>
      </c>
      <c r="F181" s="2"/>
      <c r="G181" s="3">
        <f t="shared" si="16"/>
        <v>0</v>
      </c>
      <c r="H181" t="b">
        <f t="shared" si="17"/>
        <v>1</v>
      </c>
      <c r="I181" t="b">
        <f t="shared" si="18"/>
        <v>0</v>
      </c>
      <c r="J181" t="b">
        <f t="shared" si="19"/>
        <v>0</v>
      </c>
      <c r="K181" t="b">
        <f t="shared" si="20"/>
        <v>0</v>
      </c>
      <c r="L181" t="b">
        <f t="shared" si="21"/>
        <v>0</v>
      </c>
      <c r="M181" t="b">
        <f t="shared" si="22"/>
        <v>0</v>
      </c>
      <c r="N181" s="4">
        <f t="shared" si="23"/>
        <v>310.2</v>
      </c>
    </row>
    <row r="182" spans="1:14" x14ac:dyDescent="0.4">
      <c r="A182" s="1" t="s">
        <v>180</v>
      </c>
      <c r="B182" t="str">
        <f>Funds!A10</f>
        <v>Fund IX</v>
      </c>
      <c r="C182" s="2">
        <v>39.6</v>
      </c>
      <c r="D182" s="2">
        <v>39.6</v>
      </c>
      <c r="E182" s="2">
        <v>55.5</v>
      </c>
      <c r="F182" s="2" t="b">
        <v>1</v>
      </c>
      <c r="G182" s="3">
        <f t="shared" si="16"/>
        <v>1.4015151515151514</v>
      </c>
      <c r="H182" t="b">
        <f t="shared" si="17"/>
        <v>0</v>
      </c>
      <c r="I182" t="b">
        <f t="shared" si="18"/>
        <v>0</v>
      </c>
      <c r="J182" t="b">
        <f t="shared" si="19"/>
        <v>0</v>
      </c>
      <c r="K182" t="b">
        <f t="shared" si="20"/>
        <v>1</v>
      </c>
      <c r="L182" t="b">
        <f t="shared" si="21"/>
        <v>0</v>
      </c>
      <c r="M182" t="b">
        <f t="shared" si="22"/>
        <v>0</v>
      </c>
      <c r="N182" s="4">
        <f t="shared" si="23"/>
        <v>0</v>
      </c>
    </row>
    <row r="183" spans="1:14" x14ac:dyDescent="0.4">
      <c r="A183" s="1" t="s">
        <v>181</v>
      </c>
      <c r="B183" t="str">
        <f>Funds!A10</f>
        <v>Fund IX</v>
      </c>
      <c r="C183" s="2">
        <v>12.8</v>
      </c>
      <c r="D183" s="2">
        <v>12.8</v>
      </c>
      <c r="E183" s="2">
        <v>0.2</v>
      </c>
      <c r="F183" s="2" t="b">
        <v>1</v>
      </c>
      <c r="G183" s="3">
        <f t="shared" si="16"/>
        <v>1.5625E-2</v>
      </c>
      <c r="H183" t="b">
        <f t="shared" si="17"/>
        <v>0</v>
      </c>
      <c r="I183" t="b">
        <f t="shared" si="18"/>
        <v>1</v>
      </c>
      <c r="J183" t="b">
        <f t="shared" si="19"/>
        <v>0</v>
      </c>
      <c r="K183" t="b">
        <f t="shared" si="20"/>
        <v>0</v>
      </c>
      <c r="L183" t="b">
        <f t="shared" si="21"/>
        <v>0</v>
      </c>
      <c r="M183" t="b">
        <f t="shared" si="22"/>
        <v>0</v>
      </c>
      <c r="N183" s="4">
        <f t="shared" si="23"/>
        <v>12.600000000000001</v>
      </c>
    </row>
    <row r="184" spans="1:14" x14ac:dyDescent="0.4">
      <c r="A184" s="1" t="s">
        <v>182</v>
      </c>
      <c r="B184" t="str">
        <f>Funds!A10</f>
        <v>Fund IX</v>
      </c>
      <c r="C184" s="2">
        <v>232</v>
      </c>
      <c r="D184" s="2">
        <v>232</v>
      </c>
      <c r="E184" s="2">
        <v>799.2</v>
      </c>
      <c r="F184" s="2" t="b">
        <v>0</v>
      </c>
      <c r="G184" s="3">
        <f t="shared" si="16"/>
        <v>3.4448275862068969</v>
      </c>
      <c r="H184" t="b">
        <f t="shared" si="17"/>
        <v>0</v>
      </c>
      <c r="I184" t="b">
        <f t="shared" si="18"/>
        <v>0</v>
      </c>
      <c r="J184" t="b">
        <f t="shared" si="19"/>
        <v>0</v>
      </c>
      <c r="K184" t="b">
        <f t="shared" si="20"/>
        <v>0</v>
      </c>
      <c r="L184" t="b">
        <f t="shared" si="21"/>
        <v>0</v>
      </c>
      <c r="M184" t="b">
        <f t="shared" si="22"/>
        <v>1</v>
      </c>
      <c r="N184" s="4">
        <f t="shared" si="23"/>
        <v>0</v>
      </c>
    </row>
    <row r="185" spans="1:14" x14ac:dyDescent="0.4">
      <c r="A185" s="1" t="s">
        <v>167</v>
      </c>
      <c r="B185" t="str">
        <f>Funds!A10</f>
        <v>Fund IX</v>
      </c>
      <c r="C185" s="2">
        <v>547.20000000000005</v>
      </c>
      <c r="D185" s="2">
        <v>547.20000000000005</v>
      </c>
      <c r="E185" s="2">
        <v>134.6</v>
      </c>
      <c r="F185" s="2" t="b">
        <v>0</v>
      </c>
      <c r="G185" s="3">
        <f t="shared" si="16"/>
        <v>0.24597953216374266</v>
      </c>
      <c r="H185" t="b">
        <f t="shared" si="17"/>
        <v>0</v>
      </c>
      <c r="I185" t="b">
        <f t="shared" si="18"/>
        <v>1</v>
      </c>
      <c r="J185" t="b">
        <f t="shared" si="19"/>
        <v>0</v>
      </c>
      <c r="K185" t="b">
        <f t="shared" si="20"/>
        <v>0</v>
      </c>
      <c r="L185" t="b">
        <f t="shared" si="21"/>
        <v>0</v>
      </c>
      <c r="M185" t="b">
        <f t="shared" si="22"/>
        <v>0</v>
      </c>
      <c r="N185" s="4">
        <f t="shared" si="23"/>
        <v>412.6</v>
      </c>
    </row>
    <row r="186" spans="1:14" x14ac:dyDescent="0.4">
      <c r="A186" s="1" t="s">
        <v>183</v>
      </c>
      <c r="B186" t="str">
        <f>Funds!A10</f>
        <v>Fund IX</v>
      </c>
      <c r="C186" s="2">
        <v>617</v>
      </c>
      <c r="D186" s="2">
        <v>517</v>
      </c>
      <c r="E186" s="2">
        <v>643.29999999999995</v>
      </c>
      <c r="F186" s="2" t="b">
        <v>0</v>
      </c>
      <c r="G186" s="3">
        <f t="shared" si="16"/>
        <v>1.2442940038684718</v>
      </c>
      <c r="H186" t="b">
        <f t="shared" si="17"/>
        <v>0</v>
      </c>
      <c r="I186" t="b">
        <f t="shared" si="18"/>
        <v>0</v>
      </c>
      <c r="J186" t="b">
        <f t="shared" si="19"/>
        <v>0</v>
      </c>
      <c r="K186" t="b">
        <f t="shared" si="20"/>
        <v>1</v>
      </c>
      <c r="L186" t="b">
        <f t="shared" si="21"/>
        <v>0</v>
      </c>
      <c r="M186" t="b">
        <f t="shared" si="22"/>
        <v>0</v>
      </c>
      <c r="N186" s="4">
        <f t="shared" si="23"/>
        <v>0</v>
      </c>
    </row>
    <row r="187" spans="1:14" x14ac:dyDescent="0.4">
      <c r="A187" s="1" t="s">
        <v>184</v>
      </c>
      <c r="B187" t="str">
        <f>Funds!A10</f>
        <v>Fund IX</v>
      </c>
      <c r="C187" s="2">
        <v>545.79999999999995</v>
      </c>
      <c r="D187" s="2">
        <v>545.79999999999995</v>
      </c>
      <c r="E187" s="2">
        <v>116.4</v>
      </c>
      <c r="F187" s="2" t="b">
        <v>0</v>
      </c>
      <c r="G187" s="3">
        <f t="shared" si="16"/>
        <v>0.21326493220960061</v>
      </c>
      <c r="H187" t="b">
        <f t="shared" si="17"/>
        <v>0</v>
      </c>
      <c r="I187" t="b">
        <f t="shared" si="18"/>
        <v>1</v>
      </c>
      <c r="J187" t="b">
        <f t="shared" si="19"/>
        <v>0</v>
      </c>
      <c r="K187" t="b">
        <f t="shared" si="20"/>
        <v>0</v>
      </c>
      <c r="L187" t="b">
        <f t="shared" si="21"/>
        <v>0</v>
      </c>
      <c r="M187" t="b">
        <f t="shared" si="22"/>
        <v>0</v>
      </c>
      <c r="N187" s="4">
        <f t="shared" si="23"/>
        <v>429.39999999999992</v>
      </c>
    </row>
    <row r="188" spans="1:14" x14ac:dyDescent="0.4">
      <c r="A188" s="1" t="s">
        <v>185</v>
      </c>
      <c r="B188" t="str">
        <f>Funds!A10</f>
        <v>Fund IX</v>
      </c>
      <c r="C188" s="2">
        <v>221.8</v>
      </c>
      <c r="D188" s="2">
        <v>207.1</v>
      </c>
      <c r="E188" s="2">
        <v>535</v>
      </c>
      <c r="F188" s="2" t="b">
        <v>0</v>
      </c>
      <c r="G188" s="3">
        <f t="shared" si="16"/>
        <v>2.5832930951231292</v>
      </c>
      <c r="H188" t="b">
        <f t="shared" si="17"/>
        <v>0</v>
      </c>
      <c r="I188" t="b">
        <f t="shared" si="18"/>
        <v>0</v>
      </c>
      <c r="J188" t="b">
        <f t="shared" si="19"/>
        <v>0</v>
      </c>
      <c r="K188" t="b">
        <f t="shared" si="20"/>
        <v>0</v>
      </c>
      <c r="L188" t="b">
        <f t="shared" si="21"/>
        <v>1</v>
      </c>
      <c r="M188" t="b">
        <f t="shared" si="22"/>
        <v>0</v>
      </c>
      <c r="N188" s="4">
        <f t="shared" si="23"/>
        <v>0</v>
      </c>
    </row>
    <row r="189" spans="1:14" x14ac:dyDescent="0.4">
      <c r="A189" s="1" t="s">
        <v>179</v>
      </c>
      <c r="B189" t="str">
        <f>Funds!A11</f>
        <v>Fund X</v>
      </c>
      <c r="C189" s="2">
        <v>465.5</v>
      </c>
      <c r="D189" s="2">
        <v>465.5</v>
      </c>
      <c r="E189" s="2">
        <v>0</v>
      </c>
      <c r="F189" s="2"/>
      <c r="G189" s="3">
        <f t="shared" si="16"/>
        <v>0</v>
      </c>
      <c r="H189" t="b">
        <f t="shared" si="17"/>
        <v>1</v>
      </c>
      <c r="I189" t="b">
        <f t="shared" si="18"/>
        <v>0</v>
      </c>
      <c r="J189" t="b">
        <f t="shared" si="19"/>
        <v>0</v>
      </c>
      <c r="K189" t="b">
        <f t="shared" si="20"/>
        <v>0</v>
      </c>
      <c r="L189" t="b">
        <f t="shared" si="21"/>
        <v>0</v>
      </c>
      <c r="M189" t="b">
        <f t="shared" si="22"/>
        <v>0</v>
      </c>
      <c r="N189" s="4">
        <f t="shared" si="23"/>
        <v>465.5</v>
      </c>
    </row>
    <row r="190" spans="1:14" x14ac:dyDescent="0.4">
      <c r="A190" s="1" t="s">
        <v>186</v>
      </c>
      <c r="B190" t="str">
        <f>Funds!A11</f>
        <v>Fund X</v>
      </c>
      <c r="C190" s="2">
        <v>168.3</v>
      </c>
      <c r="D190" s="2">
        <v>168.3</v>
      </c>
      <c r="E190" s="2">
        <v>514.79999999999995</v>
      </c>
      <c r="F190" s="2" t="b">
        <v>1</v>
      </c>
      <c r="G190" s="3">
        <f t="shared" si="16"/>
        <v>3.0588235294117641</v>
      </c>
      <c r="H190" t="b">
        <f t="shared" si="17"/>
        <v>0</v>
      </c>
      <c r="I190" t="b">
        <f t="shared" si="18"/>
        <v>0</v>
      </c>
      <c r="J190" t="b">
        <f t="shared" si="19"/>
        <v>0</v>
      </c>
      <c r="K190" t="b">
        <f t="shared" si="20"/>
        <v>0</v>
      </c>
      <c r="L190" t="b">
        <f t="shared" si="21"/>
        <v>0</v>
      </c>
      <c r="M190" t="b">
        <f t="shared" si="22"/>
        <v>1</v>
      </c>
      <c r="N190" s="4">
        <f t="shared" si="23"/>
        <v>0</v>
      </c>
    </row>
    <row r="191" spans="1:14" x14ac:dyDescent="0.4">
      <c r="A191" s="1" t="s">
        <v>187</v>
      </c>
      <c r="B191" t="str">
        <f>Funds!A11</f>
        <v>Fund X</v>
      </c>
      <c r="C191" s="2">
        <v>13.9</v>
      </c>
      <c r="D191" s="2">
        <v>13.9</v>
      </c>
      <c r="E191" s="2">
        <v>57.6</v>
      </c>
      <c r="F191" s="2" t="b">
        <v>1</v>
      </c>
      <c r="G191" s="3">
        <f t="shared" si="16"/>
        <v>4.1438848920863309</v>
      </c>
      <c r="H191" t="b">
        <f t="shared" si="17"/>
        <v>0</v>
      </c>
      <c r="I191" t="b">
        <f t="shared" si="18"/>
        <v>0</v>
      </c>
      <c r="J191" t="b">
        <f t="shared" si="19"/>
        <v>0</v>
      </c>
      <c r="K191" t="b">
        <f t="shared" si="20"/>
        <v>0</v>
      </c>
      <c r="L191" t="b">
        <f t="shared" si="21"/>
        <v>0</v>
      </c>
      <c r="M191" t="b">
        <f t="shared" si="22"/>
        <v>1</v>
      </c>
      <c r="N191" s="4">
        <f t="shared" si="23"/>
        <v>0</v>
      </c>
    </row>
    <row r="192" spans="1:14" x14ac:dyDescent="0.4">
      <c r="A192" s="1" t="s">
        <v>162</v>
      </c>
      <c r="B192" t="str">
        <f>Funds!A11</f>
        <v>Fund X</v>
      </c>
      <c r="C192" s="2">
        <v>100.8</v>
      </c>
      <c r="D192" s="2">
        <v>100.8</v>
      </c>
      <c r="E192" s="2">
        <v>145.6</v>
      </c>
      <c r="F192" s="2" t="b">
        <v>1</v>
      </c>
      <c r="G192" s="3">
        <f t="shared" si="16"/>
        <v>1.4444444444444444</v>
      </c>
      <c r="H192" t="b">
        <f t="shared" si="17"/>
        <v>0</v>
      </c>
      <c r="I192" t="b">
        <f t="shared" si="18"/>
        <v>0</v>
      </c>
      <c r="J192" t="b">
        <f t="shared" si="19"/>
        <v>0</v>
      </c>
      <c r="K192" t="b">
        <f t="shared" si="20"/>
        <v>1</v>
      </c>
      <c r="L192" t="b">
        <f t="shared" si="21"/>
        <v>0</v>
      </c>
      <c r="M192" t="b">
        <f t="shared" si="22"/>
        <v>0</v>
      </c>
      <c r="N192" s="4">
        <f t="shared" si="23"/>
        <v>0</v>
      </c>
    </row>
    <row r="193" spans="1:14" x14ac:dyDescent="0.4">
      <c r="A193" s="1" t="s">
        <v>188</v>
      </c>
      <c r="B193" t="str">
        <f>Funds!A11</f>
        <v>Fund X</v>
      </c>
      <c r="C193" s="2">
        <v>112.4</v>
      </c>
      <c r="D193" s="2">
        <v>112.4</v>
      </c>
      <c r="E193" s="2">
        <v>182.7</v>
      </c>
      <c r="F193" s="2" t="b">
        <v>0</v>
      </c>
      <c r="G193" s="3">
        <f t="shared" si="16"/>
        <v>1.6254448398576511</v>
      </c>
      <c r="H193" t="b">
        <f t="shared" si="17"/>
        <v>0</v>
      </c>
      <c r="I193" t="b">
        <f t="shared" si="18"/>
        <v>0</v>
      </c>
      <c r="J193" t="b">
        <f t="shared" si="19"/>
        <v>0</v>
      </c>
      <c r="K193" t="b">
        <f t="shared" si="20"/>
        <v>1</v>
      </c>
      <c r="L193" t="b">
        <f t="shared" si="21"/>
        <v>0</v>
      </c>
      <c r="M193" t="b">
        <f t="shared" si="22"/>
        <v>0</v>
      </c>
      <c r="N193" s="4">
        <f t="shared" si="23"/>
        <v>0</v>
      </c>
    </row>
    <row r="194" spans="1:14" x14ac:dyDescent="0.4">
      <c r="A194" s="1" t="s">
        <v>189</v>
      </c>
      <c r="B194" t="str">
        <f>Funds!A11</f>
        <v>Fund X</v>
      </c>
      <c r="C194" s="2">
        <v>164.9</v>
      </c>
      <c r="D194" s="2">
        <v>165.2</v>
      </c>
      <c r="E194" s="2">
        <v>395</v>
      </c>
      <c r="F194" s="2" t="b">
        <v>0</v>
      </c>
      <c r="G194" s="3">
        <f t="shared" ref="G194:G246" si="24">E194/D194</f>
        <v>2.3910411622276029</v>
      </c>
      <c r="H194" t="b">
        <f t="shared" ref="H194:H246" si="25">G194=0</f>
        <v>0</v>
      </c>
      <c r="I194" t="b">
        <f t="shared" ref="I194:I246" si="26">AND(G194&gt;0, G194&lt;1)</f>
        <v>0</v>
      </c>
      <c r="J194" t="b">
        <f t="shared" ref="J194:J246" si="27">G194=1</f>
        <v>0</v>
      </c>
      <c r="K194" t="b">
        <f t="shared" ref="K194:K246" si="28">AND(G194&gt;1, G194&lt;2)</f>
        <v>0</v>
      </c>
      <c r="L194" t="b">
        <f t="shared" ref="L194:L246" si="29">AND(G194&gt;=2, G194&lt;3)</f>
        <v>1</v>
      </c>
      <c r="M194" t="b">
        <f t="shared" ref="M194:M246" si="30">G194&gt;3</f>
        <v>0</v>
      </c>
      <c r="N194" s="4">
        <f t="shared" ref="N194:N246" si="31">IF(OR(H194, I194), -D194 * (G194 - 1), 0)</f>
        <v>0</v>
      </c>
    </row>
    <row r="195" spans="1:14" x14ac:dyDescent="0.4">
      <c r="A195" s="1" t="s">
        <v>190</v>
      </c>
      <c r="B195" t="str">
        <f>Funds!A11</f>
        <v>Fund X</v>
      </c>
      <c r="C195" s="2">
        <v>335.3</v>
      </c>
      <c r="D195" s="2">
        <v>335.3</v>
      </c>
      <c r="E195" s="2">
        <v>2637.9</v>
      </c>
      <c r="F195" s="2" t="b">
        <v>1</v>
      </c>
      <c r="G195" s="3">
        <f t="shared" si="24"/>
        <v>7.8672830301222785</v>
      </c>
      <c r="H195" t="b">
        <f t="shared" si="25"/>
        <v>0</v>
      </c>
      <c r="I195" t="b">
        <f t="shared" si="26"/>
        <v>0</v>
      </c>
      <c r="J195" t="b">
        <f t="shared" si="27"/>
        <v>0</v>
      </c>
      <c r="K195" t="b">
        <f t="shared" si="28"/>
        <v>0</v>
      </c>
      <c r="L195" t="b">
        <f t="shared" si="29"/>
        <v>0</v>
      </c>
      <c r="M195" t="b">
        <f t="shared" si="30"/>
        <v>1</v>
      </c>
      <c r="N195" s="4">
        <f t="shared" si="31"/>
        <v>0</v>
      </c>
    </row>
    <row r="196" spans="1:14" x14ac:dyDescent="0.4">
      <c r="A196" s="1" t="s">
        <v>191</v>
      </c>
      <c r="B196" t="str">
        <f>Funds!A11</f>
        <v>Fund X</v>
      </c>
      <c r="C196" s="2">
        <v>252.7</v>
      </c>
      <c r="D196" s="2">
        <v>252.7</v>
      </c>
      <c r="E196" s="2">
        <v>268.10000000000002</v>
      </c>
      <c r="F196" s="2" t="b">
        <v>1</v>
      </c>
      <c r="G196" s="3">
        <f t="shared" si="24"/>
        <v>1.0609418282548477</v>
      </c>
      <c r="H196" t="b">
        <f t="shared" si="25"/>
        <v>0</v>
      </c>
      <c r="I196" t="b">
        <f t="shared" si="26"/>
        <v>0</v>
      </c>
      <c r="J196" t="b">
        <f t="shared" si="27"/>
        <v>0</v>
      </c>
      <c r="K196" t="b">
        <f t="shared" si="28"/>
        <v>1</v>
      </c>
      <c r="L196" t="b">
        <f t="shared" si="29"/>
        <v>0</v>
      </c>
      <c r="M196" t="b">
        <f t="shared" si="30"/>
        <v>0</v>
      </c>
      <c r="N196" s="4">
        <f t="shared" si="31"/>
        <v>0</v>
      </c>
    </row>
    <row r="197" spans="1:14" x14ac:dyDescent="0.4">
      <c r="A197" s="1" t="s">
        <v>192</v>
      </c>
      <c r="B197" t="str">
        <f>Funds!A11</f>
        <v>Fund X</v>
      </c>
      <c r="C197" s="2">
        <v>435.4</v>
      </c>
      <c r="D197" s="2">
        <v>435.4</v>
      </c>
      <c r="E197" s="2">
        <v>1190</v>
      </c>
      <c r="F197" s="2" t="b">
        <v>0</v>
      </c>
      <c r="G197" s="3">
        <f t="shared" si="24"/>
        <v>2.7331189710610935</v>
      </c>
      <c r="H197" t="b">
        <f t="shared" si="25"/>
        <v>0</v>
      </c>
      <c r="I197" t="b">
        <f t="shared" si="26"/>
        <v>0</v>
      </c>
      <c r="J197" t="b">
        <f t="shared" si="27"/>
        <v>0</v>
      </c>
      <c r="K197" t="b">
        <f t="shared" si="28"/>
        <v>0</v>
      </c>
      <c r="L197" t="b">
        <f t="shared" si="29"/>
        <v>1</v>
      </c>
      <c r="M197" t="b">
        <f t="shared" si="30"/>
        <v>0</v>
      </c>
      <c r="N197" s="4">
        <f t="shared" si="31"/>
        <v>0</v>
      </c>
    </row>
    <row r="198" spans="1:14" x14ac:dyDescent="0.4">
      <c r="A198" s="1" t="s">
        <v>193</v>
      </c>
      <c r="B198" t="str">
        <f>Funds!A11</f>
        <v>Fund X</v>
      </c>
      <c r="C198" s="2">
        <v>491.3</v>
      </c>
      <c r="D198" s="2">
        <v>491.3</v>
      </c>
      <c r="E198" s="2">
        <v>1483.4</v>
      </c>
      <c r="F198" s="2" t="b">
        <v>0</v>
      </c>
      <c r="G198" s="3">
        <f t="shared" si="24"/>
        <v>3.0193364543049053</v>
      </c>
      <c r="H198" t="b">
        <f t="shared" si="25"/>
        <v>0</v>
      </c>
      <c r="I198" t="b">
        <f t="shared" si="26"/>
        <v>0</v>
      </c>
      <c r="J198" t="b">
        <f t="shared" si="27"/>
        <v>0</v>
      </c>
      <c r="K198" t="b">
        <f t="shared" si="28"/>
        <v>0</v>
      </c>
      <c r="L198" t="b">
        <f t="shared" si="29"/>
        <v>0</v>
      </c>
      <c r="M198" t="b">
        <f t="shared" si="30"/>
        <v>1</v>
      </c>
      <c r="N198" s="4">
        <f t="shared" si="31"/>
        <v>0</v>
      </c>
    </row>
    <row r="199" spans="1:14" x14ac:dyDescent="0.4">
      <c r="A199" s="1" t="s">
        <v>194</v>
      </c>
      <c r="B199" t="str">
        <f>Funds!A11</f>
        <v>Fund X</v>
      </c>
      <c r="C199" s="2">
        <v>443.3</v>
      </c>
      <c r="D199" s="2">
        <v>443.3</v>
      </c>
      <c r="E199" s="2">
        <v>1163.8</v>
      </c>
      <c r="F199" s="2" t="b">
        <v>1</v>
      </c>
      <c r="G199" s="3">
        <f t="shared" si="24"/>
        <v>2.6253101736972702</v>
      </c>
      <c r="H199" t="b">
        <f t="shared" si="25"/>
        <v>0</v>
      </c>
      <c r="I199" t="b">
        <f t="shared" si="26"/>
        <v>0</v>
      </c>
      <c r="J199" t="b">
        <f t="shared" si="27"/>
        <v>0</v>
      </c>
      <c r="K199" t="b">
        <f t="shared" si="28"/>
        <v>0</v>
      </c>
      <c r="L199" t="b">
        <f t="shared" si="29"/>
        <v>1</v>
      </c>
      <c r="M199" t="b">
        <f t="shared" si="30"/>
        <v>0</v>
      </c>
      <c r="N199" s="4">
        <f t="shared" si="31"/>
        <v>0</v>
      </c>
    </row>
    <row r="200" spans="1:14" x14ac:dyDescent="0.4">
      <c r="A200" s="1" t="s">
        <v>195</v>
      </c>
      <c r="B200" t="str">
        <f>Funds!A11</f>
        <v>Fund X</v>
      </c>
      <c r="C200" s="2">
        <v>58.7</v>
      </c>
      <c r="D200" s="2">
        <v>58.7</v>
      </c>
      <c r="E200" s="2">
        <v>44.8</v>
      </c>
      <c r="F200" s="2" t="b">
        <v>1</v>
      </c>
      <c r="G200" s="3">
        <f t="shared" si="24"/>
        <v>0.76320272572402037</v>
      </c>
      <c r="H200" t="b">
        <f t="shared" si="25"/>
        <v>0</v>
      </c>
      <c r="I200" t="b">
        <f t="shared" si="26"/>
        <v>1</v>
      </c>
      <c r="J200" t="b">
        <f t="shared" si="27"/>
        <v>0</v>
      </c>
      <c r="K200" t="b">
        <f t="shared" si="28"/>
        <v>0</v>
      </c>
      <c r="L200" t="b">
        <f t="shared" si="29"/>
        <v>0</v>
      </c>
      <c r="M200" t="b">
        <f t="shared" si="30"/>
        <v>0</v>
      </c>
      <c r="N200" s="4">
        <f t="shared" si="31"/>
        <v>13.900000000000006</v>
      </c>
    </row>
    <row r="201" spans="1:14" x14ac:dyDescent="0.4">
      <c r="A201" s="1" t="s">
        <v>196</v>
      </c>
      <c r="B201" t="str">
        <f>Funds!A11</f>
        <v>Fund X</v>
      </c>
      <c r="C201" s="2">
        <v>26.2</v>
      </c>
      <c r="D201" s="2">
        <v>26.2</v>
      </c>
      <c r="E201" s="2">
        <v>8.6999999999999993</v>
      </c>
      <c r="F201" s="2" t="b">
        <v>1</v>
      </c>
      <c r="G201" s="3">
        <f t="shared" si="24"/>
        <v>0.33206106870229007</v>
      </c>
      <c r="H201" t="b">
        <f t="shared" si="25"/>
        <v>0</v>
      </c>
      <c r="I201" t="b">
        <f t="shared" si="26"/>
        <v>1</v>
      </c>
      <c r="J201" t="b">
        <f t="shared" si="27"/>
        <v>0</v>
      </c>
      <c r="K201" t="b">
        <f t="shared" si="28"/>
        <v>0</v>
      </c>
      <c r="L201" t="b">
        <f t="shared" si="29"/>
        <v>0</v>
      </c>
      <c r="M201" t="b">
        <f t="shared" si="30"/>
        <v>0</v>
      </c>
      <c r="N201" s="4">
        <f t="shared" si="31"/>
        <v>17.5</v>
      </c>
    </row>
    <row r="202" spans="1:14" x14ac:dyDescent="0.4">
      <c r="A202" s="1" t="s">
        <v>197</v>
      </c>
      <c r="B202" t="str">
        <f>Funds!A11</f>
        <v>Fund X</v>
      </c>
      <c r="C202" s="2">
        <v>161.30000000000001</v>
      </c>
      <c r="D202" s="2">
        <v>161.30000000000001</v>
      </c>
      <c r="E202" s="2">
        <v>176.6</v>
      </c>
      <c r="F202" s="2" t="b">
        <v>1</v>
      </c>
      <c r="G202" s="3">
        <f t="shared" si="24"/>
        <v>1.0948543087414755</v>
      </c>
      <c r="H202" t="b">
        <f t="shared" si="25"/>
        <v>0</v>
      </c>
      <c r="I202" t="b">
        <f t="shared" si="26"/>
        <v>0</v>
      </c>
      <c r="J202" t="b">
        <f t="shared" si="27"/>
        <v>0</v>
      </c>
      <c r="K202" t="b">
        <f t="shared" si="28"/>
        <v>1</v>
      </c>
      <c r="L202" t="b">
        <f t="shared" si="29"/>
        <v>0</v>
      </c>
      <c r="M202" t="b">
        <f t="shared" si="30"/>
        <v>0</v>
      </c>
      <c r="N202" s="4">
        <f t="shared" si="31"/>
        <v>0</v>
      </c>
    </row>
    <row r="203" spans="1:14" x14ac:dyDescent="0.4">
      <c r="A203" s="1" t="s">
        <v>198</v>
      </c>
      <c r="B203" t="str">
        <f>Funds!A11</f>
        <v>Fund X</v>
      </c>
      <c r="C203" s="2">
        <v>685</v>
      </c>
      <c r="D203" s="2">
        <v>546.4</v>
      </c>
      <c r="E203" s="2">
        <v>1291</v>
      </c>
      <c r="F203" s="2" t="b">
        <v>0</v>
      </c>
      <c r="G203" s="3">
        <f t="shared" si="24"/>
        <v>2.3627379209370427</v>
      </c>
      <c r="H203" t="b">
        <f t="shared" si="25"/>
        <v>0</v>
      </c>
      <c r="I203" t="b">
        <f t="shared" si="26"/>
        <v>0</v>
      </c>
      <c r="J203" t="b">
        <f t="shared" si="27"/>
        <v>0</v>
      </c>
      <c r="K203" t="b">
        <f t="shared" si="28"/>
        <v>0</v>
      </c>
      <c r="L203" t="b">
        <f t="shared" si="29"/>
        <v>1</v>
      </c>
      <c r="M203" t="b">
        <f t="shared" si="30"/>
        <v>0</v>
      </c>
      <c r="N203" s="4">
        <f t="shared" si="31"/>
        <v>0</v>
      </c>
    </row>
    <row r="204" spans="1:14" x14ac:dyDescent="0.4">
      <c r="A204" s="1" t="s">
        <v>199</v>
      </c>
      <c r="B204" t="str">
        <f>Funds!A11</f>
        <v>Fund X</v>
      </c>
      <c r="C204" s="2">
        <v>276.8</v>
      </c>
      <c r="D204" s="2">
        <v>276.8</v>
      </c>
      <c r="E204" s="2">
        <v>31.1</v>
      </c>
      <c r="F204" s="2" t="b">
        <v>0</v>
      </c>
      <c r="G204" s="3">
        <f t="shared" si="24"/>
        <v>0.11235549132947976</v>
      </c>
      <c r="H204" t="b">
        <f t="shared" si="25"/>
        <v>0</v>
      </c>
      <c r="I204" t="b">
        <f t="shared" si="26"/>
        <v>1</v>
      </c>
      <c r="J204" t="b">
        <f t="shared" si="27"/>
        <v>0</v>
      </c>
      <c r="K204" t="b">
        <f t="shared" si="28"/>
        <v>0</v>
      </c>
      <c r="L204" t="b">
        <f t="shared" si="29"/>
        <v>0</v>
      </c>
      <c r="M204" t="b">
        <f t="shared" si="30"/>
        <v>0</v>
      </c>
      <c r="N204" s="4">
        <f t="shared" si="31"/>
        <v>245.70000000000002</v>
      </c>
    </row>
    <row r="205" spans="1:14" x14ac:dyDescent="0.4">
      <c r="A205" s="1" t="s">
        <v>200</v>
      </c>
      <c r="B205" t="str">
        <f>Funds!A11</f>
        <v>Fund X</v>
      </c>
      <c r="C205" s="2">
        <v>76.2</v>
      </c>
      <c r="D205" s="2">
        <v>76.2</v>
      </c>
      <c r="E205" s="2">
        <v>11.2</v>
      </c>
      <c r="F205" s="2" t="b">
        <v>1</v>
      </c>
      <c r="G205" s="3">
        <f t="shared" si="24"/>
        <v>0.14698162729658792</v>
      </c>
      <c r="H205" t="b">
        <f t="shared" si="25"/>
        <v>0</v>
      </c>
      <c r="I205" t="b">
        <f t="shared" si="26"/>
        <v>1</v>
      </c>
      <c r="J205" t="b">
        <f t="shared" si="27"/>
        <v>0</v>
      </c>
      <c r="K205" t="b">
        <f t="shared" si="28"/>
        <v>0</v>
      </c>
      <c r="L205" t="b">
        <f t="shared" si="29"/>
        <v>0</v>
      </c>
      <c r="M205" t="b">
        <f t="shared" si="30"/>
        <v>0</v>
      </c>
      <c r="N205" s="4">
        <f t="shared" si="31"/>
        <v>65</v>
      </c>
    </row>
    <row r="206" spans="1:14" x14ac:dyDescent="0.4">
      <c r="A206" s="1" t="s">
        <v>201</v>
      </c>
      <c r="B206" t="str">
        <f>Funds!A11</f>
        <v>Fund X</v>
      </c>
      <c r="C206" s="2">
        <v>196.4</v>
      </c>
      <c r="D206" s="2">
        <v>196.4</v>
      </c>
      <c r="E206" s="2">
        <v>1069.5999999999999</v>
      </c>
      <c r="F206" s="2" t="b">
        <v>0</v>
      </c>
      <c r="G206" s="3">
        <f t="shared" si="24"/>
        <v>5.4460285132382884</v>
      </c>
      <c r="H206" t="b">
        <f t="shared" si="25"/>
        <v>0</v>
      </c>
      <c r="I206" t="b">
        <f t="shared" si="26"/>
        <v>0</v>
      </c>
      <c r="J206" t="b">
        <f t="shared" si="27"/>
        <v>0</v>
      </c>
      <c r="K206" t="b">
        <f t="shared" si="28"/>
        <v>0</v>
      </c>
      <c r="L206" t="b">
        <f t="shared" si="29"/>
        <v>0</v>
      </c>
      <c r="M206" t="b">
        <f t="shared" si="30"/>
        <v>1</v>
      </c>
      <c r="N206" s="4">
        <f t="shared" si="31"/>
        <v>0</v>
      </c>
    </row>
    <row r="207" spans="1:14" x14ac:dyDescent="0.4">
      <c r="A207" s="1" t="s">
        <v>202</v>
      </c>
      <c r="B207" t="str">
        <f>Funds!A11</f>
        <v>Fund X</v>
      </c>
      <c r="C207" s="2">
        <v>66.7</v>
      </c>
      <c r="D207" s="2">
        <v>34.4</v>
      </c>
      <c r="E207" s="2">
        <v>74.5</v>
      </c>
      <c r="F207" s="2" t="b">
        <v>0</v>
      </c>
      <c r="G207" s="3">
        <f t="shared" si="24"/>
        <v>2.1656976744186047</v>
      </c>
      <c r="H207" t="b">
        <f t="shared" si="25"/>
        <v>0</v>
      </c>
      <c r="I207" t="b">
        <f t="shared" si="26"/>
        <v>0</v>
      </c>
      <c r="J207" t="b">
        <f t="shared" si="27"/>
        <v>0</v>
      </c>
      <c r="K207" t="b">
        <f t="shared" si="28"/>
        <v>0</v>
      </c>
      <c r="L207" t="b">
        <f t="shared" si="29"/>
        <v>1</v>
      </c>
      <c r="M207" t="b">
        <f t="shared" si="30"/>
        <v>0</v>
      </c>
      <c r="N207" s="4">
        <f t="shared" si="31"/>
        <v>0</v>
      </c>
    </row>
    <row r="208" spans="1:14" x14ac:dyDescent="0.4">
      <c r="A208" s="1" t="s">
        <v>203</v>
      </c>
      <c r="B208" t="str">
        <f>Funds!A11</f>
        <v>Fund X</v>
      </c>
      <c r="C208" s="2">
        <v>215.9</v>
      </c>
      <c r="D208" s="2">
        <v>207</v>
      </c>
      <c r="E208" s="2">
        <v>1442.8</v>
      </c>
      <c r="F208" s="2" t="b">
        <v>0</v>
      </c>
      <c r="G208" s="3">
        <f t="shared" si="24"/>
        <v>6.9700483091787442</v>
      </c>
      <c r="H208" t="b">
        <f t="shared" si="25"/>
        <v>0</v>
      </c>
      <c r="I208" t="b">
        <f t="shared" si="26"/>
        <v>0</v>
      </c>
      <c r="J208" t="b">
        <f t="shared" si="27"/>
        <v>0</v>
      </c>
      <c r="K208" t="b">
        <f t="shared" si="28"/>
        <v>0</v>
      </c>
      <c r="L208" t="b">
        <f t="shared" si="29"/>
        <v>0</v>
      </c>
      <c r="M208" t="b">
        <f t="shared" si="30"/>
        <v>1</v>
      </c>
      <c r="N208" s="4">
        <f t="shared" si="31"/>
        <v>0</v>
      </c>
    </row>
    <row r="209" spans="1:14" x14ac:dyDescent="0.4">
      <c r="A209" s="1" t="s">
        <v>204</v>
      </c>
      <c r="B209" t="str">
        <f>Funds!A11</f>
        <v>Fund X</v>
      </c>
      <c r="C209" s="2">
        <v>280</v>
      </c>
      <c r="D209" s="2">
        <v>280</v>
      </c>
      <c r="E209" s="2">
        <v>512.70000000000005</v>
      </c>
      <c r="F209" s="2" t="b">
        <v>0</v>
      </c>
      <c r="G209" s="3">
        <f t="shared" si="24"/>
        <v>1.8310714285714287</v>
      </c>
      <c r="H209" t="b">
        <f t="shared" si="25"/>
        <v>0</v>
      </c>
      <c r="I209" t="b">
        <f t="shared" si="26"/>
        <v>0</v>
      </c>
      <c r="J209" t="b">
        <f t="shared" si="27"/>
        <v>0</v>
      </c>
      <c r="K209" t="b">
        <f t="shared" si="28"/>
        <v>1</v>
      </c>
      <c r="L209" t="b">
        <f t="shared" si="29"/>
        <v>0</v>
      </c>
      <c r="M209" t="b">
        <f t="shared" si="30"/>
        <v>0</v>
      </c>
      <c r="N209" s="4">
        <f t="shared" si="31"/>
        <v>0</v>
      </c>
    </row>
    <row r="210" spans="1:14" x14ac:dyDescent="0.4">
      <c r="A210" s="1" t="s">
        <v>205</v>
      </c>
      <c r="B210" t="str">
        <f>Funds!A11</f>
        <v>Fund X</v>
      </c>
      <c r="C210" s="2">
        <v>297.10000000000002</v>
      </c>
      <c r="D210" s="2">
        <v>257.60000000000002</v>
      </c>
      <c r="E210" s="2">
        <v>429.1</v>
      </c>
      <c r="F210" s="2" t="b">
        <v>0</v>
      </c>
      <c r="G210" s="3">
        <f t="shared" si="24"/>
        <v>1.6657608695652173</v>
      </c>
      <c r="H210" t="b">
        <f t="shared" si="25"/>
        <v>0</v>
      </c>
      <c r="I210" t="b">
        <f t="shared" si="26"/>
        <v>0</v>
      </c>
      <c r="J210" t="b">
        <f t="shared" si="27"/>
        <v>0</v>
      </c>
      <c r="K210" t="b">
        <f t="shared" si="28"/>
        <v>1</v>
      </c>
      <c r="L210" t="b">
        <f t="shared" si="29"/>
        <v>0</v>
      </c>
      <c r="M210" t="b">
        <f t="shared" si="30"/>
        <v>0</v>
      </c>
      <c r="N210" s="4">
        <f t="shared" si="31"/>
        <v>0</v>
      </c>
    </row>
    <row r="211" spans="1:14" x14ac:dyDescent="0.4">
      <c r="A211" s="1" t="s">
        <v>185</v>
      </c>
      <c r="B211" t="str">
        <f>Funds!A11</f>
        <v>Fund X</v>
      </c>
      <c r="C211" s="2">
        <v>732</v>
      </c>
      <c r="D211" s="2">
        <v>625.1</v>
      </c>
      <c r="E211" s="2">
        <v>2422.6999999999998</v>
      </c>
      <c r="F211" s="2" t="b">
        <v>0</v>
      </c>
      <c r="G211" s="3">
        <f t="shared" si="24"/>
        <v>3.8756998880179165</v>
      </c>
      <c r="H211" t="b">
        <f t="shared" si="25"/>
        <v>0</v>
      </c>
      <c r="I211" t="b">
        <f t="shared" si="26"/>
        <v>0</v>
      </c>
      <c r="J211" t="b">
        <f t="shared" si="27"/>
        <v>0</v>
      </c>
      <c r="K211" t="b">
        <f t="shared" si="28"/>
        <v>0</v>
      </c>
      <c r="L211" t="b">
        <f t="shared" si="29"/>
        <v>0</v>
      </c>
      <c r="M211" t="b">
        <f t="shared" si="30"/>
        <v>1</v>
      </c>
      <c r="N211" s="4">
        <f t="shared" si="31"/>
        <v>0</v>
      </c>
    </row>
    <row r="212" spans="1:14" x14ac:dyDescent="0.4">
      <c r="A212" s="1" t="s">
        <v>206</v>
      </c>
      <c r="B212" t="str">
        <f>Funds!A11</f>
        <v>Fund X</v>
      </c>
      <c r="C212" s="2">
        <v>283.7</v>
      </c>
      <c r="D212" s="2">
        <v>136.5</v>
      </c>
      <c r="E212" s="2">
        <v>13.3</v>
      </c>
      <c r="F212" s="2" t="b">
        <v>0</v>
      </c>
      <c r="G212" s="3">
        <f t="shared" si="24"/>
        <v>9.7435897435897437E-2</v>
      </c>
      <c r="H212" t="b">
        <f t="shared" si="25"/>
        <v>0</v>
      </c>
      <c r="I212" t="b">
        <f t="shared" si="26"/>
        <v>1</v>
      </c>
      <c r="J212" t="b">
        <f t="shared" si="27"/>
        <v>0</v>
      </c>
      <c r="K212" t="b">
        <f t="shared" si="28"/>
        <v>0</v>
      </c>
      <c r="L212" t="b">
        <f t="shared" si="29"/>
        <v>0</v>
      </c>
      <c r="M212" t="b">
        <f t="shared" si="30"/>
        <v>0</v>
      </c>
      <c r="N212" s="4">
        <f t="shared" si="31"/>
        <v>123.2</v>
      </c>
    </row>
    <row r="213" spans="1:14" x14ac:dyDescent="0.4">
      <c r="A213" s="1" t="s">
        <v>207</v>
      </c>
      <c r="B213" t="str">
        <f>Funds!A11</f>
        <v>Fund X</v>
      </c>
      <c r="C213" s="2">
        <v>475</v>
      </c>
      <c r="D213" s="2">
        <v>298.60000000000002</v>
      </c>
      <c r="E213" s="2">
        <v>361.5</v>
      </c>
      <c r="F213" s="2" t="b">
        <v>0</v>
      </c>
      <c r="G213" s="3">
        <f t="shared" si="24"/>
        <v>1.2106496985934359</v>
      </c>
      <c r="H213" t="b">
        <f t="shared" si="25"/>
        <v>0</v>
      </c>
      <c r="I213" t="b">
        <f t="shared" si="26"/>
        <v>0</v>
      </c>
      <c r="J213" t="b">
        <f t="shared" si="27"/>
        <v>0</v>
      </c>
      <c r="K213" t="b">
        <f t="shared" si="28"/>
        <v>1</v>
      </c>
      <c r="L213" t="b">
        <f t="shared" si="29"/>
        <v>0</v>
      </c>
      <c r="M213" t="b">
        <f t="shared" si="30"/>
        <v>0</v>
      </c>
      <c r="N213" s="4">
        <f t="shared" si="31"/>
        <v>0</v>
      </c>
    </row>
    <row r="214" spans="1:14" x14ac:dyDescent="0.4">
      <c r="A214" s="1" t="s">
        <v>208</v>
      </c>
      <c r="B214" t="str">
        <f>Funds!A11</f>
        <v>Fund X</v>
      </c>
      <c r="C214" s="2">
        <v>100</v>
      </c>
      <c r="D214" s="2">
        <v>74</v>
      </c>
      <c r="E214" s="2">
        <v>82.2</v>
      </c>
      <c r="F214" s="2" t="b">
        <v>0</v>
      </c>
      <c r="G214" s="3">
        <f t="shared" si="24"/>
        <v>1.1108108108108108</v>
      </c>
      <c r="H214" t="b">
        <f t="shared" si="25"/>
        <v>0</v>
      </c>
      <c r="I214" t="b">
        <f t="shared" si="26"/>
        <v>0</v>
      </c>
      <c r="J214" t="b">
        <f t="shared" si="27"/>
        <v>0</v>
      </c>
      <c r="K214" t="b">
        <f t="shared" si="28"/>
        <v>1</v>
      </c>
      <c r="L214" t="b">
        <f t="shared" si="29"/>
        <v>0</v>
      </c>
      <c r="M214" t="b">
        <f t="shared" si="30"/>
        <v>0</v>
      </c>
      <c r="N214" s="4">
        <f t="shared" si="31"/>
        <v>0</v>
      </c>
    </row>
    <row r="215" spans="1:14" x14ac:dyDescent="0.4">
      <c r="A215" s="1" t="s">
        <v>209</v>
      </c>
      <c r="B215" t="str">
        <f>Funds!A12</f>
        <v>Fund XI</v>
      </c>
      <c r="C215" s="2">
        <v>5.9</v>
      </c>
      <c r="D215" s="2">
        <v>5.9</v>
      </c>
      <c r="E215" s="2">
        <v>0</v>
      </c>
      <c r="F215" s="2"/>
      <c r="G215" s="3">
        <f t="shared" si="24"/>
        <v>0</v>
      </c>
      <c r="H215" t="b">
        <f t="shared" si="25"/>
        <v>1</v>
      </c>
      <c r="I215" t="b">
        <f t="shared" si="26"/>
        <v>0</v>
      </c>
      <c r="J215" t="b">
        <f t="shared" si="27"/>
        <v>0</v>
      </c>
      <c r="K215" t="b">
        <f t="shared" si="28"/>
        <v>0</v>
      </c>
      <c r="L215" t="b">
        <f t="shared" si="29"/>
        <v>0</v>
      </c>
      <c r="M215" t="b">
        <f t="shared" si="30"/>
        <v>0</v>
      </c>
      <c r="N215" s="4">
        <f t="shared" si="31"/>
        <v>5.9</v>
      </c>
    </row>
    <row r="216" spans="1:14" x14ac:dyDescent="0.4">
      <c r="A216" s="1" t="s">
        <v>210</v>
      </c>
      <c r="B216" t="str">
        <f>Funds!A12</f>
        <v>Fund XI</v>
      </c>
      <c r="C216" s="2">
        <v>497.7</v>
      </c>
      <c r="D216" s="2">
        <v>497.7</v>
      </c>
      <c r="E216" s="2">
        <v>1797.3</v>
      </c>
      <c r="F216" s="2" t="b">
        <v>0</v>
      </c>
      <c r="G216" s="3">
        <f t="shared" si="24"/>
        <v>3.6112115732368899</v>
      </c>
      <c r="H216" t="b">
        <f t="shared" si="25"/>
        <v>0</v>
      </c>
      <c r="I216" t="b">
        <f t="shared" si="26"/>
        <v>0</v>
      </c>
      <c r="J216" t="b">
        <f t="shared" si="27"/>
        <v>0</v>
      </c>
      <c r="K216" t="b">
        <f t="shared" si="28"/>
        <v>0</v>
      </c>
      <c r="L216" t="b">
        <f t="shared" si="29"/>
        <v>0</v>
      </c>
      <c r="M216" t="b">
        <f t="shared" si="30"/>
        <v>1</v>
      </c>
      <c r="N216" s="4">
        <f t="shared" si="31"/>
        <v>0</v>
      </c>
    </row>
    <row r="217" spans="1:14" x14ac:dyDescent="0.4">
      <c r="A217" s="1" t="s">
        <v>211</v>
      </c>
      <c r="B217" t="str">
        <f>Funds!A12</f>
        <v>Fund XI</v>
      </c>
      <c r="C217" s="2">
        <v>249.5</v>
      </c>
      <c r="D217" s="2">
        <v>249.5</v>
      </c>
      <c r="E217" s="2">
        <v>474</v>
      </c>
      <c r="F217" s="2" t="b">
        <v>0</v>
      </c>
      <c r="G217" s="3">
        <f t="shared" si="24"/>
        <v>1.8997995991983967</v>
      </c>
      <c r="H217" t="b">
        <f t="shared" si="25"/>
        <v>0</v>
      </c>
      <c r="I217" t="b">
        <f t="shared" si="26"/>
        <v>0</v>
      </c>
      <c r="J217" t="b">
        <f t="shared" si="27"/>
        <v>0</v>
      </c>
      <c r="K217" t="b">
        <f t="shared" si="28"/>
        <v>1</v>
      </c>
      <c r="L217" t="b">
        <f t="shared" si="29"/>
        <v>0</v>
      </c>
      <c r="M217" t="b">
        <f t="shared" si="30"/>
        <v>0</v>
      </c>
      <c r="N217" s="4">
        <f t="shared" si="31"/>
        <v>0</v>
      </c>
    </row>
    <row r="218" spans="1:14" x14ac:dyDescent="0.4">
      <c r="A218" s="1" t="s">
        <v>212</v>
      </c>
      <c r="B218" t="str">
        <f>Funds!A12</f>
        <v>Fund XI</v>
      </c>
      <c r="C218" s="2">
        <v>15.8</v>
      </c>
      <c r="D218" s="2">
        <v>15.8</v>
      </c>
      <c r="E218" s="2">
        <v>0.9</v>
      </c>
      <c r="F218" s="2" t="b">
        <v>1</v>
      </c>
      <c r="G218" s="3">
        <f t="shared" si="24"/>
        <v>5.6962025316455694E-2</v>
      </c>
      <c r="H218" t="b">
        <f t="shared" si="25"/>
        <v>0</v>
      </c>
      <c r="I218" t="b">
        <f t="shared" si="26"/>
        <v>1</v>
      </c>
      <c r="J218" t="b">
        <f t="shared" si="27"/>
        <v>0</v>
      </c>
      <c r="K218" t="b">
        <f t="shared" si="28"/>
        <v>0</v>
      </c>
      <c r="L218" t="b">
        <f t="shared" si="29"/>
        <v>0</v>
      </c>
      <c r="M218" t="b">
        <f t="shared" si="30"/>
        <v>0</v>
      </c>
      <c r="N218" s="4">
        <f t="shared" si="31"/>
        <v>14.9</v>
      </c>
    </row>
    <row r="219" spans="1:14" x14ac:dyDescent="0.4">
      <c r="A219" s="1" t="s">
        <v>213</v>
      </c>
      <c r="B219" t="str">
        <f>Funds!A12</f>
        <v>Fund XI</v>
      </c>
      <c r="C219" s="2">
        <v>265</v>
      </c>
      <c r="D219" s="2">
        <v>265</v>
      </c>
      <c r="E219" s="2">
        <v>435.7</v>
      </c>
      <c r="F219" s="2" t="b">
        <v>0</v>
      </c>
      <c r="G219" s="3">
        <f t="shared" si="24"/>
        <v>1.6441509433962265</v>
      </c>
      <c r="H219" t="b">
        <f t="shared" si="25"/>
        <v>0</v>
      </c>
      <c r="I219" t="b">
        <f t="shared" si="26"/>
        <v>0</v>
      </c>
      <c r="J219" t="b">
        <f t="shared" si="27"/>
        <v>0</v>
      </c>
      <c r="K219" t="b">
        <f t="shared" si="28"/>
        <v>1</v>
      </c>
      <c r="L219" t="b">
        <f t="shared" si="29"/>
        <v>0</v>
      </c>
      <c r="M219" t="b">
        <f t="shared" si="30"/>
        <v>0</v>
      </c>
      <c r="N219" s="4">
        <f t="shared" si="31"/>
        <v>0</v>
      </c>
    </row>
    <row r="220" spans="1:14" x14ac:dyDescent="0.4">
      <c r="A220" s="1" t="s">
        <v>214</v>
      </c>
      <c r="B220" t="str">
        <f>Funds!A12</f>
        <v>Fund XI</v>
      </c>
      <c r="C220" s="2">
        <v>585.20000000000005</v>
      </c>
      <c r="D220" s="2">
        <v>585.20000000000005</v>
      </c>
      <c r="E220" s="2">
        <v>1644.8</v>
      </c>
      <c r="F220" s="2" t="b">
        <v>0</v>
      </c>
      <c r="G220" s="3">
        <f t="shared" si="24"/>
        <v>2.8106630211893369</v>
      </c>
      <c r="H220" t="b">
        <f t="shared" si="25"/>
        <v>0</v>
      </c>
      <c r="I220" t="b">
        <f t="shared" si="26"/>
        <v>0</v>
      </c>
      <c r="J220" t="b">
        <f t="shared" si="27"/>
        <v>0</v>
      </c>
      <c r="K220" t="b">
        <f t="shared" si="28"/>
        <v>0</v>
      </c>
      <c r="L220" t="b">
        <f t="shared" si="29"/>
        <v>1</v>
      </c>
      <c r="M220" t="b">
        <f t="shared" si="30"/>
        <v>0</v>
      </c>
      <c r="N220" s="4">
        <f t="shared" si="31"/>
        <v>0</v>
      </c>
    </row>
    <row r="221" spans="1:14" x14ac:dyDescent="0.4">
      <c r="A221" s="1" t="s">
        <v>215</v>
      </c>
      <c r="B221" t="str">
        <f>Funds!A12</f>
        <v>Fund XI</v>
      </c>
      <c r="C221" s="2">
        <v>13.1</v>
      </c>
      <c r="D221" s="2">
        <v>13.1</v>
      </c>
      <c r="E221" s="2">
        <v>8.1</v>
      </c>
      <c r="F221" s="2" t="b">
        <v>1</v>
      </c>
      <c r="G221" s="3">
        <f t="shared" si="24"/>
        <v>0.61832061068702293</v>
      </c>
      <c r="H221" t="b">
        <f t="shared" si="25"/>
        <v>0</v>
      </c>
      <c r="I221" t="b">
        <f t="shared" si="26"/>
        <v>1</v>
      </c>
      <c r="J221" t="b">
        <f t="shared" si="27"/>
        <v>0</v>
      </c>
      <c r="K221" t="b">
        <f t="shared" si="28"/>
        <v>0</v>
      </c>
      <c r="L221" t="b">
        <f t="shared" si="29"/>
        <v>0</v>
      </c>
      <c r="M221" t="b">
        <f t="shared" si="30"/>
        <v>0</v>
      </c>
      <c r="N221" s="4">
        <f t="shared" si="31"/>
        <v>4.9999999999999991</v>
      </c>
    </row>
    <row r="222" spans="1:14" x14ac:dyDescent="0.4">
      <c r="A222" s="1" t="s">
        <v>216</v>
      </c>
      <c r="B222" t="str">
        <f>Funds!A12</f>
        <v>Fund XI</v>
      </c>
      <c r="C222" s="2">
        <v>41.8</v>
      </c>
      <c r="D222" s="2">
        <v>41.9</v>
      </c>
      <c r="E222" s="2">
        <v>45.5</v>
      </c>
      <c r="F222" s="2" t="b">
        <v>1</v>
      </c>
      <c r="G222" s="3">
        <f t="shared" si="24"/>
        <v>1.0859188544152745</v>
      </c>
      <c r="H222" t="b">
        <f t="shared" si="25"/>
        <v>0</v>
      </c>
      <c r="I222" t="b">
        <f t="shared" si="26"/>
        <v>0</v>
      </c>
      <c r="J222" t="b">
        <f t="shared" si="27"/>
        <v>0</v>
      </c>
      <c r="K222" t="b">
        <f t="shared" si="28"/>
        <v>1</v>
      </c>
      <c r="L222" t="b">
        <f t="shared" si="29"/>
        <v>0</v>
      </c>
      <c r="M222" t="b">
        <f t="shared" si="30"/>
        <v>0</v>
      </c>
      <c r="N222" s="4">
        <f t="shared" si="31"/>
        <v>0</v>
      </c>
    </row>
    <row r="223" spans="1:14" x14ac:dyDescent="0.4">
      <c r="A223" s="1" t="s">
        <v>217</v>
      </c>
      <c r="B223" t="str">
        <f>Funds!A12</f>
        <v>Fund XI</v>
      </c>
      <c r="C223" s="2">
        <v>75</v>
      </c>
      <c r="D223" s="2">
        <v>68.3</v>
      </c>
      <c r="E223" s="2">
        <v>151.80000000000001</v>
      </c>
      <c r="F223" s="2" t="b">
        <v>0</v>
      </c>
      <c r="G223" s="3">
        <f t="shared" si="24"/>
        <v>2.2225475841874087</v>
      </c>
      <c r="H223" t="b">
        <f t="shared" si="25"/>
        <v>0</v>
      </c>
      <c r="I223" t="b">
        <f t="shared" si="26"/>
        <v>0</v>
      </c>
      <c r="J223" t="b">
        <f t="shared" si="27"/>
        <v>0</v>
      </c>
      <c r="K223" t="b">
        <f t="shared" si="28"/>
        <v>0</v>
      </c>
      <c r="L223" t="b">
        <f t="shared" si="29"/>
        <v>1</v>
      </c>
      <c r="M223" t="b">
        <f t="shared" si="30"/>
        <v>0</v>
      </c>
      <c r="N223" s="4">
        <f t="shared" si="31"/>
        <v>0</v>
      </c>
    </row>
    <row r="224" spans="1:14" x14ac:dyDescent="0.4">
      <c r="A224" s="1" t="s">
        <v>201</v>
      </c>
      <c r="B224" t="str">
        <f>Funds!A12</f>
        <v>Fund XI</v>
      </c>
      <c r="C224" s="2">
        <v>394.2</v>
      </c>
      <c r="D224" s="2">
        <v>394.2</v>
      </c>
      <c r="E224" s="2">
        <v>2139.1</v>
      </c>
      <c r="F224" s="2" t="b">
        <v>0</v>
      </c>
      <c r="G224" s="3">
        <f t="shared" si="24"/>
        <v>5.4264332825976664</v>
      </c>
      <c r="H224" t="b">
        <f t="shared" si="25"/>
        <v>0</v>
      </c>
      <c r="I224" t="b">
        <f t="shared" si="26"/>
        <v>0</v>
      </c>
      <c r="J224" t="b">
        <f t="shared" si="27"/>
        <v>0</v>
      </c>
      <c r="K224" t="b">
        <f t="shared" si="28"/>
        <v>0</v>
      </c>
      <c r="L224" t="b">
        <f t="shared" si="29"/>
        <v>0</v>
      </c>
      <c r="M224" t="b">
        <f t="shared" si="30"/>
        <v>1</v>
      </c>
      <c r="N224" s="4">
        <f t="shared" si="31"/>
        <v>0</v>
      </c>
    </row>
    <row r="225" spans="1:14" x14ac:dyDescent="0.4">
      <c r="A225" s="1" t="s">
        <v>202</v>
      </c>
      <c r="B225" t="str">
        <f>Funds!A12</f>
        <v>Fund XI</v>
      </c>
      <c r="C225" s="2">
        <v>133.30000000000001</v>
      </c>
      <c r="D225" s="2">
        <v>68.900000000000006</v>
      </c>
      <c r="E225" s="2">
        <v>149.1</v>
      </c>
      <c r="F225" s="2" t="b">
        <v>0</v>
      </c>
      <c r="G225" s="3">
        <f t="shared" si="24"/>
        <v>2.1640058055152394</v>
      </c>
      <c r="H225" t="b">
        <f t="shared" si="25"/>
        <v>0</v>
      </c>
      <c r="I225" t="b">
        <f t="shared" si="26"/>
        <v>0</v>
      </c>
      <c r="J225" t="b">
        <f t="shared" si="27"/>
        <v>0</v>
      </c>
      <c r="K225" t="b">
        <f t="shared" si="28"/>
        <v>0</v>
      </c>
      <c r="L225" t="b">
        <f t="shared" si="29"/>
        <v>1</v>
      </c>
      <c r="M225" t="b">
        <f t="shared" si="30"/>
        <v>0</v>
      </c>
      <c r="N225" s="4">
        <f t="shared" si="31"/>
        <v>0</v>
      </c>
    </row>
    <row r="226" spans="1:14" x14ac:dyDescent="0.4">
      <c r="A226" s="1" t="s">
        <v>218</v>
      </c>
      <c r="B226" t="str">
        <f>Funds!A12</f>
        <v>Fund XI</v>
      </c>
      <c r="C226" s="2">
        <v>486</v>
      </c>
      <c r="D226" s="2">
        <v>199.6</v>
      </c>
      <c r="E226" s="2">
        <v>179.8</v>
      </c>
      <c r="F226" s="2" t="b">
        <v>0</v>
      </c>
      <c r="G226" s="3">
        <f t="shared" si="24"/>
        <v>0.90080160320641289</v>
      </c>
      <c r="H226" t="b">
        <f t="shared" si="25"/>
        <v>0</v>
      </c>
      <c r="I226" t="b">
        <f t="shared" si="26"/>
        <v>1</v>
      </c>
      <c r="J226" t="b">
        <f t="shared" si="27"/>
        <v>0</v>
      </c>
      <c r="K226" t="b">
        <f t="shared" si="28"/>
        <v>0</v>
      </c>
      <c r="L226" t="b">
        <f t="shared" si="29"/>
        <v>0</v>
      </c>
      <c r="M226" t="b">
        <f t="shared" si="30"/>
        <v>0</v>
      </c>
      <c r="N226" s="4">
        <f t="shared" si="31"/>
        <v>19.799999999999986</v>
      </c>
    </row>
    <row r="227" spans="1:14" x14ac:dyDescent="0.4">
      <c r="A227" s="1" t="s">
        <v>207</v>
      </c>
      <c r="B227" t="str">
        <f>Funds!A12</f>
        <v>Fund XI</v>
      </c>
      <c r="C227" s="2">
        <v>475</v>
      </c>
      <c r="D227" s="2">
        <v>298.89999999999998</v>
      </c>
      <c r="E227" s="2">
        <v>361.5</v>
      </c>
      <c r="F227" s="2" t="b">
        <v>0</v>
      </c>
      <c r="G227" s="3">
        <f t="shared" si="24"/>
        <v>1.209434593509535</v>
      </c>
      <c r="H227" t="b">
        <f t="shared" si="25"/>
        <v>0</v>
      </c>
      <c r="I227" t="b">
        <f t="shared" si="26"/>
        <v>0</v>
      </c>
      <c r="J227" t="b">
        <f t="shared" si="27"/>
        <v>0</v>
      </c>
      <c r="K227" t="b">
        <f t="shared" si="28"/>
        <v>1</v>
      </c>
      <c r="L227" t="b">
        <f t="shared" si="29"/>
        <v>0</v>
      </c>
      <c r="M227" t="b">
        <f t="shared" si="30"/>
        <v>0</v>
      </c>
      <c r="N227" s="4">
        <f t="shared" si="31"/>
        <v>0</v>
      </c>
    </row>
    <row r="228" spans="1:14" x14ac:dyDescent="0.4">
      <c r="A228" s="1" t="s">
        <v>185</v>
      </c>
      <c r="B228" t="str">
        <f>Funds!A12</f>
        <v>Fund XI</v>
      </c>
      <c r="C228" s="2">
        <v>599.70000000000005</v>
      </c>
      <c r="D228" s="2">
        <v>599.70000000000005</v>
      </c>
      <c r="E228" s="2">
        <v>1548.4</v>
      </c>
      <c r="F228" s="2" t="b">
        <v>0</v>
      </c>
      <c r="G228" s="3">
        <f t="shared" si="24"/>
        <v>2.5819576454894113</v>
      </c>
      <c r="H228" t="b">
        <f t="shared" si="25"/>
        <v>0</v>
      </c>
      <c r="I228" t="b">
        <f t="shared" si="26"/>
        <v>0</v>
      </c>
      <c r="J228" t="b">
        <f t="shared" si="27"/>
        <v>0</v>
      </c>
      <c r="K228" t="b">
        <f t="shared" si="28"/>
        <v>0</v>
      </c>
      <c r="L228" t="b">
        <f t="shared" si="29"/>
        <v>1</v>
      </c>
      <c r="M228" t="b">
        <f t="shared" si="30"/>
        <v>0</v>
      </c>
      <c r="N228" s="4">
        <f t="shared" si="31"/>
        <v>0</v>
      </c>
    </row>
    <row r="229" spans="1:14" x14ac:dyDescent="0.4">
      <c r="A229" s="1" t="s">
        <v>219</v>
      </c>
      <c r="B229" t="str">
        <f>Funds!A12</f>
        <v>Fund XI</v>
      </c>
      <c r="C229" s="2">
        <v>75</v>
      </c>
      <c r="D229" s="2">
        <v>44.4</v>
      </c>
      <c r="E229" s="2">
        <v>22.2</v>
      </c>
      <c r="F229" s="2" t="b">
        <v>0</v>
      </c>
      <c r="G229" s="3">
        <f t="shared" si="24"/>
        <v>0.5</v>
      </c>
      <c r="H229" t="b">
        <f t="shared" si="25"/>
        <v>0</v>
      </c>
      <c r="I229" t="b">
        <f t="shared" si="26"/>
        <v>1</v>
      </c>
      <c r="J229" t="b">
        <f t="shared" si="27"/>
        <v>0</v>
      </c>
      <c r="K229" t="b">
        <f t="shared" si="28"/>
        <v>0</v>
      </c>
      <c r="L229" t="b">
        <f t="shared" si="29"/>
        <v>0</v>
      </c>
      <c r="M229" t="b">
        <f t="shared" si="30"/>
        <v>0</v>
      </c>
      <c r="N229" s="4">
        <f t="shared" si="31"/>
        <v>22.2</v>
      </c>
    </row>
    <row r="230" spans="1:14" x14ac:dyDescent="0.4">
      <c r="A230" s="1" t="s">
        <v>220</v>
      </c>
      <c r="B230" t="str">
        <f>Funds!A12</f>
        <v>Fund XI</v>
      </c>
      <c r="C230" s="2">
        <v>343</v>
      </c>
      <c r="D230" s="2">
        <v>60.8</v>
      </c>
      <c r="E230" s="2">
        <v>60.8</v>
      </c>
      <c r="F230" s="2" t="b">
        <v>0</v>
      </c>
      <c r="G230" s="3">
        <f t="shared" si="24"/>
        <v>1</v>
      </c>
      <c r="H230" t="b">
        <f t="shared" si="25"/>
        <v>0</v>
      </c>
      <c r="I230" t="b">
        <f t="shared" si="26"/>
        <v>0</v>
      </c>
      <c r="J230" t="b">
        <f t="shared" si="27"/>
        <v>1</v>
      </c>
      <c r="K230" t="b">
        <f t="shared" si="28"/>
        <v>0</v>
      </c>
      <c r="L230" t="b">
        <f t="shared" si="29"/>
        <v>0</v>
      </c>
      <c r="M230" t="b">
        <f t="shared" si="30"/>
        <v>0</v>
      </c>
      <c r="N230" s="4">
        <f t="shared" si="31"/>
        <v>0</v>
      </c>
    </row>
    <row r="231" spans="1:14" x14ac:dyDescent="0.4">
      <c r="A231" s="1" t="s">
        <v>221</v>
      </c>
      <c r="B231" t="str">
        <f>Funds!A12</f>
        <v>Fund XI</v>
      </c>
      <c r="C231" s="2">
        <v>297.3</v>
      </c>
      <c r="D231" s="2">
        <v>215.5</v>
      </c>
      <c r="E231" s="2">
        <v>369.1</v>
      </c>
      <c r="F231" s="2" t="b">
        <v>0</v>
      </c>
      <c r="G231" s="3">
        <f t="shared" si="24"/>
        <v>1.7127610208816706</v>
      </c>
      <c r="H231" t="b">
        <f t="shared" si="25"/>
        <v>0</v>
      </c>
      <c r="I231" t="b">
        <f t="shared" si="26"/>
        <v>0</v>
      </c>
      <c r="J231" t="b">
        <f t="shared" si="27"/>
        <v>0</v>
      </c>
      <c r="K231" t="b">
        <f t="shared" si="28"/>
        <v>1</v>
      </c>
      <c r="L231" t="b">
        <f t="shared" si="29"/>
        <v>0</v>
      </c>
      <c r="M231" t="b">
        <f t="shared" si="30"/>
        <v>0</v>
      </c>
      <c r="N231" s="4">
        <f t="shared" si="31"/>
        <v>0</v>
      </c>
    </row>
    <row r="232" spans="1:14" x14ac:dyDescent="0.4">
      <c r="A232" s="1" t="s">
        <v>222</v>
      </c>
      <c r="B232" t="str">
        <f>Funds!A12</f>
        <v>Fund XI</v>
      </c>
      <c r="C232" s="2">
        <v>380</v>
      </c>
      <c r="D232" s="2">
        <v>356.3</v>
      </c>
      <c r="E232" s="2">
        <v>1045</v>
      </c>
      <c r="F232" s="2" t="b">
        <v>0</v>
      </c>
      <c r="G232" s="3">
        <f t="shared" si="24"/>
        <v>2.9329216952006734</v>
      </c>
      <c r="H232" t="b">
        <f t="shared" si="25"/>
        <v>0</v>
      </c>
      <c r="I232" t="b">
        <f t="shared" si="26"/>
        <v>0</v>
      </c>
      <c r="J232" t="b">
        <f t="shared" si="27"/>
        <v>0</v>
      </c>
      <c r="K232" t="b">
        <f t="shared" si="28"/>
        <v>0</v>
      </c>
      <c r="L232" t="b">
        <f t="shared" si="29"/>
        <v>1</v>
      </c>
      <c r="M232" t="b">
        <f t="shared" si="30"/>
        <v>0</v>
      </c>
      <c r="N232" s="4">
        <f t="shared" si="31"/>
        <v>0</v>
      </c>
    </row>
    <row r="233" spans="1:14" x14ac:dyDescent="0.4">
      <c r="A233" s="1" t="s">
        <v>223</v>
      </c>
      <c r="B233" t="str">
        <f>Funds!A12</f>
        <v>Fund XI</v>
      </c>
      <c r="C233" s="2">
        <v>296.5</v>
      </c>
      <c r="D233" s="2">
        <v>75.099999999999994</v>
      </c>
      <c r="E233" s="2">
        <v>75.099999999999994</v>
      </c>
      <c r="F233" s="2" t="b">
        <v>0</v>
      </c>
      <c r="G233" s="3">
        <f t="shared" si="24"/>
        <v>1</v>
      </c>
      <c r="H233" t="b">
        <f t="shared" si="25"/>
        <v>0</v>
      </c>
      <c r="I233" t="b">
        <f t="shared" si="26"/>
        <v>0</v>
      </c>
      <c r="J233" t="b">
        <f t="shared" si="27"/>
        <v>1</v>
      </c>
      <c r="K233" t="b">
        <f t="shared" si="28"/>
        <v>0</v>
      </c>
      <c r="L233" t="b">
        <f t="shared" si="29"/>
        <v>0</v>
      </c>
      <c r="M233" t="b">
        <f t="shared" si="30"/>
        <v>0</v>
      </c>
      <c r="N233" s="4">
        <f t="shared" si="31"/>
        <v>0</v>
      </c>
    </row>
    <row r="234" spans="1:14" x14ac:dyDescent="0.4">
      <c r="A234" s="1" t="s">
        <v>224</v>
      </c>
      <c r="B234" t="str">
        <f>Funds!A12</f>
        <v>Fund XI</v>
      </c>
      <c r="C234" s="2">
        <v>539</v>
      </c>
      <c r="D234" s="2">
        <v>504.7</v>
      </c>
      <c r="E234" s="2">
        <v>521.29999999999995</v>
      </c>
      <c r="F234" s="2" t="b">
        <v>0</v>
      </c>
      <c r="G234" s="3">
        <f t="shared" si="24"/>
        <v>1.032890826233406</v>
      </c>
      <c r="H234" t="b">
        <f t="shared" si="25"/>
        <v>0</v>
      </c>
      <c r="I234" t="b">
        <f t="shared" si="26"/>
        <v>0</v>
      </c>
      <c r="J234" t="b">
        <f t="shared" si="27"/>
        <v>0</v>
      </c>
      <c r="K234" t="b">
        <f t="shared" si="28"/>
        <v>1</v>
      </c>
      <c r="L234" t="b">
        <f t="shared" si="29"/>
        <v>0</v>
      </c>
      <c r="M234" t="b">
        <f t="shared" si="30"/>
        <v>0</v>
      </c>
      <c r="N234" s="4">
        <f t="shared" si="31"/>
        <v>0</v>
      </c>
    </row>
    <row r="235" spans="1:14" x14ac:dyDescent="0.4">
      <c r="A235" s="1" t="s">
        <v>225</v>
      </c>
      <c r="B235" t="str">
        <f>Funds!A12</f>
        <v>Fund XI</v>
      </c>
      <c r="C235" s="2">
        <v>900</v>
      </c>
      <c r="D235" s="2">
        <v>675.5</v>
      </c>
      <c r="E235" s="2">
        <v>1593.7</v>
      </c>
      <c r="F235" s="2" t="b">
        <v>0</v>
      </c>
      <c r="G235" s="3">
        <f t="shared" si="24"/>
        <v>2.3592894152479644</v>
      </c>
      <c r="H235" t="b">
        <f t="shared" si="25"/>
        <v>0</v>
      </c>
      <c r="I235" t="b">
        <f t="shared" si="26"/>
        <v>0</v>
      </c>
      <c r="J235" t="b">
        <f t="shared" si="27"/>
        <v>0</v>
      </c>
      <c r="K235" t="b">
        <f t="shared" si="28"/>
        <v>0</v>
      </c>
      <c r="L235" t="b">
        <f t="shared" si="29"/>
        <v>1</v>
      </c>
      <c r="M235" t="b">
        <f t="shared" si="30"/>
        <v>0</v>
      </c>
      <c r="N235" s="4">
        <f t="shared" si="31"/>
        <v>0</v>
      </c>
    </row>
    <row r="236" spans="1:14" x14ac:dyDescent="0.4">
      <c r="A236" s="1" t="s">
        <v>226</v>
      </c>
      <c r="B236" t="str">
        <f>Funds!A12</f>
        <v>Fund XI</v>
      </c>
      <c r="C236" s="2">
        <v>450</v>
      </c>
      <c r="D236" s="2">
        <v>339.1</v>
      </c>
      <c r="E236" s="2">
        <v>480.2</v>
      </c>
      <c r="F236" s="2" t="b">
        <v>0</v>
      </c>
      <c r="G236" s="3">
        <f t="shared" si="24"/>
        <v>1.4161014450014744</v>
      </c>
      <c r="H236" t="b">
        <f t="shared" si="25"/>
        <v>0</v>
      </c>
      <c r="I236" t="b">
        <f t="shared" si="26"/>
        <v>0</v>
      </c>
      <c r="J236" t="b">
        <f t="shared" si="27"/>
        <v>0</v>
      </c>
      <c r="K236" t="b">
        <f t="shared" si="28"/>
        <v>1</v>
      </c>
      <c r="L236" t="b">
        <f t="shared" si="29"/>
        <v>0</v>
      </c>
      <c r="M236" t="b">
        <f t="shared" si="30"/>
        <v>0</v>
      </c>
      <c r="N236" s="4">
        <f t="shared" si="31"/>
        <v>0</v>
      </c>
    </row>
    <row r="237" spans="1:14" x14ac:dyDescent="0.4">
      <c r="A237" s="1" t="s">
        <v>227</v>
      </c>
      <c r="B237" t="str">
        <f>Funds!A12</f>
        <v>Fund XI</v>
      </c>
      <c r="C237" s="2">
        <v>221</v>
      </c>
      <c r="D237" s="2">
        <v>221</v>
      </c>
      <c r="E237" s="2">
        <v>467.2</v>
      </c>
      <c r="F237" s="2" t="b">
        <v>0</v>
      </c>
      <c r="G237" s="3">
        <f t="shared" si="24"/>
        <v>2.114027149321267</v>
      </c>
      <c r="H237" t="b">
        <f t="shared" si="25"/>
        <v>0</v>
      </c>
      <c r="I237" t="b">
        <f t="shared" si="26"/>
        <v>0</v>
      </c>
      <c r="J237" t="b">
        <f t="shared" si="27"/>
        <v>0</v>
      </c>
      <c r="K237" t="b">
        <f t="shared" si="28"/>
        <v>0</v>
      </c>
      <c r="L237" t="b">
        <f t="shared" si="29"/>
        <v>1</v>
      </c>
      <c r="M237" t="b">
        <f t="shared" si="30"/>
        <v>0</v>
      </c>
      <c r="N237" s="4">
        <f t="shared" si="31"/>
        <v>0</v>
      </c>
    </row>
    <row r="238" spans="1:14" x14ac:dyDescent="0.4">
      <c r="A238" s="1" t="s">
        <v>228</v>
      </c>
      <c r="B238" t="str">
        <f>Funds!A12</f>
        <v>Fund XI</v>
      </c>
      <c r="C238" s="2">
        <v>200</v>
      </c>
      <c r="D238" s="2">
        <v>138.19999999999999</v>
      </c>
      <c r="E238" s="2">
        <v>177.5</v>
      </c>
      <c r="F238" s="2" t="b">
        <v>0</v>
      </c>
      <c r="G238" s="3">
        <f t="shared" si="24"/>
        <v>1.284370477568741</v>
      </c>
      <c r="H238" t="b">
        <f t="shared" si="25"/>
        <v>0</v>
      </c>
      <c r="I238" t="b">
        <f t="shared" si="26"/>
        <v>0</v>
      </c>
      <c r="J238" t="b">
        <f t="shared" si="27"/>
        <v>0</v>
      </c>
      <c r="K238" t="b">
        <f t="shared" si="28"/>
        <v>1</v>
      </c>
      <c r="L238" t="b">
        <f t="shared" si="29"/>
        <v>0</v>
      </c>
      <c r="M238" t="b">
        <f t="shared" si="30"/>
        <v>0</v>
      </c>
      <c r="N238" s="4">
        <f t="shared" si="31"/>
        <v>0</v>
      </c>
    </row>
    <row r="239" spans="1:14" x14ac:dyDescent="0.4">
      <c r="A239" s="1" t="s">
        <v>202</v>
      </c>
      <c r="B239" t="str">
        <f>Funds!A13</f>
        <v>Fund XII</v>
      </c>
      <c r="C239" s="2">
        <v>400</v>
      </c>
      <c r="D239" s="2">
        <v>206.9</v>
      </c>
      <c r="E239" s="2">
        <v>447.2</v>
      </c>
      <c r="F239" s="2" t="b">
        <v>0</v>
      </c>
      <c r="G239" s="3">
        <f t="shared" si="24"/>
        <v>2.1614306428226193</v>
      </c>
      <c r="H239" t="b">
        <f t="shared" si="25"/>
        <v>0</v>
      </c>
      <c r="I239" t="b">
        <f t="shared" si="26"/>
        <v>0</v>
      </c>
      <c r="J239" t="b">
        <f t="shared" si="27"/>
        <v>0</v>
      </c>
      <c r="K239" t="b">
        <f t="shared" si="28"/>
        <v>0</v>
      </c>
      <c r="L239" t="b">
        <f t="shared" si="29"/>
        <v>1</v>
      </c>
      <c r="M239" t="b">
        <f t="shared" si="30"/>
        <v>0</v>
      </c>
      <c r="N239" s="4">
        <f t="shared" si="31"/>
        <v>0</v>
      </c>
    </row>
    <row r="240" spans="1:14" x14ac:dyDescent="0.4">
      <c r="A240" s="1" t="s">
        <v>225</v>
      </c>
      <c r="B240" t="str">
        <f>Funds!A13</f>
        <v>Fund XII</v>
      </c>
      <c r="C240" s="2">
        <v>350</v>
      </c>
      <c r="D240" s="2">
        <v>273.7</v>
      </c>
      <c r="E240" s="2">
        <v>619.79999999999995</v>
      </c>
      <c r="F240" s="2" t="b">
        <v>0</v>
      </c>
      <c r="G240" s="3">
        <f t="shared" si="24"/>
        <v>2.2645232005845815</v>
      </c>
      <c r="H240" t="b">
        <f t="shared" si="25"/>
        <v>0</v>
      </c>
      <c r="I240" t="b">
        <f t="shared" si="26"/>
        <v>0</v>
      </c>
      <c r="J240" t="b">
        <f t="shared" si="27"/>
        <v>0</v>
      </c>
      <c r="K240" t="b">
        <f t="shared" si="28"/>
        <v>0</v>
      </c>
      <c r="L240" t="b">
        <f t="shared" si="29"/>
        <v>1</v>
      </c>
      <c r="M240" t="b">
        <f t="shared" si="30"/>
        <v>0</v>
      </c>
      <c r="N240" s="4">
        <f t="shared" si="31"/>
        <v>0</v>
      </c>
    </row>
    <row r="241" spans="1:14" x14ac:dyDescent="0.4">
      <c r="A241" s="1" t="s">
        <v>229</v>
      </c>
      <c r="B241" t="str">
        <f>Funds!A13</f>
        <v>Fund XII</v>
      </c>
      <c r="C241" s="2">
        <v>146.30000000000001</v>
      </c>
      <c r="D241" s="2">
        <v>58.5</v>
      </c>
      <c r="E241" s="2">
        <v>58.5</v>
      </c>
      <c r="F241" s="2" t="b">
        <v>0</v>
      </c>
      <c r="G241" s="3">
        <f t="shared" si="24"/>
        <v>1</v>
      </c>
      <c r="H241" t="b">
        <f t="shared" si="25"/>
        <v>0</v>
      </c>
      <c r="I241" t="b">
        <f t="shared" si="26"/>
        <v>0</v>
      </c>
      <c r="J241" t="b">
        <f t="shared" si="27"/>
        <v>1</v>
      </c>
      <c r="K241" t="b">
        <f t="shared" si="28"/>
        <v>0</v>
      </c>
      <c r="L241" t="b">
        <f t="shared" si="29"/>
        <v>0</v>
      </c>
      <c r="M241" t="b">
        <f t="shared" si="30"/>
        <v>0</v>
      </c>
      <c r="N241" s="4">
        <f t="shared" si="31"/>
        <v>0</v>
      </c>
    </row>
    <row r="242" spans="1:14" x14ac:dyDescent="0.4">
      <c r="A242" s="1" t="s">
        <v>230</v>
      </c>
      <c r="B242" t="str">
        <f>Funds!A13</f>
        <v>Fund XII</v>
      </c>
      <c r="C242" s="2">
        <v>194</v>
      </c>
      <c r="D242" s="2">
        <v>21.3</v>
      </c>
      <c r="E242" s="2">
        <v>21.3</v>
      </c>
      <c r="F242" s="2" t="b">
        <v>0</v>
      </c>
      <c r="G242" s="3">
        <f t="shared" si="24"/>
        <v>1</v>
      </c>
      <c r="H242" t="b">
        <f t="shared" si="25"/>
        <v>0</v>
      </c>
      <c r="I242" t="b">
        <f t="shared" si="26"/>
        <v>0</v>
      </c>
      <c r="J242" t="b">
        <f t="shared" si="27"/>
        <v>1</v>
      </c>
      <c r="K242" t="b">
        <f t="shared" si="28"/>
        <v>0</v>
      </c>
      <c r="L242" t="b">
        <f t="shared" si="29"/>
        <v>0</v>
      </c>
      <c r="M242" t="b">
        <f t="shared" si="30"/>
        <v>0</v>
      </c>
      <c r="N242" s="4">
        <f t="shared" si="31"/>
        <v>0</v>
      </c>
    </row>
    <row r="243" spans="1:14" x14ac:dyDescent="0.4">
      <c r="A243" s="1" t="s">
        <v>231</v>
      </c>
      <c r="B243" t="str">
        <f>Funds!A13</f>
        <v>Fund XII</v>
      </c>
      <c r="C243" s="2">
        <v>190</v>
      </c>
      <c r="D243" s="2">
        <v>20.399999999999999</v>
      </c>
      <c r="E243" s="2">
        <v>20.399999999999999</v>
      </c>
      <c r="F243" s="2" t="b">
        <v>0</v>
      </c>
      <c r="G243" s="3">
        <f t="shared" si="24"/>
        <v>1</v>
      </c>
      <c r="H243" t="b">
        <f t="shared" si="25"/>
        <v>0</v>
      </c>
      <c r="I243" t="b">
        <f t="shared" si="26"/>
        <v>0</v>
      </c>
      <c r="J243" t="b">
        <f t="shared" si="27"/>
        <v>1</v>
      </c>
      <c r="K243" t="b">
        <f t="shared" si="28"/>
        <v>0</v>
      </c>
      <c r="L243" t="b">
        <f t="shared" si="29"/>
        <v>0</v>
      </c>
      <c r="M243" t="b">
        <f t="shared" si="30"/>
        <v>0</v>
      </c>
      <c r="N243" s="4">
        <f t="shared" si="31"/>
        <v>0</v>
      </c>
    </row>
    <row r="244" spans="1:14" x14ac:dyDescent="0.4">
      <c r="A244" s="1" t="s">
        <v>232</v>
      </c>
      <c r="B244" t="str">
        <f>Funds!A13</f>
        <v>Fund XII</v>
      </c>
      <c r="C244" s="2">
        <v>285</v>
      </c>
      <c r="D244" s="2">
        <v>14.7</v>
      </c>
      <c r="E244" s="2">
        <v>14.7</v>
      </c>
      <c r="F244" s="2" t="b">
        <v>0</v>
      </c>
      <c r="G244" s="3">
        <f t="shared" si="24"/>
        <v>1</v>
      </c>
      <c r="H244" t="b">
        <f t="shared" si="25"/>
        <v>0</v>
      </c>
      <c r="I244" t="b">
        <f t="shared" si="26"/>
        <v>0</v>
      </c>
      <c r="J244" t="b">
        <f t="shared" si="27"/>
        <v>1</v>
      </c>
      <c r="K244" t="b">
        <f t="shared" si="28"/>
        <v>0</v>
      </c>
      <c r="L244" t="b">
        <f t="shared" si="29"/>
        <v>0</v>
      </c>
      <c r="M244" t="b">
        <f t="shared" si="30"/>
        <v>0</v>
      </c>
      <c r="N244" s="4">
        <f t="shared" si="31"/>
        <v>0</v>
      </c>
    </row>
    <row r="245" spans="1:14" x14ac:dyDescent="0.4">
      <c r="A245" s="1" t="s">
        <v>233</v>
      </c>
      <c r="B245" t="str">
        <f>Funds!A13</f>
        <v>Fund XII</v>
      </c>
      <c r="C245" s="2">
        <v>195.4</v>
      </c>
      <c r="D245" s="2">
        <v>87.9</v>
      </c>
      <c r="E245" s="2">
        <v>87.9</v>
      </c>
      <c r="F245" s="2" t="b">
        <v>0</v>
      </c>
      <c r="G245" s="3">
        <f t="shared" si="24"/>
        <v>1</v>
      </c>
      <c r="H245" t="b">
        <f t="shared" si="25"/>
        <v>0</v>
      </c>
      <c r="I245" t="b">
        <f t="shared" si="26"/>
        <v>0</v>
      </c>
      <c r="J245" t="b">
        <f t="shared" si="27"/>
        <v>1</v>
      </c>
      <c r="K245" t="b">
        <f t="shared" si="28"/>
        <v>0</v>
      </c>
      <c r="L245" t="b">
        <f t="shared" si="29"/>
        <v>0</v>
      </c>
      <c r="M245" t="b">
        <f t="shared" si="30"/>
        <v>0</v>
      </c>
      <c r="N245" s="4">
        <f t="shared" si="31"/>
        <v>0</v>
      </c>
    </row>
    <row r="246" spans="1:14" x14ac:dyDescent="0.4">
      <c r="A246" s="1" t="s">
        <v>234</v>
      </c>
      <c r="B246" t="str">
        <f>Funds!A13</f>
        <v>Fund XII</v>
      </c>
      <c r="C246" s="2">
        <v>285</v>
      </c>
      <c r="D246" s="2">
        <v>164</v>
      </c>
      <c r="E246" s="2">
        <v>164</v>
      </c>
      <c r="F246" s="2" t="b">
        <v>0</v>
      </c>
      <c r="G246" s="3">
        <f t="shared" si="24"/>
        <v>1</v>
      </c>
      <c r="H246" t="b">
        <f t="shared" si="25"/>
        <v>0</v>
      </c>
      <c r="I246" t="b">
        <f t="shared" si="26"/>
        <v>0</v>
      </c>
      <c r="J246" t="b">
        <f t="shared" si="27"/>
        <v>1</v>
      </c>
      <c r="K246" t="b">
        <f t="shared" si="28"/>
        <v>0</v>
      </c>
      <c r="L246" t="b">
        <f t="shared" si="29"/>
        <v>0</v>
      </c>
      <c r="M246" t="b">
        <f t="shared" si="30"/>
        <v>0</v>
      </c>
      <c r="N246" s="4">
        <f t="shared" si="31"/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L44"/>
  <sheetViews>
    <sheetView showGridLines="0" tabSelected="1" topLeftCell="A25" zoomScale="90" zoomScaleNormal="90" workbookViewId="0">
      <selection activeCell="AQ28" sqref="AQ28"/>
    </sheetView>
  </sheetViews>
  <sheetFormatPr defaultRowHeight="16" x14ac:dyDescent="0.4"/>
  <cols>
    <col min="1" max="1" width="0.58203125" customWidth="1"/>
    <col min="2" max="2" width="42.25" bestFit="1" customWidth="1"/>
    <col min="3" max="3" width="6.33203125" bestFit="1" customWidth="1"/>
    <col min="4" max="4" width="7" customWidth="1"/>
    <col min="5" max="5" width="0.58203125" customWidth="1"/>
    <col min="6" max="6" width="6.33203125" bestFit="1" customWidth="1"/>
    <col min="7" max="7" width="7" customWidth="1"/>
    <col min="8" max="8" width="0.58203125" customWidth="1"/>
    <col min="9" max="9" width="6.33203125" bestFit="1" customWidth="1"/>
    <col min="10" max="10" width="7" customWidth="1"/>
    <col min="11" max="11" width="0.58203125" customWidth="1"/>
    <col min="12" max="12" width="6.33203125" bestFit="1" customWidth="1"/>
    <col min="13" max="13" width="7" customWidth="1"/>
    <col min="14" max="14" width="0.58203125" customWidth="1"/>
    <col min="15" max="15" width="6.33203125" bestFit="1" customWidth="1"/>
    <col min="16" max="16" width="7" customWidth="1"/>
    <col min="17" max="17" width="0.58203125" customWidth="1"/>
    <col min="18" max="18" width="8.25" bestFit="1" customWidth="1"/>
    <col min="19" max="19" width="7" customWidth="1"/>
    <col min="20" max="20" width="0.58203125" customWidth="1"/>
    <col min="21" max="21" width="8.25" bestFit="1" customWidth="1"/>
    <col min="22" max="22" width="7" customWidth="1"/>
    <col min="23" max="23" width="0.58203125" customWidth="1"/>
    <col min="24" max="24" width="8.25" bestFit="1" customWidth="1"/>
    <col min="25" max="25" width="7" customWidth="1"/>
    <col min="26" max="26" width="0.58203125" customWidth="1"/>
    <col min="27" max="27" width="8.25" bestFit="1" customWidth="1"/>
    <col min="28" max="28" width="7" customWidth="1"/>
    <col min="29" max="29" width="0.58203125" customWidth="1"/>
    <col min="30" max="30" width="8.25" bestFit="1" customWidth="1"/>
    <col min="31" max="31" width="7" customWidth="1"/>
    <col min="32" max="32" width="0.58203125" customWidth="1"/>
    <col min="33" max="33" width="8.25" bestFit="1" customWidth="1"/>
    <col min="34" max="34" width="7" customWidth="1"/>
    <col min="35" max="36" width="0.58203125" customWidth="1"/>
    <col min="37" max="37" width="9.5" bestFit="1" customWidth="1"/>
    <col min="38" max="38" width="7" bestFit="1" customWidth="1"/>
  </cols>
  <sheetData>
    <row r="2" spans="2:38" x14ac:dyDescent="0.4">
      <c r="B2" t="s">
        <v>235</v>
      </c>
    </row>
    <row r="3" spans="2:38" x14ac:dyDescent="0.4">
      <c r="B3" s="5" t="s">
        <v>236</v>
      </c>
    </row>
    <row r="4" spans="2:38" x14ac:dyDescent="0.4">
      <c r="B4" s="6" t="s">
        <v>237</v>
      </c>
      <c r="C4" s="25" t="str">
        <f>Funds!A2</f>
        <v>Fund I</v>
      </c>
      <c r="D4" s="26"/>
      <c r="F4" s="25" t="str">
        <f>Funds!A3</f>
        <v>Fund II</v>
      </c>
      <c r="G4" s="26"/>
      <c r="I4" s="25" t="str">
        <f>Funds!A4</f>
        <v>Fund III</v>
      </c>
      <c r="J4" s="26"/>
      <c r="L4" s="25" t="str">
        <f>Funds!A5</f>
        <v>Fund IV</v>
      </c>
      <c r="M4" s="26"/>
      <c r="O4" s="25" t="str">
        <f>Funds!A6</f>
        <v>Fund V</v>
      </c>
      <c r="P4" s="26"/>
      <c r="R4" s="25" t="str">
        <f>Funds!A7</f>
        <v>Fund VI</v>
      </c>
      <c r="S4" s="26"/>
      <c r="U4" s="25" t="str">
        <f>Funds!A8</f>
        <v>Fund VII</v>
      </c>
      <c r="V4" s="26"/>
      <c r="X4" s="25" t="str">
        <f>Funds!A9</f>
        <v>Fund VIII</v>
      </c>
      <c r="Y4" s="26"/>
      <c r="AA4" s="25" t="str">
        <f>Funds!A10</f>
        <v>Fund IX</v>
      </c>
      <c r="AB4" s="26"/>
      <c r="AD4" s="25" t="str">
        <f>Funds!A11</f>
        <v>Fund X</v>
      </c>
      <c r="AE4" s="26"/>
      <c r="AG4" s="25" t="str">
        <f>Funds!A12</f>
        <v>Fund XI</v>
      </c>
      <c r="AH4" s="26"/>
      <c r="AK4" s="31" t="s">
        <v>238</v>
      </c>
      <c r="AL4" s="32"/>
    </row>
    <row r="5" spans="2:38" x14ac:dyDescent="0.4">
      <c r="B5" s="5" t="s">
        <v>1</v>
      </c>
      <c r="C5" s="27">
        <f>Funds!B2</f>
        <v>1994</v>
      </c>
      <c r="D5" s="21"/>
      <c r="F5" s="27">
        <f>Funds!B3</f>
        <v>1996</v>
      </c>
      <c r="G5" s="21"/>
      <c r="I5" s="27">
        <f>Funds!B4</f>
        <v>1997</v>
      </c>
      <c r="J5" s="21"/>
      <c r="L5" s="27">
        <f>Funds!B5</f>
        <v>2001</v>
      </c>
      <c r="M5" s="21"/>
      <c r="O5" s="27">
        <f>Funds!B6</f>
        <v>2004</v>
      </c>
      <c r="P5" s="21"/>
      <c r="R5" s="27">
        <f>Funds!B7</f>
        <v>2006</v>
      </c>
      <c r="S5" s="21"/>
      <c r="U5" s="27">
        <f>Funds!B8</f>
        <v>2007</v>
      </c>
      <c r="V5" s="21"/>
      <c r="X5" s="27">
        <f>Funds!B9</f>
        <v>2010</v>
      </c>
      <c r="Y5" s="21"/>
      <c r="AA5" s="27">
        <f>Funds!B10</f>
        <v>2013</v>
      </c>
      <c r="AB5" s="21"/>
      <c r="AD5" s="27">
        <f>Funds!B11</f>
        <v>2015</v>
      </c>
      <c r="AE5" s="21"/>
      <c r="AG5" s="27">
        <f>Funds!B12</f>
        <v>2017</v>
      </c>
      <c r="AH5" s="21"/>
      <c r="AK5" s="7"/>
      <c r="AL5" s="7"/>
    </row>
    <row r="6" spans="2:38" x14ac:dyDescent="0.4">
      <c r="B6" t="s">
        <v>239</v>
      </c>
      <c r="C6" s="20">
        <f>SUMIFS(Portfolios!C:C, Portfolios!B:B, Funds!A2)</f>
        <v>104.1</v>
      </c>
      <c r="D6" s="21"/>
      <c r="F6" s="20">
        <f>SUMIFS(Portfolios!C:C, Portfolios!B:B, Funds!A3)</f>
        <v>114.6</v>
      </c>
      <c r="G6" s="21"/>
      <c r="I6" s="20">
        <f>SUMIFS(Portfolios!C:C, Portfolios!B:B, Funds!A4)</f>
        <v>468.59999999999997</v>
      </c>
      <c r="J6" s="21"/>
      <c r="L6" s="20">
        <f>SUMIFS(Portfolios!C:C, Portfolios!B:B, Funds!A5)</f>
        <v>570.4</v>
      </c>
      <c r="M6" s="21"/>
      <c r="O6" s="20">
        <f>SUMIFS(Portfolios!C:C, Portfolios!B:B, Funds!A6)</f>
        <v>922.30000000000018</v>
      </c>
      <c r="P6" s="21"/>
      <c r="R6" s="20">
        <f>SUMIFS(Portfolios!C:C, Portfolios!B:B, Funds!A7)</f>
        <v>1564.2</v>
      </c>
      <c r="S6" s="21"/>
      <c r="U6" s="20">
        <f>SUMIFS(Portfolios!C:C, Portfolios!B:B, Funds!A8)</f>
        <v>2553.1</v>
      </c>
      <c r="V6" s="21"/>
      <c r="X6" s="20">
        <f>SUMIFS(Portfolios!C:C, Portfolios!B:B, Funds!A9)</f>
        <v>3761.7000000000003</v>
      </c>
      <c r="Y6" s="21"/>
      <c r="AA6" s="20">
        <f>SUMIFS(Portfolios!C:C, Portfolios!B:B, Funds!A10)</f>
        <v>5442</v>
      </c>
      <c r="AB6" s="21"/>
      <c r="AD6" s="20">
        <f>SUMIFS(Portfolios!C:C, Portfolios!B:B, Funds!A11)</f>
        <v>6914.7999999999993</v>
      </c>
      <c r="AE6" s="21"/>
      <c r="AG6" s="20">
        <f>SUMIFS(Portfolios!C:C, Portfolios!B:B, Funds!A12)</f>
        <v>7539</v>
      </c>
      <c r="AH6" s="21"/>
      <c r="AK6" s="7"/>
      <c r="AL6" s="7"/>
    </row>
    <row r="7" spans="2:38" x14ac:dyDescent="0.4">
      <c r="AK7" s="7"/>
      <c r="AL7" s="7"/>
    </row>
    <row r="8" spans="2:38" x14ac:dyDescent="0.4">
      <c r="B8" s="8" t="s">
        <v>240</v>
      </c>
      <c r="C8" s="20">
        <f>COUNTIFS(Portfolios!F:F, TRUE, Portfolios!B:B, Funds!A2)</f>
        <v>12</v>
      </c>
      <c r="D8" s="21"/>
      <c r="F8" s="20">
        <f>COUNTIFS(Portfolios!F:F, TRUE, Portfolios!B:B, Funds!A3)</f>
        <v>4</v>
      </c>
      <c r="G8" s="21"/>
      <c r="I8" s="20">
        <f>COUNTIFS(Portfolios!F:F, TRUE, Portfolios!B:B, Funds!A4)</f>
        <v>20</v>
      </c>
      <c r="J8" s="21"/>
      <c r="L8" s="20">
        <f>COUNTIFS(Portfolios!F:F, TRUE, Portfolios!B:B, Funds!A5)</f>
        <v>19</v>
      </c>
      <c r="M8" s="21"/>
      <c r="O8" s="20">
        <f>COUNTIFS(Portfolios!F:F, TRUE, Portfolios!B:B, Funds!A6)</f>
        <v>28</v>
      </c>
      <c r="P8" s="21"/>
      <c r="R8" s="20">
        <f>COUNTIFS(Portfolios!F:F, TRUE, Portfolios!B:B, Funds!A7)</f>
        <v>27</v>
      </c>
      <c r="S8" s="21"/>
      <c r="U8" s="20">
        <f>COUNTIFS(Portfolios!F:F, TRUE, Portfolios!B:B, Funds!A8)</f>
        <v>33</v>
      </c>
      <c r="V8" s="21"/>
      <c r="X8" s="20">
        <f>COUNTIFS(Portfolios!F:F, TRUE, Portfolios!B:B, Funds!A9)</f>
        <v>17</v>
      </c>
      <c r="Y8" s="21"/>
      <c r="AA8" s="20">
        <f>COUNTIFS(Portfolios!F:F, TRUE, Portfolios!B:B, Funds!A10)</f>
        <v>11</v>
      </c>
      <c r="AB8" s="21"/>
      <c r="AD8" s="20">
        <f>COUNTIFS(Portfolios!F:F, TRUE, Portfolios!B:B, Funds!A11)</f>
        <v>10</v>
      </c>
      <c r="AE8" s="21"/>
      <c r="AG8" s="20">
        <f>COUNTIFS(Portfolios!F:F, TRUE, Portfolios!B:B, Funds!A12)</f>
        <v>3</v>
      </c>
      <c r="AH8" s="21"/>
      <c r="AK8" s="18">
        <f>COUNTIFS(Portfolios!F:F, TRUE)</f>
        <v>184</v>
      </c>
      <c r="AL8" s="19"/>
    </row>
    <row r="9" spans="2:38" x14ac:dyDescent="0.4">
      <c r="B9" s="8" t="s">
        <v>241</v>
      </c>
      <c r="C9" s="20">
        <f>COUNTIFS(Portfolios!F:F, FALSE, Portfolios!B:B, Funds!A2)</f>
        <v>0</v>
      </c>
      <c r="D9" s="21"/>
      <c r="F9" s="20">
        <f>COUNTIFS(Portfolios!F:F, FALSE, Portfolios!B:B, Funds!A3)</f>
        <v>0</v>
      </c>
      <c r="G9" s="21"/>
      <c r="I9" s="20">
        <f>COUNTIFS(Portfolios!F:F, FALSE, Portfolios!B:B, Funds!A4)</f>
        <v>0</v>
      </c>
      <c r="J9" s="21"/>
      <c r="L9" s="20">
        <f>COUNTIFS(Portfolios!F:F, FALSE, Portfolios!B:B, Funds!A5)</f>
        <v>0</v>
      </c>
      <c r="M9" s="21"/>
      <c r="O9" s="20">
        <f>COUNTIFS(Portfolios!F:F, FALSE, Portfolios!B:B, Funds!A6)</f>
        <v>0</v>
      </c>
      <c r="P9" s="21"/>
      <c r="R9" s="20">
        <f>COUNTIFS(Portfolios!F:F, FALSE, Portfolios!B:B, Funds!A7)</f>
        <v>0</v>
      </c>
      <c r="S9" s="21"/>
      <c r="U9" s="20">
        <f>COUNTIFS(Portfolios!F:F, FALSE, Portfolios!B:B, Funds!A8)</f>
        <v>0</v>
      </c>
      <c r="V9" s="21"/>
      <c r="X9" s="20">
        <f>COUNTIFS(Portfolios!F:F, FALSE, Portfolios!B:B, Funds!A9)</f>
        <v>4</v>
      </c>
      <c r="Y9" s="21"/>
      <c r="AA9" s="20">
        <f>COUNTIFS(Portfolios!F:F, FALSE, Portfolios!B:B, Funds!A10)</f>
        <v>8</v>
      </c>
      <c r="AB9" s="21"/>
      <c r="AD9" s="20">
        <f>COUNTIFS(Portfolios!F:F, FALSE, Portfolios!B:B, Funds!A11)</f>
        <v>15</v>
      </c>
      <c r="AE9" s="21"/>
      <c r="AG9" s="20">
        <f>COUNTIFS(Portfolios!F:F, FALSE, Portfolios!B:B, Funds!A12)</f>
        <v>20</v>
      </c>
      <c r="AH9" s="21"/>
      <c r="AK9" s="18">
        <f>COUNTIFS(Portfolios!F:F, FALSE)</f>
        <v>55</v>
      </c>
      <c r="AL9" s="19"/>
    </row>
    <row r="10" spans="2:38" x14ac:dyDescent="0.4">
      <c r="B10" s="5" t="s">
        <v>242</v>
      </c>
      <c r="C10" s="24">
        <f>C8 + C9</f>
        <v>12</v>
      </c>
      <c r="D10" s="23"/>
      <c r="F10" s="24">
        <f>F8 + F9</f>
        <v>4</v>
      </c>
      <c r="G10" s="23"/>
      <c r="I10" s="24">
        <f>I8 + I9</f>
        <v>20</v>
      </c>
      <c r="J10" s="23"/>
      <c r="L10" s="24">
        <f>L8 + L9</f>
        <v>19</v>
      </c>
      <c r="M10" s="23"/>
      <c r="O10" s="24">
        <f>O8 + O9</f>
        <v>28</v>
      </c>
      <c r="P10" s="23"/>
      <c r="R10" s="24">
        <f>R8 + R9</f>
        <v>27</v>
      </c>
      <c r="S10" s="23"/>
      <c r="U10" s="24">
        <f>U8 + U9</f>
        <v>33</v>
      </c>
      <c r="V10" s="23"/>
      <c r="X10" s="24">
        <f>X8 + X9</f>
        <v>21</v>
      </c>
      <c r="Y10" s="23"/>
      <c r="AA10" s="24">
        <f>AA8 + AA9</f>
        <v>19</v>
      </c>
      <c r="AB10" s="23"/>
      <c r="AD10" s="24">
        <f>AD8 + AD9</f>
        <v>25</v>
      </c>
      <c r="AE10" s="23"/>
      <c r="AG10" s="24">
        <f>AG8 + AG9</f>
        <v>23</v>
      </c>
      <c r="AH10" s="23"/>
      <c r="AK10" s="30">
        <f>AK8 + AK9</f>
        <v>239</v>
      </c>
      <c r="AL10" s="29"/>
    </row>
    <row r="11" spans="2:38" x14ac:dyDescent="0.4">
      <c r="AK11" s="7"/>
      <c r="AL11" s="7"/>
    </row>
    <row r="12" spans="2:38" x14ac:dyDescent="0.4">
      <c r="B12" s="9" t="s">
        <v>242</v>
      </c>
      <c r="AK12" s="7"/>
      <c r="AL12" s="7"/>
    </row>
    <row r="13" spans="2:38" x14ac:dyDescent="0.4">
      <c r="B13" s="8" t="s">
        <v>20</v>
      </c>
      <c r="C13" s="4">
        <f>COUNTIFS(Portfolios!H:H, TRUE, Portfolios!B:B, Funds!A2)</f>
        <v>1</v>
      </c>
      <c r="D13" s="10">
        <f>C13 / C19</f>
        <v>8.3333333333333329E-2</v>
      </c>
      <c r="F13" s="4">
        <f>COUNTIFS(Portfolios!H:H, TRUE, Portfolios!B:B, Funds!A3)</f>
        <v>0</v>
      </c>
      <c r="G13" s="10">
        <f>F13 / F19</f>
        <v>0</v>
      </c>
      <c r="I13" s="4">
        <f>COUNTIFS(Portfolios!H:H, TRUE, Portfolios!B:B, Funds!A4)</f>
        <v>0</v>
      </c>
      <c r="J13" s="10">
        <f>I13 / I19</f>
        <v>0</v>
      </c>
      <c r="L13" s="4">
        <f>COUNTIFS(Portfolios!H:H, TRUE, Portfolios!B:B, Funds!A5)</f>
        <v>0</v>
      </c>
      <c r="M13" s="10">
        <f>L13 / L19</f>
        <v>0</v>
      </c>
      <c r="O13" s="4">
        <f>COUNTIFS(Portfolios!H:H, TRUE, Portfolios!B:B, Funds!A6)</f>
        <v>0</v>
      </c>
      <c r="P13" s="10">
        <f>O13 / O19</f>
        <v>0</v>
      </c>
      <c r="R13" s="4">
        <f>COUNTIFS(Portfolios!H:H, TRUE, Portfolios!B:B, Funds!A7)</f>
        <v>0</v>
      </c>
      <c r="S13" s="10">
        <f>R13 / R19</f>
        <v>0</v>
      </c>
      <c r="U13" s="4">
        <f>COUNTIFS(Portfolios!H:H, TRUE, Portfolios!B:B, Funds!A8)</f>
        <v>0</v>
      </c>
      <c r="V13" s="10">
        <f>U13 / U19</f>
        <v>0</v>
      </c>
      <c r="X13" s="4">
        <f>COUNTIFS(Portfolios!H:H, TRUE, Portfolios!B:B, Funds!A9)</f>
        <v>2</v>
      </c>
      <c r="Y13" s="10">
        <f>X13 / X19</f>
        <v>8.6956521739130432E-2</v>
      </c>
      <c r="AA13" s="4">
        <f>COUNTIFS(Portfolios!H:H, TRUE, Portfolios!B:B, Funds!A10)</f>
        <v>2</v>
      </c>
      <c r="AB13" s="10">
        <f>AA13 / AA19</f>
        <v>9.5238095238095233E-2</v>
      </c>
      <c r="AD13" s="4">
        <f>COUNTIFS(Portfolios!H:H, TRUE, Portfolios!B:B, Funds!A11)</f>
        <v>1</v>
      </c>
      <c r="AE13" s="10">
        <f>AD13 / AD19</f>
        <v>3.8461538461538464E-2</v>
      </c>
      <c r="AG13" s="4">
        <f>COUNTIFS(Portfolios!H:H, TRUE, Portfolios!B:B, Funds!A12)</f>
        <v>1</v>
      </c>
      <c r="AH13" s="10">
        <f>AG13 / AG19</f>
        <v>4.1666666666666664E-2</v>
      </c>
      <c r="AK13" s="11">
        <f>COUNTIFS(Portfolios!H:H, TRUE)</f>
        <v>7</v>
      </c>
      <c r="AL13" s="12">
        <f>AK13 / AK19</f>
        <v>2.8571428571428571E-2</v>
      </c>
    </row>
    <row r="14" spans="2:38" x14ac:dyDescent="0.4">
      <c r="B14" s="8" t="s">
        <v>21</v>
      </c>
      <c r="C14" s="4">
        <f>COUNTIFS(Portfolios!I:I, TRUE, Portfolios!B:B, Funds!A2)</f>
        <v>0</v>
      </c>
      <c r="D14" s="10">
        <f>C14 / C19</f>
        <v>0</v>
      </c>
      <c r="F14" s="4">
        <f>COUNTIFS(Portfolios!I:I, TRUE, Portfolios!B:B, Funds!A3)</f>
        <v>0</v>
      </c>
      <c r="G14" s="10">
        <f>F14 / F19</f>
        <v>0</v>
      </c>
      <c r="I14" s="4">
        <f>COUNTIFS(Portfolios!I:I, TRUE, Portfolios!B:B, Funds!A4)</f>
        <v>1</v>
      </c>
      <c r="J14" s="10">
        <f>I14 / I19</f>
        <v>0.05</v>
      </c>
      <c r="L14" s="4">
        <f>COUNTIFS(Portfolios!I:I, TRUE, Portfolios!B:B, Funds!A5)</f>
        <v>3</v>
      </c>
      <c r="M14" s="10">
        <f>L14 / L19</f>
        <v>0.15789473684210525</v>
      </c>
      <c r="O14" s="4">
        <f>COUNTIFS(Portfolios!I:I, TRUE, Portfolios!B:B, Funds!A6)</f>
        <v>5</v>
      </c>
      <c r="P14" s="10">
        <f>O14 / O19</f>
        <v>0.17857142857142858</v>
      </c>
      <c r="R14" s="4">
        <f>COUNTIFS(Portfolios!I:I, TRUE, Portfolios!B:B, Funds!A7)</f>
        <v>6</v>
      </c>
      <c r="S14" s="10">
        <f>R14 / R19</f>
        <v>0.22222222222222221</v>
      </c>
      <c r="U14" s="4">
        <f>COUNTIFS(Portfolios!I:I, TRUE, Portfolios!B:B, Funds!A8)</f>
        <v>10</v>
      </c>
      <c r="V14" s="10">
        <f>U14 / U19</f>
        <v>0.30303030303030304</v>
      </c>
      <c r="X14" s="4">
        <f>COUNTIFS(Portfolios!I:I, TRUE, Portfolios!B:B, Funds!A9)</f>
        <v>12</v>
      </c>
      <c r="Y14" s="10">
        <f>X14 / X19</f>
        <v>0.52173913043478259</v>
      </c>
      <c r="AA14" s="4">
        <f>COUNTIFS(Portfolios!I:I, TRUE, Portfolios!B:B, Funds!A10)</f>
        <v>5</v>
      </c>
      <c r="AB14" s="10">
        <f>AA14 / AA19</f>
        <v>0.23809523809523808</v>
      </c>
      <c r="AD14" s="4">
        <f>COUNTIFS(Portfolios!I:I, TRUE, Portfolios!B:B, Funds!A11)</f>
        <v>5</v>
      </c>
      <c r="AE14" s="10">
        <f>AD14 / AD19</f>
        <v>0.19230769230769232</v>
      </c>
      <c r="AG14" s="4">
        <f>COUNTIFS(Portfolios!I:I, TRUE, Portfolios!B:B, Funds!A12)</f>
        <v>4</v>
      </c>
      <c r="AH14" s="10">
        <f>AG14 / AG19</f>
        <v>0.16666666666666666</v>
      </c>
      <c r="AK14" s="11">
        <f>COUNTIFS(Portfolios!I:I, TRUE)</f>
        <v>51</v>
      </c>
      <c r="AL14" s="12">
        <f>AK14 / AK19</f>
        <v>0.20816326530612245</v>
      </c>
    </row>
    <row r="15" spans="2:38" x14ac:dyDescent="0.4">
      <c r="B15" s="8" t="s">
        <v>22</v>
      </c>
      <c r="C15" s="4">
        <f>COUNTIFS(Portfolios!J:J, TRUE, Portfolios!B:B, Funds!A2)</f>
        <v>0</v>
      </c>
      <c r="D15" s="10">
        <f>C15 / C19</f>
        <v>0</v>
      </c>
      <c r="F15" s="4">
        <f>COUNTIFS(Portfolios!J:J, TRUE, Portfolios!B:B, Funds!A3)</f>
        <v>0</v>
      </c>
      <c r="G15" s="10">
        <f>F15 / F19</f>
        <v>0</v>
      </c>
      <c r="I15" s="4">
        <f>COUNTIFS(Portfolios!J:J, TRUE, Portfolios!B:B, Funds!A4)</f>
        <v>0</v>
      </c>
      <c r="J15" s="10">
        <f>I15 / I19</f>
        <v>0</v>
      </c>
      <c r="L15" s="4">
        <f>COUNTIFS(Portfolios!J:J, TRUE, Portfolios!B:B, Funds!A5)</f>
        <v>0</v>
      </c>
      <c r="M15" s="10">
        <f>L15 / L19</f>
        <v>0</v>
      </c>
      <c r="O15" s="4">
        <f>COUNTIFS(Portfolios!J:J, TRUE, Portfolios!B:B, Funds!A6)</f>
        <v>1</v>
      </c>
      <c r="P15" s="10">
        <f>O15 / O19</f>
        <v>3.5714285714285712E-2</v>
      </c>
      <c r="R15" s="4">
        <f>COUNTIFS(Portfolios!J:J, TRUE, Portfolios!B:B, Funds!A7)</f>
        <v>0</v>
      </c>
      <c r="S15" s="10">
        <f>R15 / R19</f>
        <v>0</v>
      </c>
      <c r="U15" s="4">
        <f>COUNTIFS(Portfolios!J:J, TRUE, Portfolios!B:B, Funds!A8)</f>
        <v>0</v>
      </c>
      <c r="V15" s="10">
        <f>U15 / U19</f>
        <v>0</v>
      </c>
      <c r="X15" s="4">
        <f>COUNTIFS(Portfolios!J:J, TRUE, Portfolios!B:B, Funds!A9)</f>
        <v>0</v>
      </c>
      <c r="Y15" s="10">
        <f>X15 / X19</f>
        <v>0</v>
      </c>
      <c r="AA15" s="4">
        <f>COUNTIFS(Portfolios!J:J, TRUE, Portfolios!B:B, Funds!A10)</f>
        <v>0</v>
      </c>
      <c r="AB15" s="10">
        <f>AA15 / AA19</f>
        <v>0</v>
      </c>
      <c r="AD15" s="4">
        <f>COUNTIFS(Portfolios!J:J, TRUE, Portfolios!B:B, Funds!A11)</f>
        <v>0</v>
      </c>
      <c r="AE15" s="10">
        <f>AD15 / AD19</f>
        <v>0</v>
      </c>
      <c r="AG15" s="4">
        <f>COUNTIFS(Portfolios!J:J, TRUE, Portfolios!B:B, Funds!A12)</f>
        <v>2</v>
      </c>
      <c r="AH15" s="10">
        <f>AG15 / AG19</f>
        <v>8.3333333333333329E-2</v>
      </c>
      <c r="AK15" s="11">
        <f>COUNTIFS(Portfolios!J:J, TRUE)</f>
        <v>9</v>
      </c>
      <c r="AL15" s="12">
        <f>AK15 / AK19</f>
        <v>3.6734693877551024E-2</v>
      </c>
    </row>
    <row r="16" spans="2:38" x14ac:dyDescent="0.4">
      <c r="B16" s="8" t="s">
        <v>23</v>
      </c>
      <c r="C16" s="4">
        <f>COUNTIFS(Portfolios!K:K, TRUE, Portfolios!B:B, Funds!A2)</f>
        <v>9</v>
      </c>
      <c r="D16" s="10">
        <f>C16 / C19</f>
        <v>0.75</v>
      </c>
      <c r="F16" s="4">
        <f>COUNTIFS(Portfolios!K:K, TRUE, Portfolios!B:B, Funds!A3)</f>
        <v>4</v>
      </c>
      <c r="G16" s="10">
        <f>F16 / F19</f>
        <v>1</v>
      </c>
      <c r="I16" s="4">
        <f>COUNTIFS(Portfolios!K:K, TRUE, Portfolios!B:B, Funds!A4)</f>
        <v>12</v>
      </c>
      <c r="J16" s="10">
        <f>I16 / I19</f>
        <v>0.6</v>
      </c>
      <c r="L16" s="4">
        <f>COUNTIFS(Portfolios!K:K, TRUE, Portfolios!B:B, Funds!A5)</f>
        <v>3</v>
      </c>
      <c r="M16" s="10">
        <f>L16 / L19</f>
        <v>0.15789473684210525</v>
      </c>
      <c r="O16" s="4">
        <f>COUNTIFS(Portfolios!K:K, TRUE, Portfolios!B:B, Funds!A6)</f>
        <v>7</v>
      </c>
      <c r="P16" s="10">
        <f>O16 / O19</f>
        <v>0.25</v>
      </c>
      <c r="R16" s="4">
        <f>COUNTIFS(Portfolios!K:K, TRUE, Portfolios!B:B, Funds!A7)</f>
        <v>10</v>
      </c>
      <c r="S16" s="10">
        <f>R16 / R19</f>
        <v>0.37037037037037035</v>
      </c>
      <c r="U16" s="4">
        <f>COUNTIFS(Portfolios!K:K, TRUE, Portfolios!B:B, Funds!A8)</f>
        <v>7</v>
      </c>
      <c r="V16" s="10">
        <f>U16 / U19</f>
        <v>0.21212121212121213</v>
      </c>
      <c r="X16" s="4">
        <f>COUNTIFS(Portfolios!K:K, TRUE, Portfolios!B:B, Funds!A9)</f>
        <v>4</v>
      </c>
      <c r="Y16" s="10">
        <f>X16 / X19</f>
        <v>0.17391304347826086</v>
      </c>
      <c r="AA16" s="4">
        <f>COUNTIFS(Portfolios!K:K, TRUE, Portfolios!B:B, Funds!A10)</f>
        <v>3</v>
      </c>
      <c r="AB16" s="10">
        <f>AA16 / AA19</f>
        <v>0.14285714285714285</v>
      </c>
      <c r="AD16" s="4">
        <f>COUNTIFS(Portfolios!K:K, TRUE, Portfolios!B:B, Funds!A11)</f>
        <v>8</v>
      </c>
      <c r="AE16" s="10">
        <f>AD16 / AD19</f>
        <v>0.30769230769230771</v>
      </c>
      <c r="AG16" s="4">
        <f>COUNTIFS(Portfolios!K:K, TRUE, Portfolios!B:B, Funds!A12)</f>
        <v>8</v>
      </c>
      <c r="AH16" s="10">
        <f>AG16 / AG19</f>
        <v>0.33333333333333331</v>
      </c>
      <c r="AK16" s="11">
        <f>COUNTIFS(Portfolios!K:K, TRUE)</f>
        <v>75</v>
      </c>
      <c r="AL16" s="12">
        <f>AK16 / AK19</f>
        <v>0.30612244897959184</v>
      </c>
    </row>
    <row r="17" spans="2:38" x14ac:dyDescent="0.4">
      <c r="B17" s="8" t="s">
        <v>24</v>
      </c>
      <c r="C17" s="4">
        <f>COUNTIFS(Portfolios!L:L, TRUE, Portfolios!B:B, Funds!A2)</f>
        <v>1</v>
      </c>
      <c r="D17" s="10">
        <f>C17 / C19</f>
        <v>8.3333333333333329E-2</v>
      </c>
      <c r="F17" s="4">
        <f>COUNTIFS(Portfolios!L:L, TRUE, Portfolios!B:B, Funds!A3)</f>
        <v>0</v>
      </c>
      <c r="G17" s="10">
        <f>F17 / F19</f>
        <v>0</v>
      </c>
      <c r="I17" s="4">
        <f>COUNTIFS(Portfolios!L:L, TRUE, Portfolios!B:B, Funds!A4)</f>
        <v>3</v>
      </c>
      <c r="J17" s="10">
        <f>I17 / I19</f>
        <v>0.15</v>
      </c>
      <c r="L17" s="4">
        <f>COUNTIFS(Portfolios!L:L, TRUE, Portfolios!B:B, Funds!A5)</f>
        <v>4</v>
      </c>
      <c r="M17" s="10">
        <f>L17 / L19</f>
        <v>0.21052631578947367</v>
      </c>
      <c r="O17" s="4">
        <f>COUNTIFS(Portfolios!L:L, TRUE, Portfolios!B:B, Funds!A6)</f>
        <v>12</v>
      </c>
      <c r="P17" s="10">
        <f>O17 / O19</f>
        <v>0.42857142857142855</v>
      </c>
      <c r="R17" s="4">
        <f>COUNTIFS(Portfolios!L:L, TRUE, Portfolios!B:B, Funds!A7)</f>
        <v>7</v>
      </c>
      <c r="S17" s="10">
        <f>R17 / R19</f>
        <v>0.25925925925925924</v>
      </c>
      <c r="U17" s="4">
        <f>COUNTIFS(Portfolios!L:L, TRUE, Portfolios!B:B, Funds!A8)</f>
        <v>7</v>
      </c>
      <c r="V17" s="10">
        <f>U17 / U19</f>
        <v>0.21212121212121213</v>
      </c>
      <c r="X17" s="4">
        <f>COUNTIFS(Portfolios!L:L, TRUE, Portfolios!B:B, Funds!A9)</f>
        <v>3</v>
      </c>
      <c r="Y17" s="10">
        <f>X17 / X19</f>
        <v>0.13043478260869565</v>
      </c>
      <c r="AA17" s="4">
        <f>COUNTIFS(Portfolios!L:L, TRUE, Portfolios!B:B, Funds!A10)</f>
        <v>6</v>
      </c>
      <c r="AB17" s="10">
        <f>AA17 / AA19</f>
        <v>0.2857142857142857</v>
      </c>
      <c r="AD17" s="4">
        <f>COUNTIFS(Portfolios!L:L, TRUE, Portfolios!B:B, Funds!A11)</f>
        <v>5</v>
      </c>
      <c r="AE17" s="10">
        <f>AD17 / AD19</f>
        <v>0.19230769230769232</v>
      </c>
      <c r="AG17" s="4">
        <f>COUNTIFS(Portfolios!L:L, TRUE, Portfolios!B:B, Funds!A12)</f>
        <v>7</v>
      </c>
      <c r="AH17" s="10">
        <f>AG17 / AG19</f>
        <v>0.29166666666666669</v>
      </c>
      <c r="AK17" s="11">
        <f>COUNTIFS(Portfolios!L:L, TRUE)</f>
        <v>57</v>
      </c>
      <c r="AL17" s="12">
        <f>AK17 / AK19</f>
        <v>0.23265306122448978</v>
      </c>
    </row>
    <row r="18" spans="2:38" x14ac:dyDescent="0.4">
      <c r="B18" s="8" t="s">
        <v>25</v>
      </c>
      <c r="C18" s="4">
        <f>COUNTIFS(Portfolios!M:M, TRUE, Portfolios!B:B, Funds!A2)</f>
        <v>1</v>
      </c>
      <c r="D18" s="10">
        <f>C18 / C19</f>
        <v>8.3333333333333329E-2</v>
      </c>
      <c r="F18" s="4">
        <f>COUNTIFS(Portfolios!M:M, TRUE, Portfolios!B:B, Funds!A3)</f>
        <v>0</v>
      </c>
      <c r="G18" s="10">
        <f>F18 / F19</f>
        <v>0</v>
      </c>
      <c r="I18" s="4">
        <f>COUNTIFS(Portfolios!M:M, TRUE, Portfolios!B:B, Funds!A4)</f>
        <v>4</v>
      </c>
      <c r="J18" s="10">
        <f>I18 / I19</f>
        <v>0.2</v>
      </c>
      <c r="L18" s="4">
        <f>COUNTIFS(Portfolios!M:M, TRUE, Portfolios!B:B, Funds!A5)</f>
        <v>9</v>
      </c>
      <c r="M18" s="10">
        <f>L18 / L19</f>
        <v>0.47368421052631576</v>
      </c>
      <c r="O18" s="4">
        <f>COUNTIFS(Portfolios!M:M, TRUE, Portfolios!B:B, Funds!A6)</f>
        <v>3</v>
      </c>
      <c r="P18" s="10">
        <f>O18 / O19</f>
        <v>0.10714285714285714</v>
      </c>
      <c r="R18" s="4">
        <f>COUNTIFS(Portfolios!M:M, TRUE, Portfolios!B:B, Funds!A7)</f>
        <v>4</v>
      </c>
      <c r="S18" s="10">
        <f>R18 / R19</f>
        <v>0.14814814814814814</v>
      </c>
      <c r="U18" s="4">
        <f>COUNTIFS(Portfolios!M:M, TRUE, Portfolios!B:B, Funds!A8)</f>
        <v>9</v>
      </c>
      <c r="V18" s="10">
        <f>U18 / U19</f>
        <v>0.27272727272727271</v>
      </c>
      <c r="X18" s="4">
        <f>COUNTIFS(Portfolios!M:M, TRUE, Portfolios!B:B, Funds!A9)</f>
        <v>2</v>
      </c>
      <c r="Y18" s="10">
        <f>X18 / X19</f>
        <v>8.6956521739130432E-2</v>
      </c>
      <c r="AA18" s="4">
        <f>COUNTIFS(Portfolios!M:M, TRUE, Portfolios!B:B, Funds!A10)</f>
        <v>5</v>
      </c>
      <c r="AB18" s="10">
        <f>AA18 / AA19</f>
        <v>0.23809523809523808</v>
      </c>
      <c r="AD18" s="4">
        <f>COUNTIFS(Portfolios!M:M, TRUE, Portfolios!B:B, Funds!A11)</f>
        <v>7</v>
      </c>
      <c r="AE18" s="10">
        <f>AD18 / AD19</f>
        <v>0.26923076923076922</v>
      </c>
      <c r="AG18" s="4">
        <f>COUNTIFS(Portfolios!M:M, TRUE, Portfolios!B:B, Funds!A12)</f>
        <v>2</v>
      </c>
      <c r="AH18" s="10">
        <f>AG18 / AG19</f>
        <v>8.3333333333333329E-2</v>
      </c>
      <c r="AK18" s="11">
        <f>COUNTIFS(Portfolios!M:M, TRUE)</f>
        <v>46</v>
      </c>
      <c r="AL18" s="12">
        <f>AK18 / AK19</f>
        <v>0.18775510204081633</v>
      </c>
    </row>
    <row r="19" spans="2:38" x14ac:dyDescent="0.4">
      <c r="B19" s="5" t="s">
        <v>238</v>
      </c>
      <c r="C19" s="13">
        <f>SUM(C13:C18)</f>
        <v>12</v>
      </c>
      <c r="D19" s="14">
        <f>SUM(D13:D18)</f>
        <v>1</v>
      </c>
      <c r="F19" s="13">
        <f>SUM(F13:F18)</f>
        <v>4</v>
      </c>
      <c r="G19" s="14">
        <f>SUM(G13:G18)</f>
        <v>1</v>
      </c>
      <c r="I19" s="13">
        <f>SUM(I13:I18)</f>
        <v>20</v>
      </c>
      <c r="J19" s="14">
        <f>SUM(J13:J18)</f>
        <v>1</v>
      </c>
      <c r="L19" s="13">
        <f>SUM(L13:L18)</f>
        <v>19</v>
      </c>
      <c r="M19" s="14">
        <f>SUM(M13:M18)</f>
        <v>1</v>
      </c>
      <c r="O19" s="13">
        <f>SUM(O13:O18)</f>
        <v>28</v>
      </c>
      <c r="P19" s="14">
        <f>SUM(P13:P18)</f>
        <v>0.99999999999999989</v>
      </c>
      <c r="R19" s="13">
        <f>SUM(R13:R18)</f>
        <v>27</v>
      </c>
      <c r="S19" s="14">
        <f>SUM(S13:S18)</f>
        <v>1</v>
      </c>
      <c r="U19" s="13">
        <f>SUM(U13:U18)</f>
        <v>33</v>
      </c>
      <c r="V19" s="14">
        <f>SUM(V13:V18)</f>
        <v>1</v>
      </c>
      <c r="X19" s="13">
        <f>SUM(X13:X18)</f>
        <v>23</v>
      </c>
      <c r="Y19" s="14">
        <f>SUM(Y13:Y18)</f>
        <v>1</v>
      </c>
      <c r="AA19" s="13">
        <f>SUM(AA13:AA18)</f>
        <v>21</v>
      </c>
      <c r="AB19" s="14">
        <f>SUM(AB13:AB18)</f>
        <v>1</v>
      </c>
      <c r="AD19" s="13">
        <f>SUM(AD13:AD18)</f>
        <v>26</v>
      </c>
      <c r="AE19" s="14">
        <f>SUM(AE13:AE18)</f>
        <v>1</v>
      </c>
      <c r="AG19" s="13">
        <f>SUM(AG13:AG18)</f>
        <v>24</v>
      </c>
      <c r="AH19" s="14">
        <f>SUM(AH13:AH18)</f>
        <v>1</v>
      </c>
      <c r="AK19" s="15">
        <f>SUM(AK13:AK18)</f>
        <v>245</v>
      </c>
      <c r="AL19" s="16">
        <f>SUM(AL13:AL18)</f>
        <v>1</v>
      </c>
    </row>
    <row r="20" spans="2:38" x14ac:dyDescent="0.4">
      <c r="AK20" s="7"/>
      <c r="AL20" s="7"/>
    </row>
    <row r="21" spans="2:38" x14ac:dyDescent="0.4">
      <c r="B21" s="9" t="s">
        <v>243</v>
      </c>
      <c r="AK21" s="7"/>
      <c r="AL21" s="7"/>
    </row>
    <row r="22" spans="2:38" x14ac:dyDescent="0.4">
      <c r="B22" s="8" t="s">
        <v>20</v>
      </c>
      <c r="C22" s="4">
        <f>SUMIFS(Portfolios!D:D, Portfolios!H:H, TRUE, Portfolios!B:B, Funds!A2)</f>
        <v>0.4</v>
      </c>
      <c r="D22" s="10">
        <f>C22 / C28</f>
        <v>3.8424591738712779E-3</v>
      </c>
      <c r="F22" s="4">
        <f>SUMIFS(Portfolios!D:D, Portfolios!H:H, TRUE, Portfolios!B:B, Funds!A3)</f>
        <v>0</v>
      </c>
      <c r="G22" s="10">
        <f>F22 / F28</f>
        <v>0</v>
      </c>
      <c r="I22" s="4">
        <f>SUMIFS(Portfolios!D:D, Portfolios!H:H, TRUE, Portfolios!B:B, Funds!A4)</f>
        <v>0</v>
      </c>
      <c r="J22" s="10">
        <f>I22 / I28</f>
        <v>0</v>
      </c>
      <c r="L22" s="4">
        <f>SUMIFS(Portfolios!D:D, Portfolios!H:H, TRUE, Portfolios!B:B, Funds!A5)</f>
        <v>0</v>
      </c>
      <c r="M22" s="10">
        <f>L22 / L28</f>
        <v>0</v>
      </c>
      <c r="O22" s="4">
        <f>SUMIFS(Portfolios!D:D, Portfolios!H:H, TRUE, Portfolios!B:B, Funds!A6)</f>
        <v>0</v>
      </c>
      <c r="P22" s="10">
        <f>O22 / O28</f>
        <v>0</v>
      </c>
      <c r="R22" s="4">
        <f>SUMIFS(Portfolios!D:D, Portfolios!H:H, TRUE, Portfolios!B:B, Funds!A7)</f>
        <v>0</v>
      </c>
      <c r="S22" s="10">
        <f>R22 / R28</f>
        <v>0</v>
      </c>
      <c r="U22" s="4">
        <f>SUMIFS(Portfolios!D:D, Portfolios!H:H, TRUE, Portfolios!B:B, Funds!A8)</f>
        <v>0</v>
      </c>
      <c r="V22" s="10">
        <f>U22 / U28</f>
        <v>0</v>
      </c>
      <c r="X22" s="4">
        <f>SUMIFS(Portfolios!D:D, Portfolios!H:H, TRUE, Portfolios!B:B, Funds!A9)</f>
        <v>247.5</v>
      </c>
      <c r="Y22" s="10">
        <f>X22 / X28</f>
        <v>6.5794720472126964E-2</v>
      </c>
      <c r="AA22" s="4">
        <f>SUMIFS(Portfolios!D:D, Portfolios!H:H, TRUE, Portfolios!B:B, Funds!A10)</f>
        <v>445</v>
      </c>
      <c r="AB22" s="10">
        <f>AA22 / AA28</f>
        <v>8.353199556998854E-2</v>
      </c>
      <c r="AD22" s="4">
        <f>SUMIFS(Portfolios!D:D, Portfolios!H:H, TRUE, Portfolios!B:B, Funds!A11)</f>
        <v>465.5</v>
      </c>
      <c r="AE22" s="10">
        <f>AD22 / AD28</f>
        <v>7.4607728431073994E-2</v>
      </c>
      <c r="AG22" s="4">
        <f>SUMIFS(Portfolios!D:D, Portfolios!H:H, TRUE, Portfolios!B:B, Funds!A12)</f>
        <v>5.9</v>
      </c>
      <c r="AH22" s="10">
        <f>AG22 / AG28</f>
        <v>9.9422004280201549E-4</v>
      </c>
      <c r="AK22" s="11">
        <f>SUMIFS(Portfolios!D:D, Portfolios!H:H, TRUE)</f>
        <v>1164.3000000000002</v>
      </c>
      <c r="AL22" s="12">
        <f>AK22 / AK28</f>
        <v>4.0985727335610914E-2</v>
      </c>
    </row>
    <row r="23" spans="2:38" x14ac:dyDescent="0.4">
      <c r="B23" s="8" t="s">
        <v>21</v>
      </c>
      <c r="C23" s="4">
        <f>SUMIFS(Portfolios!D:D, Portfolios!I:I, TRUE, Portfolios!B:B, Funds!A2)</f>
        <v>0</v>
      </c>
      <c r="D23" s="10">
        <f>C23 / C28</f>
        <v>0</v>
      </c>
      <c r="F23" s="4">
        <f>SUMIFS(Portfolios!D:D, Portfolios!I:I, TRUE, Portfolios!B:B, Funds!A3)</f>
        <v>0</v>
      </c>
      <c r="G23" s="10">
        <f>F23 / F28</f>
        <v>0</v>
      </c>
      <c r="I23" s="4">
        <f>SUMIFS(Portfolios!D:D, Portfolios!I:I, TRUE, Portfolios!B:B, Funds!A4)</f>
        <v>25</v>
      </c>
      <c r="J23" s="10">
        <f>I23 / I28</f>
        <v>5.3350405463081514E-2</v>
      </c>
      <c r="L23" s="4">
        <f>SUMIFS(Portfolios!D:D, Portfolios!I:I, TRUE, Portfolios!B:B, Funds!A5)</f>
        <v>95.15</v>
      </c>
      <c r="M23" s="10">
        <f>L23 / L28</f>
        <v>0.16679814181786309</v>
      </c>
      <c r="O23" s="4">
        <f>SUMIFS(Portfolios!D:D, Portfolios!I:I, TRUE, Portfolios!B:B, Funds!A6)</f>
        <v>110.9</v>
      </c>
      <c r="P23" s="10">
        <f>O23 / O28</f>
        <v>0.12024287108316167</v>
      </c>
      <c r="R23" s="4">
        <f>SUMIFS(Portfolios!D:D, Portfolios!I:I, TRUE, Portfolios!B:B, Funds!A7)</f>
        <v>358.4</v>
      </c>
      <c r="S23" s="10">
        <f>R23 / R28</f>
        <v>0.22912671013936839</v>
      </c>
      <c r="U23" s="4">
        <f>SUMIFS(Portfolios!D:D, Portfolios!I:I, TRUE, Portfolios!B:B, Funds!A8)</f>
        <v>1180.0000000000002</v>
      </c>
      <c r="V23" s="10">
        <f>U23 / U28</f>
        <v>0.46216512611624633</v>
      </c>
      <c r="X23" s="4">
        <f>SUMIFS(Portfolios!D:D, Portfolios!I:I, TRUE, Portfolios!B:B, Funds!A9)</f>
        <v>2115.5</v>
      </c>
      <c r="Y23" s="10">
        <f>X23 / X28</f>
        <v>0.56237871175266496</v>
      </c>
      <c r="AA23" s="4">
        <f>SUMIFS(Portfolios!D:D, Portfolios!I:I, TRUE, Portfolios!B:B, Funds!A10)</f>
        <v>1295.0999999999999</v>
      </c>
      <c r="AB23" s="10">
        <f>AA23 / AA28</f>
        <v>0.24310626396110599</v>
      </c>
      <c r="AD23" s="4">
        <f>SUMIFS(Portfolios!D:D, Portfolios!I:I, TRUE, Portfolios!B:B, Funds!A11)</f>
        <v>574.40000000000009</v>
      </c>
      <c r="AE23" s="10">
        <f>AD23 / AD28</f>
        <v>9.2061609475421941E-2</v>
      </c>
      <c r="AG23" s="4">
        <f>SUMIFS(Portfolios!D:D, Portfolios!I:I, TRUE, Portfolios!B:B, Funds!A12)</f>
        <v>272.89999999999998</v>
      </c>
      <c r="AH23" s="10">
        <f>AG23 / AG28</f>
        <v>4.5986889776384751E-2</v>
      </c>
      <c r="AK23" s="11">
        <f>SUMIFS(Portfolios!D:D, Portfolios!I:I, TRUE)</f>
        <v>6027.35</v>
      </c>
      <c r="AL23" s="12">
        <f>AK23 / AK28</f>
        <v>0.21217497522656911</v>
      </c>
    </row>
    <row r="24" spans="2:38" x14ac:dyDescent="0.4">
      <c r="B24" s="8" t="s">
        <v>22</v>
      </c>
      <c r="C24" s="4">
        <f>SUMIFS(Portfolios!D:D, Portfolios!J:J, TRUE, Portfolios!B:B, Funds!A2)</f>
        <v>0</v>
      </c>
      <c r="D24" s="10">
        <f>C24 / C28</f>
        <v>0</v>
      </c>
      <c r="F24" s="4">
        <f>SUMIFS(Portfolios!D:D, Portfolios!J:J, TRUE, Portfolios!B:B, Funds!A3)</f>
        <v>0</v>
      </c>
      <c r="G24" s="10">
        <f>F24 / F28</f>
        <v>0</v>
      </c>
      <c r="I24" s="4">
        <f>SUMIFS(Portfolios!D:D, Portfolios!J:J, TRUE, Portfolios!B:B, Funds!A4)</f>
        <v>0</v>
      </c>
      <c r="J24" s="10">
        <f>I24 / I28</f>
        <v>0</v>
      </c>
      <c r="L24" s="4">
        <f>SUMIFS(Portfolios!D:D, Portfolios!J:J, TRUE, Portfolios!B:B, Funds!A5)</f>
        <v>0</v>
      </c>
      <c r="M24" s="10">
        <f>L24 / L28</f>
        <v>0</v>
      </c>
      <c r="O24" s="4">
        <f>SUMIFS(Portfolios!D:D, Portfolios!J:J, TRUE, Portfolios!B:B, Funds!A6)</f>
        <v>12.7</v>
      </c>
      <c r="P24" s="10">
        <f>O24 / O28</f>
        <v>1.3769923018540605E-2</v>
      </c>
      <c r="R24" s="4">
        <f>SUMIFS(Portfolios!D:D, Portfolios!J:J, TRUE, Portfolios!B:B, Funds!A7)</f>
        <v>0</v>
      </c>
      <c r="S24" s="10">
        <f>R24 / R28</f>
        <v>0</v>
      </c>
      <c r="U24" s="4">
        <f>SUMIFS(Portfolios!D:D, Portfolios!J:J, TRUE, Portfolios!B:B, Funds!A8)</f>
        <v>0</v>
      </c>
      <c r="V24" s="10">
        <f>U24 / U28</f>
        <v>0</v>
      </c>
      <c r="X24" s="4">
        <f>SUMIFS(Portfolios!D:D, Portfolios!J:J, TRUE, Portfolios!B:B, Funds!A9)</f>
        <v>0</v>
      </c>
      <c r="Y24" s="10">
        <f>X24 / X28</f>
        <v>0</v>
      </c>
      <c r="AA24" s="4">
        <f>SUMIFS(Portfolios!D:D, Portfolios!J:J, TRUE, Portfolios!B:B, Funds!A10)</f>
        <v>0</v>
      </c>
      <c r="AB24" s="10">
        <f>AA24 / AA28</f>
        <v>0</v>
      </c>
      <c r="AD24" s="4">
        <f>SUMIFS(Portfolios!D:D, Portfolios!J:J, TRUE, Portfolios!B:B, Funds!A11)</f>
        <v>0</v>
      </c>
      <c r="AE24" s="10">
        <f>AD24 / AD28</f>
        <v>0</v>
      </c>
      <c r="AG24" s="4">
        <f>SUMIFS(Portfolios!D:D, Portfolios!J:J, TRUE, Portfolios!B:B, Funds!A12)</f>
        <v>135.89999999999998</v>
      </c>
      <c r="AH24" s="10">
        <f>AG24 / AG28</f>
        <v>2.2900763358778626E-2</v>
      </c>
      <c r="AK24" s="11">
        <f>SUMIFS(Portfolios!D:D, Portfolios!J:J, TRUE)</f>
        <v>515.4</v>
      </c>
      <c r="AL24" s="12">
        <f>AK24 / AK28</f>
        <v>1.8143127947070223E-2</v>
      </c>
    </row>
    <row r="25" spans="2:38" x14ac:dyDescent="0.4">
      <c r="B25" s="8" t="s">
        <v>23</v>
      </c>
      <c r="C25" s="4">
        <f>SUMIFS(Portfolios!D:D, Portfolios!K:K, TRUE, Portfolios!B:B, Funds!A2)</f>
        <v>85.3</v>
      </c>
      <c r="D25" s="10">
        <f>C25 / C28</f>
        <v>0.81940441882804993</v>
      </c>
      <c r="F25" s="4">
        <f>SUMIFS(Portfolios!D:D, Portfolios!K:K, TRUE, Portfolios!B:B, Funds!A3)</f>
        <v>114.6</v>
      </c>
      <c r="G25" s="10">
        <f>F25 / F28</f>
        <v>1</v>
      </c>
      <c r="I25" s="4">
        <f>SUMIFS(Portfolios!D:D, Portfolios!K:K, TRUE, Portfolios!B:B, Funds!A4)</f>
        <v>184.50000000000003</v>
      </c>
      <c r="J25" s="10">
        <f>I25 / I28</f>
        <v>0.39372599231754163</v>
      </c>
      <c r="L25" s="4">
        <f>SUMIFS(Portfolios!D:D, Portfolios!K:K, TRUE, Portfolios!B:B, Funds!A5)</f>
        <v>87.8</v>
      </c>
      <c r="M25" s="10">
        <f>L25 / L28</f>
        <v>0.15391357700061353</v>
      </c>
      <c r="O25" s="4">
        <f>SUMIFS(Portfolios!D:D, Portfolios!K:K, TRUE, Portfolios!B:B, Funds!A6)</f>
        <v>270.29999999999995</v>
      </c>
      <c r="P25" s="10">
        <f>O25 / O28</f>
        <v>0.29307166865445078</v>
      </c>
      <c r="R25" s="4">
        <f>SUMIFS(Portfolios!D:D, Portfolios!K:K, TRUE, Portfolios!B:B, Funds!A7)</f>
        <v>511.99999999999994</v>
      </c>
      <c r="S25" s="10">
        <f>R25 / R28</f>
        <v>0.32732387162766907</v>
      </c>
      <c r="U25" s="4">
        <f>SUMIFS(Portfolios!D:D, Portfolios!K:K, TRUE, Portfolios!B:B, Funds!A8)</f>
        <v>461.7</v>
      </c>
      <c r="V25" s="10">
        <f>U25 / U28</f>
        <v>0.18083189722700921</v>
      </c>
      <c r="X25" s="4">
        <f>SUMIFS(Portfolios!D:D, Portfolios!K:K, TRUE, Portfolios!B:B, Funds!A9)</f>
        <v>482.8</v>
      </c>
      <c r="Y25" s="10">
        <f>X25 / X28</f>
        <v>0.12834622644017332</v>
      </c>
      <c r="AA25" s="4">
        <f>SUMIFS(Portfolios!D:D, Portfolios!K:K, TRUE, Portfolios!B:B, Funds!A10)</f>
        <v>1027.2</v>
      </c>
      <c r="AB25" s="10">
        <f>AA25 / AA28</f>
        <v>0.19281812550447694</v>
      </c>
      <c r="AD25" s="4">
        <f>SUMIFS(Portfolios!D:D, Portfolios!K:K, TRUE, Portfolios!B:B, Funds!A11)</f>
        <v>1537.4</v>
      </c>
      <c r="AE25" s="10">
        <f>AD25 / AD28</f>
        <v>0.24640584680973829</v>
      </c>
      <c r="AG25" s="4">
        <f>SUMIFS(Portfolios!D:D, Portfolios!K:K, TRUE, Portfolios!B:B, Funds!A12)</f>
        <v>2052.7999999999997</v>
      </c>
      <c r="AH25" s="10">
        <f>AG25 / AG28</f>
        <v>0.34592117014643681</v>
      </c>
      <c r="AK25" s="11">
        <f>SUMIFS(Portfolios!D:D, Portfolios!K:K, TRUE)</f>
        <v>6816.4000000000015</v>
      </c>
      <c r="AL25" s="12">
        <f>AK25 / AK28</f>
        <v>0.2399511395778221</v>
      </c>
    </row>
    <row r="26" spans="2:38" x14ac:dyDescent="0.4">
      <c r="B26" s="8" t="s">
        <v>24</v>
      </c>
      <c r="C26" s="4">
        <f>SUMIFS(Portfolios!D:D, Portfolios!L:L, TRUE, Portfolios!B:B, Funds!A2)</f>
        <v>3.6</v>
      </c>
      <c r="D26" s="10">
        <f>C26 / C28</f>
        <v>3.4582132564841501E-2</v>
      </c>
      <c r="F26" s="4">
        <f>SUMIFS(Portfolios!D:D, Portfolios!L:L, TRUE, Portfolios!B:B, Funds!A3)</f>
        <v>0</v>
      </c>
      <c r="G26" s="10">
        <f>F26 / F28</f>
        <v>0</v>
      </c>
      <c r="I26" s="4">
        <f>SUMIFS(Portfolios!D:D, Portfolios!L:L, TRUE, Portfolios!B:B, Funds!A4)</f>
        <v>145.4</v>
      </c>
      <c r="J26" s="10">
        <f>I26 / I28</f>
        <v>0.31028595817328214</v>
      </c>
      <c r="L26" s="4">
        <f>SUMIFS(Portfolios!D:D, Portfolios!L:L, TRUE, Portfolios!B:B, Funds!A5)</f>
        <v>110.9</v>
      </c>
      <c r="M26" s="10">
        <f>L26 / L28</f>
        <v>0.1944079235691121</v>
      </c>
      <c r="O26" s="4">
        <f>SUMIFS(Portfolios!D:D, Portfolios!L:L, TRUE, Portfolios!B:B, Funds!A6)</f>
        <v>416.1</v>
      </c>
      <c r="P26" s="10">
        <f>O26 / O28</f>
        <v>0.45115472189092493</v>
      </c>
      <c r="R26" s="4">
        <f>SUMIFS(Portfolios!D:D, Portfolios!L:L, TRUE, Portfolios!B:B, Funds!A7)</f>
        <v>361.90000000000003</v>
      </c>
      <c r="S26" s="10">
        <f>R26 / R28</f>
        <v>0.23136427566807319</v>
      </c>
      <c r="U26" s="4">
        <f>SUMIFS(Portfolios!D:D, Portfolios!L:L, TRUE, Portfolios!B:B, Funds!A8)</f>
        <v>374.3</v>
      </c>
      <c r="V26" s="10">
        <f>U26 / U28</f>
        <v>0.14660034466551777</v>
      </c>
      <c r="X26" s="4">
        <f>SUMIFS(Portfolios!D:D, Portfolios!L:L, TRUE, Portfolios!B:B, Funds!A9)</f>
        <v>805.5</v>
      </c>
      <c r="Y26" s="10">
        <f>X26 / X28</f>
        <v>0.21413190844564955</v>
      </c>
      <c r="AA26" s="4">
        <f>SUMIFS(Portfolios!D:D, Portfolios!L:L, TRUE, Portfolios!B:B, Funds!A10)</f>
        <v>1285.0999999999999</v>
      </c>
      <c r="AB26" s="10">
        <f>AA26 / AA28</f>
        <v>0.24122914046515118</v>
      </c>
      <c r="AD26" s="4">
        <f>SUMIFS(Portfolios!D:D, Portfolios!L:L, TRUE, Portfolios!B:B, Funds!A11)</f>
        <v>1624.6999999999998</v>
      </c>
      <c r="AE26" s="10">
        <f>AD26 / AD28</f>
        <v>0.26039780103537252</v>
      </c>
      <c r="AG26" s="4">
        <f>SUMIFS(Portfolios!D:D, Portfolios!L:L, TRUE, Portfolios!B:B, Funds!A12)</f>
        <v>2574.8999999999996</v>
      </c>
      <c r="AH26" s="10">
        <f>AG26 / AG28</f>
        <v>0.43390121834083212</v>
      </c>
      <c r="AK26" s="11">
        <f>SUMIFS(Portfolios!D:D, Portfolios!L:L, TRUE)</f>
        <v>8182.9999999999973</v>
      </c>
      <c r="AL26" s="12">
        <f>AK26 / AK28</f>
        <v>0.28805823824384091</v>
      </c>
    </row>
    <row r="27" spans="2:38" x14ac:dyDescent="0.4">
      <c r="B27" s="8" t="s">
        <v>25</v>
      </c>
      <c r="C27" s="4">
        <f>SUMIFS(Portfolios!D:D, Portfolios!M:M, TRUE, Portfolios!B:B, Funds!A2)</f>
        <v>14.8</v>
      </c>
      <c r="D27" s="10">
        <f>C27 / C28</f>
        <v>0.14217098943323728</v>
      </c>
      <c r="F27" s="4">
        <f>SUMIFS(Portfolios!D:D, Portfolios!M:M, TRUE, Portfolios!B:B, Funds!A3)</f>
        <v>0</v>
      </c>
      <c r="G27" s="10">
        <f>F27 / F28</f>
        <v>0</v>
      </c>
      <c r="I27" s="4">
        <f>SUMIFS(Portfolios!D:D, Portfolios!M:M, TRUE, Portfolios!B:B, Funds!A4)</f>
        <v>113.69999999999999</v>
      </c>
      <c r="J27" s="10">
        <f>I27 / I28</f>
        <v>0.24263764404609472</v>
      </c>
      <c r="L27" s="4">
        <f>SUMIFS(Portfolios!D:D, Portfolios!M:M, TRUE, Portfolios!B:B, Funds!A5)</f>
        <v>276.60000000000002</v>
      </c>
      <c r="M27" s="10">
        <f>L27 / L28</f>
        <v>0.48488035761241127</v>
      </c>
      <c r="O27" s="4">
        <f>SUMIFS(Portfolios!D:D, Portfolios!M:M, TRUE, Portfolios!B:B, Funds!A6)</f>
        <v>112.30000000000001</v>
      </c>
      <c r="P27" s="10">
        <f>O27 / O28</f>
        <v>0.12176081535292206</v>
      </c>
      <c r="R27" s="4">
        <f>SUMIFS(Portfolios!D:D, Portfolios!M:M, TRUE, Portfolios!B:B, Funds!A7)</f>
        <v>331.9</v>
      </c>
      <c r="S27" s="10">
        <f>R27 / R28</f>
        <v>0.21218514256488941</v>
      </c>
      <c r="U27" s="4">
        <f>SUMIFS(Portfolios!D:D, Portfolios!M:M, TRUE, Portfolios!B:B, Funds!A8)</f>
        <v>537.20000000000005</v>
      </c>
      <c r="V27" s="10">
        <f>U27 / U28</f>
        <v>0.21040263199122669</v>
      </c>
      <c r="X27" s="4">
        <f>SUMIFS(Portfolios!D:D, Portfolios!M:M, TRUE, Portfolios!B:B, Funds!A9)</f>
        <v>110.4</v>
      </c>
      <c r="Y27" s="10">
        <f>X27 / X28</f>
        <v>2.9348432889385118E-2</v>
      </c>
      <c r="AA27" s="4">
        <f>SUMIFS(Portfolios!D:D, Portfolios!M:M, TRUE, Portfolios!B:B, Funds!A10)</f>
        <v>1274.9000000000001</v>
      </c>
      <c r="AB27" s="10">
        <f>AA27 / AA28</f>
        <v>0.23931447449927731</v>
      </c>
      <c r="AD27" s="4">
        <f>SUMIFS(Portfolios!D:D, Portfolios!M:M, TRUE, Portfolios!B:B, Funds!A11)</f>
        <v>2037.3000000000002</v>
      </c>
      <c r="AE27" s="10">
        <f>AD27 / AD28</f>
        <v>0.32652701424839325</v>
      </c>
      <c r="AG27" s="4">
        <f>SUMIFS(Portfolios!D:D, Portfolios!M:M, TRUE, Portfolios!B:B, Funds!A12)</f>
        <v>891.9</v>
      </c>
      <c r="AH27" s="10">
        <f>AG27 / AG28</f>
        <v>0.1502957383347657</v>
      </c>
      <c r="AK27" s="11">
        <f>SUMIFS(Portfolios!D:D, Portfolios!M:M, TRUE)</f>
        <v>5701</v>
      </c>
      <c r="AL27" s="12">
        <f>AK27 / AK28</f>
        <v>0.20068679166908682</v>
      </c>
    </row>
    <row r="28" spans="2:38" x14ac:dyDescent="0.4">
      <c r="B28" s="5" t="s">
        <v>238</v>
      </c>
      <c r="C28" s="13">
        <f>SUM(C22:C27)</f>
        <v>104.1</v>
      </c>
      <c r="D28" s="14">
        <f>SUM(D22:D27)</f>
        <v>1</v>
      </c>
      <c r="F28" s="13">
        <f>SUM(F22:F27)</f>
        <v>114.6</v>
      </c>
      <c r="G28" s="14">
        <f>SUM(G22:G27)</f>
        <v>1</v>
      </c>
      <c r="I28" s="13">
        <f>SUM(I22:I27)</f>
        <v>468.6</v>
      </c>
      <c r="J28" s="14">
        <f>SUM(J22:J27)</f>
        <v>1</v>
      </c>
      <c r="L28" s="13">
        <f>SUM(L22:L27)</f>
        <v>570.45000000000005</v>
      </c>
      <c r="M28" s="14">
        <f>SUM(M22:M27)</f>
        <v>1</v>
      </c>
      <c r="O28" s="13">
        <f>SUM(O22:O27)</f>
        <v>922.3</v>
      </c>
      <c r="P28" s="14">
        <f>SUM(P22:P27)</f>
        <v>1.0000000000000002</v>
      </c>
      <c r="R28" s="13">
        <f>SUM(R22:R27)</f>
        <v>1564.1999999999998</v>
      </c>
      <c r="S28" s="14">
        <f>SUM(S22:S27)</f>
        <v>1</v>
      </c>
      <c r="U28" s="13">
        <f>SUM(U22:U27)</f>
        <v>2553.2000000000003</v>
      </c>
      <c r="V28" s="14">
        <f>SUM(V22:V27)</f>
        <v>1</v>
      </c>
      <c r="X28" s="13">
        <f>SUM(X22:X27)</f>
        <v>3761.7000000000003</v>
      </c>
      <c r="Y28" s="14">
        <f>SUM(Y22:Y27)</f>
        <v>1</v>
      </c>
      <c r="AA28" s="13">
        <f>SUM(AA22:AA27)</f>
        <v>5327.3</v>
      </c>
      <c r="AB28" s="14">
        <f>SUM(AB22:AB27)</f>
        <v>1</v>
      </c>
      <c r="AD28" s="13">
        <f>SUM(AD22:AD27)</f>
        <v>6239.3</v>
      </c>
      <c r="AE28" s="14">
        <f>SUM(AE22:AE27)</f>
        <v>1</v>
      </c>
      <c r="AG28" s="13">
        <f>SUM(AG22:AG27)</f>
        <v>5934.2999999999993</v>
      </c>
      <c r="AH28" s="14">
        <f>SUM(AH22:AH27)</f>
        <v>1</v>
      </c>
      <c r="AK28" s="15">
        <f>SUM(AK22:AK27)</f>
        <v>28407.449999999997</v>
      </c>
      <c r="AL28" s="16">
        <f>SUM(AL22:AL27)</f>
        <v>1</v>
      </c>
    </row>
    <row r="29" spans="2:38" x14ac:dyDescent="0.4">
      <c r="AK29" s="7"/>
      <c r="AL29" s="7"/>
    </row>
    <row r="30" spans="2:38" x14ac:dyDescent="0.4">
      <c r="B30" s="9" t="s">
        <v>244</v>
      </c>
      <c r="AK30" s="7"/>
      <c r="AL30" s="7"/>
    </row>
    <row r="31" spans="2:38" x14ac:dyDescent="0.4">
      <c r="B31" s="8" t="s">
        <v>244</v>
      </c>
      <c r="C31" s="20">
        <f>C22 + C23</f>
        <v>0.4</v>
      </c>
      <c r="D31" s="21"/>
      <c r="F31" s="20">
        <f>F22 + F23</f>
        <v>0</v>
      </c>
      <c r="G31" s="21"/>
      <c r="I31" s="20">
        <f>I22 + I23</f>
        <v>25</v>
      </c>
      <c r="J31" s="21"/>
      <c r="L31" s="20">
        <f>L22 + L23</f>
        <v>95.15</v>
      </c>
      <c r="M31" s="21"/>
      <c r="O31" s="20">
        <f>O22 + O23</f>
        <v>110.9</v>
      </c>
      <c r="P31" s="21"/>
      <c r="R31" s="20">
        <f>R22 + R23</f>
        <v>358.4</v>
      </c>
      <c r="S31" s="21"/>
      <c r="U31" s="20">
        <f>U22 + U23</f>
        <v>1180.0000000000002</v>
      </c>
      <c r="V31" s="21"/>
      <c r="X31" s="20">
        <f>X22 + X23</f>
        <v>2363</v>
      </c>
      <c r="Y31" s="21"/>
      <c r="AA31" s="20">
        <f>AA22 + AA23</f>
        <v>1740.1</v>
      </c>
      <c r="AB31" s="21"/>
      <c r="AD31" s="20">
        <f>AD22 + AD23</f>
        <v>1039.9000000000001</v>
      </c>
      <c r="AE31" s="21"/>
      <c r="AG31" s="20">
        <f>AG22 + AG23</f>
        <v>278.79999999999995</v>
      </c>
      <c r="AH31" s="21"/>
      <c r="AK31" s="18">
        <f>AK22 + AK23</f>
        <v>7191.6500000000005</v>
      </c>
      <c r="AL31" s="19"/>
    </row>
    <row r="32" spans="2:38" x14ac:dyDescent="0.4">
      <c r="B32" s="8" t="s">
        <v>245</v>
      </c>
      <c r="C32" s="20">
        <f>C28</f>
        <v>104.1</v>
      </c>
      <c r="D32" s="21"/>
      <c r="F32" s="20">
        <f>F28</f>
        <v>114.6</v>
      </c>
      <c r="G32" s="21"/>
      <c r="I32" s="20">
        <f>I28</f>
        <v>468.6</v>
      </c>
      <c r="J32" s="21"/>
      <c r="L32" s="20">
        <f>L28</f>
        <v>570.45000000000005</v>
      </c>
      <c r="M32" s="21"/>
      <c r="O32" s="20">
        <f>O28</f>
        <v>922.3</v>
      </c>
      <c r="P32" s="21"/>
      <c r="R32" s="20">
        <f>R28</f>
        <v>1564.1999999999998</v>
      </c>
      <c r="S32" s="21"/>
      <c r="U32" s="20">
        <f>U28</f>
        <v>2553.2000000000003</v>
      </c>
      <c r="V32" s="21"/>
      <c r="X32" s="20">
        <f>X28</f>
        <v>3761.7000000000003</v>
      </c>
      <c r="Y32" s="21"/>
      <c r="AA32" s="20">
        <f>AA28</f>
        <v>5327.3</v>
      </c>
      <c r="AB32" s="21"/>
      <c r="AD32" s="20">
        <f>AD28</f>
        <v>6239.3</v>
      </c>
      <c r="AE32" s="21"/>
      <c r="AG32" s="20">
        <f>AG28</f>
        <v>5934.2999999999993</v>
      </c>
      <c r="AH32" s="21"/>
      <c r="AK32" s="18">
        <f>AK28</f>
        <v>28407.449999999997</v>
      </c>
      <c r="AL32" s="19"/>
    </row>
    <row r="33" spans="2:38" x14ac:dyDescent="0.4">
      <c r="B33" s="5" t="s">
        <v>246</v>
      </c>
      <c r="C33" s="22">
        <f>C31 / C32</f>
        <v>3.8424591738712779E-3</v>
      </c>
      <c r="D33" s="23"/>
      <c r="F33" s="22">
        <f>F31 / F32</f>
        <v>0</v>
      </c>
      <c r="G33" s="23"/>
      <c r="I33" s="22">
        <f>I31 / I32</f>
        <v>5.3350405463081514E-2</v>
      </c>
      <c r="J33" s="23"/>
      <c r="L33" s="22">
        <f>L31 / L32</f>
        <v>0.16679814181786309</v>
      </c>
      <c r="M33" s="23"/>
      <c r="O33" s="22">
        <f>O31 / O32</f>
        <v>0.12024287108316167</v>
      </c>
      <c r="P33" s="23"/>
      <c r="R33" s="22">
        <f>R31 / R32</f>
        <v>0.22912671013936839</v>
      </c>
      <c r="S33" s="23"/>
      <c r="U33" s="22">
        <f>U31 / U32</f>
        <v>0.46216512611624633</v>
      </c>
      <c r="V33" s="23"/>
      <c r="X33" s="22">
        <f>X31 / X32</f>
        <v>0.62817343222479194</v>
      </c>
      <c r="Y33" s="23"/>
      <c r="AA33" s="22">
        <f>AA31 / AA32</f>
        <v>0.32663825953109454</v>
      </c>
      <c r="AB33" s="23"/>
      <c r="AD33" s="22">
        <f>AD31 / AD32</f>
        <v>0.16666933790649593</v>
      </c>
      <c r="AE33" s="23"/>
      <c r="AG33" s="22">
        <f>AG31 / AG32</f>
        <v>4.698110981918676E-2</v>
      </c>
      <c r="AH33" s="23"/>
      <c r="AK33" s="28">
        <f>AK31 / AK32</f>
        <v>0.25316070256218004</v>
      </c>
      <c r="AL33" s="29"/>
    </row>
    <row r="34" spans="2:38" x14ac:dyDescent="0.4">
      <c r="AK34" s="7"/>
      <c r="AL34" s="7"/>
    </row>
    <row r="35" spans="2:38" x14ac:dyDescent="0.4">
      <c r="B35" s="9" t="s">
        <v>247</v>
      </c>
      <c r="AK35" s="7"/>
      <c r="AL35" s="7"/>
    </row>
    <row r="36" spans="2:38" x14ac:dyDescent="0.4">
      <c r="B36" s="8" t="s">
        <v>248</v>
      </c>
      <c r="C36" s="20">
        <f>SUMIFS(Portfolios!N:N, Portfolios!B:B, Funds!A2)</f>
        <v>0.4</v>
      </c>
      <c r="D36" s="21"/>
      <c r="F36" s="20">
        <f>SUMIFS(Portfolios!N:N, Portfolios!B:B, Funds!A3)</f>
        <v>0</v>
      </c>
      <c r="G36" s="21"/>
      <c r="I36" s="20">
        <f>SUMIFS(Portfolios!N:N, Portfolios!B:B, Funds!A4)</f>
        <v>3.7000000000000006</v>
      </c>
      <c r="J36" s="21"/>
      <c r="L36" s="20">
        <f>SUMIFS(Portfolios!N:N, Portfolios!B:B, Funds!A5)</f>
        <v>67.349999999999994</v>
      </c>
      <c r="M36" s="21"/>
      <c r="O36" s="20">
        <f>SUMIFS(Portfolios!N:N, Portfolios!B:B, Funds!A6)</f>
        <v>99.3</v>
      </c>
      <c r="P36" s="21"/>
      <c r="R36" s="20">
        <f>SUMIFS(Portfolios!N:N, Portfolios!B:B, Funds!A7)</f>
        <v>243.4</v>
      </c>
      <c r="S36" s="21"/>
      <c r="U36" s="20">
        <f>SUMIFS(Portfolios!N:N, Portfolios!B:B, Funds!A8)</f>
        <v>936.6</v>
      </c>
      <c r="V36" s="21"/>
      <c r="X36" s="20">
        <f>SUMIFS(Portfolios!N:N, Portfolios!B:B, Funds!A9)</f>
        <v>1286.2</v>
      </c>
      <c r="Y36" s="21"/>
      <c r="AA36" s="20">
        <f>SUMIFS(Portfolios!N:N, Portfolios!B:B, Funds!A10)</f>
        <v>1446.6999999999998</v>
      </c>
      <c r="AB36" s="21"/>
      <c r="AD36" s="20">
        <f>SUMIFS(Portfolios!N:N, Portfolios!B:B, Funds!A11)</f>
        <v>930.80000000000007</v>
      </c>
      <c r="AE36" s="21"/>
      <c r="AG36" s="20">
        <f>SUMIFS(Portfolios!N:N, Portfolios!B:B, Funds!A12)</f>
        <v>67.799999999999983</v>
      </c>
      <c r="AH36" s="21"/>
      <c r="AK36" s="18">
        <f>SUM(Portfolios!N:N)</f>
        <v>5082.2499999999982</v>
      </c>
      <c r="AL36" s="19"/>
    </row>
    <row r="37" spans="2:38" x14ac:dyDescent="0.4">
      <c r="B37" s="8" t="s">
        <v>245</v>
      </c>
      <c r="C37" s="20">
        <f>C28</f>
        <v>104.1</v>
      </c>
      <c r="D37" s="21"/>
      <c r="F37" s="20">
        <f>F28</f>
        <v>114.6</v>
      </c>
      <c r="G37" s="21"/>
      <c r="I37" s="20">
        <f>I28</f>
        <v>468.6</v>
      </c>
      <c r="J37" s="21"/>
      <c r="L37" s="20">
        <f>L28</f>
        <v>570.45000000000005</v>
      </c>
      <c r="M37" s="21"/>
      <c r="O37" s="20">
        <f>O28</f>
        <v>922.3</v>
      </c>
      <c r="P37" s="21"/>
      <c r="R37" s="20">
        <f>R28</f>
        <v>1564.1999999999998</v>
      </c>
      <c r="S37" s="21"/>
      <c r="U37" s="20">
        <f>U28</f>
        <v>2553.2000000000003</v>
      </c>
      <c r="V37" s="21"/>
      <c r="X37" s="20">
        <f>X28</f>
        <v>3761.7000000000003</v>
      </c>
      <c r="Y37" s="21"/>
      <c r="AA37" s="20">
        <f>AA28</f>
        <v>5327.3</v>
      </c>
      <c r="AB37" s="21"/>
      <c r="AD37" s="20">
        <f>AD28</f>
        <v>6239.3</v>
      </c>
      <c r="AE37" s="21"/>
      <c r="AG37" s="20">
        <f>AG28</f>
        <v>5934.2999999999993</v>
      </c>
      <c r="AH37" s="21"/>
      <c r="AK37" s="18">
        <f>AK28</f>
        <v>28407.449999999997</v>
      </c>
      <c r="AL37" s="19"/>
    </row>
    <row r="38" spans="2:38" x14ac:dyDescent="0.4">
      <c r="B38" s="5" t="s">
        <v>249</v>
      </c>
      <c r="C38" s="22">
        <f>C36 / C28</f>
        <v>3.8424591738712779E-3</v>
      </c>
      <c r="D38" s="23"/>
      <c r="F38" s="22">
        <f>F36 / F28</f>
        <v>0</v>
      </c>
      <c r="G38" s="23"/>
      <c r="I38" s="22">
        <f>I36 / I28</f>
        <v>7.8958600085360653E-3</v>
      </c>
      <c r="J38" s="23"/>
      <c r="L38" s="22">
        <f>L36 / L28</f>
        <v>0.11806468577438863</v>
      </c>
      <c r="M38" s="23"/>
      <c r="O38" s="22">
        <f>O36 / O28</f>
        <v>0.10766561856228993</v>
      </c>
      <c r="P38" s="23"/>
      <c r="R38" s="22">
        <f>R36 / R28</f>
        <v>0.15560669991049739</v>
      </c>
      <c r="S38" s="23"/>
      <c r="U38" s="22">
        <f>U36 / U28</f>
        <v>0.36683377722074256</v>
      </c>
      <c r="V38" s="23"/>
      <c r="X38" s="22">
        <f>X36 / X28</f>
        <v>0.34191987665151391</v>
      </c>
      <c r="Y38" s="23"/>
      <c r="AA38" s="22">
        <f>AA36 / AA28</f>
        <v>0.27156345615978073</v>
      </c>
      <c r="AB38" s="23"/>
      <c r="AD38" s="22">
        <f>AD36 / AD28</f>
        <v>0.14918340198419694</v>
      </c>
      <c r="AE38" s="23"/>
      <c r="AG38" s="22">
        <f>AG36 / AG28</f>
        <v>1.1425104898640107E-2</v>
      </c>
      <c r="AH38" s="23"/>
      <c r="AK38" s="28">
        <f>AK36 / AK28</f>
        <v>0.17890553358361974</v>
      </c>
      <c r="AL38" s="29"/>
    </row>
    <row r="40" spans="2:38" x14ac:dyDescent="0.4">
      <c r="AK40" s="33">
        <f>SUM(AL16:AL18)/SUM(AL13:AL14)</f>
        <v>3.0689655172413794</v>
      </c>
      <c r="AL40" s="33"/>
    </row>
    <row r="41" spans="2:38" x14ac:dyDescent="0.4">
      <c r="AK41" s="33">
        <f>SUM(AL25:AL27)/SUM(AL22:AL23)</f>
        <v>2.8783936926852669</v>
      </c>
      <c r="AL41" s="33"/>
    </row>
    <row r="43" spans="2:38" x14ac:dyDescent="0.4">
      <c r="AL43" s="10">
        <f>SUM(AL16:AL18)</f>
        <v>0.72653061224489801</v>
      </c>
    </row>
    <row r="44" spans="2:38" x14ac:dyDescent="0.4">
      <c r="AL44" s="10">
        <f>SUM(AL25:AL27)</f>
        <v>0.72869616949074989</v>
      </c>
    </row>
  </sheetData>
  <mergeCells count="144">
    <mergeCell ref="AK40:AL40"/>
    <mergeCell ref="AK41:AL41"/>
    <mergeCell ref="L4:M4"/>
    <mergeCell ref="X6:Y6"/>
    <mergeCell ref="L38:M38"/>
    <mergeCell ref="C36:D36"/>
    <mergeCell ref="R32:S32"/>
    <mergeCell ref="U33:V33"/>
    <mergeCell ref="X38:Y38"/>
    <mergeCell ref="L31:M31"/>
    <mergeCell ref="AD32:AE32"/>
    <mergeCell ref="AK38:AL38"/>
    <mergeCell ref="AD5:AE5"/>
    <mergeCell ref="AA37:AB37"/>
    <mergeCell ref="R6:S6"/>
    <mergeCell ref="AA33:AB33"/>
    <mergeCell ref="X37:Y37"/>
    <mergeCell ref="O32:P32"/>
    <mergeCell ref="L5:M5"/>
    <mergeCell ref="AD31:AE31"/>
    <mergeCell ref="U5:V5"/>
    <mergeCell ref="R37:S37"/>
    <mergeCell ref="C37:D37"/>
    <mergeCell ref="AK33:AL33"/>
    <mergeCell ref="R33:S33"/>
    <mergeCell ref="AG5:AH5"/>
    <mergeCell ref="R8:S8"/>
    <mergeCell ref="U4:V4"/>
    <mergeCell ref="AK10:AL10"/>
    <mergeCell ref="AK4:AL4"/>
    <mergeCell ref="AK32:AL32"/>
    <mergeCell ref="R4:S4"/>
    <mergeCell ref="U31:V31"/>
    <mergeCell ref="AG4:AH4"/>
    <mergeCell ref="AG9:AH9"/>
    <mergeCell ref="AD6:AE6"/>
    <mergeCell ref="C5:D5"/>
    <mergeCell ref="U6:V6"/>
    <mergeCell ref="R10:S10"/>
    <mergeCell ref="F6:G6"/>
    <mergeCell ref="X8:Y8"/>
    <mergeCell ref="AG31:AH31"/>
    <mergeCell ref="O37:P37"/>
    <mergeCell ref="I10:J10"/>
    <mergeCell ref="AG33:AH33"/>
    <mergeCell ref="U10:V10"/>
    <mergeCell ref="X31:Y31"/>
    <mergeCell ref="C6:D6"/>
    <mergeCell ref="O6:P6"/>
    <mergeCell ref="R9:S9"/>
    <mergeCell ref="R5:S5"/>
    <mergeCell ref="AG8:AH8"/>
    <mergeCell ref="X36:Y36"/>
    <mergeCell ref="AD9:AE9"/>
    <mergeCell ref="C33:D33"/>
    <mergeCell ref="O10:P10"/>
    <mergeCell ref="AG10:AH10"/>
    <mergeCell ref="O33:P33"/>
    <mergeCell ref="I36:J36"/>
    <mergeCell ref="L37:M37"/>
    <mergeCell ref="C4:D4"/>
    <mergeCell ref="AA6:AB6"/>
    <mergeCell ref="I32:J32"/>
    <mergeCell ref="F5:G5"/>
    <mergeCell ref="F33:G33"/>
    <mergeCell ref="U32:V32"/>
    <mergeCell ref="R36:S36"/>
    <mergeCell ref="O31:P31"/>
    <mergeCell ref="AA4:AB4"/>
    <mergeCell ref="AG32:AH32"/>
    <mergeCell ref="AD36:AE36"/>
    <mergeCell ref="I33:J33"/>
    <mergeCell ref="X5:Y5"/>
    <mergeCell ref="F31:G31"/>
    <mergeCell ref="I8:J8"/>
    <mergeCell ref="F9:G9"/>
    <mergeCell ref="C8:D8"/>
    <mergeCell ref="U8:V8"/>
    <mergeCell ref="X4:Y4"/>
    <mergeCell ref="L6:M6"/>
    <mergeCell ref="AK8:AL8"/>
    <mergeCell ref="U9:V9"/>
    <mergeCell ref="L32:M32"/>
    <mergeCell ref="AA10:AB10"/>
    <mergeCell ref="AD33:AE33"/>
    <mergeCell ref="X32:Y32"/>
    <mergeCell ref="O9:P9"/>
    <mergeCell ref="U36:V36"/>
    <mergeCell ref="O36:P36"/>
    <mergeCell ref="AA9:AB9"/>
    <mergeCell ref="AD10:AE10"/>
    <mergeCell ref="L33:M33"/>
    <mergeCell ref="L8:M8"/>
    <mergeCell ref="L10:M10"/>
    <mergeCell ref="AA31:AB31"/>
    <mergeCell ref="AA32:AB32"/>
    <mergeCell ref="L9:M9"/>
    <mergeCell ref="O8:P8"/>
    <mergeCell ref="R31:S31"/>
    <mergeCell ref="I6:J6"/>
    <mergeCell ref="AD8:AE8"/>
    <mergeCell ref="F10:G10"/>
    <mergeCell ref="AG38:AH38"/>
    <mergeCell ref="I4:J4"/>
    <mergeCell ref="I38:J38"/>
    <mergeCell ref="X10:Y10"/>
    <mergeCell ref="U38:V38"/>
    <mergeCell ref="I5:J5"/>
    <mergeCell ref="AA8:AB8"/>
    <mergeCell ref="AD4:AE4"/>
    <mergeCell ref="I9:J9"/>
    <mergeCell ref="F4:G4"/>
    <mergeCell ref="O5:P5"/>
    <mergeCell ref="AG6:AH6"/>
    <mergeCell ref="AA5:AB5"/>
    <mergeCell ref="F36:G36"/>
    <mergeCell ref="O4:P4"/>
    <mergeCell ref="AD38:AE38"/>
    <mergeCell ref="I37:J37"/>
    <mergeCell ref="U37:V37"/>
    <mergeCell ref="F8:G8"/>
    <mergeCell ref="AA38:AB38"/>
    <mergeCell ref="R38:S38"/>
    <mergeCell ref="AK37:AL37"/>
    <mergeCell ref="I31:J31"/>
    <mergeCell ref="L36:M36"/>
    <mergeCell ref="X9:Y9"/>
    <mergeCell ref="F32:G32"/>
    <mergeCell ref="C9:D9"/>
    <mergeCell ref="AA36:AB36"/>
    <mergeCell ref="AK9:AL9"/>
    <mergeCell ref="F38:G38"/>
    <mergeCell ref="X33:Y33"/>
    <mergeCell ref="AG37:AH37"/>
    <mergeCell ref="AK31:AL31"/>
    <mergeCell ref="F37:G37"/>
    <mergeCell ref="C32:D32"/>
    <mergeCell ref="C38:D38"/>
    <mergeCell ref="O38:P38"/>
    <mergeCell ref="AD37:AE37"/>
    <mergeCell ref="AG36:AH36"/>
    <mergeCell ref="AK36:AL36"/>
    <mergeCell ref="C31:D31"/>
    <mergeCell ref="C10:D10"/>
  </mergeCells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B04DF9C75CAB4DAB32342A81611457" ma:contentTypeVersion="16" ma:contentTypeDescription="Create a new document." ma:contentTypeScope="" ma:versionID="1eea900a64deb794cdb99b5f2532b621">
  <xsd:schema xmlns:xsd="http://www.w3.org/2001/XMLSchema" xmlns:xs="http://www.w3.org/2001/XMLSchema" xmlns:p="http://schemas.microsoft.com/office/2006/metadata/properties" xmlns:ns2="bcb6379d-5402-4ed7-9167-0c02804ceeec" xmlns:ns3="16c4b767-81a9-4964-9cba-5e0dcfc5f91d" targetNamespace="http://schemas.microsoft.com/office/2006/metadata/properties" ma:root="true" ma:fieldsID="94c870accb11b529575280629ed7135f" ns2:_="" ns3:_="">
    <xsd:import namespace="bcb6379d-5402-4ed7-9167-0c02804ceeec"/>
    <xsd:import namespace="16c4b767-81a9-4964-9cba-5e0dcfc5f91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b6379d-5402-4ed7-9167-0c02804ceee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1661289-e8d5-4b89-a0fe-708881da4787}" ma:internalName="TaxCatchAll" ma:showField="CatchAllData" ma:web="bcb6379d-5402-4ed7-9167-0c02804cee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4b767-81a9-4964-9cba-5e0dcfc5f9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b760cb6-fec5-4ee0-ad3b-5c6f6537d7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cb6379d-5402-4ed7-9167-0c02804ceeec" xsi:nil="true"/>
    <lcf76f155ced4ddcb4097134ff3c332f xmlns="16c4b767-81a9-4964-9cba-5e0dcfc5f9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5AF97D2-1C0B-41F8-BC26-B53886D3DD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11FF7F8-E76B-4AB4-9E9A-93796E9E4E72}"/>
</file>

<file path=customXml/itemProps3.xml><?xml version="1.0" encoding="utf-8"?>
<ds:datastoreItem xmlns:ds="http://schemas.openxmlformats.org/officeDocument/2006/customXml" ds:itemID="{69FA2CB8-BCFF-4F7C-9AFB-AF275138C05C}">
  <ds:schemaRefs>
    <ds:schemaRef ds:uri="http://schemas.microsoft.com/office/2006/metadata/properties"/>
    <ds:schemaRef ds:uri="http://schemas.microsoft.com/office/infopath/2007/PartnerControls"/>
    <ds:schemaRef ds:uri="bcb6379d-5402-4ed7-9167-0c02804ceeec"/>
    <ds:schemaRef ds:uri="16c4b767-81a9-4964-9cba-5e0dcfc5f91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Funds</vt:lpstr>
      <vt:lpstr>Portfolios</vt:lpstr>
      <vt:lpstr>Loss Ratio 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Tommy He</dc:creator>
  <cp:keywords/>
  <dc:description/>
  <cp:lastModifiedBy>Zachary Doan</cp:lastModifiedBy>
  <cp:revision/>
  <dcterms:created xsi:type="dcterms:W3CDTF">2025-07-28T21:43:05Z</dcterms:created>
  <dcterms:modified xsi:type="dcterms:W3CDTF">2026-01-08T21:53:23Z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0x01010035B04DF9C75CAB4DAB32342A81611457</vt:lpwstr>
  </property>
  <property fmtid="{D5CDD505-2E9C-101B-9397-08002B2CF9AE}" pid="3" name="MediaServiceImageTags">
    <vt:lpwstr/>
  </property>
</Properties>
</file>