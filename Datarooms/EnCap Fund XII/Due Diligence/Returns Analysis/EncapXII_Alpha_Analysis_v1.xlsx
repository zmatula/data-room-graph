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tonegardengroup.sharepoint.com/sites/StoneGardenShare/Shared Documents/Intern/SHARED INTERN FOLDER/Phase 3s/Energy/Encap Fund XII/Internal Approvals and Analysis/Returns Analysis/"/>
    </mc:Choice>
  </mc:AlternateContent>
  <xr:revisionPtr revIDLastSave="191" documentId="11_720901701DA98557DA3F818681E92CD074E3B0F7" xr6:coauthVersionLast="47" xr6:coauthVersionMax="47" xr10:uidLastSave="{9EC6FFA3-232B-4593-A5CB-26CA4E21A945}"/>
  <bookViews>
    <workbookView xWindow="-110" yWindow="-110" windowWidth="19420" windowHeight="10300" xr2:uid="{00000000-000D-0000-FFFF-FFFF00000000}"/>
  </bookViews>
  <sheets>
    <sheet name="Fund-Level Alpha" sheetId="3" r:id="rId1"/>
    <sheet name="Pitchbook O&amp;G" sheetId="5" r:id="rId2"/>
    <sheet name="MSCI Natural Resourc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" l="1"/>
  <c r="H6" i="3" s="1"/>
  <c r="I6" i="3" s="1"/>
  <c r="G7" i="3"/>
  <c r="H7" i="3" s="1"/>
  <c r="G8" i="3"/>
  <c r="H8" i="3" s="1"/>
  <c r="G9" i="3"/>
  <c r="H9" i="3" s="1"/>
  <c r="I9" i="3" s="1"/>
  <c r="G10" i="3"/>
  <c r="H10" i="3" s="1"/>
  <c r="I10" i="3" s="1"/>
  <c r="G11" i="3"/>
  <c r="H11" i="3" s="1"/>
  <c r="I11" i="3" s="1"/>
  <c r="G12" i="3"/>
  <c r="H12" i="3" s="1"/>
  <c r="I12" i="3" s="1"/>
  <c r="G5" i="3"/>
  <c r="H5" i="3" s="1"/>
  <c r="E8" i="3"/>
  <c r="F8" i="3" s="1"/>
  <c r="I8" i="3" s="1"/>
  <c r="E6" i="3"/>
  <c r="F6" i="3" s="1"/>
  <c r="E7" i="3"/>
  <c r="F7" i="3" s="1"/>
  <c r="I7" i="3" s="1"/>
  <c r="E5" i="3"/>
  <c r="F5" i="3" s="1"/>
  <c r="F17" i="3" s="1"/>
  <c r="I5" i="3" l="1"/>
  <c r="H1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3844FD-78B1-49CB-9A1A-8B949423E3A3}" keepAlive="1" name="Query - Table006 (Page 6)" description="Connection to the 'Table006 (Page 6)' query in the workbook." type="5" refreshedVersion="0" background="1" saveData="1">
    <dbPr connection="Provider=Microsoft.Mashup.OleDb.1;Data Source=$Workbook$;Location=&quot;Table006 (Page 6)&quot;;Extended Properties=&quot;&quot;" command="SELECT * FROM [Table006 (Page 6)]"/>
  </connection>
</connections>
</file>

<file path=xl/sharedStrings.xml><?xml version="1.0" encoding="utf-8"?>
<sst xmlns="http://schemas.openxmlformats.org/spreadsheetml/2006/main" count="36" uniqueCount="34">
  <si>
    <t>Vintage</t>
  </si>
  <si>
    <t>Upstream Fund XI</t>
  </si>
  <si>
    <t>22.2%</t>
  </si>
  <si>
    <t>Upstream Fund X</t>
  </si>
  <si>
    <t>16.4%</t>
  </si>
  <si>
    <t>Upstream Fund IX</t>
  </si>
  <si>
    <t>10.9%</t>
  </si>
  <si>
    <t>Upstream Fund VIII</t>
  </si>
  <si>
    <t>0.6%</t>
  </si>
  <si>
    <t>Upstream Fund VII</t>
  </si>
  <si>
    <t>14.5%</t>
  </si>
  <si>
    <t>Upstream Fund VI</t>
  </si>
  <si>
    <t>23.4%</t>
  </si>
  <si>
    <t>Upstream Fund V</t>
  </si>
  <si>
    <t>26.9%</t>
  </si>
  <si>
    <t>Upstream Fund IV</t>
  </si>
  <si>
    <t>68.4%</t>
  </si>
  <si>
    <t>Upstream Fund III</t>
  </si>
  <si>
    <t>23.5%</t>
  </si>
  <si>
    <t>Upstream Fund II</t>
  </si>
  <si>
    <t>3.6%</t>
  </si>
  <si>
    <t>Upstream Fund I</t>
  </si>
  <si>
    <t>24.8%</t>
  </si>
  <si>
    <t>Net IRR</t>
  </si>
  <si>
    <t>MSCI Natural Resources</t>
  </si>
  <si>
    <t>Natural Resources</t>
  </si>
  <si>
    <t>All</t>
  </si>
  <si>
    <t>Alpha</t>
  </si>
  <si>
    <t>IRR</t>
  </si>
  <si>
    <t>Pitchbook O&amp;G</t>
  </si>
  <si>
    <t>Average</t>
  </si>
  <si>
    <t>EnCap Investments - Fund-level Alpha Analysis</t>
  </si>
  <si>
    <t>Fund</t>
  </si>
  <si>
    <t>Average Fund 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</si>
</sst>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Continuous"/>
    </xf>
    <xf numFmtId="0" fontId="0" fillId="3" borderId="0" xfId="0" applyFill="1"/>
    <xf numFmtId="0" fontId="1" fillId="3" borderId="0" xfId="0" applyFont="1" applyFill="1"/>
    <xf numFmtId="0" fontId="1" fillId="3" borderId="0" xfId="0" applyFont="1" applyFill="1" applyAlignment="1">
      <alignment horizontal="right"/>
    </xf>
    <xf numFmtId="164" fontId="0" fillId="0" borderId="0" xfId="0" applyNumberFormat="1"/>
    <xf numFmtId="0" fontId="3" fillId="4" borderId="0" xfId="0" applyFont="1" applyFill="1"/>
    <xf numFmtId="0" fontId="3" fillId="4" borderId="0" xfId="0" applyFont="1" applyFill="1" applyAlignment="1">
      <alignment horizontal="right"/>
    </xf>
    <xf numFmtId="0" fontId="3" fillId="4" borderId="0" xfId="0" applyFont="1" applyFill="1" applyAlignment="1">
      <alignment wrapText="1"/>
    </xf>
    <xf numFmtId="0" fontId="1" fillId="0" borderId="0" xfId="0" applyFont="1"/>
    <xf numFmtId="0" fontId="4" fillId="0" borderId="0" xfId="0" applyFont="1"/>
    <xf numFmtId="0" fontId="1" fillId="3" borderId="1" xfId="0" applyFont="1" applyFill="1" applyBorder="1"/>
    <xf numFmtId="0" fontId="1" fillId="3" borderId="2" xfId="0" applyFont="1" applyFill="1" applyBorder="1"/>
    <xf numFmtId="164" fontId="5" fillId="3" borderId="2" xfId="0" applyNumberFormat="1" applyFont="1" applyFill="1" applyBorder="1"/>
    <xf numFmtId="0" fontId="5" fillId="3" borderId="2" xfId="0" applyFont="1" applyFill="1" applyBorder="1"/>
    <xf numFmtId="164" fontId="5" fillId="3" borderId="3" xfId="0" applyNumberFormat="1" applyFont="1" applyFill="1" applyBorder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95DF0-4C61-4B77-8E3C-39B485180EC1}">
  <dimension ref="B2:I17"/>
  <sheetViews>
    <sheetView showGridLines="0" tabSelected="1" workbookViewId="0">
      <selection activeCell="L12" sqref="L12"/>
    </sheetView>
  </sheetViews>
  <sheetFormatPr defaultRowHeight="14.5" x14ac:dyDescent="0.35"/>
  <cols>
    <col min="1" max="1" width="1.6328125" customWidth="1"/>
    <col min="2" max="2" width="17" bestFit="1" customWidth="1"/>
    <col min="5" max="8" width="11.6328125" customWidth="1"/>
  </cols>
  <sheetData>
    <row r="2" spans="2:9" ht="23.5" x14ac:dyDescent="0.55000000000000004">
      <c r="B2" s="11" t="s">
        <v>31</v>
      </c>
    </row>
    <row r="3" spans="2:9" x14ac:dyDescent="0.35">
      <c r="B3" s="10"/>
    </row>
    <row r="4" spans="2:9" ht="43.5" x14ac:dyDescent="0.35">
      <c r="B4" s="7" t="s">
        <v>32</v>
      </c>
      <c r="C4" s="8" t="s">
        <v>0</v>
      </c>
      <c r="D4" s="8" t="s">
        <v>23</v>
      </c>
      <c r="E4" s="9" t="s">
        <v>24</v>
      </c>
      <c r="F4" s="7" t="s">
        <v>27</v>
      </c>
      <c r="G4" s="9" t="s">
        <v>29</v>
      </c>
      <c r="H4" s="7" t="s">
        <v>27</v>
      </c>
      <c r="I4" s="9" t="s">
        <v>33</v>
      </c>
    </row>
    <row r="5" spans="2:9" x14ac:dyDescent="0.35">
      <c r="B5" t="s">
        <v>1</v>
      </c>
      <c r="C5" s="1">
        <v>2017</v>
      </c>
      <c r="D5" s="1" t="s">
        <v>2</v>
      </c>
      <c r="E5" s="6">
        <f>VLOOKUP(C5,'MSCI Natural Resources'!B4:C19,2)</f>
        <v>9.1999999999999998E-2</v>
      </c>
      <c r="F5" s="6">
        <f>$D5-E5</f>
        <v>0.13</v>
      </c>
      <c r="G5" s="6">
        <f>VLOOKUP(C5,'Pitchbook O&amp;G'!$B$3:$C$22,2)</f>
        <v>9.74E-2</v>
      </c>
      <c r="H5" s="6">
        <f>$D5-G5</f>
        <v>0.1246</v>
      </c>
      <c r="I5" s="6">
        <f>AVERAGE(F5,H5)</f>
        <v>0.1273</v>
      </c>
    </row>
    <row r="6" spans="2:9" x14ac:dyDescent="0.35">
      <c r="B6" t="s">
        <v>3</v>
      </c>
      <c r="C6" s="1">
        <v>2015</v>
      </c>
      <c r="D6" s="1" t="s">
        <v>4</v>
      </c>
      <c r="E6" s="6">
        <f>VLOOKUP(C6,'MSCI Natural Resources'!B5:C20,2)</f>
        <v>0.08</v>
      </c>
      <c r="F6" s="6">
        <f t="shared" ref="F6:F8" si="0">$D6-E6</f>
        <v>8.4000000000000005E-2</v>
      </c>
      <c r="G6" s="6">
        <f>VLOOKUP(C6,'Pitchbook O&amp;G'!$B$3:$C$22,2)</f>
        <v>9.2999999999999999E-2</v>
      </c>
      <c r="H6" s="6">
        <f t="shared" ref="H6:H12" si="1">$D6-G6</f>
        <v>7.1000000000000008E-2</v>
      </c>
      <c r="I6" s="6">
        <f t="shared" ref="I6:I12" si="2">AVERAGE(F6,H6)</f>
        <v>7.7500000000000013E-2</v>
      </c>
    </row>
    <row r="7" spans="2:9" x14ac:dyDescent="0.35">
      <c r="B7" t="s">
        <v>5</v>
      </c>
      <c r="C7" s="1">
        <v>2013</v>
      </c>
      <c r="D7" s="1" t="s">
        <v>6</v>
      </c>
      <c r="E7" s="6">
        <f>VLOOKUP(C7,'MSCI Natural Resources'!B6:C21,2)</f>
        <v>3.7000000000000005E-2</v>
      </c>
      <c r="F7" s="6">
        <f t="shared" si="0"/>
        <v>7.1999999999999995E-2</v>
      </c>
      <c r="G7" s="6">
        <f>VLOOKUP(C7,'Pitchbook O&amp;G'!$B$3:$C$22,2)</f>
        <v>1.2999999999999999E-2</v>
      </c>
      <c r="H7" s="6">
        <f t="shared" si="1"/>
        <v>9.6000000000000002E-2</v>
      </c>
      <c r="I7" s="6">
        <f t="shared" si="2"/>
        <v>8.3999999999999991E-2</v>
      </c>
    </row>
    <row r="8" spans="2:9" x14ac:dyDescent="0.35">
      <c r="B8" t="s">
        <v>7</v>
      </c>
      <c r="C8" s="1">
        <v>2010</v>
      </c>
      <c r="D8" s="1" t="s">
        <v>8</v>
      </c>
      <c r="E8" s="6">
        <f>VLOOKUP(C8,'MSCI Natural Resources'!B4:C19,2)</f>
        <v>1.2E-2</v>
      </c>
      <c r="F8" s="6">
        <f t="shared" si="0"/>
        <v>-6.0000000000000001E-3</v>
      </c>
      <c r="G8" s="6">
        <f>VLOOKUP(C8,'Pitchbook O&amp;G'!$B$3:$C$22,2)</f>
        <v>-0.14799999999999999</v>
      </c>
      <c r="H8" s="6">
        <f t="shared" si="1"/>
        <v>0.154</v>
      </c>
      <c r="I8" s="6">
        <f t="shared" si="2"/>
        <v>7.3999999999999996E-2</v>
      </c>
    </row>
    <row r="9" spans="2:9" x14ac:dyDescent="0.35">
      <c r="B9" t="s">
        <v>9</v>
      </c>
      <c r="C9" s="1">
        <v>2007</v>
      </c>
      <c r="D9" s="1" t="s">
        <v>10</v>
      </c>
      <c r="G9" s="6">
        <f>VLOOKUP(C9,'Pitchbook O&amp;G'!$B$3:$C$22,2)</f>
        <v>1.0999999999999999E-2</v>
      </c>
      <c r="H9" s="6">
        <f t="shared" si="1"/>
        <v>0.13399999999999998</v>
      </c>
      <c r="I9" s="6">
        <f t="shared" si="2"/>
        <v>0.13399999999999998</v>
      </c>
    </row>
    <row r="10" spans="2:9" x14ac:dyDescent="0.35">
      <c r="B10" t="s">
        <v>11</v>
      </c>
      <c r="C10" s="1">
        <v>2006</v>
      </c>
      <c r="D10" s="1" t="s">
        <v>12</v>
      </c>
      <c r="G10" s="6">
        <f>VLOOKUP(C10,'Pitchbook O&amp;G'!$B$3:$C$22,2)</f>
        <v>1.89E-2</v>
      </c>
      <c r="H10" s="6">
        <f t="shared" si="1"/>
        <v>0.21510000000000001</v>
      </c>
      <c r="I10" s="6">
        <f t="shared" si="2"/>
        <v>0.21510000000000001</v>
      </c>
    </row>
    <row r="11" spans="2:9" x14ac:dyDescent="0.35">
      <c r="B11" t="s">
        <v>13</v>
      </c>
      <c r="C11" s="1">
        <v>2004</v>
      </c>
      <c r="D11" s="1" t="s">
        <v>14</v>
      </c>
      <c r="G11" s="6">
        <f>VLOOKUP(C11,'Pitchbook O&amp;G'!$B$3:$C$22,2)</f>
        <v>0.18579999999999999</v>
      </c>
      <c r="H11" s="6">
        <f t="shared" si="1"/>
        <v>8.3200000000000024E-2</v>
      </c>
      <c r="I11" s="6">
        <f t="shared" si="2"/>
        <v>8.3200000000000024E-2</v>
      </c>
    </row>
    <row r="12" spans="2:9" x14ac:dyDescent="0.35">
      <c r="B12" t="s">
        <v>15</v>
      </c>
      <c r="C12" s="1">
        <v>2001</v>
      </c>
      <c r="D12" s="1" t="s">
        <v>16</v>
      </c>
      <c r="G12" s="6">
        <f>VLOOKUP(C12,'Pitchbook O&amp;G'!$B$3:$C$22,2)</f>
        <v>0.50529999999999997</v>
      </c>
      <c r="H12" s="6">
        <f t="shared" si="1"/>
        <v>0.17870000000000008</v>
      </c>
      <c r="I12" s="6">
        <f t="shared" si="2"/>
        <v>0.17870000000000008</v>
      </c>
    </row>
    <row r="13" spans="2:9" x14ac:dyDescent="0.35">
      <c r="B13" t="s">
        <v>17</v>
      </c>
      <c r="C13" s="1">
        <v>1997</v>
      </c>
      <c r="D13" s="1" t="s">
        <v>18</v>
      </c>
      <c r="G13" s="6"/>
    </row>
    <row r="14" spans="2:9" x14ac:dyDescent="0.35">
      <c r="B14" t="s">
        <v>19</v>
      </c>
      <c r="C14" s="1">
        <v>1996</v>
      </c>
      <c r="D14" s="1" t="s">
        <v>20</v>
      </c>
      <c r="G14" s="6"/>
    </row>
    <row r="15" spans="2:9" x14ac:dyDescent="0.35">
      <c r="B15" t="s">
        <v>21</v>
      </c>
      <c r="C15" s="1">
        <v>1994</v>
      </c>
      <c r="D15" s="1" t="s">
        <v>22</v>
      </c>
      <c r="G15" s="6"/>
    </row>
    <row r="17" spans="2:8" x14ac:dyDescent="0.35">
      <c r="B17" s="12" t="s">
        <v>30</v>
      </c>
      <c r="C17" s="13"/>
      <c r="D17" s="13"/>
      <c r="E17" s="13"/>
      <c r="F17" s="14">
        <f>AVERAGE(F5:F8)</f>
        <v>7.0000000000000007E-2</v>
      </c>
      <c r="G17" s="15"/>
      <c r="H17" s="16">
        <f>AVERAGE(H5:H12)</f>
        <v>0.132075</v>
      </c>
    </row>
  </sheetData>
  <conditionalFormatting sqref="F5:F8">
    <cfRule type="cellIs" dxfId="5" priority="3" operator="lessThan">
      <formula>0</formula>
    </cfRule>
    <cfRule type="cellIs" dxfId="4" priority="4" operator="greaterThan">
      <formula>0</formula>
    </cfRule>
  </conditionalFormatting>
  <conditionalFormatting sqref="H5:H12">
    <cfRule type="cellIs" dxfId="3" priority="5" operator="lessThan">
      <formula>0</formula>
    </cfRule>
    <cfRule type="cellIs" dxfId="2" priority="6" operator="greaterThan">
      <formula>0</formula>
    </cfRule>
  </conditionalFormatting>
  <conditionalFormatting sqref="I5:I1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C02A-3ECD-4BE0-8C0D-B23B1077714F}">
  <dimension ref="B2:C22"/>
  <sheetViews>
    <sheetView showGridLines="0" workbookViewId="0">
      <selection activeCell="C22" sqref="C22"/>
    </sheetView>
  </sheetViews>
  <sheetFormatPr defaultRowHeight="14.5" x14ac:dyDescent="0.35"/>
  <cols>
    <col min="1" max="1" width="1.6328125" customWidth="1"/>
  </cols>
  <sheetData>
    <row r="2" spans="2:3" x14ac:dyDescent="0.35">
      <c r="B2" t="s">
        <v>0</v>
      </c>
      <c r="C2" t="s">
        <v>28</v>
      </c>
    </row>
    <row r="3" spans="2:3" x14ac:dyDescent="0.35">
      <c r="B3">
        <v>1998</v>
      </c>
      <c r="C3" s="6">
        <v>0.20899999999999999</v>
      </c>
    </row>
    <row r="4" spans="2:3" x14ac:dyDescent="0.35">
      <c r="B4">
        <v>1999</v>
      </c>
      <c r="C4" s="6">
        <v>0.24</v>
      </c>
    </row>
    <row r="5" spans="2:3" x14ac:dyDescent="0.35">
      <c r="B5">
        <v>2000</v>
      </c>
      <c r="C5" s="6">
        <v>0.72589999999999999</v>
      </c>
    </row>
    <row r="6" spans="2:3" x14ac:dyDescent="0.35">
      <c r="B6">
        <v>2001</v>
      </c>
      <c r="C6" s="6">
        <v>0.50529999999999997</v>
      </c>
    </row>
    <row r="7" spans="2:3" x14ac:dyDescent="0.35">
      <c r="B7">
        <v>2002</v>
      </c>
      <c r="C7" s="6">
        <v>0.36049999999999999</v>
      </c>
    </row>
    <row r="8" spans="2:3" x14ac:dyDescent="0.35">
      <c r="B8">
        <v>2003</v>
      </c>
      <c r="C8" s="6">
        <v>0.247</v>
      </c>
    </row>
    <row r="9" spans="2:3" x14ac:dyDescent="0.35">
      <c r="B9">
        <v>2004</v>
      </c>
      <c r="C9" s="6">
        <v>0.18579999999999999</v>
      </c>
    </row>
    <row r="10" spans="2:3" x14ac:dyDescent="0.35">
      <c r="B10">
        <v>2005</v>
      </c>
      <c r="C10" s="6">
        <v>7.8399999999999997E-2</v>
      </c>
    </row>
    <row r="11" spans="2:3" x14ac:dyDescent="0.35">
      <c r="B11">
        <v>2006</v>
      </c>
      <c r="C11" s="6">
        <v>1.89E-2</v>
      </c>
    </row>
    <row r="12" spans="2:3" x14ac:dyDescent="0.35">
      <c r="B12">
        <v>2007</v>
      </c>
      <c r="C12" s="6">
        <v>1.0999999999999999E-2</v>
      </c>
    </row>
    <row r="13" spans="2:3" x14ac:dyDescent="0.35">
      <c r="B13">
        <v>2008</v>
      </c>
      <c r="C13" s="6">
        <v>8.3500000000000005E-2</v>
      </c>
    </row>
    <row r="14" spans="2:3" x14ac:dyDescent="0.35">
      <c r="B14">
        <v>2009</v>
      </c>
      <c r="C14" s="6">
        <v>-1.6000000000000001E-3</v>
      </c>
    </row>
    <row r="15" spans="2:3" x14ac:dyDescent="0.35">
      <c r="B15">
        <v>2010</v>
      </c>
      <c r="C15" s="6">
        <v>-0.14799999999999999</v>
      </c>
    </row>
    <row r="16" spans="2:3" x14ac:dyDescent="0.35">
      <c r="B16">
        <v>2011</v>
      </c>
      <c r="C16" s="6">
        <v>4.19E-2</v>
      </c>
    </row>
    <row r="17" spans="2:3" x14ac:dyDescent="0.35">
      <c r="B17">
        <v>2012</v>
      </c>
      <c r="C17" s="6">
        <v>9.1999999999999998E-2</v>
      </c>
    </row>
    <row r="18" spans="2:3" x14ac:dyDescent="0.35">
      <c r="B18">
        <v>2013</v>
      </c>
      <c r="C18" s="6">
        <v>1.2999999999999999E-2</v>
      </c>
    </row>
    <row r="19" spans="2:3" x14ac:dyDescent="0.35">
      <c r="B19">
        <v>2014</v>
      </c>
      <c r="C19" s="6">
        <v>9.6000000000000002E-2</v>
      </c>
    </row>
    <row r="20" spans="2:3" x14ac:dyDescent="0.35">
      <c r="B20">
        <v>2015</v>
      </c>
      <c r="C20" s="6">
        <v>9.2999999999999999E-2</v>
      </c>
    </row>
    <row r="21" spans="2:3" x14ac:dyDescent="0.35">
      <c r="B21">
        <v>2016</v>
      </c>
      <c r="C21" s="6">
        <v>8.2000000000000003E-2</v>
      </c>
    </row>
    <row r="22" spans="2:3" x14ac:dyDescent="0.35">
      <c r="B22">
        <v>2017</v>
      </c>
      <c r="C22" s="6">
        <v>9.74E-2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1713F-9960-4A6D-8FC6-0D4A6B48D258}">
  <dimension ref="B2:C19"/>
  <sheetViews>
    <sheetView workbookViewId="0">
      <selection activeCell="E4" sqref="E4"/>
    </sheetView>
  </sheetViews>
  <sheetFormatPr defaultRowHeight="14.5" x14ac:dyDescent="0.35"/>
  <sheetData>
    <row r="2" spans="2:3" ht="31" x14ac:dyDescent="0.7">
      <c r="B2" s="2"/>
      <c r="C2" s="2"/>
    </row>
    <row r="3" spans="2:3" x14ac:dyDescent="0.35">
      <c r="B3" s="3"/>
      <c r="C3" s="4" t="s">
        <v>25</v>
      </c>
    </row>
    <row r="4" spans="2:3" x14ac:dyDescent="0.35">
      <c r="B4" s="5">
        <v>2010</v>
      </c>
      <c r="C4" s="6">
        <v>1.2E-2</v>
      </c>
    </row>
    <row r="5" spans="2:3" x14ac:dyDescent="0.35">
      <c r="B5" s="5">
        <v>2011</v>
      </c>
      <c r="C5" s="6">
        <v>-6.7000000000000004E-2</v>
      </c>
    </row>
    <row r="6" spans="2:3" x14ac:dyDescent="0.35">
      <c r="B6" s="5">
        <v>2012</v>
      </c>
      <c r="C6" s="6">
        <v>5.0000000000000001E-3</v>
      </c>
    </row>
    <row r="7" spans="2:3" x14ac:dyDescent="0.35">
      <c r="B7" s="5">
        <v>2013</v>
      </c>
      <c r="C7" s="6">
        <v>3.7000000000000005E-2</v>
      </c>
    </row>
    <row r="8" spans="2:3" x14ac:dyDescent="0.35">
      <c r="B8" s="5">
        <v>2014</v>
      </c>
      <c r="C8" s="6">
        <v>3.7999999999999999E-2</v>
      </c>
    </row>
    <row r="9" spans="2:3" x14ac:dyDescent="0.35">
      <c r="B9" s="5">
        <v>2015</v>
      </c>
      <c r="C9" s="6">
        <v>0.08</v>
      </c>
    </row>
    <row r="10" spans="2:3" x14ac:dyDescent="0.35">
      <c r="B10" s="5">
        <v>2016</v>
      </c>
      <c r="C10" s="6">
        <v>6.8000000000000005E-2</v>
      </c>
    </row>
    <row r="11" spans="2:3" x14ac:dyDescent="0.35">
      <c r="B11" s="5">
        <v>2017</v>
      </c>
      <c r="C11" s="6">
        <v>9.1999999999999998E-2</v>
      </c>
    </row>
    <row r="12" spans="2:3" x14ac:dyDescent="0.35">
      <c r="B12" s="5">
        <v>2018</v>
      </c>
      <c r="C12" s="6">
        <v>8.5999999999999993E-2</v>
      </c>
    </row>
    <row r="13" spans="2:3" x14ac:dyDescent="0.35">
      <c r="B13" s="5">
        <v>2019</v>
      </c>
      <c r="C13" s="6">
        <v>0.12</v>
      </c>
    </row>
    <row r="14" spans="2:3" x14ac:dyDescent="0.35">
      <c r="B14" s="5">
        <v>2020</v>
      </c>
      <c r="C14" s="6">
        <v>6.9000000000000006E-2</v>
      </c>
    </row>
    <row r="15" spans="2:3" x14ac:dyDescent="0.35">
      <c r="B15" s="5">
        <v>2021</v>
      </c>
      <c r="C15" s="6">
        <v>0.188</v>
      </c>
    </row>
    <row r="16" spans="2:3" x14ac:dyDescent="0.35">
      <c r="B16" s="5">
        <v>2022</v>
      </c>
      <c r="C16" s="6">
        <v>0.11199999999999999</v>
      </c>
    </row>
    <row r="17" spans="2:3" x14ac:dyDescent="0.35">
      <c r="B17" s="5">
        <v>2023</v>
      </c>
      <c r="C17" s="6">
        <v>9.1999999999999998E-2</v>
      </c>
    </row>
    <row r="18" spans="2:3" x14ac:dyDescent="0.35">
      <c r="B18" s="5">
        <v>2024</v>
      </c>
      <c r="C18" s="6">
        <v>0.04</v>
      </c>
    </row>
    <row r="19" spans="2:3" x14ac:dyDescent="0.35">
      <c r="B19" s="5" t="s">
        <v>26</v>
      </c>
      <c r="C19" s="6">
        <v>6.2E-2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E96F7D-0431-4563-B6C2-CB6997BD4169}">
  <ds:schemaRefs>
    <ds:schemaRef ds:uri="http://schemas.microsoft.com/office/2006/metadata/properties"/>
    <ds:schemaRef ds:uri="http://schemas.microsoft.com/office/infopath/2007/PartnerControls"/>
    <ds:schemaRef ds:uri="bcb6379d-5402-4ed7-9167-0c02804ceeec"/>
    <ds:schemaRef ds:uri="16c4b767-81a9-4964-9cba-5e0dcfc5f91d"/>
  </ds:schemaRefs>
</ds:datastoreItem>
</file>

<file path=customXml/itemProps2.xml><?xml version="1.0" encoding="utf-8"?>
<ds:datastoreItem xmlns:ds="http://schemas.openxmlformats.org/officeDocument/2006/customXml" ds:itemID="{6B98D794-EE53-4533-B1DC-813C15A6346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8205283-4E9D-4463-9B31-03B85966DD40}"/>
</file>

<file path=customXml/itemProps4.xml><?xml version="1.0" encoding="utf-8"?>
<ds:datastoreItem xmlns:ds="http://schemas.openxmlformats.org/officeDocument/2006/customXml" ds:itemID="{94EAAB22-55D1-4138-AE86-FD095E4427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Fund-Level Alpha</vt:lpstr>
      <vt:lpstr>Pitchbook O&amp;G</vt:lpstr>
      <vt:lpstr>MSCI Natural 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Doan</dc:creator>
  <cp:lastModifiedBy>Zachary Doan</cp:lastModifiedBy>
  <dcterms:created xsi:type="dcterms:W3CDTF">2015-06-05T18:17:20Z</dcterms:created>
  <dcterms:modified xsi:type="dcterms:W3CDTF">2025-12-29T16:25:44Z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  <property fmtid="{D5CDD505-2E9C-101B-9397-08002B2CF9AE}" pid="3" name="MediaServiceImageTags">
    <vt:lpwstr/>
  </property>
</Properties>
</file>