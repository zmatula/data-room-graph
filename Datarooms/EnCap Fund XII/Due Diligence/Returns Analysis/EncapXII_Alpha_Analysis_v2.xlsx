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stonegardengroup.sharepoint.com/sites/StoneGardenShare/Shared Documents/Intern/SHARED INTERN FOLDER/Phase 3s/Energy/Encap Fund XII/Internal Approvals and Analysis/Returns Analysis/"/>
    </mc:Choice>
  </mc:AlternateContent>
  <xr:revisionPtr revIDLastSave="131" documentId="8_{CBB110C0-5E7E-4242-8BFC-85E8153FDB3C}" xr6:coauthVersionLast="47" xr6:coauthVersionMax="47" xr10:uidLastSave="{3E6596AD-C84F-4813-A071-21AC322A1C7D}"/>
  <bookViews>
    <workbookView xWindow="28680" yWindow="-120" windowWidth="29040" windowHeight="15720" firstSheet="1" activeTab="1" xr2:uid="{00000000-000D-0000-FFFF-FFFF00000000}"/>
  </bookViews>
  <sheets>
    <sheet name="Fund-Level Alpha" sheetId="3" r:id="rId1"/>
    <sheet name="Company-Level Alpha" sheetId="6" r:id="rId2"/>
    <sheet name="Pitchbook O&amp;G" sheetId="5" r:id="rId3"/>
    <sheet name="MSCI Natural Resourc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0" i="6" l="1"/>
  <c r="R20" i="6" s="1"/>
  <c r="P19" i="6"/>
  <c r="R19" i="6" s="1"/>
  <c r="P18" i="6"/>
  <c r="R18" i="6" s="1"/>
  <c r="P17" i="6"/>
  <c r="R17" i="6" s="1"/>
  <c r="Q16" i="6"/>
  <c r="P16" i="6"/>
  <c r="O16" i="6"/>
  <c r="R16" i="6" s="1"/>
  <c r="P15" i="6"/>
  <c r="R15" i="6" s="1"/>
  <c r="O8" i="6" l="1"/>
  <c r="P8" i="6"/>
  <c r="O9" i="6"/>
  <c r="P9" i="6"/>
  <c r="O10" i="6"/>
  <c r="P10" i="6"/>
  <c r="O11" i="6"/>
  <c r="P11" i="6"/>
  <c r="O14" i="6"/>
  <c r="P14" i="6"/>
  <c r="P7" i="6"/>
  <c r="O7" i="6"/>
  <c r="Q8" i="6"/>
  <c r="Q9" i="6"/>
  <c r="Q10" i="6"/>
  <c r="Q11" i="6"/>
  <c r="Q14" i="6"/>
  <c r="Q7" i="6"/>
  <c r="G6" i="3"/>
  <c r="H6" i="3" s="1"/>
  <c r="I6" i="3" s="1"/>
  <c r="G7" i="3"/>
  <c r="H7" i="3" s="1"/>
  <c r="G8" i="3"/>
  <c r="H8" i="3" s="1"/>
  <c r="G9" i="3"/>
  <c r="H9" i="3" s="1"/>
  <c r="I9" i="3" s="1"/>
  <c r="G10" i="3"/>
  <c r="H10" i="3" s="1"/>
  <c r="I10" i="3" s="1"/>
  <c r="G11" i="3"/>
  <c r="H11" i="3" s="1"/>
  <c r="I11" i="3" s="1"/>
  <c r="G12" i="3"/>
  <c r="H12" i="3" s="1"/>
  <c r="I12" i="3" s="1"/>
  <c r="G5" i="3"/>
  <c r="H5" i="3" s="1"/>
  <c r="E8" i="3"/>
  <c r="F8" i="3" s="1"/>
  <c r="I8" i="3" s="1"/>
  <c r="E6" i="3"/>
  <c r="F6" i="3" s="1"/>
  <c r="E7" i="3"/>
  <c r="F7" i="3" s="1"/>
  <c r="I7" i="3" s="1"/>
  <c r="E5" i="3"/>
  <c r="F5" i="3" s="1"/>
  <c r="F17" i="3" s="1"/>
  <c r="R11" i="6" l="1"/>
  <c r="R10" i="6"/>
  <c r="R9" i="6"/>
  <c r="R7" i="6"/>
  <c r="R14" i="6"/>
  <c r="R8" i="6"/>
  <c r="I5" i="3"/>
  <c r="H1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tc={AB087577-FD40-4708-BBF2-FE67E5171F25}</author>
  </authors>
  <commentList>
    <comment ref="O16" authorId="0" shapeId="0" xr:uid="{AB087577-FD40-4708-BBF2-FE67E5171F2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Fund V has one investment in 2011, hence why it has data here. 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3844FD-78B1-49CB-9A1A-8B949423E3A3}" keepAlive="1" name="Query - Table006 (Page 6)" description="Connection to the 'Table006 (Page 6)' query in the workbook." type="5" refreshedVersion="0" background="1" saveData="1">
    <dbPr connection="Provider=Microsoft.Mashup.OleDb.1;Data Source=$Workbook$;Location=&quot;Table006 (Page 6)&quot;;Extended Properties=&quot;&quot;" command="SELECT * FROM [Table006 (Page 6)]"/>
  </connection>
</connections>
</file>

<file path=xl/sharedStrings.xml><?xml version="1.0" encoding="utf-8"?>
<sst xmlns="http://schemas.openxmlformats.org/spreadsheetml/2006/main" count="850" uniqueCount="271">
  <si>
    <t>Vintage</t>
  </si>
  <si>
    <t>Upstream Fund XI</t>
  </si>
  <si>
    <t>22.2%</t>
  </si>
  <si>
    <t>Upstream Fund X</t>
  </si>
  <si>
    <t>16.4%</t>
  </si>
  <si>
    <t>Upstream Fund IX</t>
  </si>
  <si>
    <t>10.9%</t>
  </si>
  <si>
    <t>Upstream Fund VIII</t>
  </si>
  <si>
    <t>0.6%</t>
  </si>
  <si>
    <t>Upstream Fund VII</t>
  </si>
  <si>
    <t>14.5%</t>
  </si>
  <si>
    <t>Upstream Fund VI</t>
  </si>
  <si>
    <t>23.4%</t>
  </si>
  <si>
    <t>Upstream Fund V</t>
  </si>
  <si>
    <t>26.9%</t>
  </si>
  <si>
    <t>Upstream Fund IV</t>
  </si>
  <si>
    <t>68.4%</t>
  </si>
  <si>
    <t>Upstream Fund III</t>
  </si>
  <si>
    <t>23.5%</t>
  </si>
  <si>
    <t>Upstream Fund II</t>
  </si>
  <si>
    <t>3.6%</t>
  </si>
  <si>
    <t>Upstream Fund I</t>
  </si>
  <si>
    <t>24.8%</t>
  </si>
  <si>
    <t>Net IRR</t>
  </si>
  <si>
    <t>MSCI Natural Resources</t>
  </si>
  <si>
    <t>Natural Resources</t>
  </si>
  <si>
    <t>All</t>
  </si>
  <si>
    <t>Alpha</t>
  </si>
  <si>
    <t>IRR</t>
  </si>
  <si>
    <t>Pitchbook O&amp;G</t>
  </si>
  <si>
    <t>Average</t>
  </si>
  <si>
    <t>EnCap Investments - Fund-level Alpha Analysis</t>
  </si>
  <si>
    <t>Fund</t>
  </si>
  <si>
    <t>Average Fund Alpha</t>
  </si>
  <si>
    <t xml:space="preserve">Company </t>
  </si>
  <si>
    <t>Year</t>
  </si>
  <si>
    <t>Fund XII</t>
  </si>
  <si>
    <t>Fund XI</t>
  </si>
  <si>
    <t>N/A</t>
  </si>
  <si>
    <t>Fund X</t>
  </si>
  <si>
    <t>Fund IX</t>
  </si>
  <si>
    <t>Fund VIII</t>
  </si>
  <si>
    <t>Fund VII</t>
  </si>
  <si>
    <t>Fund VI</t>
  </si>
  <si>
    <t>Fund V</t>
  </si>
  <si>
    <t>Fund IV</t>
  </si>
  <si>
    <t>Fund III</t>
  </si>
  <si>
    <t/>
  </si>
  <si>
    <t>Fund II</t>
  </si>
  <si>
    <t>Fund I</t>
  </si>
  <si>
    <t>MSCI PE</t>
  </si>
  <si>
    <t>Grayson Mill III</t>
  </si>
  <si>
    <t xml:space="preserve">Double Eagle IV </t>
  </si>
  <si>
    <t xml:space="preserve">Ridge Runner (at Cost) </t>
  </si>
  <si>
    <t xml:space="preserve">Black Swan II (at Cost) </t>
  </si>
  <si>
    <t xml:space="preserve">Paloma VII (at Cost) </t>
  </si>
  <si>
    <t xml:space="preserve">Novo II (at Cost) </t>
  </si>
  <si>
    <t xml:space="preserve">Pegasus III (at Cost) </t>
  </si>
  <si>
    <t xml:space="preserve">Verdun III (at Cost) </t>
  </si>
  <si>
    <t>Sable Bay</t>
  </si>
  <si>
    <t>Black Swan</t>
  </si>
  <si>
    <t>Piedra IV</t>
  </si>
  <si>
    <t>Silverado</t>
  </si>
  <si>
    <t>Forge II</t>
  </si>
  <si>
    <t>XCL</t>
  </si>
  <si>
    <t xml:space="preserve">Raisa III </t>
  </si>
  <si>
    <t>Paloma V (Solar &amp; Wind)</t>
  </si>
  <si>
    <t xml:space="preserve">Special Opportunities </t>
  </si>
  <si>
    <t xml:space="preserve">Grayson Mill II </t>
  </si>
  <si>
    <t>Silverback II</t>
  </si>
  <si>
    <t>Enduring IV</t>
  </si>
  <si>
    <t>EnCap Minerals</t>
  </si>
  <si>
    <t>Arbor Gas</t>
  </si>
  <si>
    <t>Grenadier III (at Cost)</t>
  </si>
  <si>
    <t xml:space="preserve">Pegasus II </t>
  </si>
  <si>
    <t xml:space="preserve">Verdun II </t>
  </si>
  <si>
    <t xml:space="preserve">Sabalo II (at Cost) </t>
  </si>
  <si>
    <t xml:space="preserve">Paloma VI </t>
  </si>
  <si>
    <t>Double Eagle IV</t>
  </si>
  <si>
    <t xml:space="preserve">Tumbleweed IV </t>
  </si>
  <si>
    <t xml:space="preserve">Permian Resources (formerly Earthstone) </t>
  </si>
  <si>
    <t xml:space="preserve">M6 </t>
  </si>
  <si>
    <t xml:space="preserve">Southland </t>
  </si>
  <si>
    <t xml:space="preserve">Ameredev </t>
  </si>
  <si>
    <t>Talon III</t>
  </si>
  <si>
    <t xml:space="preserve">Grenadier II </t>
  </si>
  <si>
    <t>Moda</t>
  </si>
  <si>
    <t xml:space="preserve">Staghorn II </t>
  </si>
  <si>
    <t>Felix II</t>
  </si>
  <si>
    <t xml:space="preserve">Raisa </t>
  </si>
  <si>
    <t>Advance</t>
  </si>
  <si>
    <t>Novo</t>
  </si>
  <si>
    <t xml:space="preserve">PetroLegacy </t>
  </si>
  <si>
    <t xml:space="preserve">Grayson Mill </t>
  </si>
  <si>
    <t>Royal Holly</t>
  </si>
  <si>
    <t xml:space="preserve">Fortis Oklahoma </t>
  </si>
  <si>
    <t>Ameredev II</t>
  </si>
  <si>
    <t xml:space="preserve">Staghorn III </t>
  </si>
  <si>
    <t>Olifant</t>
  </si>
  <si>
    <t>Grayson Mill II</t>
  </si>
  <si>
    <t xml:space="preserve">Verdun </t>
  </si>
  <si>
    <t xml:space="preserve">Plains All American </t>
  </si>
  <si>
    <t xml:space="preserve">OGX IV Quinn Ranch </t>
  </si>
  <si>
    <t xml:space="preserve">EnCap Minerals </t>
  </si>
  <si>
    <t>Mongoose</t>
  </si>
  <si>
    <t>Verdun Austin Chalk JV</t>
  </si>
  <si>
    <t>Paloma III</t>
  </si>
  <si>
    <t>Payrock</t>
  </si>
  <si>
    <t>Common III</t>
  </si>
  <si>
    <t xml:space="preserve">Modern </t>
  </si>
  <si>
    <t>Felix</t>
  </si>
  <si>
    <t>QStar</t>
  </si>
  <si>
    <t>Silverback</t>
  </si>
  <si>
    <t>Sabalo</t>
  </si>
  <si>
    <t>Paloma IV</t>
  </si>
  <si>
    <t>Piedra III</t>
  </si>
  <si>
    <t>Fuse</t>
  </si>
  <si>
    <t xml:space="preserve">Sierra </t>
  </si>
  <si>
    <t xml:space="preserve">OGX III VNOM Shares </t>
  </si>
  <si>
    <t xml:space="preserve">Phillips IV </t>
  </si>
  <si>
    <t>QStar II</t>
  </si>
  <si>
    <t xml:space="preserve">Bold III (Permian Resources) </t>
  </si>
  <si>
    <t>Montage (Southwestern Energy)</t>
  </si>
  <si>
    <t xml:space="preserve">Protege III </t>
  </si>
  <si>
    <t xml:space="preserve">Excalibur </t>
  </si>
  <si>
    <t>Caiman</t>
  </si>
  <si>
    <t>Common II</t>
  </si>
  <si>
    <t>Lone Star II</t>
  </si>
  <si>
    <t>Silver Oak</t>
  </si>
  <si>
    <t>Talon II</t>
  </si>
  <si>
    <t>Venado</t>
  </si>
  <si>
    <t>Enduring II</t>
  </si>
  <si>
    <t>Tracker III (Permian Resources)</t>
  </si>
  <si>
    <t>Dorado</t>
  </si>
  <si>
    <t>Forge</t>
  </si>
  <si>
    <t>Firewheel</t>
  </si>
  <si>
    <t>Plantation V</t>
  </si>
  <si>
    <t xml:space="preserve">Halcon </t>
  </si>
  <si>
    <t>Brigadier</t>
  </si>
  <si>
    <t>Broad Oak</t>
  </si>
  <si>
    <t xml:space="preserve">Phillips III (Kimbell Royalty) </t>
  </si>
  <si>
    <t>Grenadier II</t>
  </si>
  <si>
    <t xml:space="preserve">Marlin </t>
  </si>
  <si>
    <t xml:space="preserve">Payrock </t>
  </si>
  <si>
    <t>PennEnergy</t>
  </si>
  <si>
    <t>Common</t>
  </si>
  <si>
    <t>Red Arrow</t>
  </si>
  <si>
    <t>Plantation IV</t>
  </si>
  <si>
    <t>Cordillera III</t>
  </si>
  <si>
    <t>Legado</t>
  </si>
  <si>
    <t>Cheyenne River</t>
  </si>
  <si>
    <t>Oasis</t>
  </si>
  <si>
    <t>Piedra</t>
  </si>
  <si>
    <t>ER Energy Group</t>
  </si>
  <si>
    <t>Earthstone</t>
  </si>
  <si>
    <t>Limestone</t>
  </si>
  <si>
    <t>RiverStone</t>
  </si>
  <si>
    <t>OGX II</t>
  </si>
  <si>
    <t>Bold II</t>
  </si>
  <si>
    <t>PetroEdge II</t>
  </si>
  <si>
    <t>Royal</t>
  </si>
  <si>
    <t>Protege II</t>
  </si>
  <si>
    <t>Cardinal</t>
  </si>
  <si>
    <t>HVL</t>
  </si>
  <si>
    <t>Unconventional</t>
  </si>
  <si>
    <t>Marquette</t>
  </si>
  <si>
    <t>Cornerstone</t>
  </si>
  <si>
    <t>Tracker</t>
  </si>
  <si>
    <t>Empresa II</t>
  </si>
  <si>
    <t>Paloma II</t>
  </si>
  <si>
    <t>Enduring</t>
  </si>
  <si>
    <t>Phillips Energy II</t>
  </si>
  <si>
    <t>Limestone II</t>
  </si>
  <si>
    <t>Piedra II</t>
  </si>
  <si>
    <t>Core</t>
  </si>
  <si>
    <t>Lobos</t>
  </si>
  <si>
    <t>GulfTex</t>
  </si>
  <si>
    <t>GFI (SMDR)</t>
  </si>
  <si>
    <t>Manti</t>
  </si>
  <si>
    <t>Talon</t>
  </si>
  <si>
    <t>Paloma Barnett</t>
  </si>
  <si>
    <t>Crimson III</t>
  </si>
  <si>
    <t>Eagle</t>
  </si>
  <si>
    <t>Grenadier</t>
  </si>
  <si>
    <t>Mediterranean</t>
  </si>
  <si>
    <t>Staghorn</t>
  </si>
  <si>
    <t>Phillips Energy I</t>
  </si>
  <si>
    <t>Peregrine II</t>
  </si>
  <si>
    <t xml:space="preserve">Unconventional </t>
  </si>
  <si>
    <t>Lone Star</t>
  </si>
  <si>
    <t>Laramie II</t>
  </si>
  <si>
    <t>Renaissance</t>
  </si>
  <si>
    <t>Navidad</t>
  </si>
  <si>
    <t>Ovation II</t>
  </si>
  <si>
    <t>Escondido I</t>
  </si>
  <si>
    <t>Cordillera II</t>
  </si>
  <si>
    <t xml:space="preserve">Empresa </t>
  </si>
  <si>
    <t>Shona</t>
  </si>
  <si>
    <t>Bold</t>
  </si>
  <si>
    <t>Crimson</t>
  </si>
  <si>
    <t xml:space="preserve">Savant </t>
  </si>
  <si>
    <t>Plantation III</t>
  </si>
  <si>
    <t xml:space="preserve">NCX II </t>
  </si>
  <si>
    <t xml:space="preserve">JOG </t>
  </si>
  <si>
    <t xml:space="preserve">PAA </t>
  </si>
  <si>
    <t xml:space="preserve">OGX </t>
  </si>
  <si>
    <t>Riverbend</t>
  </si>
  <si>
    <t>EV Energy (Harvest Oil &amp; Gas)</t>
  </si>
  <si>
    <t>Destiny</t>
  </si>
  <si>
    <t>O'BENCO II</t>
  </si>
  <si>
    <t>Phillips Royalty</t>
  </si>
  <si>
    <t>PetroEdge</t>
  </si>
  <si>
    <t>Laramie</t>
  </si>
  <si>
    <t>Laredo I</t>
  </si>
  <si>
    <t xml:space="preserve">Ovation I </t>
  </si>
  <si>
    <t xml:space="preserve">Sawtooth </t>
  </si>
  <si>
    <t>Sierra 2002 (bridge)</t>
  </si>
  <si>
    <t>Medicine Bow</t>
  </si>
  <si>
    <t xml:space="preserve">Plantation I </t>
  </si>
  <si>
    <t xml:space="preserve">Nautilus </t>
  </si>
  <si>
    <t>Laredo II</t>
  </si>
  <si>
    <t>Plantation II</t>
  </si>
  <si>
    <t xml:space="preserve">Petrohawk </t>
  </si>
  <si>
    <t xml:space="preserve">Stroud </t>
  </si>
  <si>
    <t xml:space="preserve">Tempest </t>
  </si>
  <si>
    <t>NGL</t>
  </si>
  <si>
    <t xml:space="preserve">Protege </t>
  </si>
  <si>
    <t>Peregrine I</t>
  </si>
  <si>
    <t>Laredo III</t>
  </si>
  <si>
    <t>Benz</t>
  </si>
  <si>
    <t xml:space="preserve">Harken </t>
  </si>
  <si>
    <t xml:space="preserve">San Juan </t>
  </si>
  <si>
    <t>Sharpe</t>
  </si>
  <si>
    <t xml:space="preserve">BreitBurn </t>
  </si>
  <si>
    <t>Plains Resources</t>
  </si>
  <si>
    <t xml:space="preserve">CERES </t>
  </si>
  <si>
    <t>Matrix III</t>
  </si>
  <si>
    <t xml:space="preserve">3TEC </t>
  </si>
  <si>
    <t xml:space="preserve">Bargo </t>
  </si>
  <si>
    <t xml:space="preserve">Cordillera </t>
  </si>
  <si>
    <t>Cheniere</t>
  </si>
  <si>
    <t xml:space="preserve">First Permian </t>
  </si>
  <si>
    <t xml:space="preserve">American Coastal </t>
  </si>
  <si>
    <t xml:space="preserve">Dallas Production </t>
  </si>
  <si>
    <t xml:space="preserve">PetroQuest </t>
  </si>
  <si>
    <t>Plains All-American LP Units</t>
  </si>
  <si>
    <t>Copano</t>
  </si>
  <si>
    <t>NCX</t>
  </si>
  <si>
    <t xml:space="preserve">Plains All-American GP &amp; LP Units </t>
  </si>
  <si>
    <t>MPAC II</t>
  </si>
  <si>
    <t xml:space="preserve">Cliffwood </t>
  </si>
  <si>
    <t xml:space="preserve">Sierra-Harris </t>
  </si>
  <si>
    <t xml:space="preserve">Matrix II </t>
  </si>
  <si>
    <t xml:space="preserve">Duck Lake </t>
  </si>
  <si>
    <t>Paloma</t>
  </si>
  <si>
    <t>Sierra 94</t>
  </si>
  <si>
    <t xml:space="preserve">ATP </t>
  </si>
  <si>
    <t xml:space="preserve">Future </t>
  </si>
  <si>
    <t>TAP</t>
  </si>
  <si>
    <t>EnerVest</t>
  </si>
  <si>
    <t>Sotex Frio</t>
  </si>
  <si>
    <t>Matrix I</t>
  </si>
  <si>
    <t>Double Diamond</t>
  </si>
  <si>
    <t>MPAC I</t>
  </si>
  <si>
    <t>Sierra 96</t>
  </si>
  <si>
    <t>Company Level Alpha Summary</t>
  </si>
  <si>
    <t>MSCI Natural</t>
  </si>
  <si>
    <t>Resources</t>
  </si>
  <si>
    <t>Pitchbook</t>
  </si>
  <si>
    <t>Oil &amp; Gas</t>
  </si>
  <si>
    <t>Limited Benchmark Data, exclude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</si>
</sst>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name val="Arial"/>
      <family val="2"/>
    </font>
    <font>
      <b/>
      <u/>
      <sz val="10"/>
      <color theme="1"/>
      <name val="Arial"/>
      <family val="2"/>
    </font>
    <font>
      <b/>
      <u/>
      <sz val="10"/>
      <color indexed="8"/>
      <name val="Arial"/>
      <family val="2"/>
    </font>
    <font>
      <b/>
      <sz val="10"/>
      <color theme="1"/>
      <name val="Arial"/>
      <family val="2"/>
    </font>
    <font>
      <sz val="12"/>
      <color indexed="8"/>
      <name val="Arial"/>
      <family val="2"/>
    </font>
    <font>
      <sz val="12"/>
      <color theme="1"/>
      <name val="Arial"/>
      <family val="2"/>
    </font>
    <font>
      <b/>
      <u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u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31">
    <xf numFmtId="0" fontId="0" fillId="0" borderId="0" xfId="0"/>
    <xf numFmtId="0" fontId="0" fillId="0" borderId="0" xfId="0" applyAlignment="1">
      <alignment horizontal="right"/>
    </xf>
    <xf numFmtId="0" fontId="2" fillId="2" borderId="0" xfId="0" applyFont="1" applyFill="1" applyAlignment="1">
      <alignment horizontal="centerContinuous"/>
    </xf>
    <xf numFmtId="0" fontId="0" fillId="3" borderId="0" xfId="0" applyFill="1"/>
    <xf numFmtId="0" fontId="1" fillId="3" borderId="0" xfId="0" applyFont="1" applyFill="1"/>
    <xf numFmtId="0" fontId="1" fillId="3" borderId="0" xfId="0" applyFont="1" applyFill="1" applyAlignment="1">
      <alignment horizontal="right"/>
    </xf>
    <xf numFmtId="164" fontId="0" fillId="0" borderId="0" xfId="0" applyNumberFormat="1"/>
    <xf numFmtId="0" fontId="3" fillId="4" borderId="0" xfId="0" applyFont="1" applyFill="1"/>
    <xf numFmtId="0" fontId="3" fillId="4" borderId="0" xfId="0" applyFont="1" applyFill="1" applyAlignment="1">
      <alignment horizontal="right"/>
    </xf>
    <xf numFmtId="0" fontId="3" fillId="4" borderId="0" xfId="0" applyFont="1" applyFill="1" applyAlignment="1">
      <alignment wrapText="1"/>
    </xf>
    <xf numFmtId="0" fontId="1" fillId="0" borderId="0" xfId="0" applyFont="1"/>
    <xf numFmtId="0" fontId="4" fillId="0" borderId="0" xfId="0" applyFont="1"/>
    <xf numFmtId="0" fontId="1" fillId="3" borderId="1" xfId="0" applyFont="1" applyFill="1" applyBorder="1"/>
    <xf numFmtId="0" fontId="1" fillId="3" borderId="2" xfId="0" applyFont="1" applyFill="1" applyBorder="1"/>
    <xf numFmtId="164" fontId="5" fillId="3" borderId="2" xfId="0" applyNumberFormat="1" applyFont="1" applyFill="1" applyBorder="1"/>
    <xf numFmtId="0" fontId="5" fillId="3" borderId="2" xfId="0" applyFont="1" applyFill="1" applyBorder="1"/>
    <xf numFmtId="164" fontId="5" fillId="3" borderId="3" xfId="0" applyNumberFormat="1" applyFont="1" applyFill="1" applyBorder="1"/>
    <xf numFmtId="0" fontId="7" fillId="0" borderId="0" xfId="1" applyFont="1"/>
    <xf numFmtId="1" fontId="8" fillId="0" borderId="0" xfId="1" applyNumberFormat="1" applyFont="1" applyAlignment="1">
      <alignment horizontal="center"/>
    </xf>
    <xf numFmtId="164" fontId="9" fillId="0" borderId="0" xfId="1" applyNumberFormat="1" applyFont="1" applyAlignment="1">
      <alignment horizontal="right"/>
    </xf>
    <xf numFmtId="0" fontId="10" fillId="0" borderId="0" xfId="1" applyFont="1"/>
    <xf numFmtId="0" fontId="11" fillId="0" borderId="0" xfId="1" applyFont="1" applyAlignment="1">
      <alignment vertical="center"/>
    </xf>
    <xf numFmtId="1" fontId="10" fillId="0" borderId="0" xfId="1" applyNumberFormat="1" applyFont="1" applyAlignment="1">
      <alignment horizontal="center" vertical="center"/>
    </xf>
    <xf numFmtId="164" fontId="0" fillId="0" borderId="0" xfId="0" applyNumberFormat="1" applyAlignment="1">
      <alignment horizontal="right"/>
    </xf>
    <xf numFmtId="1" fontId="10" fillId="0" borderId="0" xfId="1" applyNumberFormat="1" applyFont="1" applyAlignment="1">
      <alignment horizontal="center"/>
    </xf>
    <xf numFmtId="0" fontId="11" fillId="0" borderId="0" xfId="1" applyFont="1"/>
    <xf numFmtId="1" fontId="10" fillId="0" borderId="0" xfId="1" quotePrefix="1" applyNumberFormat="1" applyFont="1" applyAlignment="1">
      <alignment horizontal="center" vertical="center"/>
    </xf>
    <xf numFmtId="1" fontId="10" fillId="0" borderId="0" xfId="1" quotePrefix="1" applyNumberFormat="1" applyFont="1" applyAlignment="1">
      <alignment horizontal="center"/>
    </xf>
    <xf numFmtId="1" fontId="11" fillId="0" borderId="0" xfId="1" applyNumberFormat="1" applyFont="1" applyAlignment="1">
      <alignment horizontal="center"/>
    </xf>
    <xf numFmtId="164" fontId="12" fillId="0" borderId="0" xfId="0" applyNumberFormat="1" applyFont="1"/>
    <xf numFmtId="164" fontId="14" fillId="0" borderId="0" xfId="0" applyNumberFormat="1" applyFont="1"/>
  </cellXfs>
  <cellStyles count="2">
    <cellStyle name="Normal" xfId="0" builtinId="0"/>
    <cellStyle name="Normal 2" xfId="1" xr:uid="{E75464B2-AE2C-4ACE-8CAA-3F6DB31D6FD9}"/>
  </cellStyles>
  <dxfs count="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Relationship Id="rId14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Zachary Doan" id="{BA87B232-C0EC-4A06-844E-0FDB819BE01B}" userId="S::ZDoan@stonegardengroup.com::57ea5409-1e15-4668-898f-d5d98f84a5d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6" dT="2025-12-30T18:48:35.62" personId="{BA87B232-C0EC-4A06-844E-0FDB819BE01B}" id="{AB087577-FD40-4708-BBF2-FE67E5171F25}">
    <text xml:space="preserve">Fund V has one investment in 2011, hence why it has data here. 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95DF0-4C61-4B77-8E3C-39B485180EC1}">
  <dimension ref="B2:I17"/>
  <sheetViews>
    <sheetView showGridLines="0" workbookViewId="0">
      <selection activeCell="C5" sqref="C5:C15"/>
    </sheetView>
  </sheetViews>
  <sheetFormatPr defaultRowHeight="14.5" x14ac:dyDescent="0.35"/>
  <cols>
    <col min="1" max="1" width="1.6328125" customWidth="1"/>
    <col min="2" max="2" width="17" bestFit="1" customWidth="1"/>
    <col min="5" max="8" width="11.6328125" customWidth="1"/>
  </cols>
  <sheetData>
    <row r="2" spans="2:9" ht="23.5" x14ac:dyDescent="0.55000000000000004">
      <c r="B2" s="11" t="s">
        <v>31</v>
      </c>
    </row>
    <row r="3" spans="2:9" x14ac:dyDescent="0.35">
      <c r="B3" s="10"/>
    </row>
    <row r="4" spans="2:9" ht="43.5" x14ac:dyDescent="0.35">
      <c r="B4" s="7" t="s">
        <v>32</v>
      </c>
      <c r="C4" s="8" t="s">
        <v>0</v>
      </c>
      <c r="D4" s="8" t="s">
        <v>23</v>
      </c>
      <c r="E4" s="9" t="s">
        <v>24</v>
      </c>
      <c r="F4" s="7" t="s">
        <v>27</v>
      </c>
      <c r="G4" s="9" t="s">
        <v>29</v>
      </c>
      <c r="H4" s="7" t="s">
        <v>27</v>
      </c>
      <c r="I4" s="9" t="s">
        <v>33</v>
      </c>
    </row>
    <row r="5" spans="2:9" x14ac:dyDescent="0.35">
      <c r="B5" t="s">
        <v>1</v>
      </c>
      <c r="C5" s="1">
        <v>2017</v>
      </c>
      <c r="D5" s="1" t="s">
        <v>2</v>
      </c>
      <c r="E5" s="6">
        <f>VLOOKUP(C5,'MSCI Natural Resources'!B4:C19,2)</f>
        <v>9.1999999999999998E-2</v>
      </c>
      <c r="F5" s="6">
        <f>$D5-E5</f>
        <v>0.13</v>
      </c>
      <c r="G5" s="6">
        <f>VLOOKUP(C5,'Pitchbook O&amp;G'!$B$3:$C$22,2)</f>
        <v>9.74E-2</v>
      </c>
      <c r="H5" s="6">
        <f>$D5-G5</f>
        <v>0.1246</v>
      </c>
      <c r="I5" s="6">
        <f>AVERAGE(F5,H5)</f>
        <v>0.1273</v>
      </c>
    </row>
    <row r="6" spans="2:9" x14ac:dyDescent="0.35">
      <c r="B6" t="s">
        <v>3</v>
      </c>
      <c r="C6" s="1">
        <v>2015</v>
      </c>
      <c r="D6" s="1" t="s">
        <v>4</v>
      </c>
      <c r="E6" s="6">
        <f>VLOOKUP(C6,'MSCI Natural Resources'!B5:C20,2)</f>
        <v>0.08</v>
      </c>
      <c r="F6" s="6">
        <f t="shared" ref="F6:F8" si="0">$D6-E6</f>
        <v>8.4000000000000005E-2</v>
      </c>
      <c r="G6" s="6">
        <f>VLOOKUP(C6,'Pitchbook O&amp;G'!$B$3:$C$22,2)</f>
        <v>9.2999999999999999E-2</v>
      </c>
      <c r="H6" s="6">
        <f t="shared" ref="H6:H12" si="1">$D6-G6</f>
        <v>7.1000000000000008E-2</v>
      </c>
      <c r="I6" s="6">
        <f t="shared" ref="I6:I12" si="2">AVERAGE(F6,H6)</f>
        <v>7.7500000000000013E-2</v>
      </c>
    </row>
    <row r="7" spans="2:9" x14ac:dyDescent="0.35">
      <c r="B7" t="s">
        <v>5</v>
      </c>
      <c r="C7" s="1">
        <v>2013</v>
      </c>
      <c r="D7" s="1" t="s">
        <v>6</v>
      </c>
      <c r="E7" s="6">
        <f>VLOOKUP(C7,'MSCI Natural Resources'!B6:C21,2)</f>
        <v>3.7000000000000005E-2</v>
      </c>
      <c r="F7" s="6">
        <f t="shared" si="0"/>
        <v>7.1999999999999995E-2</v>
      </c>
      <c r="G7" s="6">
        <f>VLOOKUP(C7,'Pitchbook O&amp;G'!$B$3:$C$22,2)</f>
        <v>1.2999999999999999E-2</v>
      </c>
      <c r="H7" s="6">
        <f t="shared" si="1"/>
        <v>9.6000000000000002E-2</v>
      </c>
      <c r="I7" s="6">
        <f t="shared" si="2"/>
        <v>8.3999999999999991E-2</v>
      </c>
    </row>
    <row r="8" spans="2:9" x14ac:dyDescent="0.35">
      <c r="B8" t="s">
        <v>7</v>
      </c>
      <c r="C8" s="1">
        <v>2010</v>
      </c>
      <c r="D8" s="1" t="s">
        <v>8</v>
      </c>
      <c r="E8" s="6">
        <f>VLOOKUP(C8,'MSCI Natural Resources'!B4:C19,2)</f>
        <v>1.2E-2</v>
      </c>
      <c r="F8" s="6">
        <f t="shared" si="0"/>
        <v>-6.0000000000000001E-3</v>
      </c>
      <c r="G8" s="6">
        <f>VLOOKUP(C8,'Pitchbook O&amp;G'!$B$3:$C$22,2)</f>
        <v>-0.14799999999999999</v>
      </c>
      <c r="H8" s="6">
        <f t="shared" si="1"/>
        <v>0.154</v>
      </c>
      <c r="I8" s="6">
        <f t="shared" si="2"/>
        <v>7.3999999999999996E-2</v>
      </c>
    </row>
    <row r="9" spans="2:9" x14ac:dyDescent="0.35">
      <c r="B9" t="s">
        <v>9</v>
      </c>
      <c r="C9" s="1">
        <v>2007</v>
      </c>
      <c r="D9" s="1" t="s">
        <v>10</v>
      </c>
      <c r="G9" s="6">
        <f>VLOOKUP(C9,'Pitchbook O&amp;G'!$B$3:$C$22,2)</f>
        <v>1.0999999999999999E-2</v>
      </c>
      <c r="H9" s="6">
        <f t="shared" si="1"/>
        <v>0.13399999999999998</v>
      </c>
      <c r="I9" s="6">
        <f t="shared" si="2"/>
        <v>0.13399999999999998</v>
      </c>
    </row>
    <row r="10" spans="2:9" x14ac:dyDescent="0.35">
      <c r="B10" t="s">
        <v>11</v>
      </c>
      <c r="C10" s="1">
        <v>2006</v>
      </c>
      <c r="D10" s="1" t="s">
        <v>12</v>
      </c>
      <c r="G10" s="6">
        <f>VLOOKUP(C10,'Pitchbook O&amp;G'!$B$3:$C$22,2)</f>
        <v>1.89E-2</v>
      </c>
      <c r="H10" s="6">
        <f t="shared" si="1"/>
        <v>0.21510000000000001</v>
      </c>
      <c r="I10" s="6">
        <f t="shared" si="2"/>
        <v>0.21510000000000001</v>
      </c>
    </row>
    <row r="11" spans="2:9" x14ac:dyDescent="0.35">
      <c r="B11" t="s">
        <v>13</v>
      </c>
      <c r="C11" s="1">
        <v>2004</v>
      </c>
      <c r="D11" s="1" t="s">
        <v>14</v>
      </c>
      <c r="G11" s="6">
        <f>VLOOKUP(C11,'Pitchbook O&amp;G'!$B$3:$C$22,2)</f>
        <v>0.18579999999999999</v>
      </c>
      <c r="H11" s="6">
        <f t="shared" si="1"/>
        <v>8.3200000000000024E-2</v>
      </c>
      <c r="I11" s="6">
        <f t="shared" si="2"/>
        <v>8.3200000000000024E-2</v>
      </c>
    </row>
    <row r="12" spans="2:9" x14ac:dyDescent="0.35">
      <c r="B12" t="s">
        <v>15</v>
      </c>
      <c r="C12" s="1">
        <v>2001</v>
      </c>
      <c r="D12" s="1" t="s">
        <v>16</v>
      </c>
      <c r="G12" s="6">
        <f>VLOOKUP(C12,'Pitchbook O&amp;G'!$B$3:$C$22,2)</f>
        <v>0.50529999999999997</v>
      </c>
      <c r="H12" s="6">
        <f t="shared" si="1"/>
        <v>0.17870000000000008</v>
      </c>
      <c r="I12" s="6">
        <f t="shared" si="2"/>
        <v>0.17870000000000008</v>
      </c>
    </row>
    <row r="13" spans="2:9" x14ac:dyDescent="0.35">
      <c r="B13" t="s">
        <v>17</v>
      </c>
      <c r="C13" s="1">
        <v>1997</v>
      </c>
      <c r="D13" s="1" t="s">
        <v>18</v>
      </c>
      <c r="G13" s="6"/>
    </row>
    <row r="14" spans="2:9" x14ac:dyDescent="0.35">
      <c r="B14" t="s">
        <v>19</v>
      </c>
      <c r="C14" s="1">
        <v>1996</v>
      </c>
      <c r="D14" s="1" t="s">
        <v>20</v>
      </c>
      <c r="G14" s="6"/>
    </row>
    <row r="15" spans="2:9" x14ac:dyDescent="0.35">
      <c r="B15" t="s">
        <v>21</v>
      </c>
      <c r="C15" s="1">
        <v>1994</v>
      </c>
      <c r="D15" s="1" t="s">
        <v>22</v>
      </c>
      <c r="G15" s="6"/>
    </row>
    <row r="17" spans="2:8" x14ac:dyDescent="0.35">
      <c r="B17" s="12" t="s">
        <v>30</v>
      </c>
      <c r="C17" s="13"/>
      <c r="D17" s="13"/>
      <c r="E17" s="13"/>
      <c r="F17" s="14">
        <f>AVERAGE(F5:F8)</f>
        <v>7.0000000000000007E-2</v>
      </c>
      <c r="G17" s="15"/>
      <c r="H17" s="16">
        <f>AVERAGE(H5:H12)</f>
        <v>0.132075</v>
      </c>
    </row>
  </sheetData>
  <conditionalFormatting sqref="F5:F8">
    <cfRule type="cellIs" dxfId="7" priority="3" operator="lessThan">
      <formula>0</formula>
    </cfRule>
    <cfRule type="cellIs" dxfId="6" priority="4" operator="greaterThan">
      <formula>0</formula>
    </cfRule>
  </conditionalFormatting>
  <conditionalFormatting sqref="H5:I12">
    <cfRule type="cellIs" dxfId="5" priority="1" operator="lessThan">
      <formula>0</formula>
    </cfRule>
    <cfRule type="cellIs" dxfId="4" priority="2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4B96E-8907-4BC7-8CE8-E058FD731282}">
  <dimension ref="B2:R247"/>
  <sheetViews>
    <sheetView showGridLines="0" tabSelected="1" topLeftCell="F1" workbookViewId="0">
      <selection activeCell="W11" sqref="W11"/>
    </sheetView>
  </sheetViews>
  <sheetFormatPr defaultRowHeight="14.5" x14ac:dyDescent="0.35"/>
  <cols>
    <col min="3" max="3" width="42.7265625" bestFit="1" customWidth="1"/>
    <col min="13" max="14" width="8.6328125" customWidth="1"/>
    <col min="15" max="18" width="11.6328125" customWidth="1"/>
  </cols>
  <sheetData>
    <row r="2" spans="2:18" ht="14.5" customHeight="1" x14ac:dyDescent="0.35">
      <c r="B2" s="17" t="s">
        <v>32</v>
      </c>
      <c r="C2" s="17" t="s">
        <v>34</v>
      </c>
      <c r="D2" s="18" t="s">
        <v>35</v>
      </c>
      <c r="E2" s="19" t="s">
        <v>28</v>
      </c>
      <c r="F2" s="29" t="s">
        <v>24</v>
      </c>
      <c r="G2" s="29" t="s">
        <v>27</v>
      </c>
      <c r="H2" s="29" t="s">
        <v>29</v>
      </c>
      <c r="I2" s="29" t="s">
        <v>27</v>
      </c>
      <c r="J2" s="29" t="s">
        <v>50</v>
      </c>
      <c r="K2" s="29" t="s">
        <v>27</v>
      </c>
      <c r="M2" s="30" t="s">
        <v>265</v>
      </c>
      <c r="N2" s="30"/>
      <c r="O2" s="30"/>
      <c r="P2" s="30"/>
      <c r="Q2" s="30"/>
      <c r="R2" s="30"/>
    </row>
    <row r="3" spans="2:18" ht="15.5" customHeight="1" x14ac:dyDescent="0.35">
      <c r="B3" s="20" t="s">
        <v>36</v>
      </c>
      <c r="C3" s="21" t="s">
        <v>51</v>
      </c>
      <c r="D3" s="22">
        <v>2023</v>
      </c>
      <c r="E3" s="23">
        <v>1.0174752116203301</v>
      </c>
      <c r="F3" s="6">
        <v>9.1999999999999998E-2</v>
      </c>
      <c r="G3" s="6">
        <v>0.92547521162033008</v>
      </c>
      <c r="H3" s="6">
        <v>0</v>
      </c>
      <c r="I3" s="6">
        <v>1.0174752116203301</v>
      </c>
      <c r="J3" s="6">
        <v>1.2E-2</v>
      </c>
      <c r="K3" s="6">
        <v>1.00547521162033</v>
      </c>
      <c r="M3" s="30"/>
      <c r="N3" s="30"/>
      <c r="O3" s="30"/>
      <c r="P3" s="30"/>
      <c r="Q3" s="30"/>
      <c r="R3" s="30"/>
    </row>
    <row r="4" spans="2:18" ht="15.5" x14ac:dyDescent="0.35">
      <c r="B4" s="20" t="s">
        <v>36</v>
      </c>
      <c r="C4" s="21" t="s">
        <v>52</v>
      </c>
      <c r="D4" s="22">
        <v>2023</v>
      </c>
      <c r="E4" s="23">
        <v>1.1155496954917912</v>
      </c>
      <c r="F4" s="6">
        <v>9.1999999999999998E-2</v>
      </c>
      <c r="G4" s="6">
        <v>1.0235496954917911</v>
      </c>
      <c r="H4" s="6">
        <v>0</v>
      </c>
      <c r="I4" s="6">
        <v>1.1155496954917912</v>
      </c>
      <c r="J4" s="6">
        <v>1.2E-2</v>
      </c>
      <c r="K4" s="6">
        <v>1.1035496954917912</v>
      </c>
    </row>
    <row r="5" spans="2:18" ht="15.5" x14ac:dyDescent="0.35">
      <c r="B5" s="20" t="s">
        <v>36</v>
      </c>
      <c r="C5" s="21" t="s">
        <v>53</v>
      </c>
      <c r="D5" s="24">
        <v>2023</v>
      </c>
      <c r="E5" s="23">
        <v>2.9802322387695314E-9</v>
      </c>
      <c r="F5" s="6">
        <v>9.1999999999999998E-2</v>
      </c>
      <c r="G5" s="6">
        <v>-9.1999997019767757E-2</v>
      </c>
      <c r="H5" s="6">
        <v>0</v>
      </c>
      <c r="I5" s="6">
        <v>2.9802322387695314E-9</v>
      </c>
      <c r="J5" s="6">
        <v>1.2E-2</v>
      </c>
      <c r="K5" s="6">
        <v>-1.1999997019767762E-2</v>
      </c>
      <c r="M5" s="7"/>
      <c r="N5" s="7"/>
      <c r="O5" s="7" t="s">
        <v>266</v>
      </c>
      <c r="P5" s="7" t="s">
        <v>268</v>
      </c>
      <c r="Q5" s="7"/>
      <c r="R5" s="7" t="s">
        <v>32</v>
      </c>
    </row>
    <row r="6" spans="2:18" ht="15.5" x14ac:dyDescent="0.35">
      <c r="B6" s="20" t="s">
        <v>36</v>
      </c>
      <c r="C6" s="21" t="s">
        <v>54</v>
      </c>
      <c r="D6" s="24">
        <v>2023</v>
      </c>
      <c r="E6" s="23">
        <v>2.9802322387695314E-9</v>
      </c>
      <c r="F6" s="6">
        <v>9.1999999999999998E-2</v>
      </c>
      <c r="G6" s="6">
        <v>-9.1999997019767757E-2</v>
      </c>
      <c r="H6" s="6">
        <v>0</v>
      </c>
      <c r="I6" s="6">
        <v>2.9802322387695314E-9</v>
      </c>
      <c r="J6" s="6">
        <v>1.2E-2</v>
      </c>
      <c r="K6" s="6">
        <v>-1.1999997019767762E-2</v>
      </c>
      <c r="M6" s="7" t="s">
        <v>32</v>
      </c>
      <c r="N6" s="7" t="s">
        <v>0</v>
      </c>
      <c r="O6" s="7" t="s">
        <v>267</v>
      </c>
      <c r="P6" s="7" t="s">
        <v>269</v>
      </c>
      <c r="Q6" s="7" t="s">
        <v>50</v>
      </c>
      <c r="R6" s="7" t="s">
        <v>30</v>
      </c>
    </row>
    <row r="7" spans="2:18" ht="15.5" x14ac:dyDescent="0.35">
      <c r="B7" s="20" t="s">
        <v>36</v>
      </c>
      <c r="C7" s="21" t="s">
        <v>55</v>
      </c>
      <c r="D7" s="24">
        <v>2024</v>
      </c>
      <c r="E7" s="23">
        <v>2.9802322387695314E-9</v>
      </c>
      <c r="F7" s="6">
        <v>0.04</v>
      </c>
      <c r="G7" s="6">
        <v>-3.9999997019767759E-2</v>
      </c>
      <c r="H7" s="6">
        <v>0</v>
      </c>
      <c r="I7" s="6">
        <v>2.9802322387695314E-9</v>
      </c>
      <c r="J7" s="6">
        <v>-7.5999999999999998E-2</v>
      </c>
      <c r="K7" s="6">
        <v>7.600000298023224E-2</v>
      </c>
      <c r="M7" t="s">
        <v>36</v>
      </c>
      <c r="N7" s="6">
        <v>20.23</v>
      </c>
      <c r="O7" s="6">
        <f>AVERAGEIF($B:$B,$M7,F:F)</f>
        <v>6.5999999999999989E-2</v>
      </c>
      <c r="P7" s="6">
        <f>AVERAGEIF($B:$B,$M7,I:I)</f>
        <v>0.26662811525166019</v>
      </c>
      <c r="Q7" s="6">
        <f>AVERAGEIF(B:B,$M7,K:K)</f>
        <v>0.29862811525166022</v>
      </c>
      <c r="R7" s="6">
        <f>AVERAGE(O7:Q7)</f>
        <v>0.21041874350110681</v>
      </c>
    </row>
    <row r="8" spans="2:18" ht="15.5" x14ac:dyDescent="0.35">
      <c r="B8" s="20" t="s">
        <v>36</v>
      </c>
      <c r="C8" s="21" t="s">
        <v>56</v>
      </c>
      <c r="D8" s="22">
        <v>2024</v>
      </c>
      <c r="E8" s="23">
        <v>2.9802322387695314E-9</v>
      </c>
      <c r="F8" s="6">
        <v>0.04</v>
      </c>
      <c r="G8" s="6">
        <v>-3.9999997019767759E-2</v>
      </c>
      <c r="H8" s="6">
        <v>0</v>
      </c>
      <c r="I8" s="6">
        <v>2.9802322387695314E-9</v>
      </c>
      <c r="J8" s="6">
        <v>-7.5999999999999998E-2</v>
      </c>
      <c r="K8" s="6">
        <v>7.600000298023224E-2</v>
      </c>
      <c r="M8" t="s">
        <v>37</v>
      </c>
      <c r="N8" s="1">
        <v>2017</v>
      </c>
      <c r="O8" s="6">
        <f>AVERAGEIF($B:$B,$M8,F:F)</f>
        <v>0.12300000000000004</v>
      </c>
      <c r="P8" s="6">
        <f>AVERAGEIF($B:$B,$M8,I:I)</f>
        <v>0.2504861821939548</v>
      </c>
      <c r="Q8" s="6">
        <f>AVERAGEIF(B:B,$M8,K:K)</f>
        <v>0.18276118219395479</v>
      </c>
      <c r="R8" s="6">
        <f t="shared" ref="R8:R20" si="0">AVERAGE(O8:Q8)</f>
        <v>0.18541578812930323</v>
      </c>
    </row>
    <row r="9" spans="2:18" ht="15.5" x14ac:dyDescent="0.35">
      <c r="B9" s="20" t="s">
        <v>36</v>
      </c>
      <c r="C9" s="21" t="s">
        <v>57</v>
      </c>
      <c r="D9" s="22">
        <v>2024</v>
      </c>
      <c r="E9" s="23">
        <v>2.9802322387695314E-9</v>
      </c>
      <c r="F9" s="6">
        <v>0.04</v>
      </c>
      <c r="G9" s="6">
        <v>-3.9999997019767759E-2</v>
      </c>
      <c r="H9" s="6">
        <v>0</v>
      </c>
      <c r="I9" s="6">
        <v>2.9802322387695314E-9</v>
      </c>
      <c r="J9" s="6">
        <v>-7.5999999999999998E-2</v>
      </c>
      <c r="K9" s="6">
        <v>7.600000298023224E-2</v>
      </c>
      <c r="M9" t="s">
        <v>39</v>
      </c>
      <c r="N9" s="1">
        <v>2015</v>
      </c>
      <c r="O9" s="6">
        <f>AVERAGEIF($B:$B,$M9,F:F)</f>
        <v>8.7846153846153893E-2</v>
      </c>
      <c r="P9" s="6">
        <f>AVERAGEIF($B:$B,$M9,I:I)</f>
        <v>0.28090057668135715</v>
      </c>
      <c r="Q9" s="6">
        <f>AVERAGEIF(B:B,$M9,K:K)</f>
        <v>0.21796980745058794</v>
      </c>
      <c r="R9" s="6">
        <f t="shared" si="0"/>
        <v>0.19557217932603299</v>
      </c>
    </row>
    <row r="10" spans="2:18" ht="15.5" x14ac:dyDescent="0.35">
      <c r="B10" s="20" t="s">
        <v>36</v>
      </c>
      <c r="C10" s="21" t="s">
        <v>58</v>
      </c>
      <c r="D10" s="22">
        <v>2024</v>
      </c>
      <c r="E10" s="23">
        <v>0</v>
      </c>
      <c r="F10" s="6">
        <v>0.04</v>
      </c>
      <c r="G10" s="6">
        <v>-0.04</v>
      </c>
      <c r="H10" s="6">
        <v>0</v>
      </c>
      <c r="I10" s="6">
        <v>0</v>
      </c>
      <c r="J10" s="6">
        <v>-7.5999999999999998E-2</v>
      </c>
      <c r="K10" s="6">
        <v>7.5999999999999998E-2</v>
      </c>
      <c r="M10" t="s">
        <v>40</v>
      </c>
      <c r="N10" s="1">
        <v>2013</v>
      </c>
      <c r="O10" s="6">
        <f>AVERAGEIF($B:$B,$M10,F:F)</f>
        <v>4.804761904761904E-2</v>
      </c>
      <c r="P10" s="6">
        <f>AVERAGEIF($B:$B,$M10,I:I)</f>
        <v>9.3887465010370499E-2</v>
      </c>
      <c r="Q10" s="6">
        <f>AVERAGEIF(B:B,$M10,K:K)</f>
        <v>1.2430322153227686E-2</v>
      </c>
      <c r="R10" s="6">
        <f t="shared" si="0"/>
        <v>5.1455135403739076E-2</v>
      </c>
    </row>
    <row r="11" spans="2:18" ht="15.5" x14ac:dyDescent="0.35">
      <c r="B11" s="20" t="s">
        <v>37</v>
      </c>
      <c r="C11" s="21" t="s">
        <v>59</v>
      </c>
      <c r="D11" s="22">
        <v>2017</v>
      </c>
      <c r="E11" s="23" t="s">
        <v>38</v>
      </c>
      <c r="F11" s="6">
        <v>9.1999999999999998E-2</v>
      </c>
      <c r="G11" s="6">
        <v>0</v>
      </c>
      <c r="H11" s="6">
        <v>9.74E-2</v>
      </c>
      <c r="I11" s="6">
        <v>0</v>
      </c>
      <c r="J11" s="6">
        <v>0.17100000000000001</v>
      </c>
      <c r="K11" s="6">
        <v>0</v>
      </c>
      <c r="M11" t="s">
        <v>41</v>
      </c>
      <c r="N11" s="1">
        <v>2010</v>
      </c>
      <c r="O11" s="6">
        <f>AVERAGEIF($B:$B,$M11,F:F)</f>
        <v>-2.8521739130434778E-2</v>
      </c>
      <c r="P11" s="6">
        <f>AVERAGEIF($B:$B,$M11,I:I)</f>
        <v>3.7136926164834383E-2</v>
      </c>
      <c r="Q11" s="6">
        <f>AVERAGEIF(B:B,$M11,K:K)</f>
        <v>-5.7989160791687325E-2</v>
      </c>
      <c r="R11" s="6">
        <f t="shared" si="0"/>
        <v>-1.6457991252429239E-2</v>
      </c>
    </row>
    <row r="12" spans="2:18" ht="15.5" x14ac:dyDescent="0.35">
      <c r="B12" s="20" t="s">
        <v>37</v>
      </c>
      <c r="C12" s="25" t="s">
        <v>60</v>
      </c>
      <c r="D12" s="22">
        <v>2017</v>
      </c>
      <c r="E12" s="23">
        <v>0.5030084669589997</v>
      </c>
      <c r="F12" s="6">
        <v>9.1999999999999998E-2</v>
      </c>
      <c r="G12" s="6">
        <v>0.41100846695899973</v>
      </c>
      <c r="H12" s="6">
        <v>9.74E-2</v>
      </c>
      <c r="I12" s="6">
        <v>0.40560846695899971</v>
      </c>
      <c r="J12" s="6">
        <v>0.17100000000000001</v>
      </c>
      <c r="K12" s="6">
        <v>0.33200846695899966</v>
      </c>
      <c r="R12" s="6"/>
    </row>
    <row r="13" spans="2:18" ht="15.5" x14ac:dyDescent="0.35">
      <c r="B13" s="20" t="s">
        <v>37</v>
      </c>
      <c r="C13" s="21" t="s">
        <v>61</v>
      </c>
      <c r="D13" s="24">
        <v>2018</v>
      </c>
      <c r="E13" s="23">
        <v>0.22318928837776186</v>
      </c>
      <c r="F13" s="6">
        <v>8.5999999999999993E-2</v>
      </c>
      <c r="G13" s="6">
        <v>0.13718928837776187</v>
      </c>
      <c r="H13" s="6">
        <v>0</v>
      </c>
      <c r="I13" s="6">
        <v>0.22318928837776186</v>
      </c>
      <c r="J13" s="6">
        <v>0.14199999999999999</v>
      </c>
      <c r="K13" s="6">
        <v>8.1189288377761876E-2</v>
      </c>
      <c r="M13" s="10" t="s">
        <v>270</v>
      </c>
      <c r="R13" s="6"/>
    </row>
    <row r="14" spans="2:18" ht="15.5" x14ac:dyDescent="0.35">
      <c r="B14" s="20" t="s">
        <v>37</v>
      </c>
      <c r="C14" s="21" t="s">
        <v>62</v>
      </c>
      <c r="D14" s="24">
        <v>2019</v>
      </c>
      <c r="E14" s="23">
        <v>-0.55899999999999994</v>
      </c>
      <c r="F14" s="6">
        <v>0.12</v>
      </c>
      <c r="G14" s="6">
        <v>-0.67899999999999994</v>
      </c>
      <c r="H14" s="6">
        <v>0</v>
      </c>
      <c r="I14" s="6">
        <v>-0.55899999999999994</v>
      </c>
      <c r="J14" s="6">
        <v>0.11199999999999999</v>
      </c>
      <c r="K14" s="6">
        <v>-0.67099999999999993</v>
      </c>
      <c r="M14" t="s">
        <v>42</v>
      </c>
      <c r="N14" s="1">
        <v>2007</v>
      </c>
      <c r="O14" s="6">
        <f>AVERAGEIF($B:$B,$M14,F:F)</f>
        <v>-7.7500000000000017E-3</v>
      </c>
      <c r="P14" s="6">
        <f>AVERAGEIF($B:$B,$M14,I:I)</f>
        <v>1.9114052341952472</v>
      </c>
      <c r="Q14" s="6">
        <f>AVERAGEIF(B:B,$M14,K:K)</f>
        <v>0.14498211671005601</v>
      </c>
      <c r="R14" s="6">
        <f t="shared" si="0"/>
        <v>0.6828791169684344</v>
      </c>
    </row>
    <row r="15" spans="2:18" ht="15.5" x14ac:dyDescent="0.35">
      <c r="B15" s="20" t="s">
        <v>37</v>
      </c>
      <c r="C15" s="21" t="s">
        <v>63</v>
      </c>
      <c r="D15" s="24">
        <v>2018</v>
      </c>
      <c r="E15" s="23">
        <v>0.15750421881675722</v>
      </c>
      <c r="F15" s="6">
        <v>8.5999999999999993E-2</v>
      </c>
      <c r="G15" s="6">
        <v>7.1504218816757226E-2</v>
      </c>
      <c r="H15" s="6">
        <v>0</v>
      </c>
      <c r="I15" s="6">
        <v>0.15750421881675722</v>
      </c>
      <c r="J15" s="6">
        <v>0.14199999999999999</v>
      </c>
      <c r="K15" s="6">
        <v>1.5504218816757231E-2</v>
      </c>
      <c r="M15" t="s">
        <v>43</v>
      </c>
      <c r="N15" s="1">
        <v>2006</v>
      </c>
      <c r="O15" s="6"/>
      <c r="P15" s="6">
        <f>AVERAGEIF($B:$B,$M15,I:I)</f>
        <v>0.28515623957051167</v>
      </c>
      <c r="Q15" s="6"/>
      <c r="R15" s="6">
        <f t="shared" si="0"/>
        <v>0.28515623957051167</v>
      </c>
    </row>
    <row r="16" spans="2:18" ht="15.5" x14ac:dyDescent="0.35">
      <c r="B16" s="20" t="s">
        <v>37</v>
      </c>
      <c r="C16" s="21" t="s">
        <v>64</v>
      </c>
      <c r="D16" s="24">
        <v>2018</v>
      </c>
      <c r="E16" s="23">
        <v>0.26769766211509705</v>
      </c>
      <c r="F16" s="6">
        <v>8.5999999999999993E-2</v>
      </c>
      <c r="G16" s="6">
        <v>0.18169766211509705</v>
      </c>
      <c r="H16" s="6">
        <v>0</v>
      </c>
      <c r="I16" s="6">
        <v>0.26769766211509705</v>
      </c>
      <c r="J16" s="6">
        <v>0.14199999999999999</v>
      </c>
      <c r="K16" s="6">
        <v>0.12569766211509706</v>
      </c>
      <c r="M16" t="s">
        <v>44</v>
      </c>
      <c r="N16" s="1">
        <v>2004</v>
      </c>
      <c r="O16" s="6">
        <f>AVERAGEIF($B:$B,$M16,F:F)</f>
        <v>-6.7000000000000004E-2</v>
      </c>
      <c r="P16" s="6">
        <f>AVERAGEIF($B:$B,$M16,I:I)</f>
        <v>0.54412988177963661</v>
      </c>
      <c r="Q16" s="6">
        <f>AVERAGEIF(B:B,$M16,K:K)</f>
        <v>-1.3178571428571428E-2</v>
      </c>
      <c r="R16" s="6">
        <f t="shared" si="0"/>
        <v>0.15465043678368839</v>
      </c>
    </row>
    <row r="17" spans="2:18" ht="15.5" x14ac:dyDescent="0.35">
      <c r="B17" s="20" t="s">
        <v>37</v>
      </c>
      <c r="C17" s="21" t="s">
        <v>65</v>
      </c>
      <c r="D17" s="24">
        <v>2019</v>
      </c>
      <c r="E17" s="23">
        <v>-0.19800000000000001</v>
      </c>
      <c r="F17" s="6">
        <v>0.12</v>
      </c>
      <c r="G17" s="6">
        <v>-0.318</v>
      </c>
      <c r="H17" s="6">
        <v>0</v>
      </c>
      <c r="I17" s="6">
        <v>-0.19800000000000001</v>
      </c>
      <c r="J17" s="6">
        <v>0.11199999999999999</v>
      </c>
      <c r="K17" s="6">
        <v>-0.31</v>
      </c>
      <c r="M17" t="s">
        <v>45</v>
      </c>
      <c r="N17" s="1">
        <v>2001</v>
      </c>
      <c r="O17" s="6"/>
      <c r="P17" s="6">
        <f>AVERAGEIF($B:$B,$M17,I:I)</f>
        <v>0.57840285569743111</v>
      </c>
      <c r="Q17" s="6"/>
      <c r="R17" s="6">
        <f t="shared" si="0"/>
        <v>0.57840285569743111</v>
      </c>
    </row>
    <row r="18" spans="2:18" ht="15.5" x14ac:dyDescent="0.35">
      <c r="B18" s="20" t="s">
        <v>37</v>
      </c>
      <c r="C18" s="21" t="s">
        <v>66</v>
      </c>
      <c r="D18" s="24">
        <v>2020</v>
      </c>
      <c r="E18" s="23">
        <v>0.12959317564964293</v>
      </c>
      <c r="F18" s="6">
        <v>6.9000000000000006E-2</v>
      </c>
      <c r="G18" s="6">
        <v>6.0593175649642922E-2</v>
      </c>
      <c r="H18" s="6">
        <v>0</v>
      </c>
      <c r="I18" s="6">
        <v>0.12959317564964293</v>
      </c>
      <c r="J18" s="6">
        <v>9.6000000000000002E-2</v>
      </c>
      <c r="K18" s="6">
        <v>3.3593175649642926E-2</v>
      </c>
      <c r="M18" t="s">
        <v>46</v>
      </c>
      <c r="N18" s="1">
        <v>1997</v>
      </c>
      <c r="O18" s="6"/>
      <c r="P18" s="6">
        <f>AVERAGEIF($B:$B,$M18,I:I)</f>
        <v>-1.5584878876209218E-2</v>
      </c>
      <c r="Q18" s="6"/>
      <c r="R18" s="6">
        <f t="shared" si="0"/>
        <v>-1.5584878876209218E-2</v>
      </c>
    </row>
    <row r="19" spans="2:18" ht="15.5" x14ac:dyDescent="0.35">
      <c r="B19" s="20" t="s">
        <v>37</v>
      </c>
      <c r="C19" s="21" t="s">
        <v>67</v>
      </c>
      <c r="D19" s="22">
        <v>2020</v>
      </c>
      <c r="E19" s="23">
        <v>1.3644676327705385</v>
      </c>
      <c r="F19" s="6">
        <v>6.9000000000000006E-2</v>
      </c>
      <c r="G19" s="6">
        <v>1.2954676327705386</v>
      </c>
      <c r="H19" s="6">
        <v>0</v>
      </c>
      <c r="I19" s="6">
        <v>1.3644676327705385</v>
      </c>
      <c r="J19" s="6">
        <v>9.6000000000000002E-2</v>
      </c>
      <c r="K19" s="6">
        <v>1.2684676327705384</v>
      </c>
      <c r="M19" t="s">
        <v>48</v>
      </c>
      <c r="N19" s="1">
        <v>1996</v>
      </c>
      <c r="O19" s="6"/>
      <c r="P19" s="6">
        <f>AVERAGEIF($B:$B,$M19,I:I)</f>
        <v>0</v>
      </c>
      <c r="Q19" s="6"/>
      <c r="R19" s="6">
        <f t="shared" si="0"/>
        <v>0</v>
      </c>
    </row>
    <row r="20" spans="2:18" ht="15.5" x14ac:dyDescent="0.35">
      <c r="B20" s="20" t="s">
        <v>37</v>
      </c>
      <c r="C20" s="21" t="s">
        <v>68</v>
      </c>
      <c r="D20" s="22">
        <v>2021</v>
      </c>
      <c r="E20" s="23">
        <v>1.0639263272285462</v>
      </c>
      <c r="F20" s="6">
        <v>0.188</v>
      </c>
      <c r="G20" s="6">
        <v>0.87592632722854624</v>
      </c>
      <c r="H20" s="6">
        <v>0</v>
      </c>
      <c r="I20" s="6">
        <v>1.0639263272285462</v>
      </c>
      <c r="J20" s="6">
        <v>5.5E-2</v>
      </c>
      <c r="K20" s="6">
        <v>1.0089263272285462</v>
      </c>
      <c r="M20" t="s">
        <v>49</v>
      </c>
      <c r="N20" s="1">
        <v>1994</v>
      </c>
      <c r="O20" s="6"/>
      <c r="P20" s="6">
        <f>AVERAGEIF($B:$B,$M20,I:I)</f>
        <v>0</v>
      </c>
      <c r="Q20" s="6"/>
      <c r="R20" s="6">
        <f t="shared" si="0"/>
        <v>0</v>
      </c>
    </row>
    <row r="21" spans="2:18" ht="15.5" x14ac:dyDescent="0.35">
      <c r="B21" s="20" t="s">
        <v>37</v>
      </c>
      <c r="C21" s="21" t="s">
        <v>51</v>
      </c>
      <c r="D21" s="24">
        <v>2023</v>
      </c>
      <c r="E21" s="23">
        <v>0.93797346353530875</v>
      </c>
      <c r="F21" s="6">
        <v>9.1999999999999998E-2</v>
      </c>
      <c r="G21" s="6">
        <v>0.84597346353530878</v>
      </c>
      <c r="H21" s="6">
        <v>0</v>
      </c>
      <c r="I21" s="6">
        <v>0.93797346353530875</v>
      </c>
      <c r="J21" s="6">
        <v>1.2E-2</v>
      </c>
      <c r="K21" s="6">
        <v>0.92597346353530874</v>
      </c>
    </row>
    <row r="22" spans="2:18" ht="15.5" x14ac:dyDescent="0.35">
      <c r="B22" s="20" t="s">
        <v>37</v>
      </c>
      <c r="C22" s="21" t="s">
        <v>69</v>
      </c>
      <c r="D22" s="22">
        <v>2017</v>
      </c>
      <c r="E22" s="23">
        <v>-4.5999999999999999E-2</v>
      </c>
      <c r="F22" s="6">
        <v>9.1999999999999998E-2</v>
      </c>
      <c r="G22" s="6">
        <v>-0.13800000000000001</v>
      </c>
      <c r="H22" s="6">
        <v>9.74E-2</v>
      </c>
      <c r="I22" s="6">
        <v>-0.1434</v>
      </c>
      <c r="J22" s="6">
        <v>0.17100000000000001</v>
      </c>
      <c r="K22" s="6">
        <v>-0.21700000000000003</v>
      </c>
    </row>
    <row r="23" spans="2:18" ht="15.5" x14ac:dyDescent="0.35">
      <c r="B23" s="20" t="s">
        <v>37</v>
      </c>
      <c r="C23" s="25" t="s">
        <v>70</v>
      </c>
      <c r="D23" s="22">
        <v>2017</v>
      </c>
      <c r="E23" s="23">
        <v>3.2610252499580397E-2</v>
      </c>
      <c r="F23" s="6">
        <v>9.1999999999999998E-2</v>
      </c>
      <c r="G23" s="6">
        <v>-5.9389747500419601E-2</v>
      </c>
      <c r="H23" s="6">
        <v>9.74E-2</v>
      </c>
      <c r="I23" s="6">
        <v>-6.4789747500419603E-2</v>
      </c>
      <c r="J23" s="6">
        <v>0.17100000000000001</v>
      </c>
      <c r="K23" s="6">
        <v>-0.1383897475004196</v>
      </c>
    </row>
    <row r="24" spans="2:18" ht="15.5" x14ac:dyDescent="0.35">
      <c r="B24" s="20" t="s">
        <v>37</v>
      </c>
      <c r="C24" s="21" t="s">
        <v>71</v>
      </c>
      <c r="D24" s="24">
        <v>2017</v>
      </c>
      <c r="E24" s="23">
        <v>0.2158354938030243</v>
      </c>
      <c r="F24" s="6">
        <v>9.1999999999999998E-2</v>
      </c>
      <c r="G24" s="6">
        <v>0.1238354938030243</v>
      </c>
      <c r="H24" s="6">
        <v>9.74E-2</v>
      </c>
      <c r="I24" s="6">
        <v>0.1184354938030243</v>
      </c>
      <c r="J24" s="6">
        <v>0.17100000000000001</v>
      </c>
      <c r="K24" s="6">
        <v>4.483549380302429E-2</v>
      </c>
    </row>
    <row r="25" spans="2:18" ht="15.5" x14ac:dyDescent="0.35">
      <c r="B25" s="20" t="s">
        <v>37</v>
      </c>
      <c r="C25" s="21" t="s">
        <v>72</v>
      </c>
      <c r="D25" s="22">
        <v>2021</v>
      </c>
      <c r="E25" s="23">
        <v>-0.26500000000000001</v>
      </c>
      <c r="F25" s="6">
        <v>0.188</v>
      </c>
      <c r="G25" s="6">
        <v>-0.45300000000000001</v>
      </c>
      <c r="H25" s="6">
        <v>0</v>
      </c>
      <c r="I25" s="6">
        <v>-0.26500000000000001</v>
      </c>
      <c r="J25" s="6">
        <v>5.5E-2</v>
      </c>
      <c r="K25" s="6">
        <v>-0.32</v>
      </c>
    </row>
    <row r="26" spans="2:18" ht="15.5" x14ac:dyDescent="0.35">
      <c r="B26" s="20" t="s">
        <v>37</v>
      </c>
      <c r="C26" s="21" t="s">
        <v>73</v>
      </c>
      <c r="D26" s="22">
        <v>2021</v>
      </c>
      <c r="E26" s="23">
        <v>2.9802322387695314E-9</v>
      </c>
      <c r="F26" s="6">
        <v>0.188</v>
      </c>
      <c r="G26" s="6">
        <v>-0.18799999701976777</v>
      </c>
      <c r="H26" s="6">
        <v>0</v>
      </c>
      <c r="I26" s="6">
        <v>2.9802322387695314E-9</v>
      </c>
      <c r="J26" s="6">
        <v>5.5E-2</v>
      </c>
      <c r="K26" s="6">
        <v>-5.4999997019767759E-2</v>
      </c>
    </row>
    <row r="27" spans="2:18" ht="15.5" x14ac:dyDescent="0.35">
      <c r="B27" s="20" t="s">
        <v>37</v>
      </c>
      <c r="C27" s="21" t="s">
        <v>74</v>
      </c>
      <c r="D27" s="22">
        <v>2021</v>
      </c>
      <c r="E27" s="23">
        <v>0.29104707837104793</v>
      </c>
      <c r="F27" s="6">
        <v>0.188</v>
      </c>
      <c r="G27" s="6">
        <v>0.10304707837104793</v>
      </c>
      <c r="H27" s="6">
        <v>0</v>
      </c>
      <c r="I27" s="6">
        <v>0.29104707837104793</v>
      </c>
      <c r="J27" s="6">
        <v>5.5E-2</v>
      </c>
      <c r="K27" s="6">
        <v>0.23604707837104794</v>
      </c>
    </row>
    <row r="28" spans="2:18" ht="15.5" x14ac:dyDescent="0.35">
      <c r="B28" s="20" t="s">
        <v>37</v>
      </c>
      <c r="C28" s="25" t="s">
        <v>75</v>
      </c>
      <c r="D28" s="22">
        <v>2021</v>
      </c>
      <c r="E28" s="23">
        <v>0.6726983129978179</v>
      </c>
      <c r="F28" s="6">
        <v>0.188</v>
      </c>
      <c r="G28" s="6">
        <v>0.4846983129978179</v>
      </c>
      <c r="H28" s="6">
        <v>0</v>
      </c>
      <c r="I28" s="6">
        <v>0.6726983129978179</v>
      </c>
      <c r="J28" s="6">
        <v>5.5E-2</v>
      </c>
      <c r="K28" s="6">
        <v>0.61769831299781786</v>
      </c>
    </row>
    <row r="29" spans="2:18" ht="15.5" x14ac:dyDescent="0.35">
      <c r="B29" s="20" t="s">
        <v>37</v>
      </c>
      <c r="C29" s="21" t="s">
        <v>76</v>
      </c>
      <c r="D29" s="24">
        <v>2021</v>
      </c>
      <c r="E29" s="23">
        <v>0</v>
      </c>
      <c r="F29" s="6">
        <v>0.188</v>
      </c>
      <c r="G29" s="6">
        <v>-0.188</v>
      </c>
      <c r="H29" s="6">
        <v>0</v>
      </c>
      <c r="I29" s="6">
        <v>0</v>
      </c>
      <c r="J29" s="6">
        <v>5.5E-2</v>
      </c>
      <c r="K29" s="6">
        <v>-5.5E-2</v>
      </c>
    </row>
    <row r="30" spans="2:18" ht="15.5" x14ac:dyDescent="0.35">
      <c r="B30" s="20" t="s">
        <v>37</v>
      </c>
      <c r="C30" s="25" t="s">
        <v>77</v>
      </c>
      <c r="D30" s="22">
        <v>2021</v>
      </c>
      <c r="E30" s="23">
        <v>1.3200590014457704E-2</v>
      </c>
      <c r="F30" s="6">
        <v>0.188</v>
      </c>
      <c r="G30" s="6">
        <v>-0.1747994099855423</v>
      </c>
      <c r="H30" s="6">
        <v>0</v>
      </c>
      <c r="I30" s="6">
        <v>1.3200590014457704E-2</v>
      </c>
      <c r="J30" s="6">
        <v>5.5E-2</v>
      </c>
      <c r="K30" s="6">
        <v>-4.1799409985542296E-2</v>
      </c>
    </row>
    <row r="31" spans="2:18" ht="15.5" x14ac:dyDescent="0.35">
      <c r="B31" s="20" t="s">
        <v>37</v>
      </c>
      <c r="C31" s="21" t="s">
        <v>78</v>
      </c>
      <c r="D31" s="24">
        <v>2022</v>
      </c>
      <c r="E31" s="23">
        <v>0.63827072978019728</v>
      </c>
      <c r="F31" s="6">
        <v>0.11199999999999999</v>
      </c>
      <c r="G31" s="6">
        <v>0.52627072978019729</v>
      </c>
      <c r="H31" s="6">
        <v>0</v>
      </c>
      <c r="I31" s="6">
        <v>0.63827072978019728</v>
      </c>
      <c r="J31" s="6">
        <v>2.3E-2</v>
      </c>
      <c r="K31" s="6">
        <v>0.61527072978019726</v>
      </c>
    </row>
    <row r="32" spans="2:18" ht="15.5" x14ac:dyDescent="0.35">
      <c r="B32" s="20" t="s">
        <v>37</v>
      </c>
      <c r="C32" s="21" t="s">
        <v>79</v>
      </c>
      <c r="D32" s="24">
        <v>2022</v>
      </c>
      <c r="E32" s="23">
        <v>0.28240415453910839</v>
      </c>
      <c r="F32" s="6">
        <v>0.11199999999999999</v>
      </c>
      <c r="G32" s="6">
        <v>0.1704041545391084</v>
      </c>
      <c r="H32" s="6">
        <v>0</v>
      </c>
      <c r="I32" s="6">
        <v>0.28240415453910839</v>
      </c>
      <c r="J32" s="6">
        <v>2.3E-2</v>
      </c>
      <c r="K32" s="6">
        <v>0.25940415453910837</v>
      </c>
    </row>
    <row r="33" spans="2:11" ht="15.5" x14ac:dyDescent="0.35">
      <c r="B33" s="20" t="s">
        <v>37</v>
      </c>
      <c r="C33" s="21" t="s">
        <v>80</v>
      </c>
      <c r="D33" s="24">
        <v>2022</v>
      </c>
      <c r="E33" s="23">
        <v>0.42041886448860177</v>
      </c>
      <c r="F33" s="6">
        <v>0.11199999999999999</v>
      </c>
      <c r="G33" s="6">
        <v>0.30841886448860178</v>
      </c>
      <c r="H33" s="6">
        <v>0</v>
      </c>
      <c r="I33" s="6">
        <v>0.42041886448860177</v>
      </c>
      <c r="J33" s="6">
        <v>2.3E-2</v>
      </c>
      <c r="K33" s="6">
        <v>0.39741886448860175</v>
      </c>
    </row>
    <row r="34" spans="2:11" ht="15.5" x14ac:dyDescent="0.35">
      <c r="B34" s="20" t="s">
        <v>37</v>
      </c>
      <c r="C34" s="21" t="s">
        <v>81</v>
      </c>
      <c r="D34" s="24">
        <v>2022</v>
      </c>
      <c r="E34" s="23">
        <v>0.25542265772819517</v>
      </c>
      <c r="F34" s="6">
        <v>0.11199999999999999</v>
      </c>
      <c r="G34" s="6">
        <v>0.14342265772819518</v>
      </c>
      <c r="H34" s="6">
        <v>0</v>
      </c>
      <c r="I34" s="6">
        <v>0.25542265772819517</v>
      </c>
      <c r="J34" s="6">
        <v>2.3E-2</v>
      </c>
      <c r="K34" s="6">
        <v>0.23242265772819518</v>
      </c>
    </row>
    <row r="35" spans="2:11" ht="15.5" x14ac:dyDescent="0.35">
      <c r="B35" s="20" t="s">
        <v>39</v>
      </c>
      <c r="C35" s="21" t="s">
        <v>82</v>
      </c>
      <c r="D35" s="22">
        <v>2015</v>
      </c>
      <c r="E35" s="23" t="s">
        <v>38</v>
      </c>
      <c r="F35" s="6">
        <v>0.08</v>
      </c>
      <c r="G35" s="6">
        <v>0</v>
      </c>
      <c r="H35" s="6">
        <v>9.2999999999999999E-2</v>
      </c>
      <c r="I35" s="6">
        <v>0</v>
      </c>
      <c r="J35" s="6">
        <v>0.14400000000000002</v>
      </c>
      <c r="K35" s="6">
        <v>0</v>
      </c>
    </row>
    <row r="36" spans="2:11" ht="15.5" x14ac:dyDescent="0.35">
      <c r="B36" s="20" t="s">
        <v>39</v>
      </c>
      <c r="C36" s="21" t="s">
        <v>83</v>
      </c>
      <c r="D36" s="24">
        <v>2015</v>
      </c>
      <c r="E36" s="23">
        <v>2.7324644327163701</v>
      </c>
      <c r="F36" s="6">
        <v>0.08</v>
      </c>
      <c r="G36" s="6">
        <v>2.65246443271637</v>
      </c>
      <c r="H36" s="6">
        <v>9.2999999999999999E-2</v>
      </c>
      <c r="I36" s="6">
        <v>2.6394644327163701</v>
      </c>
      <c r="J36" s="6">
        <v>0.14400000000000002</v>
      </c>
      <c r="K36" s="6">
        <v>2.5884644327163699</v>
      </c>
    </row>
    <row r="37" spans="2:11" ht="15.5" x14ac:dyDescent="0.35">
      <c r="B37" s="20" t="s">
        <v>39</v>
      </c>
      <c r="C37" s="21" t="s">
        <v>84</v>
      </c>
      <c r="D37" s="22">
        <v>2015</v>
      </c>
      <c r="E37" s="23">
        <v>2.4348220586776734</v>
      </c>
      <c r="F37" s="6">
        <v>0.08</v>
      </c>
      <c r="G37" s="6">
        <v>2.3548220586776734</v>
      </c>
      <c r="H37" s="6">
        <v>9.2999999999999999E-2</v>
      </c>
      <c r="I37" s="6">
        <v>2.3418220586776735</v>
      </c>
      <c r="J37" s="6">
        <v>0.14400000000000002</v>
      </c>
      <c r="K37" s="6">
        <v>2.2908220586776733</v>
      </c>
    </row>
    <row r="38" spans="2:11" ht="15.5" x14ac:dyDescent="0.35">
      <c r="B38" s="20" t="s">
        <v>39</v>
      </c>
      <c r="C38" s="21" t="s">
        <v>85</v>
      </c>
      <c r="D38" s="22">
        <v>2015</v>
      </c>
      <c r="E38" s="23">
        <v>8.5849246382713323E-2</v>
      </c>
      <c r="F38" s="6">
        <v>0.08</v>
      </c>
      <c r="G38" s="6">
        <v>5.8492463827133218E-3</v>
      </c>
      <c r="H38" s="6">
        <v>9.2999999999999999E-2</v>
      </c>
      <c r="I38" s="6">
        <v>-7.1507536172866759E-3</v>
      </c>
      <c r="J38" s="6">
        <v>0.14400000000000002</v>
      </c>
      <c r="K38" s="6">
        <v>-5.8150753617286693E-2</v>
      </c>
    </row>
    <row r="39" spans="2:11" ht="15.5" x14ac:dyDescent="0.35">
      <c r="B39" s="20" t="s">
        <v>39</v>
      </c>
      <c r="C39" s="21" t="s">
        <v>86</v>
      </c>
      <c r="D39" s="24">
        <v>2015</v>
      </c>
      <c r="E39" s="23">
        <v>0.1704326093196869</v>
      </c>
      <c r="F39" s="6">
        <v>0.08</v>
      </c>
      <c r="G39" s="6">
        <v>9.0432609319686899E-2</v>
      </c>
      <c r="H39" s="6">
        <v>9.2999999999999999E-2</v>
      </c>
      <c r="I39" s="6">
        <v>7.7432609319686901E-2</v>
      </c>
      <c r="J39" s="6">
        <v>0.14400000000000002</v>
      </c>
      <c r="K39" s="6">
        <v>2.6432609319686884E-2</v>
      </c>
    </row>
    <row r="40" spans="2:11" ht="15.5" x14ac:dyDescent="0.35">
      <c r="B40" s="20" t="s">
        <v>39</v>
      </c>
      <c r="C40" s="21" t="s">
        <v>87</v>
      </c>
      <c r="D40" s="24">
        <v>2015</v>
      </c>
      <c r="E40" s="23">
        <v>1.5487022757530213</v>
      </c>
      <c r="F40" s="6">
        <v>0.08</v>
      </c>
      <c r="G40" s="6">
        <v>1.4687022757530213</v>
      </c>
      <c r="H40" s="6">
        <v>9.2999999999999999E-2</v>
      </c>
      <c r="I40" s="6">
        <v>1.4557022757530214</v>
      </c>
      <c r="J40" s="6">
        <v>0.14400000000000002</v>
      </c>
      <c r="K40" s="6">
        <v>1.4047022757530212</v>
      </c>
    </row>
    <row r="41" spans="2:11" ht="15.5" x14ac:dyDescent="0.35">
      <c r="B41" s="20" t="s">
        <v>39</v>
      </c>
      <c r="C41" s="21" t="s">
        <v>88</v>
      </c>
      <c r="D41" s="22">
        <v>2015</v>
      </c>
      <c r="E41" s="23">
        <v>0.4630498945713043</v>
      </c>
      <c r="F41" s="6">
        <v>0.08</v>
      </c>
      <c r="G41" s="6">
        <v>0.38304989457130428</v>
      </c>
      <c r="H41" s="6">
        <v>9.2999999999999999E-2</v>
      </c>
      <c r="I41" s="6">
        <v>0.37004989457130433</v>
      </c>
      <c r="J41" s="6">
        <v>0.14400000000000002</v>
      </c>
      <c r="K41" s="6">
        <v>0.31904989457130428</v>
      </c>
    </row>
    <row r="42" spans="2:11" ht="15.5" x14ac:dyDescent="0.35">
      <c r="B42" s="20" t="s">
        <v>39</v>
      </c>
      <c r="C42" s="21" t="s">
        <v>89</v>
      </c>
      <c r="D42" s="24">
        <v>2016</v>
      </c>
      <c r="E42" s="23">
        <v>1.4658883213996887E-2</v>
      </c>
      <c r="F42" s="6">
        <v>6.8000000000000005E-2</v>
      </c>
      <c r="G42" s="6">
        <v>-5.3341116786003118E-2</v>
      </c>
      <c r="H42" s="6">
        <v>8.2000000000000003E-2</v>
      </c>
      <c r="I42" s="6">
        <v>-6.7341116786003116E-2</v>
      </c>
      <c r="J42" s="6">
        <v>0.159</v>
      </c>
      <c r="K42" s="6">
        <v>-0.14434111678600312</v>
      </c>
    </row>
    <row r="43" spans="2:11" ht="15.5" x14ac:dyDescent="0.35">
      <c r="B43" s="20" t="s">
        <v>39</v>
      </c>
      <c r="C43" s="21" t="s">
        <v>90</v>
      </c>
      <c r="D43" s="24">
        <v>2016</v>
      </c>
      <c r="E43" s="23">
        <v>0.20691758990287779</v>
      </c>
      <c r="F43" s="6">
        <v>6.8000000000000005E-2</v>
      </c>
      <c r="G43" s="6">
        <v>0.13891758990287778</v>
      </c>
      <c r="H43" s="6">
        <v>8.2000000000000003E-2</v>
      </c>
      <c r="I43" s="6">
        <v>0.12491758990287778</v>
      </c>
      <c r="J43" s="6">
        <v>0.159</v>
      </c>
      <c r="K43" s="6">
        <v>4.7917589902877783E-2</v>
      </c>
    </row>
    <row r="44" spans="2:11" ht="15.5" x14ac:dyDescent="0.35">
      <c r="B44" s="20" t="s">
        <v>39</v>
      </c>
      <c r="C44" s="21" t="s">
        <v>91</v>
      </c>
      <c r="D44" s="22">
        <v>2016</v>
      </c>
      <c r="E44" s="23">
        <v>0.23808632493019105</v>
      </c>
      <c r="F44" s="6">
        <v>6.8000000000000005E-2</v>
      </c>
      <c r="G44" s="6">
        <v>0.17008632493019105</v>
      </c>
      <c r="H44" s="6">
        <v>8.2000000000000003E-2</v>
      </c>
      <c r="I44" s="6">
        <v>0.15608632493019103</v>
      </c>
      <c r="J44" s="6">
        <v>0.159</v>
      </c>
      <c r="K44" s="6">
        <v>7.9086324930191049E-2</v>
      </c>
    </row>
    <row r="45" spans="2:11" ht="15.5" x14ac:dyDescent="0.35">
      <c r="B45" s="20" t="s">
        <v>39</v>
      </c>
      <c r="C45" s="21" t="s">
        <v>92</v>
      </c>
      <c r="D45" s="22">
        <v>2016</v>
      </c>
      <c r="E45" s="23">
        <v>0.18680008053779601</v>
      </c>
      <c r="F45" s="6">
        <v>6.8000000000000005E-2</v>
      </c>
      <c r="G45" s="6">
        <v>0.118800080537796</v>
      </c>
      <c r="H45" s="6">
        <v>8.2000000000000003E-2</v>
      </c>
      <c r="I45" s="6">
        <v>0.10480008053779601</v>
      </c>
      <c r="J45" s="6">
        <v>0.159</v>
      </c>
      <c r="K45" s="6">
        <v>2.7800080537796007E-2</v>
      </c>
    </row>
    <row r="46" spans="2:11" ht="15.5" x14ac:dyDescent="0.35">
      <c r="B46" s="20" t="s">
        <v>39</v>
      </c>
      <c r="C46" s="21" t="s">
        <v>93</v>
      </c>
      <c r="D46" s="24">
        <v>2016</v>
      </c>
      <c r="E46" s="23">
        <v>-6.3E-2</v>
      </c>
      <c r="F46" s="6">
        <v>6.8000000000000005E-2</v>
      </c>
      <c r="G46" s="6">
        <v>-0.13100000000000001</v>
      </c>
      <c r="H46" s="6">
        <v>8.2000000000000003E-2</v>
      </c>
      <c r="I46" s="6">
        <v>-0.14500000000000002</v>
      </c>
      <c r="J46" s="6">
        <v>0.159</v>
      </c>
      <c r="K46" s="6">
        <v>-0.222</v>
      </c>
    </row>
    <row r="47" spans="2:11" ht="15.5" x14ac:dyDescent="0.35">
      <c r="B47" s="20" t="s">
        <v>39</v>
      </c>
      <c r="C47" s="21" t="s">
        <v>94</v>
      </c>
      <c r="D47" s="24">
        <v>2017</v>
      </c>
      <c r="E47" s="23">
        <v>-0.46399999999999997</v>
      </c>
      <c r="F47" s="6">
        <v>9.1999999999999998E-2</v>
      </c>
      <c r="G47" s="6">
        <v>-0.55599999999999994</v>
      </c>
      <c r="H47" s="6">
        <v>9.74E-2</v>
      </c>
      <c r="I47" s="6">
        <v>-0.56140000000000001</v>
      </c>
      <c r="J47" s="6">
        <v>0.17100000000000001</v>
      </c>
      <c r="K47" s="6">
        <v>-0.63500000000000001</v>
      </c>
    </row>
    <row r="48" spans="2:11" ht="15.5" x14ac:dyDescent="0.35">
      <c r="B48" s="20" t="s">
        <v>39</v>
      </c>
      <c r="C48" s="21" t="s">
        <v>95</v>
      </c>
      <c r="D48" s="22">
        <v>2017</v>
      </c>
      <c r="E48" s="23">
        <v>1.9656601548194885E-2</v>
      </c>
      <c r="F48" s="6">
        <v>9.1999999999999998E-2</v>
      </c>
      <c r="G48" s="6">
        <v>-7.234339845180511E-2</v>
      </c>
      <c r="H48" s="6">
        <v>9.74E-2</v>
      </c>
      <c r="I48" s="6">
        <v>-7.7743398451805112E-2</v>
      </c>
      <c r="J48" s="6">
        <v>0.17100000000000001</v>
      </c>
      <c r="K48" s="6">
        <v>-0.15134339845180514</v>
      </c>
    </row>
    <row r="49" spans="2:11" ht="15.5" x14ac:dyDescent="0.35">
      <c r="B49" s="20" t="s">
        <v>39</v>
      </c>
      <c r="C49" s="21" t="s">
        <v>96</v>
      </c>
      <c r="D49" s="24">
        <v>2017</v>
      </c>
      <c r="E49" s="23">
        <v>0.15026397109031681</v>
      </c>
      <c r="F49" s="6">
        <v>9.1999999999999998E-2</v>
      </c>
      <c r="G49" s="6">
        <v>5.8263971090316807E-2</v>
      </c>
      <c r="H49" s="6">
        <v>9.74E-2</v>
      </c>
      <c r="I49" s="6">
        <v>5.2863971090316805E-2</v>
      </c>
      <c r="J49" s="6">
        <v>0.17100000000000001</v>
      </c>
      <c r="K49" s="6">
        <v>-2.0736028909683207E-2</v>
      </c>
    </row>
    <row r="50" spans="2:11" ht="15.5" x14ac:dyDescent="0.35">
      <c r="B50" s="20" t="s">
        <v>39</v>
      </c>
      <c r="C50" s="21" t="s">
        <v>97</v>
      </c>
      <c r="D50" s="24">
        <v>2017</v>
      </c>
      <c r="E50" s="23">
        <v>-0.32600000000000001</v>
      </c>
      <c r="F50" s="6">
        <v>9.1999999999999998E-2</v>
      </c>
      <c r="G50" s="6">
        <v>-0.41800000000000004</v>
      </c>
      <c r="H50" s="6">
        <v>9.74E-2</v>
      </c>
      <c r="I50" s="6">
        <v>-0.4234</v>
      </c>
      <c r="J50" s="6">
        <v>0.17100000000000001</v>
      </c>
      <c r="K50" s="6">
        <v>-0.497</v>
      </c>
    </row>
    <row r="51" spans="2:11" ht="15.5" x14ac:dyDescent="0.35">
      <c r="B51" s="20" t="s">
        <v>39</v>
      </c>
      <c r="C51" s="21" t="s">
        <v>98</v>
      </c>
      <c r="D51" s="24">
        <v>2017</v>
      </c>
      <c r="E51" s="23">
        <v>-0.64599999999999991</v>
      </c>
      <c r="F51" s="6">
        <v>9.1999999999999998E-2</v>
      </c>
      <c r="G51" s="6">
        <v>-0.73799999999999988</v>
      </c>
      <c r="H51" s="6">
        <v>9.74E-2</v>
      </c>
      <c r="I51" s="6">
        <v>-0.74339999999999995</v>
      </c>
      <c r="J51" s="6">
        <v>0.17100000000000001</v>
      </c>
      <c r="K51" s="6">
        <v>-0.81699999999999995</v>
      </c>
    </row>
    <row r="52" spans="2:11" ht="15.5" x14ac:dyDescent="0.35">
      <c r="B52" s="20" t="s">
        <v>39</v>
      </c>
      <c r="C52" s="21" t="s">
        <v>99</v>
      </c>
      <c r="D52" s="24">
        <v>2021</v>
      </c>
      <c r="E52" s="23">
        <v>0.97528902292251574</v>
      </c>
      <c r="F52" s="6">
        <v>0.188</v>
      </c>
      <c r="G52" s="6">
        <v>0.78728902292251579</v>
      </c>
      <c r="H52" s="6">
        <v>0</v>
      </c>
      <c r="I52" s="6">
        <v>0.97528902292251574</v>
      </c>
      <c r="J52" s="6">
        <v>5.5E-2</v>
      </c>
      <c r="K52" s="6">
        <v>0.92028902292251569</v>
      </c>
    </row>
    <row r="53" spans="2:11" ht="15.5" x14ac:dyDescent="0.35">
      <c r="B53" s="20" t="s">
        <v>39</v>
      </c>
      <c r="C53" s="21" t="s">
        <v>51</v>
      </c>
      <c r="D53" s="24">
        <v>2023</v>
      </c>
      <c r="E53" s="23">
        <v>0.93797346353530875</v>
      </c>
      <c r="F53" s="6">
        <v>9.1999999999999998E-2</v>
      </c>
      <c r="G53" s="6">
        <v>0.84597346353530878</v>
      </c>
      <c r="H53" s="6">
        <v>0</v>
      </c>
      <c r="I53" s="6">
        <v>0.93797346353530875</v>
      </c>
      <c r="J53" s="6">
        <v>1.2E-2</v>
      </c>
      <c r="K53" s="6">
        <v>0.92597346353530874</v>
      </c>
    </row>
    <row r="54" spans="2:11" ht="15.5" x14ac:dyDescent="0.35">
      <c r="B54" s="20" t="s">
        <v>39</v>
      </c>
      <c r="C54" s="21" t="s">
        <v>100</v>
      </c>
      <c r="D54" s="24">
        <v>2016</v>
      </c>
      <c r="E54" s="23">
        <v>0.40310930609703066</v>
      </c>
      <c r="F54" s="6">
        <v>6.8000000000000005E-2</v>
      </c>
      <c r="G54" s="6">
        <v>0.33510930609703066</v>
      </c>
      <c r="H54" s="6">
        <v>8.2000000000000003E-2</v>
      </c>
      <c r="I54" s="6">
        <v>0.32110930609703064</v>
      </c>
      <c r="J54" s="6">
        <v>0.159</v>
      </c>
      <c r="K54" s="6">
        <v>0.24410930609703066</v>
      </c>
    </row>
    <row r="55" spans="2:11" ht="15.5" x14ac:dyDescent="0.35">
      <c r="B55" s="20" t="s">
        <v>39</v>
      </c>
      <c r="C55" s="21" t="s">
        <v>101</v>
      </c>
      <c r="D55" s="24">
        <v>2016</v>
      </c>
      <c r="E55" s="23">
        <v>8.6135891079902646E-2</v>
      </c>
      <c r="F55" s="6">
        <v>6.8000000000000005E-2</v>
      </c>
      <c r="G55" s="6">
        <v>1.8135891079902641E-2</v>
      </c>
      <c r="H55" s="6">
        <v>8.2000000000000003E-2</v>
      </c>
      <c r="I55" s="6">
        <v>4.1358910799026427E-3</v>
      </c>
      <c r="J55" s="6">
        <v>0.159</v>
      </c>
      <c r="K55" s="6">
        <v>-7.2864108920097356E-2</v>
      </c>
    </row>
    <row r="56" spans="2:11" ht="15.5" x14ac:dyDescent="0.35">
      <c r="B56" s="20" t="s">
        <v>39</v>
      </c>
      <c r="C56" s="21" t="s">
        <v>102</v>
      </c>
      <c r="D56" s="24">
        <v>2016</v>
      </c>
      <c r="E56" s="23">
        <v>9.7061175107955922E-2</v>
      </c>
      <c r="F56" s="6">
        <v>6.8000000000000005E-2</v>
      </c>
      <c r="G56" s="6">
        <v>2.9061175107955917E-2</v>
      </c>
      <c r="H56" s="6">
        <v>8.2000000000000003E-2</v>
      </c>
      <c r="I56" s="6">
        <v>1.5061175107955918E-2</v>
      </c>
      <c r="J56" s="6">
        <v>0.159</v>
      </c>
      <c r="K56" s="6">
        <v>-6.1938824892044081E-2</v>
      </c>
    </row>
    <row r="57" spans="2:11" ht="15.5" x14ac:dyDescent="0.35">
      <c r="B57" s="20" t="s">
        <v>39</v>
      </c>
      <c r="C57" s="21" t="s">
        <v>103</v>
      </c>
      <c r="D57" s="22">
        <v>2016</v>
      </c>
      <c r="E57" s="23">
        <v>0.25720965266227724</v>
      </c>
      <c r="F57" s="6">
        <v>6.8000000000000005E-2</v>
      </c>
      <c r="G57" s="6">
        <v>0.18920965266227724</v>
      </c>
      <c r="H57" s="6">
        <v>8.2000000000000003E-2</v>
      </c>
      <c r="I57" s="6">
        <v>0.17520965266227723</v>
      </c>
      <c r="J57" s="6">
        <v>0.159</v>
      </c>
      <c r="K57" s="6">
        <v>9.8209652662277241E-2</v>
      </c>
    </row>
    <row r="58" spans="2:11" ht="15.5" x14ac:dyDescent="0.35">
      <c r="B58" s="20" t="s">
        <v>39</v>
      </c>
      <c r="C58" s="21" t="s">
        <v>104</v>
      </c>
      <c r="D58" s="24">
        <v>2017</v>
      </c>
      <c r="E58" s="23">
        <v>-0.314</v>
      </c>
      <c r="F58" s="6">
        <v>9.1999999999999998E-2</v>
      </c>
      <c r="G58" s="6">
        <v>-0.40600000000000003</v>
      </c>
      <c r="H58" s="6">
        <v>9.74E-2</v>
      </c>
      <c r="I58" s="6">
        <v>-0.41139999999999999</v>
      </c>
      <c r="J58" s="6">
        <v>0.17100000000000001</v>
      </c>
      <c r="K58" s="6">
        <v>-0.48499999999999999</v>
      </c>
    </row>
    <row r="59" spans="2:11" ht="15.5" x14ac:dyDescent="0.35">
      <c r="B59" s="20" t="s">
        <v>39</v>
      </c>
      <c r="C59" s="25" t="s">
        <v>70</v>
      </c>
      <c r="D59" s="24">
        <v>2017</v>
      </c>
      <c r="E59" s="23">
        <v>3.2694301009178167E-2</v>
      </c>
      <c r="F59" s="6">
        <v>9.1999999999999998E-2</v>
      </c>
      <c r="G59" s="6">
        <v>-5.9305698990821831E-2</v>
      </c>
      <c r="H59" s="6">
        <v>9.74E-2</v>
      </c>
      <c r="I59" s="6">
        <v>-6.4705698990821833E-2</v>
      </c>
      <c r="J59" s="6">
        <v>0.17100000000000001</v>
      </c>
      <c r="K59" s="6">
        <v>-0.13830569899082185</v>
      </c>
    </row>
    <row r="60" spans="2:11" ht="15.5" x14ac:dyDescent="0.35">
      <c r="B60" s="20" t="s">
        <v>39</v>
      </c>
      <c r="C60" s="21" t="s">
        <v>105</v>
      </c>
      <c r="D60" s="24">
        <v>2021</v>
      </c>
      <c r="E60" s="23">
        <v>5.3038212656974795E-2</v>
      </c>
      <c r="F60" s="6">
        <v>0.188</v>
      </c>
      <c r="G60" s="6">
        <v>-0.13496178734302522</v>
      </c>
      <c r="H60" s="6">
        <v>0</v>
      </c>
      <c r="I60" s="6">
        <v>5.3038212656974795E-2</v>
      </c>
      <c r="J60" s="6">
        <v>5.5E-2</v>
      </c>
      <c r="K60" s="6">
        <v>-1.961787343025205E-3</v>
      </c>
    </row>
    <row r="61" spans="2:11" ht="15.5" x14ac:dyDescent="0.35">
      <c r="B61" s="20" t="s">
        <v>40</v>
      </c>
      <c r="C61" s="25" t="s">
        <v>106</v>
      </c>
      <c r="D61" s="24">
        <v>2013</v>
      </c>
      <c r="E61" s="23">
        <v>0.46214395165443423</v>
      </c>
      <c r="F61" s="6">
        <v>3.7000000000000005E-2</v>
      </c>
      <c r="G61" s="6">
        <v>0.42514395165443419</v>
      </c>
      <c r="H61" s="6">
        <v>1.2999999999999999E-2</v>
      </c>
      <c r="I61" s="6">
        <v>0.44914395165443421</v>
      </c>
      <c r="J61" s="6">
        <v>0.127</v>
      </c>
      <c r="K61" s="6">
        <v>0.33514395165443422</v>
      </c>
    </row>
    <row r="62" spans="2:11" ht="15.5" x14ac:dyDescent="0.35">
      <c r="B62" s="20" t="s">
        <v>40</v>
      </c>
      <c r="C62" s="25" t="s">
        <v>107</v>
      </c>
      <c r="D62" s="24">
        <v>2013</v>
      </c>
      <c r="E62" s="23">
        <v>0.86025913953781119</v>
      </c>
      <c r="F62" s="6">
        <v>3.7000000000000005E-2</v>
      </c>
      <c r="G62" s="6">
        <v>0.82325913953781116</v>
      </c>
      <c r="H62" s="6">
        <v>1.2999999999999999E-2</v>
      </c>
      <c r="I62" s="6">
        <v>0.84725913953781118</v>
      </c>
      <c r="J62" s="6">
        <v>0.127</v>
      </c>
      <c r="K62" s="6">
        <v>0.73325913953781119</v>
      </c>
    </row>
    <row r="63" spans="2:11" ht="15.5" x14ac:dyDescent="0.35">
      <c r="B63" s="20" t="s">
        <v>40</v>
      </c>
      <c r="C63" s="25" t="s">
        <v>108</v>
      </c>
      <c r="D63" s="24">
        <v>2013</v>
      </c>
      <c r="E63" s="23">
        <v>-0.42</v>
      </c>
      <c r="F63" s="6">
        <v>3.7000000000000005E-2</v>
      </c>
      <c r="G63" s="6">
        <v>-0.45699999999999996</v>
      </c>
      <c r="H63" s="6">
        <v>1.2999999999999999E-2</v>
      </c>
      <c r="I63" s="6">
        <v>-0.433</v>
      </c>
      <c r="J63" s="6">
        <v>0.127</v>
      </c>
      <c r="K63" s="6">
        <v>-0.54699999999999993</v>
      </c>
    </row>
    <row r="64" spans="2:11" ht="15.5" x14ac:dyDescent="0.35">
      <c r="B64" s="20" t="s">
        <v>40</v>
      </c>
      <c r="C64" s="21" t="s">
        <v>109</v>
      </c>
      <c r="D64" s="22">
        <v>2013</v>
      </c>
      <c r="E64" s="23">
        <v>-0.23199999999999998</v>
      </c>
      <c r="F64" s="6">
        <v>3.7000000000000005E-2</v>
      </c>
      <c r="G64" s="6">
        <v>-0.26900000000000002</v>
      </c>
      <c r="H64" s="6">
        <v>1.2999999999999999E-2</v>
      </c>
      <c r="I64" s="6">
        <v>-0.245</v>
      </c>
      <c r="J64" s="6">
        <v>0.127</v>
      </c>
      <c r="K64" s="6">
        <v>-0.35899999999999999</v>
      </c>
    </row>
    <row r="65" spans="2:11" ht="15.5" x14ac:dyDescent="0.35">
      <c r="B65" s="20" t="s">
        <v>40</v>
      </c>
      <c r="C65" s="25" t="s">
        <v>110</v>
      </c>
      <c r="D65" s="24">
        <v>2013</v>
      </c>
      <c r="E65" s="23">
        <v>0.99680110216140738</v>
      </c>
      <c r="F65" s="6">
        <v>3.7000000000000005E-2</v>
      </c>
      <c r="G65" s="6">
        <v>0.95980110216140735</v>
      </c>
      <c r="H65" s="6">
        <v>1.2999999999999999E-2</v>
      </c>
      <c r="I65" s="6">
        <v>0.98380110216140737</v>
      </c>
      <c r="J65" s="6">
        <v>0.127</v>
      </c>
      <c r="K65" s="6">
        <v>0.86980110216140738</v>
      </c>
    </row>
    <row r="66" spans="2:11" ht="15.5" x14ac:dyDescent="0.35">
      <c r="B66" s="20" t="s">
        <v>40</v>
      </c>
      <c r="C66" s="25" t="s">
        <v>111</v>
      </c>
      <c r="D66" s="24">
        <v>2013</v>
      </c>
      <c r="E66" s="23">
        <v>1.0167908072471619</v>
      </c>
      <c r="F66" s="6">
        <v>3.7000000000000005E-2</v>
      </c>
      <c r="G66" s="6">
        <v>0.97979080724716183</v>
      </c>
      <c r="H66" s="6">
        <v>1.2999999999999999E-2</v>
      </c>
      <c r="I66" s="6">
        <v>1.003790807247162</v>
      </c>
      <c r="J66" s="6">
        <v>0.127</v>
      </c>
      <c r="K66" s="6">
        <v>0.88979080724716186</v>
      </c>
    </row>
    <row r="67" spans="2:11" ht="15.5" x14ac:dyDescent="0.35">
      <c r="B67" s="20" t="s">
        <v>40</v>
      </c>
      <c r="C67" s="25" t="s">
        <v>112</v>
      </c>
      <c r="D67" s="24">
        <v>2013</v>
      </c>
      <c r="E67" s="23">
        <v>0.99900494813919072</v>
      </c>
      <c r="F67" s="6">
        <v>3.7000000000000005E-2</v>
      </c>
      <c r="G67" s="6">
        <v>0.96200494813919069</v>
      </c>
      <c r="H67" s="6">
        <v>1.2999999999999999E-2</v>
      </c>
      <c r="I67" s="6">
        <v>0.98600494813919071</v>
      </c>
      <c r="J67" s="6">
        <v>0.127</v>
      </c>
      <c r="K67" s="6">
        <v>0.87200494813919072</v>
      </c>
    </row>
    <row r="68" spans="2:11" ht="15.5" x14ac:dyDescent="0.35">
      <c r="B68" s="20" t="s">
        <v>40</v>
      </c>
      <c r="C68" s="25" t="s">
        <v>113</v>
      </c>
      <c r="D68" s="24">
        <v>2014</v>
      </c>
      <c r="E68" s="23">
        <v>0.14677423834800726</v>
      </c>
      <c r="F68" s="6">
        <v>3.7999999999999999E-2</v>
      </c>
      <c r="G68" s="6">
        <v>0.10877423834800726</v>
      </c>
      <c r="H68" s="6">
        <v>9.6000000000000002E-2</v>
      </c>
      <c r="I68" s="6">
        <v>5.0774238348007261E-2</v>
      </c>
      <c r="J68" s="6">
        <v>0.14199999999999999</v>
      </c>
      <c r="K68" s="6">
        <v>4.7742383480072759E-3</v>
      </c>
    </row>
    <row r="69" spans="2:11" ht="15.5" x14ac:dyDescent="0.35">
      <c r="B69" s="20" t="s">
        <v>40</v>
      </c>
      <c r="C69" s="25" t="s">
        <v>114</v>
      </c>
      <c r="D69" s="24">
        <v>2014</v>
      </c>
      <c r="E69" s="23">
        <v>4.0975496172904989E-2</v>
      </c>
      <c r="F69" s="6">
        <v>3.7999999999999999E-2</v>
      </c>
      <c r="G69" s="6">
        <v>2.97549617290499E-3</v>
      </c>
      <c r="H69" s="6">
        <v>9.6000000000000002E-2</v>
      </c>
      <c r="I69" s="6">
        <v>-5.5024503827095013E-2</v>
      </c>
      <c r="J69" s="6">
        <v>0.14199999999999999</v>
      </c>
      <c r="K69" s="6">
        <v>-0.10102450382709499</v>
      </c>
    </row>
    <row r="70" spans="2:11" ht="15.5" x14ac:dyDescent="0.35">
      <c r="B70" s="20" t="s">
        <v>40</v>
      </c>
      <c r="C70" s="25" t="s">
        <v>115</v>
      </c>
      <c r="D70" s="24">
        <v>2014</v>
      </c>
      <c r="E70" s="23">
        <v>0.22503980994224551</v>
      </c>
      <c r="F70" s="6">
        <v>3.7999999999999999E-2</v>
      </c>
      <c r="G70" s="6">
        <v>0.18703980994224551</v>
      </c>
      <c r="H70" s="6">
        <v>9.6000000000000002E-2</v>
      </c>
      <c r="I70" s="6">
        <v>0.12903980994224551</v>
      </c>
      <c r="J70" s="6">
        <v>0.14199999999999999</v>
      </c>
      <c r="K70" s="6">
        <v>8.3039809942245524E-2</v>
      </c>
    </row>
    <row r="71" spans="2:11" ht="15.5" x14ac:dyDescent="0.35">
      <c r="B71" s="20" t="s">
        <v>40</v>
      </c>
      <c r="C71" s="25" t="s">
        <v>116</v>
      </c>
      <c r="D71" s="24">
        <v>2014</v>
      </c>
      <c r="E71" s="23">
        <v>-0.79099999999999993</v>
      </c>
      <c r="F71" s="6">
        <v>3.7999999999999999E-2</v>
      </c>
      <c r="G71" s="6">
        <v>-0.82899999999999996</v>
      </c>
      <c r="H71" s="6">
        <v>9.6000000000000002E-2</v>
      </c>
      <c r="I71" s="6">
        <v>-0.8869999999999999</v>
      </c>
      <c r="J71" s="6">
        <v>0.14199999999999999</v>
      </c>
      <c r="K71" s="6">
        <v>-0.93299999999999994</v>
      </c>
    </row>
    <row r="72" spans="2:11" ht="15.5" x14ac:dyDescent="0.35">
      <c r="B72" s="20" t="s">
        <v>40</v>
      </c>
      <c r="C72" s="25" t="s">
        <v>117</v>
      </c>
      <c r="D72" s="24">
        <v>2014</v>
      </c>
      <c r="E72" s="23">
        <v>0.32973102927207953</v>
      </c>
      <c r="F72" s="6">
        <v>3.7999999999999999E-2</v>
      </c>
      <c r="G72" s="6">
        <v>0.29173102927207956</v>
      </c>
      <c r="H72" s="6">
        <v>9.6000000000000002E-2</v>
      </c>
      <c r="I72" s="6">
        <v>0.23373102927207953</v>
      </c>
      <c r="J72" s="6">
        <v>0.14199999999999999</v>
      </c>
      <c r="K72" s="6">
        <v>0.18773102927207955</v>
      </c>
    </row>
    <row r="73" spans="2:11" ht="15.5" x14ac:dyDescent="0.35">
      <c r="B73" s="20" t="s">
        <v>40</v>
      </c>
      <c r="C73" s="21" t="s">
        <v>118</v>
      </c>
      <c r="D73" s="22">
        <v>2015</v>
      </c>
      <c r="E73" s="23">
        <v>0.20663437247276309</v>
      </c>
      <c r="F73" s="6">
        <v>0.08</v>
      </c>
      <c r="G73" s="6">
        <v>0.1266343724727631</v>
      </c>
      <c r="H73" s="6">
        <v>9.2999999999999999E-2</v>
      </c>
      <c r="I73" s="6">
        <v>0.11363437247276309</v>
      </c>
      <c r="J73" s="6">
        <v>0.14400000000000002</v>
      </c>
      <c r="K73" s="6">
        <v>6.2634372472763072E-2</v>
      </c>
    </row>
    <row r="74" spans="2:11" ht="15.5" x14ac:dyDescent="0.35">
      <c r="B74" s="20" t="s">
        <v>40</v>
      </c>
      <c r="C74" s="21" t="s">
        <v>82</v>
      </c>
      <c r="D74" s="22">
        <v>2015</v>
      </c>
      <c r="E74" s="23" t="s">
        <v>38</v>
      </c>
      <c r="F74" s="6">
        <v>0.08</v>
      </c>
      <c r="G74" s="6">
        <v>0</v>
      </c>
      <c r="H74" s="6">
        <v>9.2999999999999999E-2</v>
      </c>
      <c r="I74" s="6">
        <v>0</v>
      </c>
      <c r="J74" s="6">
        <v>0.14400000000000002</v>
      </c>
      <c r="K74" s="6">
        <v>0</v>
      </c>
    </row>
    <row r="75" spans="2:11" ht="15.5" x14ac:dyDescent="0.35">
      <c r="B75" s="20" t="s">
        <v>40</v>
      </c>
      <c r="C75" s="21" t="s">
        <v>119</v>
      </c>
      <c r="D75" s="22">
        <v>2015</v>
      </c>
      <c r="E75" s="23">
        <v>7.1503880620002791E-2</v>
      </c>
      <c r="F75" s="6">
        <v>0.08</v>
      </c>
      <c r="G75" s="6">
        <v>-8.4961193799972107E-3</v>
      </c>
      <c r="H75" s="6">
        <v>9.2999999999999999E-2</v>
      </c>
      <c r="I75" s="6">
        <v>-2.1496119379997208E-2</v>
      </c>
      <c r="J75" s="6">
        <v>0.14400000000000002</v>
      </c>
      <c r="K75" s="6">
        <v>-7.2496119379997226E-2</v>
      </c>
    </row>
    <row r="76" spans="2:11" ht="15.5" x14ac:dyDescent="0.35">
      <c r="B76" s="20" t="s">
        <v>40</v>
      </c>
      <c r="C76" s="21" t="s">
        <v>120</v>
      </c>
      <c r="D76" s="22">
        <v>2017</v>
      </c>
      <c r="E76" s="23">
        <v>-0.88900000000000001</v>
      </c>
      <c r="F76" s="6">
        <v>9.1999999999999998E-2</v>
      </c>
      <c r="G76" s="6">
        <v>-0.98099999999999998</v>
      </c>
      <c r="H76" s="6">
        <v>9.74E-2</v>
      </c>
      <c r="I76" s="6">
        <v>-0.98640000000000005</v>
      </c>
      <c r="J76" s="6">
        <v>0.17100000000000001</v>
      </c>
      <c r="K76" s="6">
        <v>-1.06</v>
      </c>
    </row>
    <row r="77" spans="2:11" ht="15.5" x14ac:dyDescent="0.35">
      <c r="B77" s="20" t="s">
        <v>40</v>
      </c>
      <c r="C77" s="21" t="s">
        <v>121</v>
      </c>
      <c r="D77" s="22">
        <v>2013</v>
      </c>
      <c r="E77" s="23">
        <v>0.13548452258110044</v>
      </c>
      <c r="F77" s="6">
        <v>3.7000000000000005E-2</v>
      </c>
      <c r="G77" s="6">
        <v>9.8484522581100437E-2</v>
      </c>
      <c r="H77" s="6">
        <v>1.2999999999999999E-2</v>
      </c>
      <c r="I77" s="6">
        <v>0.12248452258110044</v>
      </c>
      <c r="J77" s="6">
        <v>0.127</v>
      </c>
      <c r="K77" s="6">
        <v>8.4845225811004399E-3</v>
      </c>
    </row>
    <row r="78" spans="2:11" ht="15.5" x14ac:dyDescent="0.35">
      <c r="B78" s="20" t="s">
        <v>40</v>
      </c>
      <c r="C78" s="21" t="s">
        <v>122</v>
      </c>
      <c r="D78" s="22">
        <v>2013</v>
      </c>
      <c r="E78" s="23">
        <v>-0.17899999999999999</v>
      </c>
      <c r="F78" s="6">
        <v>3.7000000000000005E-2</v>
      </c>
      <c r="G78" s="6">
        <v>-0.216</v>
      </c>
      <c r="H78" s="6">
        <v>1.2999999999999999E-2</v>
      </c>
      <c r="I78" s="6">
        <v>-0.192</v>
      </c>
      <c r="J78" s="6">
        <v>0.127</v>
      </c>
      <c r="K78" s="6">
        <v>-0.30599999999999999</v>
      </c>
    </row>
    <row r="79" spans="2:11" ht="15.5" x14ac:dyDescent="0.35">
      <c r="B79" s="20" t="s">
        <v>40</v>
      </c>
      <c r="C79" s="21" t="s">
        <v>123</v>
      </c>
      <c r="D79" s="22">
        <v>2013</v>
      </c>
      <c r="E79" s="23">
        <v>2.8684815764427184E-2</v>
      </c>
      <c r="F79" s="6">
        <v>3.7000000000000005E-2</v>
      </c>
      <c r="G79" s="6">
        <v>-8.3151842355728214E-3</v>
      </c>
      <c r="H79" s="6">
        <v>1.2999999999999999E-2</v>
      </c>
      <c r="I79" s="6">
        <v>1.5684815764427186E-2</v>
      </c>
      <c r="J79" s="6">
        <v>0.127</v>
      </c>
      <c r="K79" s="6">
        <v>-9.8315184235572811E-2</v>
      </c>
    </row>
    <row r="80" spans="2:11" ht="15.5" x14ac:dyDescent="0.35">
      <c r="B80" s="20" t="s">
        <v>40</v>
      </c>
      <c r="C80" s="25" t="s">
        <v>124</v>
      </c>
      <c r="D80" s="24">
        <v>2013</v>
      </c>
      <c r="E80" s="23">
        <v>-0.17</v>
      </c>
      <c r="F80" s="6">
        <v>3.7000000000000005E-2</v>
      </c>
      <c r="G80" s="6">
        <v>-0.20700000000000002</v>
      </c>
      <c r="H80" s="6">
        <v>1.2999999999999999E-2</v>
      </c>
      <c r="I80" s="6">
        <v>-0.18300000000000002</v>
      </c>
      <c r="J80" s="6">
        <v>0.127</v>
      </c>
      <c r="K80" s="6">
        <v>-0.29700000000000004</v>
      </c>
    </row>
    <row r="81" spans="2:11" ht="15.5" x14ac:dyDescent="0.35">
      <c r="B81" s="20" t="s">
        <v>40</v>
      </c>
      <c r="C81" s="21" t="s">
        <v>103</v>
      </c>
      <c r="D81" s="22">
        <v>2015</v>
      </c>
      <c r="E81" s="23">
        <v>0.13220865130424495</v>
      </c>
      <c r="F81" s="6">
        <v>0.08</v>
      </c>
      <c r="G81" s="6">
        <v>5.2208651304244943E-2</v>
      </c>
      <c r="H81" s="6">
        <v>9.2999999999999999E-2</v>
      </c>
      <c r="I81" s="6">
        <v>3.9208651304244946E-2</v>
      </c>
      <c r="J81" s="6">
        <v>0.14400000000000002</v>
      </c>
      <c r="K81" s="6">
        <v>-1.1791348695755072E-2</v>
      </c>
    </row>
    <row r="82" spans="2:11" ht="15.5" x14ac:dyDescent="0.35">
      <c r="B82" s="20" t="s">
        <v>41</v>
      </c>
      <c r="C82" s="25" t="s">
        <v>125</v>
      </c>
      <c r="D82" s="24">
        <v>2010</v>
      </c>
      <c r="E82" s="23">
        <v>1.7826369166374207</v>
      </c>
      <c r="F82" s="6">
        <v>1.2E-2</v>
      </c>
      <c r="G82" s="6">
        <v>1.7706369166374207</v>
      </c>
      <c r="H82" s="6">
        <v>-0.14799999999999999</v>
      </c>
      <c r="I82" s="6">
        <v>1.9306369166374207</v>
      </c>
      <c r="J82" s="6">
        <v>0.122</v>
      </c>
      <c r="K82" s="6">
        <v>1.6606369166374209</v>
      </c>
    </row>
    <row r="83" spans="2:11" ht="15.5" x14ac:dyDescent="0.35">
      <c r="B83" s="20" t="s">
        <v>41</v>
      </c>
      <c r="C83" s="25" t="s">
        <v>126</v>
      </c>
      <c r="D83" s="24">
        <v>2010</v>
      </c>
      <c r="E83" s="23">
        <v>0.53663012385368358</v>
      </c>
      <c r="F83" s="6">
        <v>1.2E-2</v>
      </c>
      <c r="G83" s="6">
        <v>0.52463012385368357</v>
      </c>
      <c r="H83" s="6">
        <v>-0.14799999999999999</v>
      </c>
      <c r="I83" s="6">
        <v>0.6846301238536836</v>
      </c>
      <c r="J83" s="6">
        <v>0.122</v>
      </c>
      <c r="K83" s="6">
        <v>0.41463012385368359</v>
      </c>
    </row>
    <row r="84" spans="2:11" ht="15.5" x14ac:dyDescent="0.35">
      <c r="B84" s="20" t="s">
        <v>41</v>
      </c>
      <c r="C84" s="25" t="s">
        <v>127</v>
      </c>
      <c r="D84" s="24">
        <v>2010</v>
      </c>
      <c r="E84" s="23">
        <v>-0.30199999999999999</v>
      </c>
      <c r="F84" s="6">
        <v>1.2E-2</v>
      </c>
      <c r="G84" s="6">
        <v>-0.314</v>
      </c>
      <c r="H84" s="6">
        <v>-0.14799999999999999</v>
      </c>
      <c r="I84" s="6">
        <v>-0.154</v>
      </c>
      <c r="J84" s="6">
        <v>0.122</v>
      </c>
      <c r="K84" s="6">
        <v>-0.42399999999999999</v>
      </c>
    </row>
    <row r="85" spans="2:11" ht="15.5" x14ac:dyDescent="0.35">
      <c r="B85" s="20" t="s">
        <v>41</v>
      </c>
      <c r="C85" s="25" t="s">
        <v>128</v>
      </c>
      <c r="D85" s="24">
        <v>2011</v>
      </c>
      <c r="E85" s="23">
        <v>-0.28199999999999997</v>
      </c>
      <c r="F85" s="6">
        <v>-6.7000000000000004E-2</v>
      </c>
      <c r="G85" s="6">
        <v>-0.21499999999999997</v>
      </c>
      <c r="H85" s="6">
        <v>4.19E-2</v>
      </c>
      <c r="I85" s="6">
        <v>-0.32389999999999997</v>
      </c>
      <c r="J85" s="6">
        <v>0.14599999999999999</v>
      </c>
      <c r="K85" s="6">
        <v>-0.42799999999999994</v>
      </c>
    </row>
    <row r="86" spans="2:11" ht="15.5" x14ac:dyDescent="0.35">
      <c r="B86" s="20" t="s">
        <v>41</v>
      </c>
      <c r="C86" s="25" t="s">
        <v>129</v>
      </c>
      <c r="D86" s="24">
        <v>2011</v>
      </c>
      <c r="E86" s="23" t="s">
        <v>38</v>
      </c>
      <c r="F86" s="6">
        <v>-6.7000000000000004E-2</v>
      </c>
      <c r="G86" s="6">
        <v>0</v>
      </c>
      <c r="H86" s="6">
        <v>4.19E-2</v>
      </c>
      <c r="I86" s="6">
        <v>0</v>
      </c>
      <c r="J86" s="6">
        <v>0.14599999999999999</v>
      </c>
      <c r="K86" s="6">
        <v>0</v>
      </c>
    </row>
    <row r="87" spans="2:11" ht="15.5" x14ac:dyDescent="0.35">
      <c r="B87" s="20" t="s">
        <v>41</v>
      </c>
      <c r="C87" s="25" t="s">
        <v>130</v>
      </c>
      <c r="D87" s="24">
        <v>2011</v>
      </c>
      <c r="E87" s="23" t="s">
        <v>38</v>
      </c>
      <c r="F87" s="6">
        <v>-6.7000000000000004E-2</v>
      </c>
      <c r="G87" s="6">
        <v>0</v>
      </c>
      <c r="H87" s="6">
        <v>4.19E-2</v>
      </c>
      <c r="I87" s="6">
        <v>0</v>
      </c>
      <c r="J87" s="6">
        <v>0.14599999999999999</v>
      </c>
      <c r="K87" s="6">
        <v>0</v>
      </c>
    </row>
    <row r="88" spans="2:11" ht="15.5" x14ac:dyDescent="0.35">
      <c r="B88" s="20" t="s">
        <v>41</v>
      </c>
      <c r="C88" s="25" t="s">
        <v>131</v>
      </c>
      <c r="D88" s="24">
        <v>2011</v>
      </c>
      <c r="E88" s="23">
        <v>0.68222627043724071</v>
      </c>
      <c r="F88" s="6">
        <v>-6.7000000000000004E-2</v>
      </c>
      <c r="G88" s="6">
        <v>0.74922627043724077</v>
      </c>
      <c r="H88" s="6">
        <v>4.19E-2</v>
      </c>
      <c r="I88" s="6">
        <v>0.64032627043724066</v>
      </c>
      <c r="J88" s="6">
        <v>0.14599999999999999</v>
      </c>
      <c r="K88" s="6">
        <v>0.53622627043724069</v>
      </c>
    </row>
    <row r="89" spans="2:11" ht="15.5" x14ac:dyDescent="0.35">
      <c r="B89" s="20" t="s">
        <v>41</v>
      </c>
      <c r="C89" s="25" t="s">
        <v>132</v>
      </c>
      <c r="D89" s="24">
        <v>2011</v>
      </c>
      <c r="E89" s="23">
        <v>-0.11199999999999999</v>
      </c>
      <c r="F89" s="6">
        <v>-6.7000000000000004E-2</v>
      </c>
      <c r="G89" s="6">
        <v>-4.4999999999999984E-2</v>
      </c>
      <c r="H89" s="6">
        <v>4.19E-2</v>
      </c>
      <c r="I89" s="6">
        <v>-0.15389999999999998</v>
      </c>
      <c r="J89" s="6">
        <v>0.14599999999999999</v>
      </c>
      <c r="K89" s="6">
        <v>-0.25800000000000001</v>
      </c>
    </row>
    <row r="90" spans="2:11" ht="15.5" x14ac:dyDescent="0.35">
      <c r="B90" s="20" t="s">
        <v>41</v>
      </c>
      <c r="C90" s="25" t="s">
        <v>133</v>
      </c>
      <c r="D90" s="24">
        <v>2011</v>
      </c>
      <c r="E90" s="23">
        <v>-2.5000000000000001E-2</v>
      </c>
      <c r="F90" s="6">
        <v>-6.7000000000000004E-2</v>
      </c>
      <c r="G90" s="6">
        <v>4.2000000000000003E-2</v>
      </c>
      <c r="H90" s="6">
        <v>4.19E-2</v>
      </c>
      <c r="I90" s="6">
        <v>-6.6900000000000001E-2</v>
      </c>
      <c r="J90" s="6">
        <v>0.14599999999999999</v>
      </c>
      <c r="K90" s="6">
        <v>-0.17099999999999999</v>
      </c>
    </row>
    <row r="91" spans="2:11" ht="15.5" x14ac:dyDescent="0.35">
      <c r="B91" s="20" t="s">
        <v>41</v>
      </c>
      <c r="C91" s="25" t="s">
        <v>134</v>
      </c>
      <c r="D91" s="24">
        <v>2011</v>
      </c>
      <c r="E91" s="23">
        <v>-1.6E-2</v>
      </c>
      <c r="F91" s="6">
        <v>-6.7000000000000004E-2</v>
      </c>
      <c r="G91" s="6">
        <v>5.1000000000000004E-2</v>
      </c>
      <c r="H91" s="6">
        <v>4.19E-2</v>
      </c>
      <c r="I91" s="6">
        <v>-5.79E-2</v>
      </c>
      <c r="J91" s="6">
        <v>0.14599999999999999</v>
      </c>
      <c r="K91" s="6">
        <v>-0.16199999999999998</v>
      </c>
    </row>
    <row r="92" spans="2:11" ht="15.5" x14ac:dyDescent="0.35">
      <c r="B92" s="20" t="s">
        <v>41</v>
      </c>
      <c r="C92" s="25" t="s">
        <v>135</v>
      </c>
      <c r="D92" s="24">
        <v>2011</v>
      </c>
      <c r="E92" s="23">
        <v>-5.0000000000000001E-3</v>
      </c>
      <c r="F92" s="6">
        <v>-6.7000000000000004E-2</v>
      </c>
      <c r="G92" s="6">
        <v>6.2000000000000006E-2</v>
      </c>
      <c r="H92" s="6">
        <v>4.19E-2</v>
      </c>
      <c r="I92" s="6">
        <v>-4.6899999999999997E-2</v>
      </c>
      <c r="J92" s="6">
        <v>0.14599999999999999</v>
      </c>
      <c r="K92" s="6">
        <v>-0.151</v>
      </c>
    </row>
    <row r="93" spans="2:11" ht="15.5" x14ac:dyDescent="0.35">
      <c r="B93" s="20" t="s">
        <v>41</v>
      </c>
      <c r="C93" s="25" t="s">
        <v>136</v>
      </c>
      <c r="D93" s="24">
        <v>2011</v>
      </c>
      <c r="E93" s="23">
        <v>-0.498</v>
      </c>
      <c r="F93" s="6">
        <v>-6.7000000000000004E-2</v>
      </c>
      <c r="G93" s="6">
        <v>-0.43099999999999999</v>
      </c>
      <c r="H93" s="6">
        <v>4.19E-2</v>
      </c>
      <c r="I93" s="6">
        <v>-0.53990000000000005</v>
      </c>
      <c r="J93" s="6">
        <v>0.14599999999999999</v>
      </c>
      <c r="K93" s="6">
        <v>-0.64400000000000002</v>
      </c>
    </row>
    <row r="94" spans="2:11" ht="15.5" x14ac:dyDescent="0.35">
      <c r="B94" s="20" t="s">
        <v>41</v>
      </c>
      <c r="C94" s="21" t="s">
        <v>137</v>
      </c>
      <c r="D94" s="26">
        <v>2012</v>
      </c>
      <c r="E94" s="23">
        <v>4.5038309693336498E-2</v>
      </c>
      <c r="F94" s="6">
        <v>5.0000000000000001E-3</v>
      </c>
      <c r="G94" s="6">
        <v>4.00383096933365E-2</v>
      </c>
      <c r="H94" s="6">
        <v>9.1999999999999998E-2</v>
      </c>
      <c r="I94" s="6">
        <v>-4.6961690306663501E-2</v>
      </c>
      <c r="J94" s="6">
        <v>0.14099999999999999</v>
      </c>
      <c r="K94" s="6">
        <v>-9.5961690306663489E-2</v>
      </c>
    </row>
    <row r="95" spans="2:11" ht="15.5" x14ac:dyDescent="0.35">
      <c r="B95" s="20" t="s">
        <v>41</v>
      </c>
      <c r="C95" s="25" t="s">
        <v>138</v>
      </c>
      <c r="D95" s="24">
        <v>2012</v>
      </c>
      <c r="E95" s="23">
        <v>-0.84799999999999998</v>
      </c>
      <c r="F95" s="6">
        <v>5.0000000000000001E-3</v>
      </c>
      <c r="G95" s="6">
        <v>-0.85299999999999998</v>
      </c>
      <c r="H95" s="6">
        <v>9.1999999999999998E-2</v>
      </c>
      <c r="I95" s="6">
        <v>-0.94</v>
      </c>
      <c r="J95" s="6">
        <v>0.14099999999999999</v>
      </c>
      <c r="K95" s="6">
        <v>-0.98899999999999999</v>
      </c>
    </row>
    <row r="96" spans="2:11" ht="15.5" x14ac:dyDescent="0.35">
      <c r="B96" s="20" t="s">
        <v>41</v>
      </c>
      <c r="C96" s="25" t="s">
        <v>139</v>
      </c>
      <c r="D96" s="24">
        <v>2012</v>
      </c>
      <c r="E96" s="23">
        <v>-1E-3</v>
      </c>
      <c r="F96" s="6">
        <v>5.0000000000000001E-3</v>
      </c>
      <c r="G96" s="6">
        <v>-6.0000000000000001E-3</v>
      </c>
      <c r="H96" s="6">
        <v>9.1999999999999998E-2</v>
      </c>
      <c r="I96" s="6">
        <v>-9.2999999999999999E-2</v>
      </c>
      <c r="J96" s="6">
        <v>0.14099999999999999</v>
      </c>
      <c r="K96" s="6">
        <v>-0.14199999999999999</v>
      </c>
    </row>
    <row r="97" spans="2:11" ht="15.5" x14ac:dyDescent="0.35">
      <c r="B97" s="20" t="s">
        <v>41</v>
      </c>
      <c r="C97" s="25" t="s">
        <v>140</v>
      </c>
      <c r="D97" s="24">
        <v>2012</v>
      </c>
      <c r="E97" s="23">
        <v>4.3167951703071597E-2</v>
      </c>
      <c r="F97" s="6">
        <v>5.0000000000000001E-3</v>
      </c>
      <c r="G97" s="6">
        <v>3.81679517030716E-2</v>
      </c>
      <c r="H97" s="6">
        <v>9.1999999999999998E-2</v>
      </c>
      <c r="I97" s="6">
        <v>-4.8832048296928401E-2</v>
      </c>
      <c r="J97" s="6">
        <v>0.14099999999999999</v>
      </c>
      <c r="K97" s="6">
        <v>-9.7832048296928389E-2</v>
      </c>
    </row>
    <row r="98" spans="2:11" ht="15.5" x14ac:dyDescent="0.35">
      <c r="B98" s="20" t="s">
        <v>41</v>
      </c>
      <c r="C98" s="25" t="s">
        <v>141</v>
      </c>
      <c r="D98" s="24">
        <v>2012</v>
      </c>
      <c r="E98" s="23">
        <v>7.9262807965278639E-2</v>
      </c>
      <c r="F98" s="6">
        <v>5.0000000000000001E-3</v>
      </c>
      <c r="G98" s="6">
        <v>7.4262807965278635E-2</v>
      </c>
      <c r="H98" s="6">
        <v>9.1999999999999998E-2</v>
      </c>
      <c r="I98" s="6">
        <v>-1.2737192034721359E-2</v>
      </c>
      <c r="J98" s="6">
        <v>0.14099999999999999</v>
      </c>
      <c r="K98" s="6">
        <v>-6.1737192034721347E-2</v>
      </c>
    </row>
    <row r="99" spans="2:11" ht="15.5" x14ac:dyDescent="0.35">
      <c r="B99" s="20" t="s">
        <v>41</v>
      </c>
      <c r="C99" s="25" t="s">
        <v>108</v>
      </c>
      <c r="D99" s="24">
        <v>2012</v>
      </c>
      <c r="E99" s="23">
        <v>-0.41899999999999998</v>
      </c>
      <c r="F99" s="6">
        <v>5.0000000000000001E-3</v>
      </c>
      <c r="G99" s="6">
        <v>-0.42399999999999999</v>
      </c>
      <c r="H99" s="6">
        <v>9.1999999999999998E-2</v>
      </c>
      <c r="I99" s="6">
        <v>-0.51100000000000001</v>
      </c>
      <c r="J99" s="6">
        <v>0.14099999999999999</v>
      </c>
      <c r="K99" s="6">
        <v>-0.55999999999999994</v>
      </c>
    </row>
    <row r="100" spans="2:11" ht="15.5" x14ac:dyDescent="0.35">
      <c r="B100" s="20" t="s">
        <v>41</v>
      </c>
      <c r="C100" s="25" t="s">
        <v>142</v>
      </c>
      <c r="D100" s="24">
        <v>2012</v>
      </c>
      <c r="E100" s="23">
        <v>-0.35399999999999998</v>
      </c>
      <c r="F100" s="6">
        <v>5.0000000000000001E-3</v>
      </c>
      <c r="G100" s="6">
        <v>-0.35899999999999999</v>
      </c>
      <c r="H100" s="6">
        <v>9.1999999999999998E-2</v>
      </c>
      <c r="I100" s="6">
        <v>-0.44599999999999995</v>
      </c>
      <c r="J100" s="6">
        <v>0.14099999999999999</v>
      </c>
      <c r="K100" s="6">
        <v>-0.495</v>
      </c>
    </row>
    <row r="101" spans="2:11" ht="15.5" x14ac:dyDescent="0.35">
      <c r="B101" s="20" t="s">
        <v>41</v>
      </c>
      <c r="C101" s="21" t="s">
        <v>106</v>
      </c>
      <c r="D101" s="22">
        <v>2012</v>
      </c>
      <c r="E101" s="23">
        <v>0.46130011677742</v>
      </c>
      <c r="F101" s="6">
        <v>5.0000000000000001E-3</v>
      </c>
      <c r="G101" s="6">
        <v>0.45630011677742</v>
      </c>
      <c r="H101" s="6">
        <v>9.1999999999999998E-2</v>
      </c>
      <c r="I101" s="6">
        <v>0.36930011677742003</v>
      </c>
      <c r="J101" s="6">
        <v>0.14099999999999999</v>
      </c>
      <c r="K101" s="6">
        <v>0.32030011677741999</v>
      </c>
    </row>
    <row r="102" spans="2:11" ht="15.5" x14ac:dyDescent="0.35">
      <c r="B102" s="20" t="s">
        <v>41</v>
      </c>
      <c r="C102" s="25" t="s">
        <v>143</v>
      </c>
      <c r="D102" s="24">
        <v>2012</v>
      </c>
      <c r="E102" s="23">
        <v>0.8547093033790587</v>
      </c>
      <c r="F102" s="6">
        <v>5.0000000000000001E-3</v>
      </c>
      <c r="G102" s="6">
        <v>0.8497093033790587</v>
      </c>
      <c r="H102" s="6">
        <v>9.1999999999999998E-2</v>
      </c>
      <c r="I102" s="6">
        <v>0.76270930337905873</v>
      </c>
      <c r="J102" s="6">
        <v>0.14099999999999999</v>
      </c>
      <c r="K102" s="6">
        <v>0.71370930337905869</v>
      </c>
    </row>
    <row r="103" spans="2:11" ht="15.5" x14ac:dyDescent="0.35">
      <c r="B103" s="20" t="s">
        <v>41</v>
      </c>
      <c r="C103" s="25" t="s">
        <v>122</v>
      </c>
      <c r="D103" s="24">
        <v>2011</v>
      </c>
      <c r="E103" s="23">
        <v>-0.13300000000000001</v>
      </c>
      <c r="F103" s="6">
        <v>-6.7000000000000004E-2</v>
      </c>
      <c r="G103" s="6">
        <v>-6.6000000000000003E-2</v>
      </c>
      <c r="H103" s="6">
        <v>4.19E-2</v>
      </c>
      <c r="I103" s="6">
        <v>-0.1749</v>
      </c>
      <c r="J103" s="6">
        <v>0.14599999999999999</v>
      </c>
      <c r="K103" s="6">
        <v>-0.27900000000000003</v>
      </c>
    </row>
    <row r="104" spans="2:11" ht="15.5" x14ac:dyDescent="0.35">
      <c r="B104" s="20" t="s">
        <v>41</v>
      </c>
      <c r="C104" s="25" t="s">
        <v>144</v>
      </c>
      <c r="D104" s="24">
        <v>2011</v>
      </c>
      <c r="E104" s="23">
        <v>0.1252775013446808</v>
      </c>
      <c r="F104" s="6">
        <v>-6.7000000000000004E-2</v>
      </c>
      <c r="G104" s="6">
        <v>0.1922775013446808</v>
      </c>
      <c r="H104" s="6">
        <v>4.19E-2</v>
      </c>
      <c r="I104" s="6">
        <v>8.3377501344680804E-2</v>
      </c>
      <c r="J104" s="6">
        <v>0.14599999999999999</v>
      </c>
      <c r="K104" s="6">
        <v>-2.0722498655319194E-2</v>
      </c>
    </row>
    <row r="105" spans="2:11" ht="15.5" x14ac:dyDescent="0.35">
      <c r="B105" s="20" t="s">
        <v>42</v>
      </c>
      <c r="C105" s="25" t="s">
        <v>145</v>
      </c>
      <c r="D105" s="24">
        <v>2007</v>
      </c>
      <c r="E105" s="23">
        <v>1.1944230437278744</v>
      </c>
      <c r="F105" s="6" t="s">
        <v>38</v>
      </c>
      <c r="G105" s="6">
        <v>0</v>
      </c>
      <c r="H105" s="6">
        <v>1.0999999999999999E-2</v>
      </c>
      <c r="I105" s="6">
        <v>1.1834230437278745</v>
      </c>
      <c r="J105" s="6" t="s">
        <v>38</v>
      </c>
      <c r="K105" s="6">
        <v>0</v>
      </c>
    </row>
    <row r="106" spans="2:11" ht="15.5" x14ac:dyDescent="0.35">
      <c r="B106" s="20" t="s">
        <v>42</v>
      </c>
      <c r="C106" s="25" t="s">
        <v>146</v>
      </c>
      <c r="D106" s="24">
        <v>2007</v>
      </c>
      <c r="E106" s="23">
        <v>0.54310455918312073</v>
      </c>
      <c r="F106" s="6" t="s">
        <v>38</v>
      </c>
      <c r="G106" s="6">
        <v>0</v>
      </c>
      <c r="H106" s="6">
        <v>1.0999999999999999E-2</v>
      </c>
      <c r="I106" s="6">
        <v>0.53210455918312072</v>
      </c>
      <c r="J106" s="6" t="s">
        <v>38</v>
      </c>
      <c r="K106" s="6">
        <v>0</v>
      </c>
    </row>
    <row r="107" spans="2:11" ht="15.5" x14ac:dyDescent="0.35">
      <c r="B107" s="20" t="s">
        <v>42</v>
      </c>
      <c r="C107" s="25" t="s">
        <v>147</v>
      </c>
      <c r="D107" s="24">
        <v>2007</v>
      </c>
      <c r="E107" s="23">
        <v>0.32696595788002014</v>
      </c>
      <c r="F107" s="6" t="s">
        <v>38</v>
      </c>
      <c r="G107" s="6">
        <v>0</v>
      </c>
      <c r="H107" s="6">
        <v>1.0999999999999999E-2</v>
      </c>
      <c r="I107" s="6">
        <v>0.31596595788002013</v>
      </c>
      <c r="J107" s="6" t="s">
        <v>38</v>
      </c>
      <c r="K107" s="6">
        <v>0</v>
      </c>
    </row>
    <row r="108" spans="2:11" ht="15.5" x14ac:dyDescent="0.35">
      <c r="B108" s="20" t="s">
        <v>42</v>
      </c>
      <c r="C108" s="25" t="s">
        <v>148</v>
      </c>
      <c r="D108" s="24">
        <v>2007</v>
      </c>
      <c r="E108" s="23">
        <v>0.48624940514564507</v>
      </c>
      <c r="F108" s="6" t="s">
        <v>38</v>
      </c>
      <c r="G108" s="6">
        <v>0</v>
      </c>
      <c r="H108" s="6">
        <v>1.0999999999999999E-2</v>
      </c>
      <c r="I108" s="6">
        <v>0.47524940514564507</v>
      </c>
      <c r="J108" s="6" t="s">
        <v>38</v>
      </c>
      <c r="K108" s="6">
        <v>0</v>
      </c>
    </row>
    <row r="109" spans="2:11" ht="15.5" x14ac:dyDescent="0.35">
      <c r="B109" s="20" t="s">
        <v>42</v>
      </c>
      <c r="C109" s="25" t="s">
        <v>149</v>
      </c>
      <c r="D109" s="24">
        <v>2007</v>
      </c>
      <c r="E109" s="23">
        <v>-2.1000000000000001E-2</v>
      </c>
      <c r="F109" s="6" t="s">
        <v>38</v>
      </c>
      <c r="G109" s="6">
        <v>0</v>
      </c>
      <c r="H109" s="6">
        <v>1.0999999999999999E-2</v>
      </c>
      <c r="I109" s="6">
        <v>-3.2000000000000001E-2</v>
      </c>
      <c r="J109" s="6" t="s">
        <v>38</v>
      </c>
      <c r="K109" s="6">
        <v>0</v>
      </c>
    </row>
    <row r="110" spans="2:11" ht="15.5" x14ac:dyDescent="0.35">
      <c r="B110" s="20" t="s">
        <v>42</v>
      </c>
      <c r="C110" s="25" t="s">
        <v>150</v>
      </c>
      <c r="D110" s="24">
        <v>2007</v>
      </c>
      <c r="E110" s="23">
        <v>-0.26600000000000001</v>
      </c>
      <c r="F110" s="6" t="s">
        <v>38</v>
      </c>
      <c r="G110" s="6">
        <v>0</v>
      </c>
      <c r="H110" s="6">
        <v>1.0999999999999999E-2</v>
      </c>
      <c r="I110" s="6">
        <v>-0.27700000000000002</v>
      </c>
      <c r="J110" s="6" t="s">
        <v>38</v>
      </c>
      <c r="K110" s="6">
        <v>0</v>
      </c>
    </row>
    <row r="111" spans="2:11" ht="15.5" x14ac:dyDescent="0.35">
      <c r="B111" s="20" t="s">
        <v>42</v>
      </c>
      <c r="C111" s="25" t="s">
        <v>151</v>
      </c>
      <c r="D111" s="24">
        <v>2007</v>
      </c>
      <c r="E111" s="23">
        <v>0.72620216608047494</v>
      </c>
      <c r="F111" s="6" t="s">
        <v>38</v>
      </c>
      <c r="G111" s="6">
        <v>0</v>
      </c>
      <c r="H111" s="6">
        <v>1.0999999999999999E-2</v>
      </c>
      <c r="I111" s="6">
        <v>0.71520216608047493</v>
      </c>
      <c r="J111" s="6" t="s">
        <v>38</v>
      </c>
      <c r="K111" s="6">
        <v>0</v>
      </c>
    </row>
    <row r="112" spans="2:11" ht="15.5" x14ac:dyDescent="0.35">
      <c r="B112" s="20" t="s">
        <v>42</v>
      </c>
      <c r="C112" s="25" t="s">
        <v>152</v>
      </c>
      <c r="D112" s="24">
        <v>2007</v>
      </c>
      <c r="E112" s="23">
        <v>0.46563666462898257</v>
      </c>
      <c r="F112" s="6" t="s">
        <v>38</v>
      </c>
      <c r="G112" s="6">
        <v>0</v>
      </c>
      <c r="H112" s="6">
        <v>1.0999999999999999E-2</v>
      </c>
      <c r="I112" s="6">
        <v>0.45463666462898256</v>
      </c>
      <c r="J112" s="6" t="s">
        <v>38</v>
      </c>
      <c r="K112" s="6">
        <v>0</v>
      </c>
    </row>
    <row r="113" spans="2:11" ht="15.5" x14ac:dyDescent="0.35">
      <c r="B113" s="20" t="s">
        <v>42</v>
      </c>
      <c r="C113" s="25" t="s">
        <v>153</v>
      </c>
      <c r="D113" s="24">
        <v>2007</v>
      </c>
      <c r="E113" s="23">
        <v>-0.628</v>
      </c>
      <c r="F113" s="6" t="s">
        <v>38</v>
      </c>
      <c r="G113" s="6">
        <v>0</v>
      </c>
      <c r="H113" s="6">
        <v>1.0999999999999999E-2</v>
      </c>
      <c r="I113" s="6">
        <v>-0.63900000000000001</v>
      </c>
      <c r="J113" s="6" t="s">
        <v>38</v>
      </c>
      <c r="K113" s="6">
        <v>0</v>
      </c>
    </row>
    <row r="114" spans="2:11" ht="15.5" x14ac:dyDescent="0.35">
      <c r="B114" s="20" t="s">
        <v>42</v>
      </c>
      <c r="C114" s="25" t="s">
        <v>154</v>
      </c>
      <c r="D114" s="24">
        <v>2007</v>
      </c>
      <c r="E114" s="23">
        <v>-0.14699999999999999</v>
      </c>
      <c r="F114" s="6" t="s">
        <v>38</v>
      </c>
      <c r="G114" s="6">
        <v>0</v>
      </c>
      <c r="H114" s="6">
        <v>1.0999999999999999E-2</v>
      </c>
      <c r="I114" s="6">
        <v>-0.158</v>
      </c>
      <c r="J114" s="6" t="s">
        <v>38</v>
      </c>
      <c r="K114" s="6">
        <v>0</v>
      </c>
    </row>
    <row r="115" spans="2:11" ht="18.5" x14ac:dyDescent="0.35">
      <c r="B115" s="20" t="s">
        <v>42</v>
      </c>
      <c r="C115" s="25" t="s">
        <v>155</v>
      </c>
      <c r="D115" s="24">
        <v>2008</v>
      </c>
      <c r="E115" s="23">
        <v>1.0134081721305843</v>
      </c>
      <c r="F115" s="6" t="s">
        <v>38</v>
      </c>
      <c r="G115" s="6">
        <v>0</v>
      </c>
      <c r="H115" s="6">
        <v>8.3500000000000005E-2</v>
      </c>
      <c r="I115" s="6">
        <v>0.9299081721305843</v>
      </c>
      <c r="J115" s="6" t="s">
        <v>38</v>
      </c>
      <c r="K115" s="6">
        <v>0</v>
      </c>
    </row>
    <row r="116" spans="2:11" ht="15.5" x14ac:dyDescent="0.35">
      <c r="B116" s="20" t="s">
        <v>42</v>
      </c>
      <c r="C116" s="25" t="s">
        <v>156</v>
      </c>
      <c r="D116" s="27">
        <v>2008</v>
      </c>
      <c r="E116" s="23">
        <v>46.068590164184592</v>
      </c>
      <c r="F116" s="6" t="s">
        <v>38</v>
      </c>
      <c r="G116" s="6">
        <v>0</v>
      </c>
      <c r="H116" s="6">
        <v>8.3500000000000005E-2</v>
      </c>
      <c r="I116" s="6">
        <v>45.985090164184591</v>
      </c>
      <c r="J116" s="6" t="s">
        <v>38</v>
      </c>
      <c r="K116" s="6">
        <v>0</v>
      </c>
    </row>
    <row r="117" spans="2:11" ht="15.5" x14ac:dyDescent="0.35">
      <c r="B117" s="20" t="s">
        <v>42</v>
      </c>
      <c r="C117" s="25" t="s">
        <v>157</v>
      </c>
      <c r="D117" s="27">
        <v>2008</v>
      </c>
      <c r="E117" s="23">
        <v>0.37446864247322076</v>
      </c>
      <c r="F117" s="6" t="s">
        <v>38</v>
      </c>
      <c r="G117" s="6">
        <v>0</v>
      </c>
      <c r="H117" s="6">
        <v>8.3500000000000005E-2</v>
      </c>
      <c r="I117" s="6">
        <v>0.29096864247322074</v>
      </c>
      <c r="J117" s="6" t="s">
        <v>38</v>
      </c>
      <c r="K117" s="6">
        <v>0</v>
      </c>
    </row>
    <row r="118" spans="2:11" ht="15.5" x14ac:dyDescent="0.35">
      <c r="B118" s="20" t="s">
        <v>42</v>
      </c>
      <c r="C118" s="25" t="s">
        <v>158</v>
      </c>
      <c r="D118" s="24">
        <v>2008</v>
      </c>
      <c r="E118" s="23">
        <v>5.7981565594673157E-2</v>
      </c>
      <c r="F118" s="6" t="s">
        <v>38</v>
      </c>
      <c r="G118" s="6">
        <v>0</v>
      </c>
      <c r="H118" s="6">
        <v>8.3500000000000005E-2</v>
      </c>
      <c r="I118" s="6">
        <v>-2.5518434405326848E-2</v>
      </c>
      <c r="J118" s="6" t="s">
        <v>38</v>
      </c>
      <c r="K118" s="6">
        <v>0</v>
      </c>
    </row>
    <row r="119" spans="2:11" ht="15.5" x14ac:dyDescent="0.35">
      <c r="B119" s="20" t="s">
        <v>42</v>
      </c>
      <c r="C119" s="25" t="s">
        <v>159</v>
      </c>
      <c r="D119" s="24">
        <v>2008</v>
      </c>
      <c r="E119" s="23">
        <v>0.16058476567268379</v>
      </c>
      <c r="F119" s="6" t="s">
        <v>38</v>
      </c>
      <c r="G119" s="6">
        <v>0</v>
      </c>
      <c r="H119" s="6">
        <v>8.3500000000000005E-2</v>
      </c>
      <c r="I119" s="6">
        <v>7.7084765672683783E-2</v>
      </c>
      <c r="J119" s="6" t="s">
        <v>38</v>
      </c>
      <c r="K119" s="6">
        <v>0</v>
      </c>
    </row>
    <row r="120" spans="2:11" ht="15.5" x14ac:dyDescent="0.35">
      <c r="B120" s="20" t="s">
        <v>42</v>
      </c>
      <c r="C120" s="25" t="s">
        <v>160</v>
      </c>
      <c r="D120" s="24">
        <v>2008</v>
      </c>
      <c r="E120" s="23">
        <v>-0.18</v>
      </c>
      <c r="F120" s="6" t="s">
        <v>38</v>
      </c>
      <c r="G120" s="6">
        <v>0</v>
      </c>
      <c r="H120" s="6">
        <v>8.3500000000000005E-2</v>
      </c>
      <c r="I120" s="6">
        <v>-0.26350000000000001</v>
      </c>
      <c r="J120" s="6" t="s">
        <v>38</v>
      </c>
      <c r="K120" s="6">
        <v>0</v>
      </c>
    </row>
    <row r="121" spans="2:11" ht="15.5" x14ac:dyDescent="0.35">
      <c r="B121" s="20" t="s">
        <v>42</v>
      </c>
      <c r="C121" s="25" t="s">
        <v>161</v>
      </c>
      <c r="D121" s="24">
        <v>2008</v>
      </c>
      <c r="E121" s="23">
        <v>0.4421629011631012</v>
      </c>
      <c r="F121" s="6" t="s">
        <v>38</v>
      </c>
      <c r="G121" s="6">
        <v>0</v>
      </c>
      <c r="H121" s="6">
        <v>8.3500000000000005E-2</v>
      </c>
      <c r="I121" s="6">
        <v>0.35866290116310118</v>
      </c>
      <c r="J121" s="6" t="s">
        <v>38</v>
      </c>
      <c r="K121" s="6">
        <v>0</v>
      </c>
    </row>
    <row r="122" spans="2:11" ht="15.5" x14ac:dyDescent="0.35">
      <c r="B122" s="20" t="s">
        <v>42</v>
      </c>
      <c r="C122" s="25" t="s">
        <v>162</v>
      </c>
      <c r="D122" s="24">
        <v>2008</v>
      </c>
      <c r="E122" s="23">
        <v>0.34606032967567446</v>
      </c>
      <c r="F122" s="6" t="s">
        <v>38</v>
      </c>
      <c r="G122" s="6">
        <v>0</v>
      </c>
      <c r="H122" s="6">
        <v>8.3500000000000005E-2</v>
      </c>
      <c r="I122" s="6">
        <v>0.26256032967567444</v>
      </c>
      <c r="J122" s="6" t="s">
        <v>38</v>
      </c>
      <c r="K122" s="6">
        <v>0</v>
      </c>
    </row>
    <row r="123" spans="2:11" ht="15.5" x14ac:dyDescent="0.35">
      <c r="B123" s="20" t="s">
        <v>42</v>
      </c>
      <c r="C123" s="25" t="s">
        <v>163</v>
      </c>
      <c r="D123" s="24">
        <v>2008</v>
      </c>
      <c r="E123" s="23">
        <v>-0.312</v>
      </c>
      <c r="F123" s="6" t="s">
        <v>38</v>
      </c>
      <c r="G123" s="6">
        <v>0</v>
      </c>
      <c r="H123" s="6">
        <v>8.3500000000000005E-2</v>
      </c>
      <c r="I123" s="6">
        <v>-0.39550000000000002</v>
      </c>
      <c r="J123" s="6" t="s">
        <v>38</v>
      </c>
      <c r="K123" s="6">
        <v>0</v>
      </c>
    </row>
    <row r="124" spans="2:11" ht="15.5" x14ac:dyDescent="0.35">
      <c r="B124" s="20" t="s">
        <v>42</v>
      </c>
      <c r="C124" s="25" t="s">
        <v>164</v>
      </c>
      <c r="D124" s="24">
        <v>2008</v>
      </c>
      <c r="E124" s="23">
        <v>-0.313</v>
      </c>
      <c r="F124" s="6" t="s">
        <v>38</v>
      </c>
      <c r="G124" s="6">
        <v>0</v>
      </c>
      <c r="H124" s="6">
        <v>8.3500000000000005E-2</v>
      </c>
      <c r="I124" s="6">
        <v>-0.39650000000000002</v>
      </c>
      <c r="J124" s="6" t="s">
        <v>38</v>
      </c>
      <c r="K124" s="6">
        <v>0</v>
      </c>
    </row>
    <row r="125" spans="2:11" ht="15.5" x14ac:dyDescent="0.35">
      <c r="B125" s="20" t="s">
        <v>42</v>
      </c>
      <c r="C125" s="25" t="s">
        <v>165</v>
      </c>
      <c r="D125" s="24">
        <v>2008</v>
      </c>
      <c r="E125" s="23">
        <v>1.4503047347068789</v>
      </c>
      <c r="F125" s="6" t="s">
        <v>38</v>
      </c>
      <c r="G125" s="6">
        <v>0</v>
      </c>
      <c r="H125" s="6">
        <v>8.3500000000000005E-2</v>
      </c>
      <c r="I125" s="6">
        <v>1.366804734706879</v>
      </c>
      <c r="J125" s="6" t="s">
        <v>38</v>
      </c>
      <c r="K125" s="6">
        <v>0</v>
      </c>
    </row>
    <row r="126" spans="2:11" ht="15.5" x14ac:dyDescent="0.35">
      <c r="B126" s="20" t="s">
        <v>42</v>
      </c>
      <c r="C126" s="25" t="s">
        <v>166</v>
      </c>
      <c r="D126" s="24">
        <v>2009</v>
      </c>
      <c r="E126" s="23">
        <v>-0.70900000000000007</v>
      </c>
      <c r="F126" s="6" t="s">
        <v>38</v>
      </c>
      <c r="G126" s="6">
        <v>0</v>
      </c>
      <c r="H126" s="6">
        <v>-1.6000000000000001E-3</v>
      </c>
      <c r="I126" s="6">
        <v>-0.70740000000000003</v>
      </c>
      <c r="J126" s="6" t="s">
        <v>38</v>
      </c>
      <c r="K126" s="6">
        <v>0</v>
      </c>
    </row>
    <row r="127" spans="2:11" ht="15.5" x14ac:dyDescent="0.35">
      <c r="B127" s="20" t="s">
        <v>42</v>
      </c>
      <c r="C127" s="25" t="s">
        <v>167</v>
      </c>
      <c r="D127" s="24">
        <v>2009</v>
      </c>
      <c r="E127" s="23">
        <v>1.1494637608528138</v>
      </c>
      <c r="F127" s="6" t="s">
        <v>38</v>
      </c>
      <c r="G127" s="6">
        <v>0</v>
      </c>
      <c r="H127" s="6">
        <v>-1.6000000000000001E-3</v>
      </c>
      <c r="I127" s="6">
        <v>1.1510637608528138</v>
      </c>
      <c r="J127" s="6" t="s">
        <v>38</v>
      </c>
      <c r="K127" s="6">
        <v>0</v>
      </c>
    </row>
    <row r="128" spans="2:11" ht="15.5" x14ac:dyDescent="0.35">
      <c r="B128" s="20" t="s">
        <v>42</v>
      </c>
      <c r="C128" s="25" t="s">
        <v>168</v>
      </c>
      <c r="D128" s="24">
        <v>2009</v>
      </c>
      <c r="E128" s="23">
        <v>4.4431776523590081</v>
      </c>
      <c r="F128" s="6" t="s">
        <v>38</v>
      </c>
      <c r="G128" s="6">
        <v>0</v>
      </c>
      <c r="H128" s="6">
        <v>-1.6000000000000001E-3</v>
      </c>
      <c r="I128" s="6">
        <v>4.4447776523590079</v>
      </c>
      <c r="J128" s="6" t="s">
        <v>38</v>
      </c>
      <c r="K128" s="6">
        <v>0</v>
      </c>
    </row>
    <row r="129" spans="2:11" ht="15.5" x14ac:dyDescent="0.35">
      <c r="B129" s="20" t="s">
        <v>42</v>
      </c>
      <c r="C129" s="25" t="s">
        <v>169</v>
      </c>
      <c r="D129" s="24">
        <v>2009</v>
      </c>
      <c r="E129" s="23">
        <v>0.81307839155197126</v>
      </c>
      <c r="F129" s="6" t="s">
        <v>38</v>
      </c>
      <c r="G129" s="6">
        <v>0</v>
      </c>
      <c r="H129" s="6">
        <v>-1.6000000000000001E-3</v>
      </c>
      <c r="I129" s="6">
        <v>0.8146783915519713</v>
      </c>
      <c r="J129" s="6" t="s">
        <v>38</v>
      </c>
      <c r="K129" s="6">
        <v>0</v>
      </c>
    </row>
    <row r="130" spans="2:11" ht="15.5" x14ac:dyDescent="0.35">
      <c r="B130" s="20" t="s">
        <v>42</v>
      </c>
      <c r="C130" s="25" t="s">
        <v>170</v>
      </c>
      <c r="D130" s="24">
        <v>2010</v>
      </c>
      <c r="E130" s="23">
        <v>3.3343865156173713</v>
      </c>
      <c r="F130" s="6">
        <v>1.2E-2</v>
      </c>
      <c r="G130" s="6">
        <v>3.3223865156173713</v>
      </c>
      <c r="H130" s="6">
        <v>-0.14799999999999999</v>
      </c>
      <c r="I130" s="6">
        <v>3.4823865156173714</v>
      </c>
      <c r="J130" s="6">
        <v>0.122</v>
      </c>
      <c r="K130" s="6">
        <v>3.2123865156173714</v>
      </c>
    </row>
    <row r="131" spans="2:11" ht="15.5" x14ac:dyDescent="0.35">
      <c r="B131" s="20" t="s">
        <v>42</v>
      </c>
      <c r="C131" s="25" t="s">
        <v>171</v>
      </c>
      <c r="D131" s="27">
        <v>2010</v>
      </c>
      <c r="E131" s="23">
        <v>7.2205153107643139E-2</v>
      </c>
      <c r="F131" s="6">
        <v>1.2E-2</v>
      </c>
      <c r="G131" s="6">
        <v>6.0205153107643142E-2</v>
      </c>
      <c r="H131" s="6">
        <v>-0.14799999999999999</v>
      </c>
      <c r="I131" s="6">
        <v>0.22020515310764313</v>
      </c>
      <c r="J131" s="6">
        <v>0.122</v>
      </c>
      <c r="K131" s="6">
        <v>-4.9794846892356859E-2</v>
      </c>
    </row>
    <row r="132" spans="2:11" ht="15.5" x14ac:dyDescent="0.35">
      <c r="B132" s="20" t="s">
        <v>42</v>
      </c>
      <c r="C132" s="25" t="s">
        <v>126</v>
      </c>
      <c r="D132" s="24">
        <v>2010</v>
      </c>
      <c r="E132" s="23">
        <v>0.49612399935722351</v>
      </c>
      <c r="F132" s="6">
        <v>1.2E-2</v>
      </c>
      <c r="G132" s="6">
        <v>0.4841239993572235</v>
      </c>
      <c r="H132" s="6">
        <v>-0.14799999999999999</v>
      </c>
      <c r="I132" s="6">
        <v>0.64412399935722353</v>
      </c>
      <c r="J132" s="6">
        <v>0.122</v>
      </c>
      <c r="K132" s="6">
        <v>0.37412399935722351</v>
      </c>
    </row>
    <row r="133" spans="2:11" ht="15.5" x14ac:dyDescent="0.35">
      <c r="B133" s="20" t="s">
        <v>42</v>
      </c>
      <c r="C133" s="25" t="s">
        <v>125</v>
      </c>
      <c r="D133" s="27">
        <v>2010</v>
      </c>
      <c r="E133" s="23">
        <v>1.4064089894294738</v>
      </c>
      <c r="F133" s="6">
        <v>1.2E-2</v>
      </c>
      <c r="G133" s="6">
        <v>1.3944089894294738</v>
      </c>
      <c r="H133" s="6">
        <v>-0.14799999999999999</v>
      </c>
      <c r="I133" s="6">
        <v>1.5544089894294737</v>
      </c>
      <c r="J133" s="6">
        <v>0.122</v>
      </c>
      <c r="K133" s="6">
        <v>1.2844089894294739</v>
      </c>
    </row>
    <row r="134" spans="2:11" ht="15.5" x14ac:dyDescent="0.35">
      <c r="B134" s="20" t="s">
        <v>42</v>
      </c>
      <c r="C134" s="25" t="s">
        <v>127</v>
      </c>
      <c r="D134" s="27">
        <v>2010</v>
      </c>
      <c r="E134" s="23">
        <v>-0.3</v>
      </c>
      <c r="F134" s="6">
        <v>1.2E-2</v>
      </c>
      <c r="G134" s="6">
        <v>-0.312</v>
      </c>
      <c r="H134" s="6">
        <v>-0.14799999999999999</v>
      </c>
      <c r="I134" s="6">
        <v>-0.152</v>
      </c>
      <c r="J134" s="6">
        <v>0.122</v>
      </c>
      <c r="K134" s="6">
        <v>-0.42199999999999999</v>
      </c>
    </row>
    <row r="135" spans="2:11" ht="15.5" x14ac:dyDescent="0.35">
      <c r="B135" s="20" t="s">
        <v>42</v>
      </c>
      <c r="C135" s="25" t="s">
        <v>172</v>
      </c>
      <c r="D135" s="24">
        <v>2010</v>
      </c>
      <c r="E135" s="23">
        <v>-0.36599999999999999</v>
      </c>
      <c r="F135" s="6">
        <v>1.2E-2</v>
      </c>
      <c r="G135" s="6">
        <v>-0.378</v>
      </c>
      <c r="H135" s="6">
        <v>-0.14799999999999999</v>
      </c>
      <c r="I135" s="6">
        <v>-0.218</v>
      </c>
      <c r="J135" s="6">
        <v>0.122</v>
      </c>
      <c r="K135" s="6">
        <v>-0.48799999999999999</v>
      </c>
    </row>
    <row r="136" spans="2:11" ht="15.5" x14ac:dyDescent="0.35">
      <c r="B136" s="20" t="s">
        <v>42</v>
      </c>
      <c r="C136" s="25" t="s">
        <v>131</v>
      </c>
      <c r="D136" s="24">
        <v>2011</v>
      </c>
      <c r="E136" s="23">
        <v>0.68217566609382663</v>
      </c>
      <c r="F136" s="6">
        <v>-6.7000000000000004E-2</v>
      </c>
      <c r="G136" s="6">
        <v>0.74917566609382669</v>
      </c>
      <c r="H136" s="6">
        <v>4.19E-2</v>
      </c>
      <c r="I136" s="6">
        <v>0.64027566609382658</v>
      </c>
      <c r="J136" s="6">
        <v>0.14599999999999999</v>
      </c>
      <c r="K136" s="6">
        <v>0.53617566609382661</v>
      </c>
    </row>
    <row r="137" spans="2:11" ht="15.5" x14ac:dyDescent="0.35">
      <c r="B137" s="20" t="s">
        <v>42</v>
      </c>
      <c r="C137" s="25" t="s">
        <v>173</v>
      </c>
      <c r="D137" s="24">
        <v>2011</v>
      </c>
      <c r="E137" s="23">
        <v>0.48310952782630912</v>
      </c>
      <c r="F137" s="6">
        <v>-6.7000000000000004E-2</v>
      </c>
      <c r="G137" s="6">
        <v>0.55010952782630906</v>
      </c>
      <c r="H137" s="6">
        <v>4.19E-2</v>
      </c>
      <c r="I137" s="6">
        <v>0.44120952782630912</v>
      </c>
      <c r="J137" s="6">
        <v>0.14599999999999999</v>
      </c>
      <c r="K137" s="6">
        <v>0.3371095278263091</v>
      </c>
    </row>
    <row r="138" spans="2:11" ht="15.5" x14ac:dyDescent="0.35">
      <c r="B138" s="20" t="s">
        <v>43</v>
      </c>
      <c r="C138" s="25" t="s">
        <v>174</v>
      </c>
      <c r="D138" s="24">
        <v>2006</v>
      </c>
      <c r="E138" s="23">
        <v>0.11154211163520814</v>
      </c>
      <c r="F138" s="6" t="s">
        <v>38</v>
      </c>
      <c r="G138" s="6">
        <v>0</v>
      </c>
      <c r="H138" s="6">
        <v>1.89E-2</v>
      </c>
      <c r="I138" s="6">
        <v>9.2642111635208135E-2</v>
      </c>
      <c r="J138" s="6" t="s">
        <v>38</v>
      </c>
      <c r="K138" s="6">
        <v>0</v>
      </c>
    </row>
    <row r="139" spans="2:11" ht="15.5" x14ac:dyDescent="0.35">
      <c r="B139" s="20" t="s">
        <v>43</v>
      </c>
      <c r="C139" s="25" t="s">
        <v>175</v>
      </c>
      <c r="D139" s="24">
        <v>2006</v>
      </c>
      <c r="E139" s="23">
        <v>0.20856358408927916</v>
      </c>
      <c r="F139" s="6" t="s">
        <v>38</v>
      </c>
      <c r="G139" s="6">
        <v>0</v>
      </c>
      <c r="H139" s="6">
        <v>1.89E-2</v>
      </c>
      <c r="I139" s="6">
        <v>0.18966358408927916</v>
      </c>
      <c r="J139" s="6" t="s">
        <v>38</v>
      </c>
      <c r="K139" s="6">
        <v>0</v>
      </c>
    </row>
    <row r="140" spans="2:11" ht="15.5" x14ac:dyDescent="0.35">
      <c r="B140" s="20" t="s">
        <v>43</v>
      </c>
      <c r="C140" s="25" t="s">
        <v>165</v>
      </c>
      <c r="D140" s="24">
        <v>2006</v>
      </c>
      <c r="E140" s="23">
        <v>0.62391785979270942</v>
      </c>
      <c r="F140" s="6" t="s">
        <v>38</v>
      </c>
      <c r="G140" s="6">
        <v>0</v>
      </c>
      <c r="H140" s="6">
        <v>1.89E-2</v>
      </c>
      <c r="I140" s="6">
        <v>0.60501785979270939</v>
      </c>
      <c r="J140" s="6" t="s">
        <v>38</v>
      </c>
      <c r="K140" s="6">
        <v>0</v>
      </c>
    </row>
    <row r="141" spans="2:11" ht="15.5" x14ac:dyDescent="0.35">
      <c r="B141" s="20" t="s">
        <v>43</v>
      </c>
      <c r="C141" s="25" t="s">
        <v>176</v>
      </c>
      <c r="D141" s="24">
        <v>2006</v>
      </c>
      <c r="E141" s="23">
        <v>0.31555590033531189</v>
      </c>
      <c r="F141" s="6" t="s">
        <v>38</v>
      </c>
      <c r="G141" s="6">
        <v>0</v>
      </c>
      <c r="H141" s="6">
        <v>1.89E-2</v>
      </c>
      <c r="I141" s="6">
        <v>0.29665590033531186</v>
      </c>
      <c r="J141" s="6" t="s">
        <v>38</v>
      </c>
      <c r="K141" s="6">
        <v>0</v>
      </c>
    </row>
    <row r="142" spans="2:11" ht="15.5" x14ac:dyDescent="0.35">
      <c r="B142" s="20" t="s">
        <v>43</v>
      </c>
      <c r="C142" s="25" t="s">
        <v>177</v>
      </c>
      <c r="D142" s="24">
        <v>2006</v>
      </c>
      <c r="E142" s="23">
        <v>0.27945999503135677</v>
      </c>
      <c r="F142" s="6" t="s">
        <v>38</v>
      </c>
      <c r="G142" s="6">
        <v>0</v>
      </c>
      <c r="H142" s="6">
        <v>1.89E-2</v>
      </c>
      <c r="I142" s="6">
        <v>0.26055999503135674</v>
      </c>
      <c r="J142" s="6" t="s">
        <v>38</v>
      </c>
      <c r="K142" s="6">
        <v>0</v>
      </c>
    </row>
    <row r="143" spans="2:11" ht="15.5" x14ac:dyDescent="0.35">
      <c r="B143" s="20" t="s">
        <v>43</v>
      </c>
      <c r="C143" s="25" t="s">
        <v>178</v>
      </c>
      <c r="D143" s="24">
        <v>2006</v>
      </c>
      <c r="E143" s="23">
        <v>2.4409553408622737E-2</v>
      </c>
      <c r="F143" s="6" t="s">
        <v>38</v>
      </c>
      <c r="G143" s="6">
        <v>0</v>
      </c>
      <c r="H143" s="6">
        <v>1.89E-2</v>
      </c>
      <c r="I143" s="6">
        <v>5.5095534086227367E-3</v>
      </c>
      <c r="J143" s="6" t="s">
        <v>38</v>
      </c>
      <c r="K143" s="6">
        <v>0</v>
      </c>
    </row>
    <row r="144" spans="2:11" ht="15.5" x14ac:dyDescent="0.35">
      <c r="B144" s="20" t="s">
        <v>43</v>
      </c>
      <c r="C144" s="25" t="s">
        <v>179</v>
      </c>
      <c r="D144" s="24">
        <v>2007</v>
      </c>
      <c r="E144" s="23">
        <v>0.65708765387535106</v>
      </c>
      <c r="F144" s="6" t="s">
        <v>38</v>
      </c>
      <c r="G144" s="6">
        <v>0</v>
      </c>
      <c r="H144" s="6">
        <v>1.0999999999999999E-2</v>
      </c>
      <c r="I144" s="6">
        <v>0.64608765387535105</v>
      </c>
      <c r="J144" s="6" t="s">
        <v>38</v>
      </c>
      <c r="K144" s="6">
        <v>0</v>
      </c>
    </row>
    <row r="145" spans="2:11" ht="15.5" x14ac:dyDescent="0.35">
      <c r="B145" s="20" t="s">
        <v>43</v>
      </c>
      <c r="C145" s="25" t="s">
        <v>154</v>
      </c>
      <c r="D145" s="24">
        <v>2007</v>
      </c>
      <c r="E145" s="23">
        <v>-0.26600000000000001</v>
      </c>
      <c r="F145" s="6" t="s">
        <v>38</v>
      </c>
      <c r="G145" s="6">
        <v>0</v>
      </c>
      <c r="H145" s="6">
        <v>1.0999999999999999E-2</v>
      </c>
      <c r="I145" s="6">
        <v>-0.27700000000000002</v>
      </c>
      <c r="J145" s="6" t="s">
        <v>38</v>
      </c>
      <c r="K145" s="6">
        <v>0</v>
      </c>
    </row>
    <row r="146" spans="2:11" ht="15.5" x14ac:dyDescent="0.35">
      <c r="B146" s="20" t="s">
        <v>43</v>
      </c>
      <c r="C146" s="25" t="s">
        <v>180</v>
      </c>
      <c r="D146" s="24">
        <v>2007</v>
      </c>
      <c r="E146" s="23">
        <v>1.9834002733230589</v>
      </c>
      <c r="F146" s="6" t="s">
        <v>38</v>
      </c>
      <c r="G146" s="6">
        <v>0</v>
      </c>
      <c r="H146" s="6">
        <v>1.0999999999999999E-2</v>
      </c>
      <c r="I146" s="6">
        <v>1.972400273323059</v>
      </c>
      <c r="J146" s="6" t="s">
        <v>38</v>
      </c>
      <c r="K146" s="6">
        <v>0</v>
      </c>
    </row>
    <row r="147" spans="2:11" ht="15.5" x14ac:dyDescent="0.35">
      <c r="B147" s="20" t="s">
        <v>43</v>
      </c>
      <c r="C147" s="25" t="s">
        <v>151</v>
      </c>
      <c r="D147" s="24">
        <v>2007</v>
      </c>
      <c r="E147" s="23">
        <v>0.66617057919502254</v>
      </c>
      <c r="F147" s="6" t="s">
        <v>38</v>
      </c>
      <c r="G147" s="6">
        <v>0</v>
      </c>
      <c r="H147" s="6">
        <v>1.0999999999999999E-2</v>
      </c>
      <c r="I147" s="6">
        <v>0.65517057919502253</v>
      </c>
      <c r="J147" s="6" t="s">
        <v>38</v>
      </c>
      <c r="K147" s="6">
        <v>0</v>
      </c>
    </row>
    <row r="148" spans="2:11" ht="15.5" x14ac:dyDescent="0.35">
      <c r="B148" s="20" t="s">
        <v>43</v>
      </c>
      <c r="C148" s="25" t="s">
        <v>181</v>
      </c>
      <c r="D148" s="24">
        <v>2007</v>
      </c>
      <c r="E148" s="23">
        <v>-0.75700000000000001</v>
      </c>
      <c r="F148" s="6" t="s">
        <v>38</v>
      </c>
      <c r="G148" s="6">
        <v>0</v>
      </c>
      <c r="H148" s="6">
        <v>1.0999999999999999E-2</v>
      </c>
      <c r="I148" s="6">
        <v>-0.76800000000000002</v>
      </c>
      <c r="J148" s="6" t="s">
        <v>38</v>
      </c>
      <c r="K148" s="6">
        <v>0</v>
      </c>
    </row>
    <row r="149" spans="2:11" ht="15.5" x14ac:dyDescent="0.35">
      <c r="B149" s="20" t="s">
        <v>43</v>
      </c>
      <c r="C149" s="25" t="s">
        <v>182</v>
      </c>
      <c r="D149" s="24">
        <v>2007</v>
      </c>
      <c r="E149" s="23">
        <v>0.18212316632270817</v>
      </c>
      <c r="F149" s="6" t="s">
        <v>38</v>
      </c>
      <c r="G149" s="6">
        <v>0</v>
      </c>
      <c r="H149" s="6">
        <v>1.0999999999999999E-2</v>
      </c>
      <c r="I149" s="6">
        <v>0.17112316632270816</v>
      </c>
      <c r="J149" s="6" t="s">
        <v>38</v>
      </c>
      <c r="K149" s="6">
        <v>0</v>
      </c>
    </row>
    <row r="150" spans="2:11" ht="15.5" x14ac:dyDescent="0.35">
      <c r="B150" s="20" t="s">
        <v>43</v>
      </c>
      <c r="C150" s="25" t="s">
        <v>183</v>
      </c>
      <c r="D150" s="24">
        <v>2007</v>
      </c>
      <c r="E150" s="23">
        <v>0.26117305159568793</v>
      </c>
      <c r="F150" s="6" t="s">
        <v>38</v>
      </c>
      <c r="G150" s="6">
        <v>0</v>
      </c>
      <c r="H150" s="6">
        <v>1.0999999999999999E-2</v>
      </c>
      <c r="I150" s="6">
        <v>0.25017305159568792</v>
      </c>
      <c r="J150" s="6" t="s">
        <v>38</v>
      </c>
      <c r="K150" s="6">
        <v>0</v>
      </c>
    </row>
    <row r="151" spans="2:11" ht="15.5" x14ac:dyDescent="0.35">
      <c r="B151" s="20" t="s">
        <v>43</v>
      </c>
      <c r="C151" s="25" t="s">
        <v>184</v>
      </c>
      <c r="D151" s="24">
        <v>2007</v>
      </c>
      <c r="E151" s="23">
        <v>3.4732553362846377E-2</v>
      </c>
      <c r="F151" s="6" t="s">
        <v>38</v>
      </c>
      <c r="G151" s="6">
        <v>0</v>
      </c>
      <c r="H151" s="6">
        <v>1.0999999999999999E-2</v>
      </c>
      <c r="I151" s="6">
        <v>2.3732553362846378E-2</v>
      </c>
      <c r="J151" s="6" t="s">
        <v>38</v>
      </c>
      <c r="K151" s="6">
        <v>0</v>
      </c>
    </row>
    <row r="152" spans="2:11" ht="15.5" x14ac:dyDescent="0.35">
      <c r="B152" s="20" t="s">
        <v>43</v>
      </c>
      <c r="C152" s="25" t="s">
        <v>185</v>
      </c>
      <c r="D152" s="24">
        <v>2007</v>
      </c>
      <c r="E152" s="23">
        <v>0.52859700322151182</v>
      </c>
      <c r="F152" s="6" t="s">
        <v>38</v>
      </c>
      <c r="G152" s="6">
        <v>0</v>
      </c>
      <c r="H152" s="6">
        <v>1.0999999999999999E-2</v>
      </c>
      <c r="I152" s="6">
        <v>0.51759700322151181</v>
      </c>
      <c r="J152" s="6" t="s">
        <v>38</v>
      </c>
      <c r="K152" s="6">
        <v>0</v>
      </c>
    </row>
    <row r="153" spans="2:11" ht="15.5" x14ac:dyDescent="0.35">
      <c r="B153" s="20" t="s">
        <v>43</v>
      </c>
      <c r="C153" s="25" t="s">
        <v>186</v>
      </c>
      <c r="D153" s="24">
        <v>2007</v>
      </c>
      <c r="E153" s="23">
        <v>0.2317476212978363</v>
      </c>
      <c r="F153" s="6" t="s">
        <v>38</v>
      </c>
      <c r="G153" s="6">
        <v>0</v>
      </c>
      <c r="H153" s="6">
        <v>1.0999999999999999E-2</v>
      </c>
      <c r="I153" s="6">
        <v>0.22074762129783629</v>
      </c>
      <c r="J153" s="6" t="s">
        <v>38</v>
      </c>
      <c r="K153" s="6">
        <v>0</v>
      </c>
    </row>
    <row r="154" spans="2:11" ht="15.5" x14ac:dyDescent="0.35">
      <c r="B154" s="20" t="s">
        <v>43</v>
      </c>
      <c r="C154" s="25" t="s">
        <v>148</v>
      </c>
      <c r="D154" s="24">
        <v>2007</v>
      </c>
      <c r="E154" s="23">
        <v>0.48318253159523006</v>
      </c>
      <c r="F154" s="6" t="s">
        <v>38</v>
      </c>
      <c r="G154" s="6">
        <v>0</v>
      </c>
      <c r="H154" s="6">
        <v>1.0999999999999999E-2</v>
      </c>
      <c r="I154" s="6">
        <v>0.47218253159523005</v>
      </c>
      <c r="J154" s="6" t="s">
        <v>38</v>
      </c>
      <c r="K154" s="6">
        <v>0</v>
      </c>
    </row>
    <row r="155" spans="2:11" ht="15.5" x14ac:dyDescent="0.35">
      <c r="B155" s="20" t="s">
        <v>43</v>
      </c>
      <c r="C155" s="25" t="s">
        <v>187</v>
      </c>
      <c r="D155" s="24">
        <v>2007</v>
      </c>
      <c r="E155" s="23">
        <v>-0.109</v>
      </c>
      <c r="F155" s="6" t="s">
        <v>38</v>
      </c>
      <c r="G155" s="6">
        <v>0</v>
      </c>
      <c r="H155" s="6">
        <v>1.0999999999999999E-2</v>
      </c>
      <c r="I155" s="6">
        <v>-0.12</v>
      </c>
      <c r="J155" s="6" t="s">
        <v>38</v>
      </c>
      <c r="K155" s="6">
        <v>0</v>
      </c>
    </row>
    <row r="156" spans="2:11" ht="15.5" x14ac:dyDescent="0.35">
      <c r="B156" s="20" t="s">
        <v>43</v>
      </c>
      <c r="C156" s="25" t="s">
        <v>188</v>
      </c>
      <c r="D156" s="24">
        <v>2007</v>
      </c>
      <c r="E156" s="23">
        <v>-0.20199999999999999</v>
      </c>
      <c r="F156" s="6" t="s">
        <v>38</v>
      </c>
      <c r="G156" s="6">
        <v>0</v>
      </c>
      <c r="H156" s="6">
        <v>1.0999999999999999E-2</v>
      </c>
      <c r="I156" s="6">
        <v>-0.21299999999999999</v>
      </c>
      <c r="J156" s="6" t="s">
        <v>38</v>
      </c>
      <c r="K156" s="6">
        <v>0</v>
      </c>
    </row>
    <row r="157" spans="2:11" ht="15.5" x14ac:dyDescent="0.35">
      <c r="B157" s="20" t="s">
        <v>43</v>
      </c>
      <c r="C157" s="25" t="s">
        <v>189</v>
      </c>
      <c r="D157" s="24">
        <v>2007</v>
      </c>
      <c r="E157" s="23">
        <v>0.79413756132125868</v>
      </c>
      <c r="F157" s="6" t="s">
        <v>38</v>
      </c>
      <c r="G157" s="6">
        <v>0</v>
      </c>
      <c r="H157" s="6">
        <v>1.0999999999999999E-2</v>
      </c>
      <c r="I157" s="6">
        <v>0.78313756132125867</v>
      </c>
      <c r="J157" s="6" t="s">
        <v>38</v>
      </c>
      <c r="K157" s="6">
        <v>0</v>
      </c>
    </row>
    <row r="158" spans="2:11" ht="15.5" x14ac:dyDescent="0.35">
      <c r="B158" s="20" t="s">
        <v>43</v>
      </c>
      <c r="C158" s="25" t="s">
        <v>190</v>
      </c>
      <c r="D158" s="24">
        <v>2007</v>
      </c>
      <c r="E158" s="23">
        <v>-0.21899999999999997</v>
      </c>
      <c r="F158" s="6" t="s">
        <v>38</v>
      </c>
      <c r="G158" s="6">
        <v>0</v>
      </c>
      <c r="H158" s="6">
        <v>1.0999999999999999E-2</v>
      </c>
      <c r="I158" s="6">
        <v>-0.22999999999999998</v>
      </c>
      <c r="J158" s="6" t="s">
        <v>38</v>
      </c>
      <c r="K158" s="6">
        <v>0</v>
      </c>
    </row>
    <row r="159" spans="2:11" ht="15.5" x14ac:dyDescent="0.35">
      <c r="B159" s="20" t="s">
        <v>43</v>
      </c>
      <c r="C159" s="25" t="s">
        <v>149</v>
      </c>
      <c r="D159" s="24">
        <v>2007</v>
      </c>
      <c r="E159" s="23">
        <v>-2.1000000000000001E-2</v>
      </c>
      <c r="F159" s="6" t="s">
        <v>38</v>
      </c>
      <c r="G159" s="6">
        <v>0</v>
      </c>
      <c r="H159" s="6">
        <v>1.0999999999999999E-2</v>
      </c>
      <c r="I159" s="6">
        <v>-3.2000000000000001E-2</v>
      </c>
      <c r="J159" s="6" t="s">
        <v>38</v>
      </c>
      <c r="K159" s="6">
        <v>0</v>
      </c>
    </row>
    <row r="160" spans="2:11" ht="15.5" x14ac:dyDescent="0.35">
      <c r="B160" s="20" t="s">
        <v>43</v>
      </c>
      <c r="C160" s="25" t="s">
        <v>146</v>
      </c>
      <c r="D160" s="24">
        <v>2007</v>
      </c>
      <c r="E160" s="23">
        <v>0.53380611538887035</v>
      </c>
      <c r="F160" s="6" t="s">
        <v>38</v>
      </c>
      <c r="G160" s="6">
        <v>0</v>
      </c>
      <c r="H160" s="6">
        <v>1.0999999999999999E-2</v>
      </c>
      <c r="I160" s="6">
        <v>0.52280611538887034</v>
      </c>
      <c r="J160" s="6" t="s">
        <v>38</v>
      </c>
      <c r="K160" s="6">
        <v>0</v>
      </c>
    </row>
    <row r="161" spans="2:11" ht="15.5" x14ac:dyDescent="0.35">
      <c r="B161" s="20" t="s">
        <v>43</v>
      </c>
      <c r="C161" s="25" t="s">
        <v>191</v>
      </c>
      <c r="D161" s="24">
        <v>2007</v>
      </c>
      <c r="E161" s="23">
        <v>7.3546424508094801E-2</v>
      </c>
      <c r="F161" s="6" t="s">
        <v>38</v>
      </c>
      <c r="G161" s="6">
        <v>0</v>
      </c>
      <c r="H161" s="6">
        <v>1.0999999999999999E-2</v>
      </c>
      <c r="I161" s="6">
        <v>6.2546424508094806E-2</v>
      </c>
      <c r="J161" s="6" t="s">
        <v>38</v>
      </c>
      <c r="K161" s="6">
        <v>0</v>
      </c>
    </row>
    <row r="162" spans="2:11" ht="15.5" x14ac:dyDescent="0.35">
      <c r="B162" s="20" t="s">
        <v>43</v>
      </c>
      <c r="C162" s="25" t="s">
        <v>147</v>
      </c>
      <c r="D162" s="24">
        <v>2007</v>
      </c>
      <c r="E162" s="23">
        <v>0.32560142874717729</v>
      </c>
      <c r="F162" s="6" t="s">
        <v>38</v>
      </c>
      <c r="G162" s="6">
        <v>0</v>
      </c>
      <c r="H162" s="6">
        <v>1.0999999999999999E-2</v>
      </c>
      <c r="I162" s="6">
        <v>0.31460142874717728</v>
      </c>
      <c r="J162" s="6" t="s">
        <v>38</v>
      </c>
      <c r="K162" s="6">
        <v>0</v>
      </c>
    </row>
    <row r="163" spans="2:11" ht="15.5" x14ac:dyDescent="0.35">
      <c r="B163" s="20" t="s">
        <v>43</v>
      </c>
      <c r="C163" s="25" t="s">
        <v>192</v>
      </c>
      <c r="D163" s="24">
        <v>2007</v>
      </c>
      <c r="E163" s="23">
        <v>0.10882013440132143</v>
      </c>
      <c r="F163" s="6" t="s">
        <v>38</v>
      </c>
      <c r="G163" s="6">
        <v>0</v>
      </c>
      <c r="H163" s="6">
        <v>1.0999999999999999E-2</v>
      </c>
      <c r="I163" s="6">
        <v>9.7820134401321437E-2</v>
      </c>
      <c r="J163" s="6" t="s">
        <v>38</v>
      </c>
      <c r="K163" s="6">
        <v>0</v>
      </c>
    </row>
    <row r="164" spans="2:11" ht="15.5" x14ac:dyDescent="0.35">
      <c r="B164" s="20" t="s">
        <v>43</v>
      </c>
      <c r="C164" s="25" t="s">
        <v>145</v>
      </c>
      <c r="D164" s="24">
        <v>2007</v>
      </c>
      <c r="E164" s="23">
        <v>1.1900433659553531</v>
      </c>
      <c r="F164" s="6" t="s">
        <v>38</v>
      </c>
      <c r="G164" s="6">
        <v>0</v>
      </c>
      <c r="H164" s="6">
        <v>1.0999999999999999E-2</v>
      </c>
      <c r="I164" s="6">
        <v>1.1790433659553532</v>
      </c>
      <c r="J164" s="6" t="s">
        <v>38</v>
      </c>
      <c r="K164" s="6">
        <v>0</v>
      </c>
    </row>
    <row r="165" spans="2:11" ht="15.5" x14ac:dyDescent="0.35">
      <c r="B165" s="20" t="s">
        <v>44</v>
      </c>
      <c r="C165" s="25" t="s">
        <v>193</v>
      </c>
      <c r="D165" s="24">
        <v>2004</v>
      </c>
      <c r="E165" s="23">
        <v>-0.33399999999999996</v>
      </c>
      <c r="F165" s="6" t="s">
        <v>38</v>
      </c>
      <c r="G165" s="6">
        <v>0</v>
      </c>
      <c r="H165" s="6">
        <v>0.18579999999999999</v>
      </c>
      <c r="I165" s="6">
        <v>-0.51979999999999993</v>
      </c>
      <c r="J165" s="6" t="s">
        <v>38</v>
      </c>
      <c r="K165" s="6">
        <v>0</v>
      </c>
    </row>
    <row r="166" spans="2:11" ht="15.5" x14ac:dyDescent="0.35">
      <c r="B166" s="20" t="s">
        <v>44</v>
      </c>
      <c r="C166" s="25" t="s">
        <v>194</v>
      </c>
      <c r="D166" s="24">
        <v>2004</v>
      </c>
      <c r="E166" s="23">
        <v>0.49990093111991885</v>
      </c>
      <c r="F166" s="6" t="s">
        <v>38</v>
      </c>
      <c r="G166" s="6">
        <v>0</v>
      </c>
      <c r="H166" s="6">
        <v>0.18579999999999999</v>
      </c>
      <c r="I166" s="6">
        <v>0.31410093111991888</v>
      </c>
      <c r="J166" s="6" t="s">
        <v>38</v>
      </c>
      <c r="K166" s="6">
        <v>0</v>
      </c>
    </row>
    <row r="167" spans="2:11" ht="15.5" x14ac:dyDescent="0.35">
      <c r="B167" s="20" t="s">
        <v>44</v>
      </c>
      <c r="C167" s="25" t="s">
        <v>195</v>
      </c>
      <c r="D167" s="24">
        <v>2004</v>
      </c>
      <c r="E167" s="23">
        <v>0.30411821007728579</v>
      </c>
      <c r="F167" s="6" t="s">
        <v>38</v>
      </c>
      <c r="G167" s="6">
        <v>0</v>
      </c>
      <c r="H167" s="6">
        <v>0.18579999999999999</v>
      </c>
      <c r="I167" s="6">
        <v>0.1183182100772858</v>
      </c>
      <c r="J167" s="6" t="s">
        <v>38</v>
      </c>
      <c r="K167" s="6">
        <v>0</v>
      </c>
    </row>
    <row r="168" spans="2:11" ht="15.5" x14ac:dyDescent="0.35">
      <c r="B168" s="20" t="s">
        <v>44</v>
      </c>
      <c r="C168" s="25" t="s">
        <v>196</v>
      </c>
      <c r="D168" s="24">
        <v>2004</v>
      </c>
      <c r="E168" s="23">
        <v>0.97955495119094849</v>
      </c>
      <c r="F168" s="6" t="s">
        <v>38</v>
      </c>
      <c r="G168" s="6">
        <v>0</v>
      </c>
      <c r="H168" s="6">
        <v>0.18579999999999999</v>
      </c>
      <c r="I168" s="6">
        <v>0.79375495119094852</v>
      </c>
      <c r="J168" s="6" t="s">
        <v>38</v>
      </c>
      <c r="K168" s="6">
        <v>0</v>
      </c>
    </row>
    <row r="169" spans="2:11" ht="15.5" x14ac:dyDescent="0.35">
      <c r="B169" s="20" t="s">
        <v>44</v>
      </c>
      <c r="C169" s="25" t="s">
        <v>170</v>
      </c>
      <c r="D169" s="24">
        <v>2004</v>
      </c>
      <c r="E169" s="23">
        <v>0.4079549133777618</v>
      </c>
      <c r="F169" s="6" t="s">
        <v>38</v>
      </c>
      <c r="G169" s="6">
        <v>0</v>
      </c>
      <c r="H169" s="6">
        <v>0.18579999999999999</v>
      </c>
      <c r="I169" s="6">
        <v>0.2221549133777618</v>
      </c>
      <c r="J169" s="6" t="s">
        <v>38</v>
      </c>
      <c r="K169" s="6">
        <v>0</v>
      </c>
    </row>
    <row r="170" spans="2:11" ht="15.5" x14ac:dyDescent="0.35">
      <c r="B170" s="20" t="s">
        <v>44</v>
      </c>
      <c r="C170" s="25" t="s">
        <v>197</v>
      </c>
      <c r="D170" s="24">
        <v>2005</v>
      </c>
      <c r="E170" s="23">
        <v>0.16062548756599426</v>
      </c>
      <c r="F170" s="6" t="s">
        <v>38</v>
      </c>
      <c r="G170" s="6">
        <v>0</v>
      </c>
      <c r="H170" s="6">
        <v>7.8399999999999997E-2</v>
      </c>
      <c r="I170" s="6">
        <v>8.2225487565994265E-2</v>
      </c>
      <c r="J170" s="6" t="s">
        <v>38</v>
      </c>
      <c r="K170" s="6">
        <v>0</v>
      </c>
    </row>
    <row r="171" spans="2:11" ht="15.5" x14ac:dyDescent="0.35">
      <c r="B171" s="20" t="s">
        <v>44</v>
      </c>
      <c r="C171" s="25" t="s">
        <v>198</v>
      </c>
      <c r="D171" s="24">
        <v>2005</v>
      </c>
      <c r="E171" s="23">
        <v>0.39948411583900456</v>
      </c>
      <c r="F171" s="6" t="s">
        <v>38</v>
      </c>
      <c r="G171" s="6">
        <v>0</v>
      </c>
      <c r="H171" s="6">
        <v>7.8399999999999997E-2</v>
      </c>
      <c r="I171" s="6">
        <v>0.32108411583900454</v>
      </c>
      <c r="J171" s="6" t="s">
        <v>38</v>
      </c>
      <c r="K171" s="6">
        <v>0</v>
      </c>
    </row>
    <row r="172" spans="2:11" ht="15.5" x14ac:dyDescent="0.35">
      <c r="B172" s="20" t="s">
        <v>44</v>
      </c>
      <c r="C172" s="25" t="s">
        <v>199</v>
      </c>
      <c r="D172" s="24">
        <v>2005</v>
      </c>
      <c r="E172" s="23">
        <v>0.11745579838752748</v>
      </c>
      <c r="F172" s="6" t="s">
        <v>38</v>
      </c>
      <c r="G172" s="6">
        <v>0</v>
      </c>
      <c r="H172" s="6">
        <v>7.8399999999999997E-2</v>
      </c>
      <c r="I172" s="6">
        <v>3.9055798387527485E-2</v>
      </c>
      <c r="J172" s="6" t="s">
        <v>38</v>
      </c>
      <c r="K172" s="6">
        <v>0</v>
      </c>
    </row>
    <row r="173" spans="2:11" ht="15.5" x14ac:dyDescent="0.35">
      <c r="B173" s="20" t="s">
        <v>44</v>
      </c>
      <c r="C173" s="25" t="s">
        <v>200</v>
      </c>
      <c r="D173" s="24">
        <v>2005</v>
      </c>
      <c r="E173" s="23">
        <v>2.9341883420944215</v>
      </c>
      <c r="F173" s="6" t="s">
        <v>38</v>
      </c>
      <c r="G173" s="6">
        <v>0</v>
      </c>
      <c r="H173" s="6">
        <v>7.8399999999999997E-2</v>
      </c>
      <c r="I173" s="6">
        <v>2.8557883420944217</v>
      </c>
      <c r="J173" s="6" t="s">
        <v>38</v>
      </c>
      <c r="K173" s="6">
        <v>0</v>
      </c>
    </row>
    <row r="174" spans="2:11" ht="15.5" x14ac:dyDescent="0.35">
      <c r="B174" s="20" t="s">
        <v>44</v>
      </c>
      <c r="C174" s="25" t="s">
        <v>201</v>
      </c>
      <c r="D174" s="24">
        <v>2005</v>
      </c>
      <c r="E174" s="23">
        <v>0.44178068041801455</v>
      </c>
      <c r="F174" s="6" t="s">
        <v>38</v>
      </c>
      <c r="G174" s="6">
        <v>0</v>
      </c>
      <c r="H174" s="6">
        <v>7.8399999999999997E-2</v>
      </c>
      <c r="I174" s="6">
        <v>0.36338068041801452</v>
      </c>
      <c r="J174" s="6" t="s">
        <v>38</v>
      </c>
      <c r="K174" s="6">
        <v>0</v>
      </c>
    </row>
    <row r="175" spans="2:11" ht="15.5" x14ac:dyDescent="0.35">
      <c r="B175" s="20" t="s">
        <v>44</v>
      </c>
      <c r="C175" s="25" t="s">
        <v>202</v>
      </c>
      <c r="D175" s="24">
        <v>2005</v>
      </c>
      <c r="E175" s="23">
        <v>-0.26800000000000002</v>
      </c>
      <c r="F175" s="6" t="s">
        <v>38</v>
      </c>
      <c r="G175" s="6">
        <v>0</v>
      </c>
      <c r="H175" s="6">
        <v>7.8399999999999997E-2</v>
      </c>
      <c r="I175" s="6">
        <v>-0.34640000000000004</v>
      </c>
      <c r="J175" s="6" t="s">
        <v>38</v>
      </c>
      <c r="K175" s="6">
        <v>0</v>
      </c>
    </row>
    <row r="176" spans="2:11" ht="15.5" x14ac:dyDescent="0.35">
      <c r="B176" s="20" t="s">
        <v>44</v>
      </c>
      <c r="C176" s="25" t="s">
        <v>203</v>
      </c>
      <c r="D176" s="24">
        <v>2005</v>
      </c>
      <c r="E176" s="23">
        <v>2.5494500994682315E-2</v>
      </c>
      <c r="F176" s="6" t="s">
        <v>38</v>
      </c>
      <c r="G176" s="6">
        <v>0</v>
      </c>
      <c r="H176" s="6">
        <v>7.8399999999999997E-2</v>
      </c>
      <c r="I176" s="6">
        <v>-5.2905499005317685E-2</v>
      </c>
      <c r="J176" s="6" t="s">
        <v>38</v>
      </c>
      <c r="K176" s="6">
        <v>0</v>
      </c>
    </row>
    <row r="177" spans="2:11" ht="15.5" x14ac:dyDescent="0.35">
      <c r="B177" s="20" t="s">
        <v>44</v>
      </c>
      <c r="C177" s="25" t="s">
        <v>204</v>
      </c>
      <c r="D177" s="24">
        <v>2005</v>
      </c>
      <c r="E177" s="23">
        <v>0.65649618506431584</v>
      </c>
      <c r="F177" s="6" t="s">
        <v>38</v>
      </c>
      <c r="G177" s="6">
        <v>0</v>
      </c>
      <c r="H177" s="6">
        <v>7.8399999999999997E-2</v>
      </c>
      <c r="I177" s="6">
        <v>0.57809618506431582</v>
      </c>
      <c r="J177" s="6" t="s">
        <v>38</v>
      </c>
      <c r="K177" s="6">
        <v>0</v>
      </c>
    </row>
    <row r="178" spans="2:11" ht="15.5" x14ac:dyDescent="0.35">
      <c r="B178" s="20" t="s">
        <v>44</v>
      </c>
      <c r="C178" s="25" t="s">
        <v>177</v>
      </c>
      <c r="D178" s="24">
        <v>2005</v>
      </c>
      <c r="E178" s="23">
        <v>0.34755280613899248</v>
      </c>
      <c r="F178" s="6" t="s">
        <v>38</v>
      </c>
      <c r="G178" s="6">
        <v>0</v>
      </c>
      <c r="H178" s="6">
        <v>7.8399999999999997E-2</v>
      </c>
      <c r="I178" s="6">
        <v>0.26915280613899251</v>
      </c>
      <c r="J178" s="6" t="s">
        <v>38</v>
      </c>
      <c r="K178" s="6">
        <v>0</v>
      </c>
    </row>
    <row r="179" spans="2:11" ht="15.5" x14ac:dyDescent="0.35">
      <c r="B179" s="20" t="s">
        <v>44</v>
      </c>
      <c r="C179" s="25" t="s">
        <v>184</v>
      </c>
      <c r="D179" s="24">
        <v>2005</v>
      </c>
      <c r="E179" s="23">
        <v>7.5084301829338077E-2</v>
      </c>
      <c r="F179" s="6" t="s">
        <v>38</v>
      </c>
      <c r="G179" s="6">
        <v>0</v>
      </c>
      <c r="H179" s="6">
        <v>7.8399999999999997E-2</v>
      </c>
      <c r="I179" s="6">
        <v>-3.315698170661921E-3</v>
      </c>
      <c r="J179" s="6" t="s">
        <v>38</v>
      </c>
      <c r="K179" s="6">
        <v>0</v>
      </c>
    </row>
    <row r="180" spans="2:11" ht="15.5" x14ac:dyDescent="0.35">
      <c r="B180" s="20" t="s">
        <v>44</v>
      </c>
      <c r="C180" s="25" t="s">
        <v>166</v>
      </c>
      <c r="D180" s="24">
        <v>2005</v>
      </c>
      <c r="E180" s="23">
        <v>-0.223</v>
      </c>
      <c r="F180" s="6" t="s">
        <v>38</v>
      </c>
      <c r="G180" s="6">
        <v>0</v>
      </c>
      <c r="H180" s="6">
        <v>7.8399999999999997E-2</v>
      </c>
      <c r="I180" s="6">
        <v>-0.3014</v>
      </c>
      <c r="J180" s="6" t="s">
        <v>38</v>
      </c>
      <c r="K180" s="6">
        <v>0</v>
      </c>
    </row>
    <row r="181" spans="2:11" ht="15.5" x14ac:dyDescent="0.35">
      <c r="B181" s="20" t="s">
        <v>44</v>
      </c>
      <c r="C181" s="25" t="s">
        <v>205</v>
      </c>
      <c r="D181" s="24">
        <v>2006</v>
      </c>
      <c r="E181" s="23">
        <v>0.92030397653579721</v>
      </c>
      <c r="F181" s="6" t="s">
        <v>38</v>
      </c>
      <c r="G181" s="6">
        <v>0</v>
      </c>
      <c r="H181" s="6">
        <v>1.89E-2</v>
      </c>
      <c r="I181" s="6">
        <v>0.90140397653579718</v>
      </c>
      <c r="J181" s="6" t="s">
        <v>38</v>
      </c>
      <c r="K181" s="6">
        <v>0</v>
      </c>
    </row>
    <row r="182" spans="2:11" ht="15.5" x14ac:dyDescent="0.35">
      <c r="B182" s="20" t="s">
        <v>44</v>
      </c>
      <c r="C182" s="25" t="s">
        <v>206</v>
      </c>
      <c r="D182" s="24">
        <v>2006</v>
      </c>
      <c r="E182" s="23">
        <v>1.0018526911735537</v>
      </c>
      <c r="F182" s="6" t="s">
        <v>38</v>
      </c>
      <c r="G182" s="6">
        <v>0</v>
      </c>
      <c r="H182" s="6">
        <v>1.89E-2</v>
      </c>
      <c r="I182" s="6">
        <v>0.98295269117355366</v>
      </c>
      <c r="J182" s="6" t="s">
        <v>38</v>
      </c>
      <c r="K182" s="6">
        <v>0</v>
      </c>
    </row>
    <row r="183" spans="2:11" ht="15.5" x14ac:dyDescent="0.35">
      <c r="B183" s="20" t="s">
        <v>44</v>
      </c>
      <c r="C183" s="25" t="s">
        <v>167</v>
      </c>
      <c r="D183" s="24">
        <v>2006</v>
      </c>
      <c r="E183" s="23">
        <v>0.39373843073844916</v>
      </c>
      <c r="F183" s="6" t="s">
        <v>38</v>
      </c>
      <c r="G183" s="6">
        <v>0</v>
      </c>
      <c r="H183" s="6">
        <v>1.89E-2</v>
      </c>
      <c r="I183" s="6">
        <v>0.37483843073844914</v>
      </c>
      <c r="J183" s="6" t="s">
        <v>38</v>
      </c>
      <c r="K183" s="6">
        <v>0</v>
      </c>
    </row>
    <row r="184" spans="2:11" ht="15.5" x14ac:dyDescent="0.35">
      <c r="B184" s="20" t="s">
        <v>44</v>
      </c>
      <c r="C184" s="25" t="s">
        <v>207</v>
      </c>
      <c r="D184" s="24">
        <v>2006</v>
      </c>
      <c r="E184" s="23">
        <v>0.40065779089927689</v>
      </c>
      <c r="F184" s="6" t="s">
        <v>38</v>
      </c>
      <c r="G184" s="6">
        <v>0</v>
      </c>
      <c r="H184" s="6">
        <v>1.89E-2</v>
      </c>
      <c r="I184" s="6">
        <v>0.38175779089927686</v>
      </c>
      <c r="J184" s="6" t="s">
        <v>38</v>
      </c>
      <c r="K184" s="6">
        <v>0</v>
      </c>
    </row>
    <row r="185" spans="2:11" ht="15.5" x14ac:dyDescent="0.35">
      <c r="B185" s="20" t="s">
        <v>44</v>
      </c>
      <c r="C185" s="25" t="s">
        <v>156</v>
      </c>
      <c r="D185" s="24">
        <v>2006</v>
      </c>
      <c r="E185" s="23">
        <v>0.77153538465499882</v>
      </c>
      <c r="F185" s="6" t="s">
        <v>38</v>
      </c>
      <c r="G185" s="6">
        <v>0</v>
      </c>
      <c r="H185" s="6">
        <v>1.89E-2</v>
      </c>
      <c r="I185" s="6">
        <v>0.7526353846549988</v>
      </c>
      <c r="J185" s="6" t="s">
        <v>38</v>
      </c>
      <c r="K185" s="6">
        <v>0</v>
      </c>
    </row>
    <row r="186" spans="2:11" ht="15.5" x14ac:dyDescent="0.35">
      <c r="B186" s="20" t="s">
        <v>44</v>
      </c>
      <c r="C186" s="25" t="s">
        <v>208</v>
      </c>
      <c r="D186" s="24">
        <v>2006</v>
      </c>
      <c r="E186" s="23">
        <v>1.1011153459548951E-3</v>
      </c>
      <c r="F186" s="6" t="s">
        <v>38</v>
      </c>
      <c r="G186" s="6">
        <v>0</v>
      </c>
      <c r="H186" s="6">
        <v>1.89E-2</v>
      </c>
      <c r="I186" s="6">
        <v>-1.7798884654045104E-2</v>
      </c>
      <c r="J186" s="6" t="s">
        <v>38</v>
      </c>
      <c r="K186" s="6">
        <v>0</v>
      </c>
    </row>
    <row r="187" spans="2:11" ht="15.5" x14ac:dyDescent="0.35">
      <c r="B187" s="20" t="s">
        <v>44</v>
      </c>
      <c r="C187" s="25" t="s">
        <v>209</v>
      </c>
      <c r="D187" s="24">
        <v>2006</v>
      </c>
      <c r="E187" s="23">
        <v>0.35699422955513005</v>
      </c>
      <c r="F187" s="6" t="s">
        <v>38</v>
      </c>
      <c r="G187" s="6">
        <v>0</v>
      </c>
      <c r="H187" s="6">
        <v>1.89E-2</v>
      </c>
      <c r="I187" s="6">
        <v>0.33809422955513002</v>
      </c>
      <c r="J187" s="6" t="s">
        <v>38</v>
      </c>
      <c r="K187" s="6">
        <v>0</v>
      </c>
    </row>
    <row r="188" spans="2:11" ht="15.5" x14ac:dyDescent="0.35">
      <c r="B188" s="20" t="s">
        <v>44</v>
      </c>
      <c r="C188" s="25" t="s">
        <v>210</v>
      </c>
      <c r="D188" s="24">
        <v>2006</v>
      </c>
      <c r="E188" s="23">
        <v>0.45047081112861642</v>
      </c>
      <c r="F188" s="6" t="s">
        <v>38</v>
      </c>
      <c r="G188" s="6">
        <v>0</v>
      </c>
      <c r="H188" s="6">
        <v>1.89E-2</v>
      </c>
      <c r="I188" s="6">
        <v>0.43157081112861639</v>
      </c>
      <c r="J188" s="6" t="s">
        <v>38</v>
      </c>
      <c r="K188" s="6">
        <v>0</v>
      </c>
    </row>
    <row r="189" spans="2:11" ht="15.5" x14ac:dyDescent="0.35">
      <c r="B189" s="20" t="s">
        <v>44</v>
      </c>
      <c r="C189" s="25" t="s">
        <v>211</v>
      </c>
      <c r="D189" s="24">
        <v>2006</v>
      </c>
      <c r="E189" s="23">
        <v>0.37467060685157783</v>
      </c>
      <c r="F189" s="6" t="s">
        <v>38</v>
      </c>
      <c r="G189" s="6">
        <v>0</v>
      </c>
      <c r="H189" s="6">
        <v>1.89E-2</v>
      </c>
      <c r="I189" s="6">
        <v>0.3557706068515778</v>
      </c>
      <c r="J189" s="6" t="s">
        <v>38</v>
      </c>
      <c r="K189" s="6">
        <v>0</v>
      </c>
    </row>
    <row r="190" spans="2:11" ht="15.5" x14ac:dyDescent="0.35">
      <c r="B190" s="20" t="s">
        <v>44</v>
      </c>
      <c r="C190" s="25" t="s">
        <v>153</v>
      </c>
      <c r="D190" s="24">
        <v>2006</v>
      </c>
      <c r="E190" s="23">
        <v>-0.91500000000000004</v>
      </c>
      <c r="F190" s="6" t="s">
        <v>38</v>
      </c>
      <c r="G190" s="6">
        <v>0</v>
      </c>
      <c r="H190" s="6">
        <v>1.89E-2</v>
      </c>
      <c r="I190" s="6">
        <v>-0.93390000000000006</v>
      </c>
      <c r="J190" s="6" t="s">
        <v>38</v>
      </c>
      <c r="K190" s="6">
        <v>0</v>
      </c>
    </row>
    <row r="191" spans="2:11" ht="15.5" x14ac:dyDescent="0.35">
      <c r="B191" s="20" t="s">
        <v>44</v>
      </c>
      <c r="C191" s="25" t="s">
        <v>212</v>
      </c>
      <c r="D191" s="24">
        <v>2006</v>
      </c>
      <c r="E191" s="23">
        <v>7.2188204288482662</v>
      </c>
      <c r="F191" s="6" t="s">
        <v>38</v>
      </c>
      <c r="G191" s="6">
        <v>0</v>
      </c>
      <c r="H191" s="6">
        <v>1.89E-2</v>
      </c>
      <c r="I191" s="6">
        <v>7.1999204288482659</v>
      </c>
      <c r="J191" s="6" t="s">
        <v>38</v>
      </c>
      <c r="K191" s="6">
        <v>0</v>
      </c>
    </row>
    <row r="192" spans="2:11" ht="15.5" x14ac:dyDescent="0.35">
      <c r="B192" s="20" t="s">
        <v>44</v>
      </c>
      <c r="C192" s="25" t="s">
        <v>154</v>
      </c>
      <c r="D192" s="24">
        <v>2011</v>
      </c>
      <c r="E192" s="23">
        <v>-0.223</v>
      </c>
      <c r="F192" s="6">
        <v>-6.7000000000000004E-2</v>
      </c>
      <c r="G192" s="6">
        <v>-0.156</v>
      </c>
      <c r="H192" s="6">
        <v>4.19E-2</v>
      </c>
      <c r="I192" s="6">
        <v>-0.26490000000000002</v>
      </c>
      <c r="J192" s="6">
        <v>0.14599999999999999</v>
      </c>
      <c r="K192" s="6">
        <v>-0.36899999999999999</v>
      </c>
    </row>
    <row r="193" spans="2:11" ht="15.5" x14ac:dyDescent="0.35">
      <c r="B193" s="20" t="s">
        <v>45</v>
      </c>
      <c r="C193" s="25" t="s">
        <v>213</v>
      </c>
      <c r="D193" s="24">
        <v>2001</v>
      </c>
      <c r="E193" s="23">
        <v>1.6518711447715766</v>
      </c>
      <c r="F193" s="6" t="s">
        <v>38</v>
      </c>
      <c r="G193" s="6">
        <v>0</v>
      </c>
      <c r="H193" s="6">
        <v>0.50529999999999997</v>
      </c>
      <c r="I193" s="6">
        <v>1.1465711447715767</v>
      </c>
      <c r="J193" s="6" t="s">
        <v>38</v>
      </c>
      <c r="K193" s="6">
        <v>0</v>
      </c>
    </row>
    <row r="194" spans="2:11" ht="15.5" x14ac:dyDescent="0.35">
      <c r="B194" s="20" t="s">
        <v>45</v>
      </c>
      <c r="C194" s="25" t="s">
        <v>214</v>
      </c>
      <c r="D194" s="24">
        <v>2001</v>
      </c>
      <c r="E194" s="23">
        <v>0.67211903929710393</v>
      </c>
      <c r="F194" s="6" t="s">
        <v>38</v>
      </c>
      <c r="G194" s="6">
        <v>0</v>
      </c>
      <c r="H194" s="6">
        <v>0.50529999999999997</v>
      </c>
      <c r="I194" s="6">
        <v>0.16681903929710395</v>
      </c>
      <c r="J194" s="6" t="s">
        <v>38</v>
      </c>
      <c r="K194" s="6">
        <v>0</v>
      </c>
    </row>
    <row r="195" spans="2:11" ht="15.5" x14ac:dyDescent="0.35">
      <c r="B195" s="20" t="s">
        <v>45</v>
      </c>
      <c r="C195" s="25" t="s">
        <v>215</v>
      </c>
      <c r="D195" s="24">
        <v>2002</v>
      </c>
      <c r="E195" s="23">
        <v>0.7088139891624452</v>
      </c>
      <c r="F195" s="6" t="s">
        <v>38</v>
      </c>
      <c r="G195" s="6">
        <v>0</v>
      </c>
      <c r="H195" s="6">
        <v>0.36049999999999999</v>
      </c>
      <c r="I195" s="6">
        <v>0.34831398916244521</v>
      </c>
      <c r="J195" s="6" t="s">
        <v>38</v>
      </c>
      <c r="K195" s="6">
        <v>0</v>
      </c>
    </row>
    <row r="196" spans="2:11" ht="15.5" x14ac:dyDescent="0.35">
      <c r="B196" s="20" t="s">
        <v>45</v>
      </c>
      <c r="C196" s="25" t="s">
        <v>216</v>
      </c>
      <c r="D196" s="24">
        <v>2002</v>
      </c>
      <c r="E196" s="23">
        <v>0.7114259362220765</v>
      </c>
      <c r="F196" s="6" t="s">
        <v>38</v>
      </c>
      <c r="G196" s="6">
        <v>0</v>
      </c>
      <c r="H196" s="6">
        <v>0.36049999999999999</v>
      </c>
      <c r="I196" s="6">
        <v>0.35092593622207652</v>
      </c>
      <c r="J196" s="6" t="s">
        <v>38</v>
      </c>
      <c r="K196" s="6">
        <v>0</v>
      </c>
    </row>
    <row r="197" spans="2:11" ht="15.5" x14ac:dyDescent="0.35">
      <c r="B197" s="20" t="s">
        <v>45</v>
      </c>
      <c r="C197" s="25" t="s">
        <v>217</v>
      </c>
      <c r="D197" s="24">
        <v>2002</v>
      </c>
      <c r="E197" s="23">
        <v>1.0942113757133485</v>
      </c>
      <c r="F197" s="6" t="s">
        <v>38</v>
      </c>
      <c r="G197" s="6">
        <v>0</v>
      </c>
      <c r="H197" s="6">
        <v>0.36049999999999999</v>
      </c>
      <c r="I197" s="6">
        <v>0.73371137571334843</v>
      </c>
      <c r="J197" s="6" t="s">
        <v>38</v>
      </c>
      <c r="K197" s="6">
        <v>0</v>
      </c>
    </row>
    <row r="198" spans="2:11" ht="15.5" x14ac:dyDescent="0.35">
      <c r="B198" s="20" t="s">
        <v>45</v>
      </c>
      <c r="C198" s="25" t="s">
        <v>218</v>
      </c>
      <c r="D198" s="24">
        <v>2002</v>
      </c>
      <c r="E198" s="23">
        <v>0.67532008290290835</v>
      </c>
      <c r="F198" s="6" t="s">
        <v>38</v>
      </c>
      <c r="G198" s="6">
        <v>0</v>
      </c>
      <c r="H198" s="6">
        <v>0.36049999999999999</v>
      </c>
      <c r="I198" s="6">
        <v>0.31482008290290836</v>
      </c>
      <c r="J198" s="6" t="s">
        <v>38</v>
      </c>
      <c r="K198" s="6">
        <v>0</v>
      </c>
    </row>
    <row r="199" spans="2:11" ht="15.5" x14ac:dyDescent="0.35">
      <c r="B199" s="20" t="s">
        <v>45</v>
      </c>
      <c r="C199" s="25" t="s">
        <v>219</v>
      </c>
      <c r="D199" s="24">
        <v>2003</v>
      </c>
      <c r="E199" s="23">
        <v>0.23717299103736875</v>
      </c>
      <c r="F199" s="6" t="s">
        <v>38</v>
      </c>
      <c r="G199" s="6">
        <v>0</v>
      </c>
      <c r="H199" s="6">
        <v>0.247</v>
      </c>
      <c r="I199" s="6">
        <v>-9.8270089626312507E-3</v>
      </c>
      <c r="J199" s="6" t="s">
        <v>38</v>
      </c>
      <c r="K199" s="6">
        <v>0</v>
      </c>
    </row>
    <row r="200" spans="2:11" ht="15.5" x14ac:dyDescent="0.35">
      <c r="B200" s="20" t="s">
        <v>45</v>
      </c>
      <c r="C200" s="25" t="s">
        <v>220</v>
      </c>
      <c r="D200" s="24">
        <v>2003</v>
      </c>
      <c r="E200" s="23">
        <v>2.7914125680923463</v>
      </c>
      <c r="F200" s="6" t="s">
        <v>38</v>
      </c>
      <c r="G200" s="6">
        <v>0</v>
      </c>
      <c r="H200" s="6">
        <v>0.247</v>
      </c>
      <c r="I200" s="6">
        <v>2.5444125680923464</v>
      </c>
      <c r="J200" s="6" t="s">
        <v>38</v>
      </c>
      <c r="K200" s="6">
        <v>0</v>
      </c>
    </row>
    <row r="201" spans="2:11" ht="15.5" x14ac:dyDescent="0.35">
      <c r="B201" s="20" t="s">
        <v>45</v>
      </c>
      <c r="C201" s="25" t="s">
        <v>221</v>
      </c>
      <c r="D201" s="24">
        <v>2003</v>
      </c>
      <c r="E201" s="23">
        <v>2.0513185739517206</v>
      </c>
      <c r="F201" s="6" t="s">
        <v>38</v>
      </c>
      <c r="G201" s="6">
        <v>0</v>
      </c>
      <c r="H201" s="6">
        <v>0.247</v>
      </c>
      <c r="I201" s="6">
        <v>1.8043185739517207</v>
      </c>
      <c r="J201" s="6" t="s">
        <v>38</v>
      </c>
      <c r="K201" s="6">
        <v>0</v>
      </c>
    </row>
    <row r="202" spans="2:11" ht="15.5" x14ac:dyDescent="0.35">
      <c r="B202" s="20" t="s">
        <v>45</v>
      </c>
      <c r="C202" s="25" t="s">
        <v>222</v>
      </c>
      <c r="D202" s="24">
        <v>2003</v>
      </c>
      <c r="E202" s="23">
        <v>1.4428335070610045</v>
      </c>
      <c r="F202" s="6" t="s">
        <v>38</v>
      </c>
      <c r="G202" s="6">
        <v>0</v>
      </c>
      <c r="H202" s="6">
        <v>0.247</v>
      </c>
      <c r="I202" s="6">
        <v>1.1958335070610047</v>
      </c>
      <c r="J202" s="6" t="s">
        <v>38</v>
      </c>
      <c r="K202" s="6">
        <v>0</v>
      </c>
    </row>
    <row r="203" spans="2:11" ht="15.5" x14ac:dyDescent="0.35">
      <c r="B203" s="20" t="s">
        <v>45</v>
      </c>
      <c r="C203" s="25" t="s">
        <v>223</v>
      </c>
      <c r="D203" s="24">
        <v>2004</v>
      </c>
      <c r="E203" s="23">
        <v>0.98427487611770625</v>
      </c>
      <c r="F203" s="6" t="s">
        <v>38</v>
      </c>
      <c r="G203" s="6">
        <v>0</v>
      </c>
      <c r="H203" s="6">
        <v>0.18579999999999999</v>
      </c>
      <c r="I203" s="6">
        <v>0.79847487611770629</v>
      </c>
      <c r="J203" s="6" t="s">
        <v>38</v>
      </c>
      <c r="K203" s="6">
        <v>0</v>
      </c>
    </row>
    <row r="204" spans="2:11" ht="15.5" x14ac:dyDescent="0.35">
      <c r="B204" s="20" t="s">
        <v>45</v>
      </c>
      <c r="C204" s="25" t="s">
        <v>224</v>
      </c>
      <c r="D204" s="24">
        <v>2004</v>
      </c>
      <c r="E204" s="23">
        <v>-0.56000000000000005</v>
      </c>
      <c r="F204" s="6" t="s">
        <v>38</v>
      </c>
      <c r="G204" s="6">
        <v>0</v>
      </c>
      <c r="H204" s="6">
        <v>0.18579999999999999</v>
      </c>
      <c r="I204" s="6">
        <v>-0.74580000000000002</v>
      </c>
      <c r="J204" s="6" t="s">
        <v>38</v>
      </c>
      <c r="K204" s="6">
        <v>0</v>
      </c>
    </row>
    <row r="205" spans="2:11" ht="15.5" x14ac:dyDescent="0.35">
      <c r="B205" s="20" t="s">
        <v>45</v>
      </c>
      <c r="C205" s="25" t="s">
        <v>225</v>
      </c>
      <c r="D205" s="24">
        <v>2004</v>
      </c>
      <c r="E205" s="23">
        <v>0.63872566819191001</v>
      </c>
      <c r="F205" s="6" t="s">
        <v>38</v>
      </c>
      <c r="G205" s="6">
        <v>0</v>
      </c>
      <c r="H205" s="6">
        <v>0.18579999999999999</v>
      </c>
      <c r="I205" s="6">
        <v>0.45292566819191005</v>
      </c>
      <c r="J205" s="6" t="s">
        <v>38</v>
      </c>
      <c r="K205" s="6">
        <v>0</v>
      </c>
    </row>
    <row r="206" spans="2:11" ht="15.5" x14ac:dyDescent="0.35">
      <c r="B206" s="20" t="s">
        <v>45</v>
      </c>
      <c r="C206" s="25" t="s">
        <v>212</v>
      </c>
      <c r="D206" s="24">
        <v>2004</v>
      </c>
      <c r="E206" s="23">
        <v>0.89218794107437138</v>
      </c>
      <c r="F206" s="6" t="s">
        <v>38</v>
      </c>
      <c r="G206" s="6">
        <v>0</v>
      </c>
      <c r="H206" s="6">
        <v>0.18579999999999999</v>
      </c>
      <c r="I206" s="6">
        <v>0.70638794107437142</v>
      </c>
      <c r="J206" s="6" t="s">
        <v>38</v>
      </c>
      <c r="K206" s="6">
        <v>0</v>
      </c>
    </row>
    <row r="207" spans="2:11" ht="15.5" x14ac:dyDescent="0.35">
      <c r="B207" s="20" t="s">
        <v>45</v>
      </c>
      <c r="C207" s="25" t="s">
        <v>226</v>
      </c>
      <c r="D207" s="24">
        <v>2004</v>
      </c>
      <c r="E207" s="23">
        <v>0.35052676796913163</v>
      </c>
      <c r="F207" s="6" t="s">
        <v>38</v>
      </c>
      <c r="G207" s="6">
        <v>0</v>
      </c>
      <c r="H207" s="6">
        <v>0.18579999999999999</v>
      </c>
      <c r="I207" s="6">
        <v>0.16472676796913163</v>
      </c>
      <c r="J207" s="6" t="s">
        <v>38</v>
      </c>
      <c r="K207" s="6">
        <v>0</v>
      </c>
    </row>
    <row r="208" spans="2:11" ht="15.5" x14ac:dyDescent="0.35">
      <c r="B208" s="20" t="s">
        <v>45</v>
      </c>
      <c r="C208" s="25" t="s">
        <v>227</v>
      </c>
      <c r="D208" s="24">
        <v>2004</v>
      </c>
      <c r="E208" s="23">
        <v>-5.5E-2</v>
      </c>
      <c r="F208" s="6" t="s">
        <v>38</v>
      </c>
      <c r="G208" s="6">
        <v>0</v>
      </c>
      <c r="H208" s="6">
        <v>0.18579999999999999</v>
      </c>
      <c r="I208" s="6">
        <v>-0.24079999999999999</v>
      </c>
      <c r="J208" s="6" t="s">
        <v>38</v>
      </c>
      <c r="K208" s="6">
        <v>0</v>
      </c>
    </row>
    <row r="209" spans="2:11" ht="15.5" x14ac:dyDescent="0.35">
      <c r="B209" s="20" t="s">
        <v>45</v>
      </c>
      <c r="C209" s="25" t="s">
        <v>193</v>
      </c>
      <c r="D209" s="24">
        <v>2004</v>
      </c>
      <c r="E209" s="23">
        <v>-0.34600000000000003</v>
      </c>
      <c r="F209" s="6" t="s">
        <v>38</v>
      </c>
      <c r="G209" s="6">
        <v>0</v>
      </c>
      <c r="H209" s="6">
        <v>0.18579999999999999</v>
      </c>
      <c r="I209" s="6">
        <v>-0.53180000000000005</v>
      </c>
      <c r="J209" s="6" t="s">
        <v>38</v>
      </c>
      <c r="K209" s="6">
        <v>0</v>
      </c>
    </row>
    <row r="210" spans="2:11" ht="15.5" x14ac:dyDescent="0.35">
      <c r="B210" s="20" t="s">
        <v>45</v>
      </c>
      <c r="C210" s="25" t="s">
        <v>228</v>
      </c>
      <c r="D210" s="24">
        <v>2005</v>
      </c>
      <c r="E210" s="23">
        <v>1.5081677317619329</v>
      </c>
      <c r="F210" s="6" t="s">
        <v>38</v>
      </c>
      <c r="G210" s="6">
        <v>0</v>
      </c>
      <c r="H210" s="6">
        <v>7.8399999999999997E-2</v>
      </c>
      <c r="I210" s="6">
        <v>1.4297677317619328</v>
      </c>
      <c r="J210" s="6" t="s">
        <v>38</v>
      </c>
      <c r="K210" s="6">
        <v>0</v>
      </c>
    </row>
    <row r="211" spans="2:11" ht="15.5" x14ac:dyDescent="0.35">
      <c r="B211" s="20" t="s">
        <v>45</v>
      </c>
      <c r="C211" s="25" t="s">
        <v>201</v>
      </c>
      <c r="D211" s="24">
        <v>2005</v>
      </c>
      <c r="E211" s="23">
        <v>0.4382720649242402</v>
      </c>
      <c r="F211" s="6" t="s">
        <v>38</v>
      </c>
      <c r="G211" s="6">
        <v>0</v>
      </c>
      <c r="H211" s="6">
        <v>7.8399999999999997E-2</v>
      </c>
      <c r="I211" s="6">
        <v>0.35987206492424018</v>
      </c>
      <c r="J211" s="6" t="s">
        <v>38</v>
      </c>
      <c r="K211" s="6">
        <v>0</v>
      </c>
    </row>
    <row r="212" spans="2:11" ht="15.5" x14ac:dyDescent="0.35">
      <c r="B212" s="20" t="s">
        <v>46</v>
      </c>
      <c r="C212" s="25" t="s">
        <v>229</v>
      </c>
      <c r="D212" s="24">
        <v>1997</v>
      </c>
      <c r="E212" s="23">
        <v>0.18797864317893981</v>
      </c>
      <c r="F212" s="6" t="s">
        <v>47</v>
      </c>
      <c r="G212" s="6">
        <v>0</v>
      </c>
      <c r="H212" s="6" t="s">
        <v>47</v>
      </c>
      <c r="I212" s="6">
        <v>0</v>
      </c>
      <c r="J212" s="6" t="s">
        <v>47</v>
      </c>
      <c r="K212" s="6">
        <v>0</v>
      </c>
    </row>
    <row r="213" spans="2:11" ht="15.5" x14ac:dyDescent="0.35">
      <c r="B213" s="20" t="s">
        <v>46</v>
      </c>
      <c r="C213" s="25" t="s">
        <v>230</v>
      </c>
      <c r="D213" s="24">
        <v>1997</v>
      </c>
      <c r="E213" s="23">
        <v>-6.8000000000000005E-2</v>
      </c>
      <c r="F213" s="6" t="s">
        <v>47</v>
      </c>
      <c r="G213" s="6">
        <v>0</v>
      </c>
      <c r="H213" s="6" t="s">
        <v>47</v>
      </c>
      <c r="I213" s="6">
        <v>0</v>
      </c>
      <c r="J213" s="6" t="s">
        <v>47</v>
      </c>
      <c r="K213" s="6">
        <v>0</v>
      </c>
    </row>
    <row r="214" spans="2:11" ht="15.5" x14ac:dyDescent="0.35">
      <c r="B214" s="20" t="s">
        <v>46</v>
      </c>
      <c r="C214" s="25" t="s">
        <v>231</v>
      </c>
      <c r="D214" s="24">
        <v>1998</v>
      </c>
      <c r="E214" s="23">
        <v>0.67239370942115784</v>
      </c>
      <c r="F214" s="6" t="s">
        <v>38</v>
      </c>
      <c r="G214" s="6">
        <v>0</v>
      </c>
      <c r="H214" s="6">
        <v>0.20899999999999999</v>
      </c>
      <c r="I214" s="6">
        <v>0.46339370942115787</v>
      </c>
      <c r="J214" s="6" t="s">
        <v>38</v>
      </c>
      <c r="K214" s="6">
        <v>0</v>
      </c>
    </row>
    <row r="215" spans="2:11" ht="15.5" x14ac:dyDescent="0.35">
      <c r="B215" s="20" t="s">
        <v>46</v>
      </c>
      <c r="C215" s="25" t="s">
        <v>232</v>
      </c>
      <c r="D215" s="24">
        <v>1998</v>
      </c>
      <c r="E215" s="23">
        <v>0.13408407568931582</v>
      </c>
      <c r="F215" s="6" t="s">
        <v>38</v>
      </c>
      <c r="G215" s="6">
        <v>0</v>
      </c>
      <c r="H215" s="6">
        <v>0.20899999999999999</v>
      </c>
      <c r="I215" s="6">
        <v>-7.4915924310684168E-2</v>
      </c>
      <c r="J215" s="6" t="s">
        <v>38</v>
      </c>
      <c r="K215" s="6">
        <v>0</v>
      </c>
    </row>
    <row r="216" spans="2:11" ht="15.5" x14ac:dyDescent="0.35">
      <c r="B216" s="20" t="s">
        <v>46</v>
      </c>
      <c r="C216" s="25" t="s">
        <v>233</v>
      </c>
      <c r="D216" s="24">
        <v>1998</v>
      </c>
      <c r="E216" s="23">
        <v>0.13034109473228458</v>
      </c>
      <c r="F216" s="6" t="s">
        <v>38</v>
      </c>
      <c r="G216" s="6">
        <v>0</v>
      </c>
      <c r="H216" s="6">
        <v>0.20899999999999999</v>
      </c>
      <c r="I216" s="6">
        <v>-7.8658905267715407E-2</v>
      </c>
      <c r="J216" s="6" t="s">
        <v>38</v>
      </c>
      <c r="K216" s="6">
        <v>0</v>
      </c>
    </row>
    <row r="217" spans="2:11" ht="15.5" x14ac:dyDescent="0.35">
      <c r="B217" s="20" t="s">
        <v>46</v>
      </c>
      <c r="C217" s="25" t="s">
        <v>234</v>
      </c>
      <c r="D217" s="24">
        <v>1998</v>
      </c>
      <c r="E217" s="23">
        <v>0.28931794762611385</v>
      </c>
      <c r="F217" s="6" t="s">
        <v>38</v>
      </c>
      <c r="G217" s="6">
        <v>0</v>
      </c>
      <c r="H217" s="6">
        <v>0.20899999999999999</v>
      </c>
      <c r="I217" s="6">
        <v>8.0317947626113856E-2</v>
      </c>
      <c r="J217" s="6" t="s">
        <v>38</v>
      </c>
      <c r="K217" s="6">
        <v>0</v>
      </c>
    </row>
    <row r="218" spans="2:11" ht="15.5" x14ac:dyDescent="0.35">
      <c r="B218" s="20" t="s">
        <v>46</v>
      </c>
      <c r="C218" s="25" t="s">
        <v>235</v>
      </c>
      <c r="D218" s="24">
        <v>1998</v>
      </c>
      <c r="E218" s="23">
        <v>0.30682622790336622</v>
      </c>
      <c r="F218" s="6" t="s">
        <v>38</v>
      </c>
      <c r="G218" s="6">
        <v>0</v>
      </c>
      <c r="H218" s="6">
        <v>0.20899999999999999</v>
      </c>
      <c r="I218" s="6">
        <v>9.7826227903366231E-2</v>
      </c>
      <c r="J218" s="6" t="s">
        <v>38</v>
      </c>
      <c r="K218" s="6">
        <v>0</v>
      </c>
    </row>
    <row r="219" spans="2:11" ht="15.5" x14ac:dyDescent="0.35">
      <c r="B219" s="20" t="s">
        <v>46</v>
      </c>
      <c r="C219" s="25" t="s">
        <v>236</v>
      </c>
      <c r="D219" s="24">
        <v>1998</v>
      </c>
      <c r="E219" s="23">
        <v>0.49447521567344666</v>
      </c>
      <c r="F219" s="6" t="s">
        <v>38</v>
      </c>
      <c r="G219" s="6">
        <v>0</v>
      </c>
      <c r="H219" s="6">
        <v>0.20899999999999999</v>
      </c>
      <c r="I219" s="6">
        <v>0.28547521567344669</v>
      </c>
      <c r="J219" s="6" t="s">
        <v>38</v>
      </c>
      <c r="K219" s="6">
        <v>0</v>
      </c>
    </row>
    <row r="220" spans="2:11" ht="15.5" x14ac:dyDescent="0.35">
      <c r="B220" s="20" t="s">
        <v>46</v>
      </c>
      <c r="C220" s="25" t="s">
        <v>237</v>
      </c>
      <c r="D220" s="24">
        <v>1998</v>
      </c>
      <c r="E220" s="23">
        <v>0.17376798987388617</v>
      </c>
      <c r="F220" s="6" t="s">
        <v>38</v>
      </c>
      <c r="G220" s="6">
        <v>0</v>
      </c>
      <c r="H220" s="6">
        <v>0.20899999999999999</v>
      </c>
      <c r="I220" s="6">
        <v>-3.5232010126113822E-2</v>
      </c>
      <c r="J220" s="6" t="s">
        <v>38</v>
      </c>
      <c r="K220" s="6">
        <v>0</v>
      </c>
    </row>
    <row r="221" spans="2:11" ht="15.5" x14ac:dyDescent="0.35">
      <c r="B221" s="20" t="s">
        <v>46</v>
      </c>
      <c r="C221" s="25" t="s">
        <v>238</v>
      </c>
      <c r="D221" s="24">
        <v>1999</v>
      </c>
      <c r="E221" s="23">
        <v>0.32108843922615049</v>
      </c>
      <c r="F221" s="6" t="s">
        <v>38</v>
      </c>
      <c r="G221" s="6">
        <v>0</v>
      </c>
      <c r="H221" s="6">
        <v>0.24</v>
      </c>
      <c r="I221" s="6">
        <v>8.1088439226150499E-2</v>
      </c>
      <c r="J221" s="6" t="s">
        <v>38</v>
      </c>
      <c r="K221" s="6">
        <v>0</v>
      </c>
    </row>
    <row r="222" spans="2:11" ht="15.5" x14ac:dyDescent="0.35">
      <c r="B222" s="20" t="s">
        <v>46</v>
      </c>
      <c r="C222" s="25" t="s">
        <v>239</v>
      </c>
      <c r="D222" s="24">
        <v>1999</v>
      </c>
      <c r="E222" s="23">
        <v>0.48720427155494683</v>
      </c>
      <c r="F222" s="6" t="s">
        <v>38</v>
      </c>
      <c r="G222" s="6">
        <v>0</v>
      </c>
      <c r="H222" s="6">
        <v>0.24</v>
      </c>
      <c r="I222" s="6">
        <v>0.24720427155494684</v>
      </c>
      <c r="J222" s="6" t="s">
        <v>38</v>
      </c>
      <c r="K222" s="6">
        <v>0</v>
      </c>
    </row>
    <row r="223" spans="2:11" ht="15.5" x14ac:dyDescent="0.35">
      <c r="B223" s="20" t="s">
        <v>46</v>
      </c>
      <c r="C223" s="25" t="s">
        <v>240</v>
      </c>
      <c r="D223" s="24">
        <v>1999</v>
      </c>
      <c r="E223" s="23">
        <v>0.30174552798271193</v>
      </c>
      <c r="F223" s="6" t="s">
        <v>38</v>
      </c>
      <c r="G223" s="6">
        <v>0</v>
      </c>
      <c r="H223" s="6">
        <v>0.24</v>
      </c>
      <c r="I223" s="6">
        <v>6.1745527982711934E-2</v>
      </c>
      <c r="J223" s="6" t="s">
        <v>38</v>
      </c>
      <c r="K223" s="6">
        <v>0</v>
      </c>
    </row>
    <row r="224" spans="2:11" ht="15.5" x14ac:dyDescent="0.35">
      <c r="B224" s="20" t="s">
        <v>46</v>
      </c>
      <c r="C224" s="25" t="s">
        <v>241</v>
      </c>
      <c r="D224" s="24">
        <v>2000</v>
      </c>
      <c r="E224" s="23">
        <v>0.30429208874702451</v>
      </c>
      <c r="F224" s="6" t="s">
        <v>38</v>
      </c>
      <c r="G224" s="6">
        <v>0</v>
      </c>
      <c r="H224" s="6">
        <v>0.72589999999999999</v>
      </c>
      <c r="I224" s="6">
        <v>-0.42160791125297548</v>
      </c>
      <c r="J224" s="6" t="s">
        <v>38</v>
      </c>
      <c r="K224" s="6">
        <v>0</v>
      </c>
    </row>
    <row r="225" spans="2:11" ht="15.5" x14ac:dyDescent="0.35">
      <c r="B225" s="20" t="s">
        <v>46</v>
      </c>
      <c r="C225" s="25" t="s">
        <v>242</v>
      </c>
      <c r="D225" s="24">
        <v>2000</v>
      </c>
      <c r="E225" s="23">
        <v>0.27458743453025825</v>
      </c>
      <c r="F225" s="6" t="s">
        <v>38</v>
      </c>
      <c r="G225" s="6">
        <v>0</v>
      </c>
      <c r="H225" s="6">
        <v>0.72589999999999999</v>
      </c>
      <c r="I225" s="6">
        <v>-0.45131256546974174</v>
      </c>
      <c r="J225" s="6" t="s">
        <v>38</v>
      </c>
      <c r="K225" s="6">
        <v>0</v>
      </c>
    </row>
    <row r="226" spans="2:11" ht="15.5" x14ac:dyDescent="0.35">
      <c r="B226" s="20" t="s">
        <v>46</v>
      </c>
      <c r="C226" s="25" t="s">
        <v>243</v>
      </c>
      <c r="D226" s="24">
        <v>2000</v>
      </c>
      <c r="E226" s="23">
        <v>0.60546019673347473</v>
      </c>
      <c r="F226" s="6" t="s">
        <v>38</v>
      </c>
      <c r="G226" s="6">
        <v>0</v>
      </c>
      <c r="H226" s="6">
        <v>0.72589999999999999</v>
      </c>
      <c r="I226" s="6">
        <v>-0.12043980326652526</v>
      </c>
      <c r="J226" s="6" t="s">
        <v>38</v>
      </c>
      <c r="K226" s="6">
        <v>0</v>
      </c>
    </row>
    <row r="227" spans="2:11" ht="15.5" x14ac:dyDescent="0.35">
      <c r="B227" s="20" t="s">
        <v>46</v>
      </c>
      <c r="C227" s="25" t="s">
        <v>244</v>
      </c>
      <c r="D227" s="24">
        <v>2000</v>
      </c>
      <c r="E227" s="23">
        <v>0.39821626543998723</v>
      </c>
      <c r="F227" s="6" t="s">
        <v>38</v>
      </c>
      <c r="G227" s="6">
        <v>0</v>
      </c>
      <c r="H227" s="6">
        <v>0.72589999999999999</v>
      </c>
      <c r="I227" s="6">
        <v>-0.32768373456001276</v>
      </c>
      <c r="J227" s="6" t="s">
        <v>38</v>
      </c>
      <c r="K227" s="6">
        <v>0</v>
      </c>
    </row>
    <row r="228" spans="2:11" ht="15.5" x14ac:dyDescent="0.35">
      <c r="B228" s="20" t="s">
        <v>46</v>
      </c>
      <c r="C228" s="25" t="s">
        <v>245</v>
      </c>
      <c r="D228" s="24">
        <v>2001</v>
      </c>
      <c r="E228" s="23">
        <v>0.22532379031181335</v>
      </c>
      <c r="F228" s="6" t="s">
        <v>38</v>
      </c>
      <c r="G228" s="6">
        <v>0</v>
      </c>
      <c r="H228" s="6">
        <v>0.50529999999999997</v>
      </c>
      <c r="I228" s="6">
        <v>-0.27997620968818659</v>
      </c>
      <c r="J228" s="6" t="s">
        <v>38</v>
      </c>
      <c r="K228" s="6">
        <v>0</v>
      </c>
    </row>
    <row r="229" spans="2:11" ht="15.5" x14ac:dyDescent="0.35">
      <c r="B229" s="20" t="s">
        <v>46</v>
      </c>
      <c r="C229" s="25" t="s">
        <v>246</v>
      </c>
      <c r="D229" s="24">
        <v>2001</v>
      </c>
      <c r="E229" s="23">
        <v>0.37783691287040727</v>
      </c>
      <c r="F229" s="6" t="s">
        <v>38</v>
      </c>
      <c r="G229" s="6">
        <v>0</v>
      </c>
      <c r="H229" s="6">
        <v>0.50529999999999997</v>
      </c>
      <c r="I229" s="6">
        <v>-0.1274630871295927</v>
      </c>
      <c r="J229" s="6" t="s">
        <v>38</v>
      </c>
      <c r="K229" s="6">
        <v>0</v>
      </c>
    </row>
    <row r="230" spans="2:11" ht="15.5" x14ac:dyDescent="0.35">
      <c r="B230" s="20" t="s">
        <v>46</v>
      </c>
      <c r="C230" s="25" t="s">
        <v>247</v>
      </c>
      <c r="D230" s="24">
        <v>2001</v>
      </c>
      <c r="E230" s="23">
        <v>0.69573544263839726</v>
      </c>
      <c r="F230" s="6" t="s">
        <v>38</v>
      </c>
      <c r="G230" s="6">
        <v>0</v>
      </c>
      <c r="H230" s="6">
        <v>0.50529999999999997</v>
      </c>
      <c r="I230" s="6">
        <v>0.19043544263839729</v>
      </c>
      <c r="J230" s="6" t="s">
        <v>38</v>
      </c>
      <c r="K230" s="6">
        <v>0</v>
      </c>
    </row>
    <row r="231" spans="2:11" ht="15.5" x14ac:dyDescent="0.35">
      <c r="B231" s="20" t="s">
        <v>46</v>
      </c>
      <c r="C231" s="25" t="s">
        <v>248</v>
      </c>
      <c r="D231" s="24">
        <v>2001</v>
      </c>
      <c r="E231" s="23">
        <v>0.60340579152107243</v>
      </c>
      <c r="F231" s="6" t="s">
        <v>38</v>
      </c>
      <c r="G231" s="6">
        <v>0</v>
      </c>
      <c r="H231" s="6">
        <v>0.50529999999999997</v>
      </c>
      <c r="I231" s="6">
        <v>9.8105791521072461E-2</v>
      </c>
      <c r="J231" s="6" t="s">
        <v>38</v>
      </c>
      <c r="K231" s="6">
        <v>0</v>
      </c>
    </row>
    <row r="232" spans="2:11" ht="15.5" x14ac:dyDescent="0.35">
      <c r="B232" s="20" t="s">
        <v>48</v>
      </c>
      <c r="C232" s="25" t="s">
        <v>249</v>
      </c>
      <c r="D232" s="28">
        <v>1996</v>
      </c>
      <c r="E232" s="23">
        <v>4.6828773617744443E-2</v>
      </c>
      <c r="F232" s="6" t="s">
        <v>47</v>
      </c>
      <c r="G232" s="6">
        <v>0</v>
      </c>
      <c r="H232" s="6" t="s">
        <v>47</v>
      </c>
      <c r="I232" s="6">
        <v>0</v>
      </c>
      <c r="J232" s="6" t="s">
        <v>47</v>
      </c>
      <c r="K232" s="6">
        <v>0</v>
      </c>
    </row>
    <row r="233" spans="2:11" ht="15.5" x14ac:dyDescent="0.35">
      <c r="B233" s="20" t="s">
        <v>48</v>
      </c>
      <c r="C233" s="25" t="s">
        <v>250</v>
      </c>
      <c r="D233" s="28">
        <v>1996</v>
      </c>
      <c r="E233" s="23">
        <v>0.35980094075202951</v>
      </c>
      <c r="F233" s="6" t="s">
        <v>47</v>
      </c>
      <c r="G233" s="6">
        <v>0</v>
      </c>
      <c r="H233" s="6" t="s">
        <v>47</v>
      </c>
      <c r="I233" s="6">
        <v>0</v>
      </c>
      <c r="J233" s="6" t="s">
        <v>47</v>
      </c>
      <c r="K233" s="6">
        <v>0</v>
      </c>
    </row>
    <row r="234" spans="2:11" ht="15.5" x14ac:dyDescent="0.35">
      <c r="B234" s="20" t="s">
        <v>48</v>
      </c>
      <c r="C234" s="25" t="s">
        <v>251</v>
      </c>
      <c r="D234" s="28">
        <v>1996</v>
      </c>
      <c r="E234" s="23">
        <v>0.41798812747001657</v>
      </c>
      <c r="F234" s="6" t="s">
        <v>47</v>
      </c>
      <c r="G234" s="6">
        <v>0</v>
      </c>
      <c r="H234" s="6" t="s">
        <v>47</v>
      </c>
      <c r="I234" s="6">
        <v>0</v>
      </c>
      <c r="J234" s="6" t="s">
        <v>47</v>
      </c>
      <c r="K234" s="6">
        <v>0</v>
      </c>
    </row>
    <row r="235" spans="2:11" ht="15.5" x14ac:dyDescent="0.35">
      <c r="B235" s="20" t="s">
        <v>48</v>
      </c>
      <c r="C235" s="25" t="s">
        <v>252</v>
      </c>
      <c r="D235" s="28">
        <v>1997</v>
      </c>
      <c r="E235" s="23">
        <v>0.18506261706352234</v>
      </c>
      <c r="F235" s="6" t="s">
        <v>47</v>
      </c>
      <c r="G235" s="6">
        <v>0</v>
      </c>
      <c r="H235" s="6" t="s">
        <v>47</v>
      </c>
      <c r="I235" s="6">
        <v>0</v>
      </c>
      <c r="J235" s="6" t="s">
        <v>47</v>
      </c>
      <c r="K235" s="6">
        <v>0</v>
      </c>
    </row>
    <row r="236" spans="2:11" ht="15.5" x14ac:dyDescent="0.35">
      <c r="B236" s="20" t="s">
        <v>49</v>
      </c>
      <c r="C236" s="25" t="s">
        <v>253</v>
      </c>
      <c r="D236" s="28">
        <v>1994</v>
      </c>
      <c r="E236" s="23">
        <v>0.30315306782722473</v>
      </c>
      <c r="F236" s="6" t="s">
        <v>47</v>
      </c>
      <c r="G236" s="6">
        <v>0</v>
      </c>
      <c r="H236" s="6" t="s">
        <v>47</v>
      </c>
      <c r="I236" s="6">
        <v>0</v>
      </c>
      <c r="J236" s="6" t="s">
        <v>47</v>
      </c>
      <c r="K236" s="6">
        <v>0</v>
      </c>
    </row>
    <row r="237" spans="2:11" ht="15.5" x14ac:dyDescent="0.35">
      <c r="B237" s="20" t="s">
        <v>49</v>
      </c>
      <c r="C237" s="25" t="s">
        <v>254</v>
      </c>
      <c r="D237" s="28">
        <v>1994</v>
      </c>
      <c r="E237" s="23">
        <v>0.53016347289085397</v>
      </c>
      <c r="F237" s="6" t="s">
        <v>47</v>
      </c>
      <c r="G237" s="6">
        <v>0</v>
      </c>
      <c r="H237" s="6" t="s">
        <v>47</v>
      </c>
      <c r="I237" s="6">
        <v>0</v>
      </c>
      <c r="J237" s="6" t="s">
        <v>47</v>
      </c>
      <c r="K237" s="6">
        <v>0</v>
      </c>
    </row>
    <row r="238" spans="2:11" ht="15.5" x14ac:dyDescent="0.35">
      <c r="B238" s="20" t="s">
        <v>49</v>
      </c>
      <c r="C238" s="25" t="s">
        <v>255</v>
      </c>
      <c r="D238" s="28">
        <v>1994</v>
      </c>
      <c r="E238" s="23">
        <v>0.45211786627769468</v>
      </c>
      <c r="F238" s="6" t="s">
        <v>47</v>
      </c>
      <c r="G238" s="6">
        <v>0</v>
      </c>
      <c r="H238" s="6" t="s">
        <v>47</v>
      </c>
      <c r="I238" s="6">
        <v>0</v>
      </c>
      <c r="J238" s="6" t="s">
        <v>47</v>
      </c>
      <c r="K238" s="6">
        <v>0</v>
      </c>
    </row>
    <row r="239" spans="2:11" ht="15.5" x14ac:dyDescent="0.35">
      <c r="B239" s="20" t="s">
        <v>49</v>
      </c>
      <c r="C239" s="25" t="s">
        <v>256</v>
      </c>
      <c r="D239" s="28">
        <v>1994</v>
      </c>
      <c r="E239" s="23">
        <v>0.13126668334007263</v>
      </c>
      <c r="F239" s="6" t="s">
        <v>47</v>
      </c>
      <c r="G239" s="6">
        <v>0</v>
      </c>
      <c r="H239" s="6" t="s">
        <v>47</v>
      </c>
      <c r="I239" s="6">
        <v>0</v>
      </c>
      <c r="J239" s="6" t="s">
        <v>47</v>
      </c>
      <c r="K239" s="6">
        <v>0</v>
      </c>
    </row>
    <row r="240" spans="2:11" ht="15.5" x14ac:dyDescent="0.35">
      <c r="B240" s="20" t="s">
        <v>49</v>
      </c>
      <c r="C240" s="25" t="s">
        <v>257</v>
      </c>
      <c r="D240" s="28">
        <v>1994</v>
      </c>
      <c r="E240" s="23">
        <v>0.17973459362983707</v>
      </c>
      <c r="F240" s="6" t="s">
        <v>47</v>
      </c>
      <c r="G240" s="6">
        <v>0</v>
      </c>
      <c r="H240" s="6" t="s">
        <v>47</v>
      </c>
      <c r="I240" s="6">
        <v>0</v>
      </c>
      <c r="J240" s="6" t="s">
        <v>47</v>
      </c>
      <c r="K240" s="6">
        <v>0</v>
      </c>
    </row>
    <row r="241" spans="2:11" ht="15.5" x14ac:dyDescent="0.35">
      <c r="B241" s="20" t="s">
        <v>49</v>
      </c>
      <c r="C241" s="25" t="s">
        <v>258</v>
      </c>
      <c r="D241" s="28">
        <v>1994</v>
      </c>
      <c r="E241" s="23">
        <v>-0.68299999999999994</v>
      </c>
      <c r="F241" s="6" t="s">
        <v>47</v>
      </c>
      <c r="G241" s="6">
        <v>0</v>
      </c>
      <c r="H241" s="6" t="s">
        <v>47</v>
      </c>
      <c r="I241" s="6">
        <v>0</v>
      </c>
      <c r="J241" s="6" t="s">
        <v>47</v>
      </c>
      <c r="K241" s="6">
        <v>0</v>
      </c>
    </row>
    <row r="242" spans="2:11" ht="15.5" x14ac:dyDescent="0.35">
      <c r="B242" s="20" t="s">
        <v>49</v>
      </c>
      <c r="C242" s="25" t="s">
        <v>259</v>
      </c>
      <c r="D242" s="28">
        <v>1995</v>
      </c>
      <c r="E242" s="23">
        <v>0.28734400868415844</v>
      </c>
      <c r="F242" s="6" t="s">
        <v>47</v>
      </c>
      <c r="G242" s="6">
        <v>0</v>
      </c>
      <c r="H242" s="6" t="s">
        <v>47</v>
      </c>
      <c r="I242" s="6">
        <v>0</v>
      </c>
      <c r="J242" s="6" t="s">
        <v>47</v>
      </c>
      <c r="K242" s="6">
        <v>0</v>
      </c>
    </row>
    <row r="243" spans="2:11" ht="15.5" x14ac:dyDescent="0.35">
      <c r="B243" s="20" t="s">
        <v>49</v>
      </c>
      <c r="C243" s="25" t="s">
        <v>260</v>
      </c>
      <c r="D243" s="28">
        <v>1995</v>
      </c>
      <c r="E243" s="23">
        <v>0.39497500061988833</v>
      </c>
      <c r="F243" s="6" t="s">
        <v>47</v>
      </c>
      <c r="G243" s="6">
        <v>0</v>
      </c>
      <c r="H243" s="6" t="s">
        <v>47</v>
      </c>
      <c r="I243" s="6">
        <v>0</v>
      </c>
      <c r="J243" s="6" t="s">
        <v>47</v>
      </c>
      <c r="K243" s="6">
        <v>0</v>
      </c>
    </row>
    <row r="244" spans="2:11" ht="15.5" x14ac:dyDescent="0.35">
      <c r="B244" s="20" t="s">
        <v>49</v>
      </c>
      <c r="C244" s="25" t="s">
        <v>261</v>
      </c>
      <c r="D244" s="28">
        <v>1995</v>
      </c>
      <c r="E244" s="23">
        <v>0.4874852001667021</v>
      </c>
      <c r="F244" s="6" t="s">
        <v>47</v>
      </c>
      <c r="G244" s="6">
        <v>0</v>
      </c>
      <c r="H244" s="6" t="s">
        <v>47</v>
      </c>
      <c r="I244" s="6">
        <v>0</v>
      </c>
      <c r="J244" s="6" t="s">
        <v>47</v>
      </c>
      <c r="K244" s="6">
        <v>0</v>
      </c>
    </row>
    <row r="245" spans="2:11" ht="15.5" x14ac:dyDescent="0.35">
      <c r="B245" s="20" t="s">
        <v>49</v>
      </c>
      <c r="C245" s="25" t="s">
        <v>262</v>
      </c>
      <c r="D245" s="28">
        <v>1995</v>
      </c>
      <c r="E245" s="23">
        <v>0.31378827691078193</v>
      </c>
      <c r="F245" s="6" t="s">
        <v>47</v>
      </c>
      <c r="G245" s="6">
        <v>0</v>
      </c>
      <c r="H245" s="6" t="s">
        <v>47</v>
      </c>
      <c r="I245" s="6">
        <v>0</v>
      </c>
      <c r="J245" s="6" t="s">
        <v>47</v>
      </c>
      <c r="K245" s="6">
        <v>0</v>
      </c>
    </row>
    <row r="246" spans="2:11" ht="15.5" x14ac:dyDescent="0.35">
      <c r="B246" s="20" t="s">
        <v>49</v>
      </c>
      <c r="C246" s="25" t="s">
        <v>263</v>
      </c>
      <c r="D246" s="28">
        <v>1995</v>
      </c>
      <c r="E246" s="23">
        <v>7.0652064681053173E-2</v>
      </c>
      <c r="F246" s="6" t="s">
        <v>47</v>
      </c>
      <c r="G246" s="6">
        <v>0</v>
      </c>
      <c r="H246" s="6" t="s">
        <v>47</v>
      </c>
      <c r="I246" s="6">
        <v>0</v>
      </c>
      <c r="J246" s="6" t="s">
        <v>47</v>
      </c>
      <c r="K246" s="6">
        <v>0</v>
      </c>
    </row>
    <row r="247" spans="2:11" ht="15.5" x14ac:dyDescent="0.35">
      <c r="B247" s="20" t="s">
        <v>49</v>
      </c>
      <c r="C247" s="25" t="s">
        <v>264</v>
      </c>
      <c r="D247" s="28">
        <v>1996</v>
      </c>
      <c r="E247" s="23">
        <v>0.69643524885177621</v>
      </c>
      <c r="F247" s="6" t="s">
        <v>47</v>
      </c>
      <c r="G247" s="6">
        <v>0</v>
      </c>
      <c r="H247" s="6" t="s">
        <v>47</v>
      </c>
      <c r="I247" s="6">
        <v>0</v>
      </c>
      <c r="J247" s="6" t="s">
        <v>47</v>
      </c>
      <c r="K247" s="6">
        <v>0</v>
      </c>
    </row>
  </sheetData>
  <mergeCells count="1">
    <mergeCell ref="M2:R3"/>
  </mergeCells>
  <conditionalFormatting sqref="O7:Q11 O14:Q20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R7:R20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6C02A-3ECD-4BE0-8C0D-B23B1077714F}">
  <dimension ref="B2:C22"/>
  <sheetViews>
    <sheetView showGridLines="0" workbookViewId="0">
      <selection activeCell="C22" sqref="C22"/>
    </sheetView>
  </sheetViews>
  <sheetFormatPr defaultRowHeight="14.5" x14ac:dyDescent="0.35"/>
  <cols>
    <col min="1" max="1" width="1.6328125" customWidth="1"/>
  </cols>
  <sheetData>
    <row r="2" spans="2:3" x14ac:dyDescent="0.35">
      <c r="B2" t="s">
        <v>0</v>
      </c>
      <c r="C2" t="s">
        <v>28</v>
      </c>
    </row>
    <row r="3" spans="2:3" x14ac:dyDescent="0.35">
      <c r="B3">
        <v>1998</v>
      </c>
      <c r="C3" s="6">
        <v>0.20899999999999999</v>
      </c>
    </row>
    <row r="4" spans="2:3" x14ac:dyDescent="0.35">
      <c r="B4">
        <v>1999</v>
      </c>
      <c r="C4" s="6">
        <v>0.24</v>
      </c>
    </row>
    <row r="5" spans="2:3" x14ac:dyDescent="0.35">
      <c r="B5">
        <v>2000</v>
      </c>
      <c r="C5" s="6">
        <v>0.72589999999999999</v>
      </c>
    </row>
    <row r="6" spans="2:3" x14ac:dyDescent="0.35">
      <c r="B6">
        <v>2001</v>
      </c>
      <c r="C6" s="6">
        <v>0.50529999999999997</v>
      </c>
    </row>
    <row r="7" spans="2:3" x14ac:dyDescent="0.35">
      <c r="B7">
        <v>2002</v>
      </c>
      <c r="C7" s="6">
        <v>0.36049999999999999</v>
      </c>
    </row>
    <row r="8" spans="2:3" x14ac:dyDescent="0.35">
      <c r="B8">
        <v>2003</v>
      </c>
      <c r="C8" s="6">
        <v>0.247</v>
      </c>
    </row>
    <row r="9" spans="2:3" x14ac:dyDescent="0.35">
      <c r="B9">
        <v>2004</v>
      </c>
      <c r="C9" s="6">
        <v>0.18579999999999999</v>
      </c>
    </row>
    <row r="10" spans="2:3" x14ac:dyDescent="0.35">
      <c r="B10">
        <v>2005</v>
      </c>
      <c r="C10" s="6">
        <v>7.8399999999999997E-2</v>
      </c>
    </row>
    <row r="11" spans="2:3" x14ac:dyDescent="0.35">
      <c r="B11">
        <v>2006</v>
      </c>
      <c r="C11" s="6">
        <v>1.89E-2</v>
      </c>
    </row>
    <row r="12" spans="2:3" x14ac:dyDescent="0.35">
      <c r="B12">
        <v>2007</v>
      </c>
      <c r="C12" s="6">
        <v>1.0999999999999999E-2</v>
      </c>
    </row>
    <row r="13" spans="2:3" x14ac:dyDescent="0.35">
      <c r="B13">
        <v>2008</v>
      </c>
      <c r="C13" s="6">
        <v>8.3500000000000005E-2</v>
      </c>
    </row>
    <row r="14" spans="2:3" x14ac:dyDescent="0.35">
      <c r="B14">
        <v>2009</v>
      </c>
      <c r="C14" s="6">
        <v>-1.6000000000000001E-3</v>
      </c>
    </row>
    <row r="15" spans="2:3" x14ac:dyDescent="0.35">
      <c r="B15">
        <v>2010</v>
      </c>
      <c r="C15" s="6">
        <v>-0.14799999999999999</v>
      </c>
    </row>
    <row r="16" spans="2:3" x14ac:dyDescent="0.35">
      <c r="B16">
        <v>2011</v>
      </c>
      <c r="C16" s="6">
        <v>4.19E-2</v>
      </c>
    </row>
    <row r="17" spans="2:3" x14ac:dyDescent="0.35">
      <c r="B17">
        <v>2012</v>
      </c>
      <c r="C17" s="6">
        <v>9.1999999999999998E-2</v>
      </c>
    </row>
    <row r="18" spans="2:3" x14ac:dyDescent="0.35">
      <c r="B18">
        <v>2013</v>
      </c>
      <c r="C18" s="6">
        <v>1.2999999999999999E-2</v>
      </c>
    </row>
    <row r="19" spans="2:3" x14ac:dyDescent="0.35">
      <c r="B19">
        <v>2014</v>
      </c>
      <c r="C19" s="6">
        <v>9.6000000000000002E-2</v>
      </c>
    </row>
    <row r="20" spans="2:3" x14ac:dyDescent="0.35">
      <c r="B20">
        <v>2015</v>
      </c>
      <c r="C20" s="6">
        <v>9.2999999999999999E-2</v>
      </c>
    </row>
    <row r="21" spans="2:3" x14ac:dyDescent="0.35">
      <c r="B21">
        <v>2016</v>
      </c>
      <c r="C21" s="6">
        <v>8.2000000000000003E-2</v>
      </c>
    </row>
    <row r="22" spans="2:3" x14ac:dyDescent="0.35">
      <c r="B22">
        <v>2017</v>
      </c>
      <c r="C22" s="6">
        <v>9.74E-2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1713F-9960-4A6D-8FC6-0D4A6B48D258}">
  <dimension ref="B2:C19"/>
  <sheetViews>
    <sheetView workbookViewId="0">
      <selection activeCell="E4" sqref="E4"/>
    </sheetView>
  </sheetViews>
  <sheetFormatPr defaultRowHeight="14.5" x14ac:dyDescent="0.35"/>
  <sheetData>
    <row r="2" spans="2:3" ht="31" x14ac:dyDescent="0.7">
      <c r="B2" s="2"/>
      <c r="C2" s="2"/>
    </row>
    <row r="3" spans="2:3" x14ac:dyDescent="0.35">
      <c r="B3" s="3"/>
      <c r="C3" s="4" t="s">
        <v>25</v>
      </c>
    </row>
    <row r="4" spans="2:3" x14ac:dyDescent="0.35">
      <c r="B4" s="5">
        <v>2010</v>
      </c>
      <c r="C4" s="6">
        <v>1.2E-2</v>
      </c>
    </row>
    <row r="5" spans="2:3" x14ac:dyDescent="0.35">
      <c r="B5" s="5">
        <v>2011</v>
      </c>
      <c r="C5" s="6">
        <v>-6.7000000000000004E-2</v>
      </c>
    </row>
    <row r="6" spans="2:3" x14ac:dyDescent="0.35">
      <c r="B6" s="5">
        <v>2012</v>
      </c>
      <c r="C6" s="6">
        <v>5.0000000000000001E-3</v>
      </c>
    </row>
    <row r="7" spans="2:3" x14ac:dyDescent="0.35">
      <c r="B7" s="5">
        <v>2013</v>
      </c>
      <c r="C7" s="6">
        <v>3.7000000000000005E-2</v>
      </c>
    </row>
    <row r="8" spans="2:3" x14ac:dyDescent="0.35">
      <c r="B8" s="5">
        <v>2014</v>
      </c>
      <c r="C8" s="6">
        <v>3.7999999999999999E-2</v>
      </c>
    </row>
    <row r="9" spans="2:3" x14ac:dyDescent="0.35">
      <c r="B9" s="5">
        <v>2015</v>
      </c>
      <c r="C9" s="6">
        <v>0.08</v>
      </c>
    </row>
    <row r="10" spans="2:3" x14ac:dyDescent="0.35">
      <c r="B10" s="5">
        <v>2016</v>
      </c>
      <c r="C10" s="6">
        <v>6.8000000000000005E-2</v>
      </c>
    </row>
    <row r="11" spans="2:3" x14ac:dyDescent="0.35">
      <c r="B11" s="5">
        <v>2017</v>
      </c>
      <c r="C11" s="6">
        <v>9.1999999999999998E-2</v>
      </c>
    </row>
    <row r="12" spans="2:3" x14ac:dyDescent="0.35">
      <c r="B12" s="5">
        <v>2018</v>
      </c>
      <c r="C12" s="6">
        <v>8.5999999999999993E-2</v>
      </c>
    </row>
    <row r="13" spans="2:3" x14ac:dyDescent="0.35">
      <c r="B13" s="5">
        <v>2019</v>
      </c>
      <c r="C13" s="6">
        <v>0.12</v>
      </c>
    </row>
    <row r="14" spans="2:3" x14ac:dyDescent="0.35">
      <c r="B14" s="5">
        <v>2020</v>
      </c>
      <c r="C14" s="6">
        <v>6.9000000000000006E-2</v>
      </c>
    </row>
    <row r="15" spans="2:3" x14ac:dyDescent="0.35">
      <c r="B15" s="5">
        <v>2021</v>
      </c>
      <c r="C15" s="6">
        <v>0.188</v>
      </c>
    </row>
    <row r="16" spans="2:3" x14ac:dyDescent="0.35">
      <c r="B16" s="5">
        <v>2022</v>
      </c>
      <c r="C16" s="6">
        <v>0.11199999999999999</v>
      </c>
    </row>
    <row r="17" spans="2:3" x14ac:dyDescent="0.35">
      <c r="B17" s="5">
        <v>2023</v>
      </c>
      <c r="C17" s="6">
        <v>9.1999999999999998E-2</v>
      </c>
    </row>
    <row r="18" spans="2:3" x14ac:dyDescent="0.35">
      <c r="B18" s="5">
        <v>2024</v>
      </c>
      <c r="C18" s="6">
        <v>0.04</v>
      </c>
    </row>
    <row r="19" spans="2:3" x14ac:dyDescent="0.35">
      <c r="B19" s="5" t="s">
        <v>26</v>
      </c>
      <c r="C19" s="6">
        <v>6.2E-2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cb6379d-5402-4ed7-9167-0c02804ceeec" xsi:nil="true"/>
    <lcf76f155ced4ddcb4097134ff3c332f xmlns="16c4b767-81a9-4964-9cba-5e0dcfc5f91d">
      <Terms xmlns="http://schemas.microsoft.com/office/infopath/2007/PartnerControls"/>
    </lcf76f155ced4ddcb4097134ff3c332f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B04DF9C75CAB4DAB32342A81611457" ma:contentTypeVersion="16" ma:contentTypeDescription="Create a new document." ma:contentTypeScope="" ma:versionID="1eea900a64deb794cdb99b5f2532b621">
  <xsd:schema xmlns:xsd="http://www.w3.org/2001/XMLSchema" xmlns:xs="http://www.w3.org/2001/XMLSchema" xmlns:p="http://schemas.microsoft.com/office/2006/metadata/properties" xmlns:ns2="bcb6379d-5402-4ed7-9167-0c02804ceeec" xmlns:ns3="16c4b767-81a9-4964-9cba-5e0dcfc5f91d" targetNamespace="http://schemas.microsoft.com/office/2006/metadata/properties" ma:root="true" ma:fieldsID="94c870accb11b529575280629ed7135f" ns2:_="" ns3:_="">
    <xsd:import namespace="bcb6379d-5402-4ed7-9167-0c02804ceeec"/>
    <xsd:import namespace="16c4b767-81a9-4964-9cba-5e0dcfc5f91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SearchProperties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b6379d-5402-4ed7-9167-0c02804ceee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1661289-e8d5-4b89-a0fe-708881da4787}" ma:internalName="TaxCatchAll" ma:showField="CatchAllData" ma:web="bcb6379d-5402-4ed7-9167-0c02804cee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4b767-81a9-4964-9cba-5e0dcfc5f9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b760cb6-fec5-4ee0-ad3b-5c6f6537d75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BE96F7D-0431-4563-B6C2-CB6997BD4169}">
  <ds:schemaRefs>
    <ds:schemaRef ds:uri="http://schemas.microsoft.com/office/2006/metadata/properties"/>
    <ds:schemaRef ds:uri="http://schemas.microsoft.com/office/infopath/2007/PartnerControls"/>
    <ds:schemaRef ds:uri="bcb6379d-5402-4ed7-9167-0c02804ceeec"/>
    <ds:schemaRef ds:uri="16c4b767-81a9-4964-9cba-5e0dcfc5f91d"/>
  </ds:schemaRefs>
</ds:datastoreItem>
</file>

<file path=customXml/itemProps2.xml><?xml version="1.0" encoding="utf-8"?>
<ds:datastoreItem xmlns:ds="http://schemas.openxmlformats.org/officeDocument/2006/customXml" ds:itemID="{6B98D794-EE53-4533-B1DC-813C15A63466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93B1ED2B-ADDC-4E2F-BF27-C0257225EA3E}"/>
</file>

<file path=customXml/itemProps4.xml><?xml version="1.0" encoding="utf-8"?>
<ds:datastoreItem xmlns:ds="http://schemas.openxmlformats.org/officeDocument/2006/customXml" ds:itemID="{94EAAB22-55D1-4138-AE86-FD095E4427D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Fund-Level Alpha</vt:lpstr>
      <vt:lpstr>Company-Level Alpha</vt:lpstr>
      <vt:lpstr>Pitchbook O&amp;G</vt:lpstr>
      <vt:lpstr>MSCI Natural Resources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Doan</dc:creator>
  <cp:lastModifiedBy>Zachary Doan</cp:lastModifiedBy>
  <dcterms:created xsi:type="dcterms:W3CDTF">2015-06-05T18:17:20Z</dcterms:created>
  <dcterms:modified xsi:type="dcterms:W3CDTF">2025-12-30T20:46:41Z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0x01010035B04DF9C75CAB4DAB32342A81611457</vt:lpwstr>
  </property>
  <property fmtid="{D5CDD505-2E9C-101B-9397-08002B2CF9AE}" pid="3" name="MediaServiceImageTags">
    <vt:lpwstr/>
  </property>
</Properties>
</file>